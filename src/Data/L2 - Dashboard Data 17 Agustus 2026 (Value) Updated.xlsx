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<sst xmlns="http://schemas.openxmlformats.org/spreadsheetml/2006/main" count="25101" uniqueCount="1763">
  <si>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</si>
  <si>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</si>
  <si>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</si>
  <si>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</si>
  <si>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</si>
  <si>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</si>
  <si>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服务类型 Jenis Layanan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</si>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</sst>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NumberFormat="1" applyBorder="1">
      <alignment vertical="center"/>
    </xf>
    <xf numFmtId="0" fontId="4" fillId="3" borderId="15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10" fontId="4" fillId="3" borderId="15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4" fillId="3" borderId="17" xfId="0" applyNumberFormat="1" applyFont="1" applyFill="1" applyBorder="1">
      <alignment vertical="center"/>
    </xf>
    <xf numFmtId="10" fontId="0" fillId="0" borderId="18" xfId="0" applyNumberFormat="1" applyBorder="1">
      <alignment vertical="center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0" fontId="5" fillId="4" borderId="28" xfId="3" applyNumberFormat="1" applyFont="1" applyFill="1" applyBorder="1" applyAlignment="1">
      <alignment horizontal="center"/>
    </xf>
    <xf numFmtId="10" fontId="5" fillId="0" borderId="28" xfId="3" applyNumberFormat="1" applyFont="1" applyFill="1" applyBorder="1" applyAlignment="1">
      <alignment horizontal="center"/>
    </xf>
    <xf numFmtId="181" fontId="5" fillId="4" borderId="28" xfId="0" applyNumberFormat="1" applyFont="1" applyFill="1" applyBorder="1" applyAlignment="1">
      <alignment horizontal="center" vertical="center"/>
    </xf>
    <xf numFmtId="10" fontId="5" fillId="0" borderId="28" xfId="3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0" fontId="2" fillId="5" borderId="34" xfId="3" applyNumberFormat="1" applyFont="1" applyFill="1" applyBorder="1" applyAlignment="1">
      <alignment horizontal="center" vertical="center" wrapText="1"/>
    </xf>
    <xf numFmtId="10" fontId="6" fillId="5" borderId="34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23" xfId="50" applyFont="1" applyFill="1" applyBorder="1" applyAlignment="1">
      <alignment horizontal="center" vertical="center" wrapText="1"/>
    </xf>
    <xf numFmtId="0" fontId="7" fillId="2" borderId="24" xfId="50" applyFont="1" applyFill="1" applyBorder="1" applyAlignment="1">
      <alignment horizontal="center" vertical="center" wrapText="1"/>
    </xf>
    <xf numFmtId="0" fontId="7" fillId="2" borderId="42" xfId="5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58" fontId="2" fillId="2" borderId="44" xfId="0" applyNumberFormat="1" applyFont="1" applyFill="1" applyBorder="1" applyAlignment="1">
      <alignment horizontal="center" vertical="center" wrapText="1"/>
    </xf>
    <xf numFmtId="10" fontId="5" fillId="4" borderId="28" xfId="0" applyNumberFormat="1" applyFont="1" applyFill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81" fontId="5" fillId="0" borderId="28" xfId="0" applyNumberFormat="1" applyFont="1" applyBorder="1" applyAlignment="1">
      <alignment horizontal="center" vertical="center"/>
    </xf>
    <xf numFmtId="10" fontId="2" fillId="2" borderId="33" xfId="3" applyNumberFormat="1" applyFont="1" applyFill="1" applyBorder="1" applyAlignment="1">
      <alignment horizontal="center" vertical="center" wrapText="1"/>
    </xf>
    <xf numFmtId="10" fontId="2" fillId="2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5" borderId="47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80" fontId="2" fillId="2" borderId="51" xfId="0" applyNumberFormat="1" applyFont="1" applyFill="1" applyBorder="1" applyAlignment="1">
      <alignment horizontal="center" vertical="center" wrapText="1"/>
    </xf>
    <xf numFmtId="58" fontId="2" fillId="2" borderId="51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0" fontId="5" fillId="4" borderId="28" xfId="3" applyNumberFormat="1" applyFont="1" applyFill="1" applyBorder="1" applyAlignment="1">
      <alignment horizontal="center" vertical="center"/>
    </xf>
    <xf numFmtId="10" fontId="8" fillId="0" borderId="28" xfId="0" applyNumberFormat="1" applyFont="1" applyBorder="1" applyAlignment="1">
      <alignment horizontal="center" vertical="center"/>
    </xf>
    <xf numFmtId="10" fontId="2" fillId="2" borderId="53" xfId="3" applyNumberFormat="1" applyFont="1" applyFill="1" applyBorder="1" applyAlignment="1">
      <alignment horizontal="center" vertical="center" wrapText="1"/>
    </xf>
    <xf numFmtId="10" fontId="2" fillId="5" borderId="54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1" fillId="3" borderId="56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7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9" borderId="69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70" xfId="3" applyNumberFormat="1" applyFont="1" applyFill="1" applyBorder="1" applyAlignment="1">
      <alignment horizontal="center"/>
    </xf>
    <xf numFmtId="181" fontId="4" fillId="0" borderId="70" xfId="0" applyNumberFormat="1" applyFont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2" xfId="0" applyNumberFormat="1" applyFont="1" applyBorder="1" applyAlignment="1">
      <alignment horizontal="center" vertical="center"/>
    </xf>
    <xf numFmtId="10" fontId="4" fillId="0" borderId="70" xfId="3" applyNumberFormat="1" applyFont="1" applyFill="1" applyBorder="1" applyAlignment="1">
      <alignment horizontal="center"/>
    </xf>
    <xf numFmtId="10" fontId="4" fillId="0" borderId="71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2" xfId="3" applyNumberFormat="1" applyFont="1" applyBorder="1" applyAlignment="1">
      <alignment horizontal="center"/>
    </xf>
    <xf numFmtId="10" fontId="4" fillId="0" borderId="70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9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70" xfId="3" applyNumberFormat="1" applyFont="1" applyFill="1" applyBorder="1" applyAlignment="1">
      <alignment horizont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3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70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4" fillId="6" borderId="72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0" fontId="9" fillId="6" borderId="72" xfId="3" applyNumberFormat="1" applyFont="1" applyFill="1" applyBorder="1" applyAlignment="1">
      <alignment horizontal="center"/>
    </xf>
    <xf numFmtId="181" fontId="9" fillId="6" borderId="70" xfId="0" applyNumberFormat="1" applyFont="1" applyFill="1" applyBorder="1" applyAlignment="1">
      <alignment horizontal="center" vertical="center"/>
    </xf>
    <xf numFmtId="10" fontId="9" fillId="6" borderId="70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left" vertical="center"/>
    </xf>
    <xf numFmtId="0" fontId="14" fillId="0" borderId="76" xfId="0" applyFont="1" applyBorder="1" applyAlignment="1">
      <alignment horizontal="left" vertical="center"/>
    </xf>
    <xf numFmtId="0" fontId="14" fillId="0" borderId="75" xfId="0" applyFont="1" applyBorder="1" applyAlignment="1">
      <alignment horizontal="left"/>
    </xf>
    <xf numFmtId="0" fontId="14" fillId="0" borderId="76" xfId="0" applyFont="1" applyBorder="1" applyAlignment="1">
      <alignment horizontal="left"/>
    </xf>
    <xf numFmtId="0" fontId="14" fillId="0" borderId="75" xfId="0" applyFont="1" applyBorder="1" applyAlignment="1"/>
    <xf numFmtId="0" fontId="14" fillId="0" borderId="76" xfId="0" applyFont="1" applyBorder="1" applyAlignment="1"/>
    <xf numFmtId="0" fontId="14" fillId="12" borderId="75" xfId="0" applyFont="1" applyFill="1" applyBorder="1" applyAlignment="1">
      <alignment horizontal="left"/>
    </xf>
    <xf numFmtId="0" fontId="14" fillId="12" borderId="76" xfId="0" applyFont="1" applyFill="1" applyBorder="1" applyAlignment="1">
      <alignment horizontal="left"/>
    </xf>
    <xf numFmtId="0" fontId="5" fillId="12" borderId="75" xfId="0" applyFont="1" applyFill="1" applyBorder="1">
      <alignment vertical="center"/>
    </xf>
    <xf numFmtId="0" fontId="5" fillId="12" borderId="76" xfId="0" applyFont="1" applyFill="1" applyBorder="1">
      <alignment vertical="center"/>
    </xf>
    <xf numFmtId="0" fontId="14" fillId="12" borderId="75" xfId="0" applyFont="1" applyFill="1" applyBorder="1" applyAlignment="1">
      <alignment horizontal="left" vertical="center"/>
    </xf>
    <xf numFmtId="0" fontId="14" fillId="12" borderId="76" xfId="0" applyFont="1" applyFill="1" applyBorder="1" applyAlignment="1">
      <alignment horizontal="left" vertical="center"/>
    </xf>
    <xf numFmtId="181" fontId="4" fillId="8" borderId="7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10" fontId="1" fillId="2" borderId="79" xfId="3" applyNumberFormat="1" applyFont="1" applyFill="1" applyBorder="1" applyAlignment="1">
      <alignment horizontal="center" vertical="center" wrapText="1"/>
    </xf>
    <xf numFmtId="10" fontId="1" fillId="13" borderId="79" xfId="3" applyNumberFormat="1" applyFont="1" applyFill="1" applyBorder="1" applyAlignment="1">
      <alignment horizontal="center" vertical="center" wrapText="1"/>
    </xf>
    <xf numFmtId="181" fontId="19" fillId="13" borderId="70" xfId="0" applyNumberFormat="1" applyFont="1" applyFill="1" applyBorder="1" applyAlignment="1">
      <alignment horizontal="center" vertical="center"/>
    </xf>
    <xf numFmtId="10" fontId="19" fillId="13" borderId="79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4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88"/>
  <sheetViews>
    <sheetView tabSelected="1" zoomScale="70" zoomScaleNormal="70" topLeftCell="F2" workbookViewId="0">
      <selection activeCell="H13" sqref="H13"/>
    </sheetView>
  </sheetViews>
  <sheetFormatPr defaultColWidth="9.78181818181818" defaultRowHeight="14"/>
  <cols>
    <col min="1" max="2" width="1.89090909090909" style="88" customWidth="1"/>
    <col min="3" max="4" width="23.6636363636364" style="89" customWidth="1"/>
    <col min="5" max="6" width="29.7818181818182" style="89" customWidth="1"/>
    <col min="7" max="7" width="30.3363636363636" style="89" customWidth="1"/>
    <col min="8" max="8" width="31.8909090909091" style="89" customWidth="1"/>
    <col min="9" max="9" width="30.7818181818182" style="88" customWidth="1"/>
    <col min="10" max="10" width="13.2181818181818" style="88" customWidth="1"/>
    <col min="11" max="11" width="18" style="88" customWidth="1"/>
    <col min="12" max="14" width="15.4454545454545" style="88" customWidth="1"/>
    <col min="15" max="15" width="13.2181818181818" style="88" customWidth="1"/>
    <col min="16" max="16" width="18.3363636363636" style="88" customWidth="1"/>
    <col min="17" max="17" width="17.3363636363636" style="88" customWidth="1"/>
    <col min="18" max="18" width="21.3363636363636" style="88" customWidth="1"/>
    <col min="19" max="19" width="16.1090909090909" style="88" customWidth="1"/>
    <col min="20" max="20" width="13.2181818181818" style="88" customWidth="1"/>
    <col min="21" max="21" width="17.5545454545455" style="88" customWidth="1"/>
    <col min="22" max="22" width="19.1090909090909" style="88" customWidth="1"/>
    <col min="23" max="24" width="16.1090909090909" style="88" customWidth="1"/>
    <col min="25" max="25" width="13.2181818181818" style="88" customWidth="1"/>
    <col min="26" max="26" width="15.3363636363636" style="88" customWidth="1"/>
    <col min="27" max="27" width="14.7818181818182" style="88" customWidth="1"/>
    <col min="28" max="28" width="14.3363636363636" style="88" customWidth="1"/>
    <col min="29" max="29" width="15" style="88" customWidth="1"/>
    <col min="30" max="30" width="13.2181818181818" style="88" customWidth="1"/>
    <col min="31" max="31" width="13.6636363636364" style="88" customWidth="1"/>
    <col min="32" max="32" width="15.1090909090909" style="88" customWidth="1"/>
    <col min="33" max="33" width="15" style="88" customWidth="1"/>
    <col min="34" max="34" width="14.4454545454545" style="88" customWidth="1"/>
    <col min="35" max="35" width="13.2181818181818" style="88" customWidth="1"/>
    <col min="36" max="36" width="16.5545454545455" style="88" customWidth="1"/>
    <col min="37" max="37" width="15.4454545454545" style="88" customWidth="1"/>
    <col min="38" max="38" width="14.3363636363636" style="88" customWidth="1"/>
    <col min="39" max="39" width="14.4454545454545" style="88" customWidth="1"/>
    <col min="40" max="40" width="13" style="88" customWidth="1"/>
    <col min="41" max="41" width="14.6636363636364" style="88" customWidth="1"/>
    <col min="42" max="44" width="16.1090909090909" style="88" customWidth="1"/>
    <col min="45" max="45" width="13.2181818181818" style="88" customWidth="1"/>
    <col min="46" max="46" width="14.2181818181818" style="88" customWidth="1"/>
    <col min="47" max="47" width="15.1090909090909" style="88" customWidth="1"/>
    <col min="48" max="48" width="15.7818181818182" style="88" customWidth="1"/>
    <col min="49" max="49" width="16.1090909090909" style="88" customWidth="1"/>
    <col min="50" max="50" width="10" style="88" customWidth="1"/>
    <col min="51" max="51" width="2.33636363636364" style="90" customWidth="1"/>
    <col min="52" max="53" width="13.7818181818182" style="88" customWidth="1"/>
    <col min="54" max="54" width="15" style="88" customWidth="1"/>
    <col min="55" max="16384" width="9.78181818181818" style="88"/>
  </cols>
  <sheetData>
    <row r="1" ht="12" customHeight="1" spans="1:60">
      <c r="A1" s="91"/>
      <c r="B1" s="92" t="str">
        <f>"网管-雅加达网点质量达成 "&amp;TEXT(BA2,"YYYY-MM-DD")&amp;"
"&amp;"NM - Pencapaian Kualitas DropPoint Jakarta "&amp;TEXT(BA2,"YYYY-MM-DD")</f>
        <v>网管-雅加达网点质量达成 2026-08-17
NM - Pencapaian Kualitas DropPoint Jakarta 2026-08-17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BA1" s="88" t="s">
        <v>0</v>
      </c>
    </row>
    <row r="2" ht="61.5" customHeight="1" spans="1:60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BA2" s="94">
        <f>'06.30, 07.30, &amp; 12.00'!F4</f>
        <v>46251</v>
      </c>
      <c r="BB2" s="94">
        <f>EOMONTH(BA2,-1)+1</f>
        <v>46235</v>
      </c>
      <c r="BC2" s="88" t="s">
        <v>1</v>
      </c>
      <c r="BF2" s="88" t="e">
        <f>COUNTIFS('[1]Raw Abnsensi (2)'!P:P,I:I,'[1]Raw Abnsensi (2)'!Q:Q,1,'[1]Raw Abnsensi (2)'!O:O,"&lt;="&amp;#REF!)</f>
        <v>#VALUE!</v>
      </c>
      <c r="BG2" s="88" t="e">
        <f>COUNTIFS('[1]Raw Abnsensi (2)'!P:P,I:I,'[1]Raw Abnsensi (2)'!Q:Q,1)</f>
        <v>#VALUE!</v>
      </c>
      <c r="BH2" s="88" t="e">
        <f>BF2/BG2</f>
        <v>#VALUE!</v>
      </c>
    </row>
    <row r="3" ht="36" customHeight="1" spans="1:60">
      <c r="A3" s="91"/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5"/>
      <c r="AY3" s="93"/>
      <c r="BA3" s="94">
        <f>BA2-2</f>
        <v>46249</v>
      </c>
      <c r="BB3" s="94">
        <f>EOMONTH(BA3,-1)+1</f>
        <v>46235</v>
      </c>
      <c r="BC3" s="88" t="s">
        <v>2</v>
      </c>
    </row>
    <row r="4" ht="249" hidden="1" customHeight="1" spans="1:60">
      <c r="A4" s="91"/>
      <c r="B4" s="95"/>
      <c r="C4" s="97" t="s">
        <v>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8"/>
      <c r="U4" s="98" t="s">
        <v>4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5"/>
      <c r="AY4" s="93"/>
    </row>
    <row r="5" ht="9" customHeight="1" spans="1:60">
      <c r="A5" s="91"/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5"/>
      <c r="AY5" s="93"/>
    </row>
    <row r="6" ht="57" customHeight="1" spans="1:60">
      <c r="A6" s="91"/>
      <c r="B6" s="95"/>
      <c r="C6" s="100" t="s">
        <v>5</v>
      </c>
      <c r="D6" s="11" t="s">
        <v>6</v>
      </c>
      <c r="E6" s="8" t="s">
        <v>7</v>
      </c>
      <c r="F6" s="100" t="s">
        <v>8</v>
      </c>
      <c r="G6" s="101" t="s">
        <v>9</v>
      </c>
      <c r="H6" s="102"/>
      <c r="I6" s="103" t="s">
        <v>7</v>
      </c>
      <c r="J6" s="104" t="s">
        <v>10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105"/>
      <c r="W6" s="104"/>
      <c r="X6" s="106"/>
      <c r="Y6" s="107" t="s">
        <v>11</v>
      </c>
      <c r="Z6" s="107"/>
      <c r="AA6" s="107"/>
      <c r="AB6" s="107"/>
      <c r="AC6" s="108"/>
      <c r="AD6" s="109" t="s">
        <v>12</v>
      </c>
      <c r="AE6" s="104"/>
      <c r="AF6" s="104"/>
      <c r="AG6" s="104"/>
      <c r="AH6" s="104"/>
      <c r="AI6" s="104"/>
      <c r="AJ6" s="104"/>
      <c r="AK6" s="104"/>
      <c r="AL6" s="104"/>
      <c r="AM6" s="106"/>
      <c r="AN6" s="110"/>
      <c r="AO6" s="110"/>
      <c r="AP6" s="110"/>
      <c r="AQ6" s="110"/>
      <c r="AR6" s="110"/>
      <c r="AS6" s="110"/>
      <c r="AT6" s="110"/>
      <c r="AU6" s="110"/>
      <c r="AV6" s="110"/>
      <c r="AW6" s="111"/>
      <c r="AX6" s="95"/>
      <c r="AY6" s="93"/>
    </row>
    <row r="7" ht="54.45" customHeight="1" spans="1:60">
      <c r="A7" s="91"/>
      <c r="B7" s="95"/>
      <c r="C7" s="9"/>
      <c r="D7" s="112"/>
      <c r="E7" s="8"/>
      <c r="F7" s="9"/>
      <c r="G7" s="10"/>
      <c r="H7" s="104"/>
      <c r="I7" s="113"/>
      <c r="J7" s="114" t="s">
        <v>13</v>
      </c>
      <c r="K7" s="110"/>
      <c r="L7" s="110"/>
      <c r="M7" s="110"/>
      <c r="N7" s="111"/>
      <c r="O7" s="114" t="s">
        <v>14</v>
      </c>
      <c r="P7" s="110"/>
      <c r="Q7" s="110"/>
      <c r="R7" s="110"/>
      <c r="S7" s="111"/>
      <c r="T7" s="115" t="s">
        <v>15</v>
      </c>
      <c r="U7" s="116"/>
      <c r="V7" s="116"/>
      <c r="W7" s="116"/>
      <c r="X7" s="117"/>
      <c r="Y7" s="118" t="s">
        <v>16</v>
      </c>
      <c r="Z7" s="118"/>
      <c r="AA7" s="118"/>
      <c r="AB7" s="118"/>
      <c r="AC7" s="118"/>
      <c r="AD7" s="119" t="s">
        <v>17</v>
      </c>
      <c r="AE7" s="119"/>
      <c r="AF7" s="119"/>
      <c r="AG7" s="119"/>
      <c r="AH7" s="119"/>
      <c r="AI7" s="119" t="s">
        <v>18</v>
      </c>
      <c r="AJ7" s="119"/>
      <c r="AK7" s="119"/>
      <c r="AL7" s="119"/>
      <c r="AM7" s="119"/>
      <c r="AN7" s="110" t="s">
        <v>19</v>
      </c>
      <c r="AO7" s="110"/>
      <c r="AP7" s="110"/>
      <c r="AQ7" s="110"/>
      <c r="AR7" s="111"/>
      <c r="AS7" s="114" t="s">
        <v>20</v>
      </c>
      <c r="AT7" s="110"/>
      <c r="AU7" s="110"/>
      <c r="AV7" s="110"/>
      <c r="AW7" s="111"/>
      <c r="AX7" s="95"/>
      <c r="AY7" s="93"/>
      <c r="BA7" s="120">
        <f>BA2-1</f>
        <v>46250</v>
      </c>
    </row>
    <row r="8" ht="56.25" customHeight="1" spans="1:60">
      <c r="A8" s="91"/>
      <c r="B8" s="95"/>
      <c r="C8" s="121"/>
      <c r="D8" s="112"/>
      <c r="E8" s="11"/>
      <c r="F8" s="121"/>
      <c r="G8" s="122"/>
      <c r="H8" s="123"/>
      <c r="I8" s="124"/>
      <c r="J8" s="100" t="s">
        <v>21</v>
      </c>
      <c r="K8" s="125">
        <f>$BA$2</f>
        <v>46251</v>
      </c>
      <c r="L8" s="126">
        <f>BA7</f>
        <v>46250</v>
      </c>
      <c r="M8" s="126">
        <f>BA3</f>
        <v>46249</v>
      </c>
      <c r="N8" s="100" t="s">
        <v>22</v>
      </c>
      <c r="O8" s="100" t="s">
        <v>21</v>
      </c>
      <c r="P8" s="125">
        <f>$BA$2</f>
        <v>46251</v>
      </c>
      <c r="Q8" s="126">
        <f>BA7</f>
        <v>46250</v>
      </c>
      <c r="R8" s="126">
        <f>BA3</f>
        <v>46249</v>
      </c>
      <c r="S8" s="100" t="s">
        <v>22</v>
      </c>
      <c r="T8" s="100" t="s">
        <v>21</v>
      </c>
      <c r="U8" s="125">
        <f>$BA$2</f>
        <v>46251</v>
      </c>
      <c r="V8" s="126">
        <f>BA7</f>
        <v>46250</v>
      </c>
      <c r="W8" s="126">
        <f>BA3</f>
        <v>46249</v>
      </c>
      <c r="X8" s="100" t="s">
        <v>22</v>
      </c>
      <c r="Y8" s="100" t="s">
        <v>21</v>
      </c>
      <c r="Z8" s="125">
        <f>$BA$2</f>
        <v>46251</v>
      </c>
      <c r="AA8" s="126">
        <f>BA7</f>
        <v>46250</v>
      </c>
      <c r="AB8" s="126">
        <f>BA3</f>
        <v>46249</v>
      </c>
      <c r="AC8" s="100" t="s">
        <v>22</v>
      </c>
      <c r="AD8" s="100" t="s">
        <v>21</v>
      </c>
      <c r="AE8" s="125">
        <f>$BA$2</f>
        <v>46251</v>
      </c>
      <c r="AF8" s="126">
        <f>BA7</f>
        <v>46250</v>
      </c>
      <c r="AG8" s="126">
        <f>BA3</f>
        <v>46249</v>
      </c>
      <c r="AH8" s="100" t="s">
        <v>22</v>
      </c>
      <c r="AI8" s="100" t="s">
        <v>21</v>
      </c>
      <c r="AJ8" s="125">
        <f>$BA$2</f>
        <v>46251</v>
      </c>
      <c r="AK8" s="126">
        <f>BA7</f>
        <v>46250</v>
      </c>
      <c r="AL8" s="126">
        <f>BA3</f>
        <v>46249</v>
      </c>
      <c r="AM8" s="100" t="s">
        <v>22</v>
      </c>
      <c r="AN8" s="127" t="s">
        <v>21</v>
      </c>
      <c r="AO8" s="125">
        <f>$BA$2</f>
        <v>46251</v>
      </c>
      <c r="AP8" s="126">
        <f>BA7</f>
        <v>46250</v>
      </c>
      <c r="AQ8" s="126">
        <f>BA3</f>
        <v>46249</v>
      </c>
      <c r="AR8" s="100" t="s">
        <v>22</v>
      </c>
      <c r="AS8" s="100" t="s">
        <v>23</v>
      </c>
      <c r="AT8" s="125">
        <f>$BA$2</f>
        <v>46251</v>
      </c>
      <c r="AU8" s="126">
        <f>BA7</f>
        <v>46250</v>
      </c>
      <c r="AV8" s="126">
        <f>BA3</f>
        <v>46249</v>
      </c>
      <c r="AW8" s="100" t="s">
        <v>22</v>
      </c>
      <c r="AX8" s="95"/>
      <c r="AY8" s="93"/>
    </row>
    <row r="9" ht="14.5" spans="1:60">
      <c r="A9" s="91"/>
      <c r="B9" s="95"/>
      <c r="C9" s="128" t="s">
        <v>24</v>
      </c>
      <c r="D9" s="129" t="s">
        <v>25</v>
      </c>
      <c r="E9" s="130" t="s">
        <v>26</v>
      </c>
      <c r="F9" s="131" t="s">
        <v>27</v>
      </c>
      <c r="G9" s="131" t="s">
        <v>27</v>
      </c>
      <c r="H9" s="131" t="s">
        <v>27</v>
      </c>
      <c r="I9" s="131" t="s">
        <v>27</v>
      </c>
      <c r="J9" s="132">
        <v>0.9</v>
      </c>
      <c r="K9" s="133">
        <v>0.825</v>
      </c>
      <c r="L9" s="133">
        <v>0.862068965517241</v>
      </c>
      <c r="M9" s="134">
        <v>0.88135593220339</v>
      </c>
      <c r="N9" s="134">
        <v>0.87360970677452</v>
      </c>
      <c r="O9" s="135">
        <v>0.9</v>
      </c>
      <c r="P9" s="136">
        <v>0.960258946232692</v>
      </c>
      <c r="Q9" s="133">
        <v>0.99095270733379</v>
      </c>
      <c r="R9" s="133">
        <v>0.983142936751184</v>
      </c>
      <c r="S9" s="133">
        <v>0.927514512600555</v>
      </c>
      <c r="T9" s="135">
        <v>0.9</v>
      </c>
      <c r="U9" s="133">
        <v>0.557633519151232</v>
      </c>
      <c r="V9" s="133">
        <v>0.69787525702536</v>
      </c>
      <c r="W9" s="133">
        <v>0.66926720534968</v>
      </c>
      <c r="X9" s="133">
        <v>0.649759702340964</v>
      </c>
      <c r="Y9" s="135">
        <v>0.92</v>
      </c>
      <c r="Z9" s="135">
        <v>0.851654621529099</v>
      </c>
      <c r="AA9" s="135">
        <v>0.902168021680217</v>
      </c>
      <c r="AB9" s="135">
        <v>0.918251420103729</v>
      </c>
      <c r="AC9" s="135">
        <v>0.927545158933662</v>
      </c>
      <c r="AD9" s="135">
        <v>0.92</v>
      </c>
      <c r="AE9" s="133">
        <v>0.995866288202387</v>
      </c>
      <c r="AF9" s="133">
        <v>0.996710738471461</v>
      </c>
      <c r="AG9" s="133">
        <v>0.984940775336968</v>
      </c>
      <c r="AH9" s="133">
        <v>0.982711093054501</v>
      </c>
      <c r="AI9" s="135">
        <v>0.92</v>
      </c>
      <c r="AJ9" s="133">
        <v>0.8514404296875</v>
      </c>
      <c r="AK9" s="133">
        <v>0.92884440400364</v>
      </c>
      <c r="AL9" s="133">
        <v>0.941600640968575</v>
      </c>
      <c r="AM9" s="133">
        <v>0.944606335620121</v>
      </c>
      <c r="AN9" s="132">
        <v>0.99</v>
      </c>
      <c r="AO9" s="137">
        <v>1</v>
      </c>
      <c r="AP9" s="137">
        <v>1</v>
      </c>
      <c r="AQ9" s="137">
        <v>1</v>
      </c>
      <c r="AR9" s="138">
        <v>1</v>
      </c>
      <c r="AS9" s="139">
        <v>0.0872182100128262</v>
      </c>
      <c r="AT9" s="140">
        <v>0.0256410256410256</v>
      </c>
      <c r="AU9" s="141">
        <v>0.133333333333333</v>
      </c>
      <c r="AV9" s="141">
        <v>0.115384615384615</v>
      </c>
      <c r="AW9" s="141">
        <v>0.0617495711835334</v>
      </c>
      <c r="AX9" s="95"/>
      <c r="AY9" s="93"/>
    </row>
    <row r="10" ht="14.5" spans="1:60">
      <c r="A10" s="91"/>
      <c r="B10" s="95"/>
      <c r="C10" s="128" t="s">
        <v>24</v>
      </c>
      <c r="D10" s="129" t="s">
        <v>25</v>
      </c>
      <c r="E10" s="130" t="s">
        <v>26</v>
      </c>
      <c r="F10" s="131" t="s">
        <v>28</v>
      </c>
      <c r="G10" s="131" t="s">
        <v>28</v>
      </c>
      <c r="H10" s="131" t="s">
        <v>28</v>
      </c>
      <c r="I10" s="131" t="s">
        <v>28</v>
      </c>
      <c r="J10" s="132">
        <v>0.9</v>
      </c>
      <c r="K10" s="133">
        <v>0.814814814814815</v>
      </c>
      <c r="L10" s="133">
        <v>0.838095238095238</v>
      </c>
      <c r="M10" s="134">
        <v>0.828828828828829</v>
      </c>
      <c r="N10" s="133">
        <v>0.823943661971831</v>
      </c>
      <c r="O10" s="135">
        <v>0.9</v>
      </c>
      <c r="P10" s="133">
        <v>0.989471952623787</v>
      </c>
      <c r="Q10" s="133">
        <v>0.988853299167201</v>
      </c>
      <c r="R10" s="133">
        <v>0.983943241224795</v>
      </c>
      <c r="S10" s="133">
        <v>0.982998055925247</v>
      </c>
      <c r="T10" s="135">
        <v>0.9</v>
      </c>
      <c r="U10" s="133">
        <v>0.682513571311071</v>
      </c>
      <c r="V10" s="133">
        <v>0.748366431774504</v>
      </c>
      <c r="W10" s="133">
        <v>0.779312920089619</v>
      </c>
      <c r="X10" s="133">
        <v>0.759283131144914</v>
      </c>
      <c r="Y10" s="135">
        <v>0.92</v>
      </c>
      <c r="Z10" s="135">
        <v>0.817479925880173</v>
      </c>
      <c r="AA10" s="135">
        <v>0.916876574307305</v>
      </c>
      <c r="AB10" s="135">
        <v>0.926901159363333</v>
      </c>
      <c r="AC10" s="135">
        <v>0.945766868526068</v>
      </c>
      <c r="AD10" s="135">
        <v>0.92</v>
      </c>
      <c r="AE10" s="133">
        <v>0.98844753916759</v>
      </c>
      <c r="AF10" s="133">
        <v>0.994830371567044</v>
      </c>
      <c r="AG10" s="133">
        <v>0.99220556745182</v>
      </c>
      <c r="AH10" s="133">
        <v>0.968642281048158</v>
      </c>
      <c r="AI10" s="135">
        <v>0.92</v>
      </c>
      <c r="AJ10" s="133">
        <v>0.828295819935691</v>
      </c>
      <c r="AK10" s="133">
        <v>0.92572564612326</v>
      </c>
      <c r="AL10" s="133">
        <v>0.944313247505142</v>
      </c>
      <c r="AM10" s="133">
        <v>0.955109995096299</v>
      </c>
      <c r="AN10" s="132">
        <v>0.99</v>
      </c>
      <c r="AO10" s="137">
        <v>1</v>
      </c>
      <c r="AP10" s="137">
        <v>1</v>
      </c>
      <c r="AQ10" s="137">
        <v>1</v>
      </c>
      <c r="AR10" s="138">
        <v>1</v>
      </c>
      <c r="AS10" s="139">
        <v>0.0872182100128262</v>
      </c>
      <c r="AT10" s="140">
        <v>0.104166666666667</v>
      </c>
      <c r="AU10" s="141">
        <v>0.0909090909090909</v>
      </c>
      <c r="AV10" s="141">
        <v>0.051948051948052</v>
      </c>
      <c r="AW10" s="141">
        <v>0.0782178217821782</v>
      </c>
      <c r="AX10" s="95"/>
      <c r="AY10" s="93"/>
    </row>
    <row r="11" ht="14.5" spans="1:60">
      <c r="A11" s="91"/>
      <c r="B11" s="95"/>
      <c r="C11" s="128" t="s">
        <v>24</v>
      </c>
      <c r="D11" s="129" t="s">
        <v>25</v>
      </c>
      <c r="E11" s="130" t="s">
        <v>26</v>
      </c>
      <c r="F11" s="131" t="s">
        <v>29</v>
      </c>
      <c r="G11" s="131" t="s">
        <v>29</v>
      </c>
      <c r="H11" s="131" t="s">
        <v>29</v>
      </c>
      <c r="I11" s="131" t="s">
        <v>29</v>
      </c>
      <c r="J11" s="132">
        <v>0.9</v>
      </c>
      <c r="K11" s="133">
        <v>1</v>
      </c>
      <c r="L11" s="133">
        <v>0.888888888888889</v>
      </c>
      <c r="M11" s="134">
        <v>0.939393939393939</v>
      </c>
      <c r="N11" s="133">
        <v>0.961089494163424</v>
      </c>
      <c r="O11" s="135">
        <v>0.9</v>
      </c>
      <c r="P11" s="133">
        <v>0.948910593538693</v>
      </c>
      <c r="Q11" s="133">
        <v>0.977366255144033</v>
      </c>
      <c r="R11" s="133">
        <v>0.992258972554539</v>
      </c>
      <c r="S11" s="133">
        <v>0.983298463314335</v>
      </c>
      <c r="T11" s="135">
        <v>0.9</v>
      </c>
      <c r="U11" s="133">
        <v>0.867017280240421</v>
      </c>
      <c r="V11" s="133">
        <v>0.923868312757202</v>
      </c>
      <c r="W11" s="133">
        <v>0.925404644616467</v>
      </c>
      <c r="X11" s="133">
        <v>0.895426015439001</v>
      </c>
      <c r="Y11" s="135">
        <v>0.92</v>
      </c>
      <c r="Z11" s="135">
        <v>0.964506172839506</v>
      </c>
      <c r="AA11" s="135">
        <v>0.940405244338498</v>
      </c>
      <c r="AB11" s="135">
        <v>0.955034213098729</v>
      </c>
      <c r="AC11" s="135">
        <v>0.963159348246341</v>
      </c>
      <c r="AD11" s="135">
        <v>0.92</v>
      </c>
      <c r="AE11" s="133">
        <v>0.933281209278082</v>
      </c>
      <c r="AF11" s="133">
        <v>0.99721103191819</v>
      </c>
      <c r="AG11" s="133">
        <v>0.928351377519585</v>
      </c>
      <c r="AH11" s="133">
        <v>0.863592434074279</v>
      </c>
      <c r="AI11" s="135">
        <v>0.92</v>
      </c>
      <c r="AJ11" s="133">
        <v>0.956060606060606</v>
      </c>
      <c r="AK11" s="133">
        <v>0.949934697431432</v>
      </c>
      <c r="AL11" s="133">
        <v>0.966039279869067</v>
      </c>
      <c r="AM11" s="133">
        <v>0.971854954837021</v>
      </c>
      <c r="AN11" s="132">
        <v>0.99</v>
      </c>
      <c r="AO11" s="137">
        <v>1</v>
      </c>
      <c r="AP11" s="137">
        <v>1</v>
      </c>
      <c r="AQ11" s="137">
        <v>1</v>
      </c>
      <c r="AR11" s="137">
        <v>1</v>
      </c>
      <c r="AS11" s="139">
        <v>0.0872182100128262</v>
      </c>
      <c r="AT11" s="141">
        <v>0</v>
      </c>
      <c r="AU11" s="141">
        <v>0.2</v>
      </c>
      <c r="AV11" s="141">
        <v>0</v>
      </c>
      <c r="AW11" s="141">
        <v>0.0654761904761905</v>
      </c>
      <c r="AX11" s="95"/>
      <c r="AY11" s="93"/>
    </row>
    <row r="12" ht="14.5" spans="1:60">
      <c r="A12" s="91"/>
      <c r="B12" s="95"/>
      <c r="C12" s="128" t="s">
        <v>24</v>
      </c>
      <c r="D12" s="129" t="s">
        <v>25</v>
      </c>
      <c r="E12" s="130" t="s">
        <v>26</v>
      </c>
      <c r="F12" s="131" t="s">
        <v>30</v>
      </c>
      <c r="G12" s="131" t="s">
        <v>30</v>
      </c>
      <c r="H12" s="131" t="s">
        <v>30</v>
      </c>
      <c r="I12" s="131" t="s">
        <v>30</v>
      </c>
      <c r="J12" s="132">
        <v>0.9</v>
      </c>
      <c r="K12" s="133">
        <v>0.89010989010989</v>
      </c>
      <c r="L12" s="133">
        <v>0.90625</v>
      </c>
      <c r="M12" s="134">
        <v>0.926605504587156</v>
      </c>
      <c r="N12" s="133">
        <v>0.910480349344978</v>
      </c>
      <c r="O12" s="135">
        <v>0.9</v>
      </c>
      <c r="P12" s="133">
        <v>0.854850342589254</v>
      </c>
      <c r="Q12" s="133">
        <v>0.89487620812922</v>
      </c>
      <c r="R12" s="133">
        <v>0.900974658869396</v>
      </c>
      <c r="S12" s="133">
        <v>0.898332902649058</v>
      </c>
      <c r="T12" s="135">
        <v>0.9</v>
      </c>
      <c r="U12" s="133">
        <v>0.637216011539849</v>
      </c>
      <c r="V12" s="133">
        <v>0.731232622798888</v>
      </c>
      <c r="W12" s="133">
        <v>0.799740090968161</v>
      </c>
      <c r="X12" s="133">
        <v>0.765719394062144</v>
      </c>
      <c r="Y12" s="135">
        <v>0.92</v>
      </c>
      <c r="Z12" s="135">
        <v>0.84789956542733</v>
      </c>
      <c r="AA12" s="135">
        <v>0.894065718489456</v>
      </c>
      <c r="AB12" s="135">
        <v>0.977551444606111</v>
      </c>
      <c r="AC12" s="135">
        <v>0.964085841946112</v>
      </c>
      <c r="AD12" s="135">
        <v>0.92</v>
      </c>
      <c r="AE12" s="133">
        <v>0.368932038834951</v>
      </c>
      <c r="AF12" s="133">
        <v>0.589641434262948</v>
      </c>
      <c r="AG12" s="133">
        <v>0.94962486602358</v>
      </c>
      <c r="AH12" s="133">
        <v>0.837441705529647</v>
      </c>
      <c r="AI12" s="135">
        <v>0.92</v>
      </c>
      <c r="AJ12" s="133">
        <v>0.872884691066509</v>
      </c>
      <c r="AK12" s="133">
        <v>0.899931224209078</v>
      </c>
      <c r="AL12" s="133">
        <v>0.975211898288821</v>
      </c>
      <c r="AM12" s="133">
        <v>0.968531106587074</v>
      </c>
      <c r="AN12" s="132">
        <v>0.99</v>
      </c>
      <c r="AO12" s="137">
        <v>1</v>
      </c>
      <c r="AP12" s="137">
        <v>1</v>
      </c>
      <c r="AQ12" s="137">
        <v>1</v>
      </c>
      <c r="AR12" s="137">
        <v>1</v>
      </c>
      <c r="AS12" s="139">
        <v>0.0872182100128262</v>
      </c>
      <c r="AT12" s="141">
        <v>0.117647058823529</v>
      </c>
      <c r="AU12" s="141">
        <v>0.0588235294117647</v>
      </c>
      <c r="AV12" s="141">
        <v>0</v>
      </c>
      <c r="AW12" s="141">
        <v>0.0728155339805825</v>
      </c>
      <c r="AX12" s="95"/>
      <c r="AY12" s="93"/>
    </row>
    <row r="13" ht="14.5" spans="1:60">
      <c r="A13" s="91"/>
      <c r="B13" s="95"/>
      <c r="C13" s="128" t="s">
        <v>24</v>
      </c>
      <c r="D13" s="129" t="s">
        <v>25</v>
      </c>
      <c r="E13" s="130" t="s">
        <v>26</v>
      </c>
      <c r="F13" s="131" t="s">
        <v>31</v>
      </c>
      <c r="G13" s="131" t="s">
        <v>31</v>
      </c>
      <c r="H13" s="131" t="s">
        <v>31</v>
      </c>
      <c r="I13" s="131" t="s">
        <v>31</v>
      </c>
      <c r="J13" s="132">
        <v>0.9</v>
      </c>
      <c r="K13" s="133">
        <v>0.463414634146341</v>
      </c>
      <c r="L13" s="133">
        <v>0.770833333333333</v>
      </c>
      <c r="M13" s="134">
        <v>0.711538461538462</v>
      </c>
      <c r="N13" s="133">
        <v>0.82147024504084</v>
      </c>
      <c r="O13" s="135">
        <v>0.9</v>
      </c>
      <c r="P13" s="133">
        <v>0.741079393398751</v>
      </c>
      <c r="Q13" s="133">
        <v>0.881970443349754</v>
      </c>
      <c r="R13" s="133">
        <v>0.911658767772512</v>
      </c>
      <c r="S13" s="133">
        <v>0.885985402975467</v>
      </c>
      <c r="T13" s="135">
        <v>0.9</v>
      </c>
      <c r="U13" s="133">
        <v>0.800401427297056</v>
      </c>
      <c r="V13" s="133">
        <v>0.927487684729064</v>
      </c>
      <c r="W13" s="133">
        <v>0.945592417061611</v>
      </c>
      <c r="X13" s="133">
        <v>0.900748538740254</v>
      </c>
      <c r="Y13" s="135">
        <v>0.92</v>
      </c>
      <c r="Z13" s="135">
        <v>0.883438343834383</v>
      </c>
      <c r="AA13" s="135">
        <v>0.980157244477724</v>
      </c>
      <c r="AB13" s="135">
        <v>0.973803363518758</v>
      </c>
      <c r="AC13" s="135">
        <v>0.942001251900206</v>
      </c>
      <c r="AD13" s="135">
        <v>0.92</v>
      </c>
      <c r="AE13" s="133">
        <v>0.993175313715418</v>
      </c>
      <c r="AF13" s="133">
        <v>0.969052127977674</v>
      </c>
      <c r="AG13" s="133">
        <v>0.992723848656052</v>
      </c>
      <c r="AH13" s="133">
        <v>0.969838696758297</v>
      </c>
      <c r="AI13" s="135">
        <v>0.92</v>
      </c>
      <c r="AJ13" s="133">
        <v>0.863744782349434</v>
      </c>
      <c r="AK13" s="133">
        <v>0.981037151702786</v>
      </c>
      <c r="AL13" s="133">
        <v>0.982558834070004</v>
      </c>
      <c r="AM13" s="133">
        <v>0.96086414078403</v>
      </c>
      <c r="AN13" s="132">
        <v>0.99</v>
      </c>
      <c r="AO13" s="137">
        <v>1</v>
      </c>
      <c r="AP13" s="137">
        <v>1</v>
      </c>
      <c r="AQ13" s="137">
        <v>1</v>
      </c>
      <c r="AR13" s="137">
        <v>1</v>
      </c>
      <c r="AS13" s="139">
        <v>0.0872182100128262</v>
      </c>
      <c r="AT13" s="141">
        <v>0</v>
      </c>
      <c r="AU13" s="141">
        <v>0</v>
      </c>
      <c r="AV13" s="141">
        <v>0</v>
      </c>
      <c r="AW13" s="141">
        <v>0.0644490644490645</v>
      </c>
      <c r="AX13" s="95"/>
      <c r="AY13" s="93"/>
    </row>
    <row r="14" ht="14.5" spans="1:60">
      <c r="A14" s="91"/>
      <c r="B14" s="95"/>
      <c r="C14" s="128" t="s">
        <v>24</v>
      </c>
      <c r="D14" s="129" t="s">
        <v>25</v>
      </c>
      <c r="E14" s="130" t="s">
        <v>26</v>
      </c>
      <c r="F14" s="131" t="s">
        <v>32</v>
      </c>
      <c r="G14" s="131" t="s">
        <v>32</v>
      </c>
      <c r="H14" s="131" t="s">
        <v>32</v>
      </c>
      <c r="I14" s="131" t="s">
        <v>32</v>
      </c>
      <c r="J14" s="132">
        <v>0.9</v>
      </c>
      <c r="K14" s="133">
        <v>0.857142857142857</v>
      </c>
      <c r="L14" s="133">
        <v>0.821917808219178</v>
      </c>
      <c r="M14" s="134">
        <v>0.855263157894737</v>
      </c>
      <c r="N14" s="133">
        <v>0.886095836606441</v>
      </c>
      <c r="O14" s="135">
        <v>0.9</v>
      </c>
      <c r="P14" s="133">
        <v>0.850233426704015</v>
      </c>
      <c r="Q14" s="133">
        <v>0.933010736428247</v>
      </c>
      <c r="R14" s="133">
        <v>0.931545835829838</v>
      </c>
      <c r="S14" s="133">
        <v>0.856688813514779</v>
      </c>
      <c r="T14" s="135">
        <v>0.9</v>
      </c>
      <c r="U14" s="133">
        <v>0.682166199813259</v>
      </c>
      <c r="V14" s="133">
        <v>0.808256464539543</v>
      </c>
      <c r="W14" s="133">
        <v>0.8464649490713</v>
      </c>
      <c r="X14" s="133">
        <v>0.77559685618784</v>
      </c>
      <c r="Y14" s="135">
        <v>0.92</v>
      </c>
      <c r="Z14" s="135">
        <v>0.743562231759657</v>
      </c>
      <c r="AA14" s="135">
        <v>0.97724039829303</v>
      </c>
      <c r="AB14" s="135">
        <v>0.98385676548283</v>
      </c>
      <c r="AC14" s="135">
        <v>0.969336144979468</v>
      </c>
      <c r="AD14" s="135">
        <v>0.92</v>
      </c>
      <c r="AE14" s="133">
        <v>0.90865306122449</v>
      </c>
      <c r="AF14" s="133">
        <v>0.962193647653588</v>
      </c>
      <c r="AG14" s="133">
        <v>0.975720128796449</v>
      </c>
      <c r="AH14" s="133">
        <v>0.916831065635029</v>
      </c>
      <c r="AI14" s="135">
        <v>0.92</v>
      </c>
      <c r="AJ14" s="133">
        <v>0.766481994459834</v>
      </c>
      <c r="AK14" s="133">
        <v>0.961501749920458</v>
      </c>
      <c r="AL14" s="133">
        <v>0.974109711338161</v>
      </c>
      <c r="AM14" s="133">
        <v>0.969574694800383</v>
      </c>
      <c r="AN14" s="132">
        <v>0.99</v>
      </c>
      <c r="AO14" s="137">
        <v>1</v>
      </c>
      <c r="AP14" s="137">
        <v>1</v>
      </c>
      <c r="AQ14" s="137">
        <v>1</v>
      </c>
      <c r="AR14" s="137">
        <v>1</v>
      </c>
      <c r="AS14" s="139">
        <v>0.0872182100128262</v>
      </c>
      <c r="AT14" s="141">
        <v>0.121212121212121</v>
      </c>
      <c r="AU14" s="141">
        <v>0.0454545454545455</v>
      </c>
      <c r="AV14" s="141">
        <v>0.0588235294117647</v>
      </c>
      <c r="AW14" s="141">
        <v>0.0624219725343321</v>
      </c>
      <c r="AX14" s="95"/>
      <c r="AY14" s="93"/>
    </row>
    <row r="15" ht="14.5" spans="1:60">
      <c r="A15" s="91"/>
      <c r="B15" s="95"/>
      <c r="C15" s="128" t="s">
        <v>24</v>
      </c>
      <c r="D15" s="129" t="s">
        <v>25</v>
      </c>
      <c r="E15" s="130" t="s">
        <v>26</v>
      </c>
      <c r="F15" s="142" t="s">
        <v>33</v>
      </c>
      <c r="G15" s="142" t="s">
        <v>33</v>
      </c>
      <c r="H15" s="142" t="s">
        <v>33</v>
      </c>
      <c r="I15" s="142" t="s">
        <v>33</v>
      </c>
      <c r="J15" s="132">
        <v>0.9</v>
      </c>
      <c r="K15" s="133">
        <v>0.981132075471698</v>
      </c>
      <c r="L15" s="133">
        <v>0.983333333333333</v>
      </c>
      <c r="M15" s="134">
        <v>1</v>
      </c>
      <c r="N15" s="133">
        <v>0.988003838771593</v>
      </c>
      <c r="O15" s="135">
        <v>0.9</v>
      </c>
      <c r="P15" s="133">
        <v>0.989859080732253</v>
      </c>
      <c r="Q15" s="133">
        <v>0.990091605907646</v>
      </c>
      <c r="R15" s="133">
        <v>0.991229724632214</v>
      </c>
      <c r="S15" s="133">
        <v>0.959234030912324</v>
      </c>
      <c r="T15" s="135">
        <v>0.9</v>
      </c>
      <c r="U15" s="133">
        <v>0.919004346108258</v>
      </c>
      <c r="V15" s="133">
        <v>0.926247896803141</v>
      </c>
      <c r="W15" s="133">
        <v>0.945020746887967</v>
      </c>
      <c r="X15" s="133">
        <v>0.916531254274381</v>
      </c>
      <c r="Y15" s="135">
        <v>0.92</v>
      </c>
      <c r="Z15" s="135">
        <v>0.945657826313053</v>
      </c>
      <c r="AA15" s="135">
        <v>0.956859504132231</v>
      </c>
      <c r="AB15" s="135">
        <v>0.965970149253731</v>
      </c>
      <c r="AC15" s="135">
        <v>0.964508637584066</v>
      </c>
      <c r="AD15" s="135">
        <v>0.92</v>
      </c>
      <c r="AE15" s="133">
        <v>0.999103510102752</v>
      </c>
      <c r="AF15" s="133">
        <v>0.995836473924123</v>
      </c>
      <c r="AG15" s="133">
        <v>0.9967848397743</v>
      </c>
      <c r="AH15" s="133">
        <v>0.996575595037563</v>
      </c>
      <c r="AI15" s="135">
        <v>0.92</v>
      </c>
      <c r="AJ15" s="133">
        <v>0.956240719713512</v>
      </c>
      <c r="AK15" s="133">
        <v>0.967878679324139</v>
      </c>
      <c r="AL15" s="133">
        <v>0.976715969493876</v>
      </c>
      <c r="AM15" s="133">
        <v>0.976980590033516</v>
      </c>
      <c r="AN15" s="132">
        <v>0.99</v>
      </c>
      <c r="AO15" s="137">
        <v>1</v>
      </c>
      <c r="AP15" s="137">
        <v>1</v>
      </c>
      <c r="AQ15" s="137">
        <v>1</v>
      </c>
      <c r="AR15" s="137">
        <v>1</v>
      </c>
      <c r="AS15" s="139">
        <v>0.0872182100128262</v>
      </c>
      <c r="AT15" s="141">
        <v>0.0135135135135135</v>
      </c>
      <c r="AU15" s="141">
        <v>0.0124223602484472</v>
      </c>
      <c r="AV15" s="141">
        <v>0.0149253731343284</v>
      </c>
      <c r="AW15" s="141">
        <v>0.0195702225633154</v>
      </c>
      <c r="AX15" s="95"/>
      <c r="AY15" s="93"/>
    </row>
    <row r="16" ht="14.5" spans="1:60">
      <c r="A16" s="91"/>
      <c r="B16" s="95"/>
      <c r="C16" s="128" t="s">
        <v>24</v>
      </c>
      <c r="D16" s="129" t="s">
        <v>25</v>
      </c>
      <c r="E16" s="130" t="s">
        <v>26</v>
      </c>
      <c r="F16" s="142" t="s">
        <v>34</v>
      </c>
      <c r="G16" s="142" t="s">
        <v>34</v>
      </c>
      <c r="H16" s="142" t="s">
        <v>34</v>
      </c>
      <c r="I16" s="142" t="s">
        <v>34</v>
      </c>
      <c r="J16" s="132">
        <v>0.9</v>
      </c>
      <c r="K16" s="133">
        <v>0.857142857142857</v>
      </c>
      <c r="L16" s="133">
        <v>0.96551724137931</v>
      </c>
      <c r="M16" s="134">
        <v>1</v>
      </c>
      <c r="N16" s="133">
        <v>0.957446808510638</v>
      </c>
      <c r="O16" s="135">
        <v>0.9</v>
      </c>
      <c r="P16" s="133">
        <v>0.962625934351641</v>
      </c>
      <c r="Q16" s="133">
        <v>0.968164236834276</v>
      </c>
      <c r="R16" s="133">
        <v>0.974275656647712</v>
      </c>
      <c r="S16" s="133">
        <v>0.984011354503326</v>
      </c>
      <c r="T16" s="135">
        <v>0.9</v>
      </c>
      <c r="U16" s="133">
        <v>0.938251543711407</v>
      </c>
      <c r="V16" s="133">
        <v>0.946146980065457</v>
      </c>
      <c r="W16" s="133">
        <v>0.95450852965069</v>
      </c>
      <c r="X16" s="133">
        <v>0.980232220113203</v>
      </c>
      <c r="Y16" s="135">
        <v>0.92</v>
      </c>
      <c r="Z16" s="135" t="s">
        <v>35</v>
      </c>
      <c r="AA16" s="135" t="s">
        <v>35</v>
      </c>
      <c r="AB16" s="135">
        <v>0</v>
      </c>
      <c r="AC16" s="135">
        <v>0</v>
      </c>
      <c r="AD16" s="135">
        <v>0.92</v>
      </c>
      <c r="AE16" s="133">
        <v>0.25</v>
      </c>
      <c r="AF16" s="133">
        <v>0</v>
      </c>
      <c r="AG16" s="133">
        <v>0.8</v>
      </c>
      <c r="AH16" s="133">
        <v>0.388489208633094</v>
      </c>
      <c r="AI16" s="135">
        <v>0.92</v>
      </c>
      <c r="AJ16" s="133">
        <v>0.972375690607735</v>
      </c>
      <c r="AK16" s="133">
        <v>0.992264207081226</v>
      </c>
      <c r="AL16" s="133">
        <v>0.971575527883054</v>
      </c>
      <c r="AM16" s="133">
        <v>0.992629958960328</v>
      </c>
      <c r="AN16" s="132">
        <v>0.99</v>
      </c>
      <c r="AO16" s="137">
        <v>1</v>
      </c>
      <c r="AP16" s="137">
        <v>1</v>
      </c>
      <c r="AQ16" s="137">
        <v>1</v>
      </c>
      <c r="AR16" s="137">
        <v>1</v>
      </c>
      <c r="AS16" s="139">
        <v>0.0872182100128262</v>
      </c>
      <c r="AT16" s="141">
        <v>0.285714285714286</v>
      </c>
      <c r="AU16" s="141">
        <v>0.0625</v>
      </c>
      <c r="AV16" s="141">
        <v>0.125</v>
      </c>
      <c r="AW16" s="141">
        <v>0.09375</v>
      </c>
      <c r="AX16" s="95"/>
      <c r="AY16" s="93"/>
    </row>
    <row r="17" ht="14.5" spans="1:51">
      <c r="A17" s="91"/>
      <c r="B17" s="95"/>
      <c r="C17" s="128" t="s">
        <v>24</v>
      </c>
      <c r="D17" s="129" t="s">
        <v>25</v>
      </c>
      <c r="E17" s="130" t="s">
        <v>26</v>
      </c>
      <c r="F17" s="142" t="s">
        <v>36</v>
      </c>
      <c r="G17" s="142" t="s">
        <v>36</v>
      </c>
      <c r="H17" s="142" t="s">
        <v>36</v>
      </c>
      <c r="I17" s="142" t="s">
        <v>36</v>
      </c>
      <c r="J17" s="132">
        <v>0.9</v>
      </c>
      <c r="K17" s="133">
        <v>0.814285714285714</v>
      </c>
      <c r="L17" s="133">
        <v>0.710843373493976</v>
      </c>
      <c r="M17" s="134">
        <v>0.75</v>
      </c>
      <c r="N17" s="133">
        <v>0.81048141377209</v>
      </c>
      <c r="O17" s="135">
        <v>0.9</v>
      </c>
      <c r="P17" s="133">
        <v>0.987657495500129</v>
      </c>
      <c r="Q17" s="133">
        <v>0.992912827781715</v>
      </c>
      <c r="R17" s="133">
        <v>0.992385366661149</v>
      </c>
      <c r="S17" s="133">
        <v>0.985773452609083</v>
      </c>
      <c r="T17" s="135">
        <v>0.9</v>
      </c>
      <c r="U17" s="133">
        <v>0.556184109025456</v>
      </c>
      <c r="V17" s="133">
        <v>0.467221828490432</v>
      </c>
      <c r="W17" s="133">
        <v>0.735970865750703</v>
      </c>
      <c r="X17" s="133">
        <v>0.671226344280681</v>
      </c>
      <c r="Y17" s="135">
        <v>0.92</v>
      </c>
      <c r="Z17" s="135">
        <v>0.613142554319025</v>
      </c>
      <c r="AA17" s="135">
        <v>0.637949836423119</v>
      </c>
      <c r="AB17" s="135">
        <v>0.878904372897645</v>
      </c>
      <c r="AC17" s="135">
        <v>0.834886418433708</v>
      </c>
      <c r="AD17" s="135">
        <v>0.92</v>
      </c>
      <c r="AE17" s="133">
        <v>0.999646892655367</v>
      </c>
      <c r="AF17" s="133">
        <v>0.994725738396624</v>
      </c>
      <c r="AG17" s="133">
        <v>0.997029114676173</v>
      </c>
      <c r="AH17" s="133">
        <v>0.855322738719962</v>
      </c>
      <c r="AI17" s="135">
        <v>0.92</v>
      </c>
      <c r="AJ17" s="133">
        <v>0.666897147796024</v>
      </c>
      <c r="AK17" s="133">
        <v>0.690506872852234</v>
      </c>
      <c r="AL17" s="133">
        <v>0.908182263596276</v>
      </c>
      <c r="AM17" s="133">
        <v>0.874609206412699</v>
      </c>
      <c r="AN17" s="132">
        <v>0.99</v>
      </c>
      <c r="AO17" s="137">
        <v>1</v>
      </c>
      <c r="AP17" s="137">
        <v>1</v>
      </c>
      <c r="AQ17" s="137">
        <v>1</v>
      </c>
      <c r="AR17" s="137">
        <v>1</v>
      </c>
      <c r="AS17" s="139">
        <v>0.0872182100128262</v>
      </c>
      <c r="AT17" s="141">
        <v>0.0714285714285714</v>
      </c>
      <c r="AU17" s="141">
        <v>0.0930232558139535</v>
      </c>
      <c r="AV17" s="141">
        <v>0.102040816326531</v>
      </c>
      <c r="AW17" s="141">
        <v>0.0751322751322751</v>
      </c>
      <c r="AX17" s="95"/>
      <c r="AY17" s="93"/>
    </row>
    <row r="18" ht="14.5" spans="1:51">
      <c r="A18" s="91"/>
      <c r="B18" s="95"/>
      <c r="C18" s="128" t="s">
        <v>24</v>
      </c>
      <c r="D18" s="129" t="s">
        <v>25</v>
      </c>
      <c r="E18" s="130" t="s">
        <v>26</v>
      </c>
      <c r="F18" s="142" t="s">
        <v>37</v>
      </c>
      <c r="G18" s="142" t="s">
        <v>37</v>
      </c>
      <c r="H18" s="142" t="s">
        <v>37</v>
      </c>
      <c r="I18" s="142" t="s">
        <v>37</v>
      </c>
      <c r="J18" s="132">
        <v>0.9</v>
      </c>
      <c r="K18" s="133">
        <v>0.95959595959596</v>
      </c>
      <c r="L18" s="133">
        <v>0.96078431372549</v>
      </c>
      <c r="M18" s="134">
        <v>0.991071428571429</v>
      </c>
      <c r="N18" s="133">
        <v>0.975025484199796</v>
      </c>
      <c r="O18" s="135">
        <v>0.9</v>
      </c>
      <c r="P18" s="133">
        <v>0.98879775955191</v>
      </c>
      <c r="Q18" s="133">
        <v>0.989448377187124</v>
      </c>
      <c r="R18" s="133">
        <v>0.986772143690831</v>
      </c>
      <c r="S18" s="133">
        <v>0.982303936054939</v>
      </c>
      <c r="T18" s="135">
        <v>0.9</v>
      </c>
      <c r="U18" s="133">
        <v>0.7125425085017</v>
      </c>
      <c r="V18" s="133">
        <v>0.759716842527047</v>
      </c>
      <c r="W18" s="133">
        <v>0.833354947477629</v>
      </c>
      <c r="X18" s="133">
        <v>0.843416219867438</v>
      </c>
      <c r="Y18" s="135">
        <v>0.92</v>
      </c>
      <c r="Z18" s="135">
        <v>0.73143619386394</v>
      </c>
      <c r="AA18" s="135">
        <v>0.843330134357006</v>
      </c>
      <c r="AB18" s="135">
        <v>0.893230708506019</v>
      </c>
      <c r="AC18" s="135">
        <v>0.91945195915874</v>
      </c>
      <c r="AD18" s="135">
        <v>0.92</v>
      </c>
      <c r="AE18" s="133">
        <v>0.96684350132626</v>
      </c>
      <c r="AF18" s="133">
        <v>0.98013698630137</v>
      </c>
      <c r="AG18" s="133">
        <v>0.92563978754225</v>
      </c>
      <c r="AH18" s="133">
        <v>0.973391187825033</v>
      </c>
      <c r="AI18" s="135">
        <v>0.92</v>
      </c>
      <c r="AJ18" s="133">
        <v>0.794068965517241</v>
      </c>
      <c r="AK18" s="133">
        <v>0.875343170899108</v>
      </c>
      <c r="AL18" s="133">
        <v>0.915238318854191</v>
      </c>
      <c r="AM18" s="133">
        <v>0.939032213915453</v>
      </c>
      <c r="AN18" s="132">
        <v>0.99</v>
      </c>
      <c r="AO18" s="137">
        <v>1</v>
      </c>
      <c r="AP18" s="137">
        <v>1</v>
      </c>
      <c r="AQ18" s="137">
        <v>1</v>
      </c>
      <c r="AR18" s="137">
        <v>1</v>
      </c>
      <c r="AS18" s="139">
        <v>0.0872182100128262</v>
      </c>
      <c r="AT18" s="141">
        <v>0.0344827586206897</v>
      </c>
      <c r="AU18" s="141">
        <v>0.0540540540540541</v>
      </c>
      <c r="AV18" s="141">
        <v>0.125</v>
      </c>
      <c r="AW18" s="141">
        <v>0.0547945205479452</v>
      </c>
      <c r="AX18" s="95"/>
      <c r="AY18" s="93"/>
    </row>
    <row r="19" ht="14.5" spans="1:51">
      <c r="A19" s="91"/>
      <c r="B19" s="95"/>
      <c r="C19" s="128" t="s">
        <v>24</v>
      </c>
      <c r="D19" s="129" t="s">
        <v>25</v>
      </c>
      <c r="E19" s="130" t="s">
        <v>26</v>
      </c>
      <c r="F19" s="142" t="s">
        <v>38</v>
      </c>
      <c r="G19" s="142" t="s">
        <v>38</v>
      </c>
      <c r="H19" s="142" t="s">
        <v>38</v>
      </c>
      <c r="I19" s="142" t="s">
        <v>38</v>
      </c>
      <c r="J19" s="132">
        <v>0.9</v>
      </c>
      <c r="K19" s="133">
        <v>0.777777777777778</v>
      </c>
      <c r="L19" s="133">
        <v>0.454545454545455</v>
      </c>
      <c r="M19" s="134">
        <v>0.705882352941177</v>
      </c>
      <c r="N19" s="133">
        <v>0.815699658703072</v>
      </c>
      <c r="O19" s="135">
        <v>0.9</v>
      </c>
      <c r="P19" s="133">
        <v>0.7</v>
      </c>
      <c r="Q19" s="133">
        <v>0.284142988084326</v>
      </c>
      <c r="R19" s="133">
        <v>0.953645833333333</v>
      </c>
      <c r="S19" s="133">
        <v>0.865574560346904</v>
      </c>
      <c r="T19" s="135">
        <v>0.9</v>
      </c>
      <c r="U19" s="133">
        <v>0.588157894736842</v>
      </c>
      <c r="V19" s="133">
        <v>0.450045829514207</v>
      </c>
      <c r="W19" s="133">
        <v>0.694270833333333</v>
      </c>
      <c r="X19" s="133">
        <v>0.655384244760299</v>
      </c>
      <c r="Y19" s="135">
        <v>0.92</v>
      </c>
      <c r="Z19" s="135">
        <v>0.966244725738397</v>
      </c>
      <c r="AA19" s="135">
        <v>0.781132075471698</v>
      </c>
      <c r="AB19" s="135">
        <v>0.929642445213379</v>
      </c>
      <c r="AC19" s="135">
        <v>0.832439531574915</v>
      </c>
      <c r="AD19" s="135">
        <v>0.92</v>
      </c>
      <c r="AE19" s="133">
        <v>0.999032414126754</v>
      </c>
      <c r="AF19" s="133">
        <v>0.997121842021107</v>
      </c>
      <c r="AG19" s="133">
        <v>0.997311249731125</v>
      </c>
      <c r="AH19" s="133">
        <v>0.988087764923923</v>
      </c>
      <c r="AI19" s="135">
        <v>0.92</v>
      </c>
      <c r="AJ19" s="133">
        <v>0.949849548645938</v>
      </c>
      <c r="AK19" s="133">
        <v>0.80814312152992</v>
      </c>
      <c r="AL19" s="133">
        <v>0.949049156799426</v>
      </c>
      <c r="AM19" s="133">
        <v>0.881283505555124</v>
      </c>
      <c r="AN19" s="132">
        <v>0.99</v>
      </c>
      <c r="AO19" s="137">
        <v>1</v>
      </c>
      <c r="AP19" s="137">
        <v>1</v>
      </c>
      <c r="AQ19" s="137">
        <v>1</v>
      </c>
      <c r="AR19" s="137">
        <v>1</v>
      </c>
      <c r="AS19" s="139">
        <v>0.0872182100128262</v>
      </c>
      <c r="AT19" s="141">
        <v>0.25</v>
      </c>
      <c r="AU19" s="141">
        <v>0</v>
      </c>
      <c r="AV19" s="141">
        <v>0</v>
      </c>
      <c r="AW19" s="141">
        <v>0.0738255033557047</v>
      </c>
      <c r="AX19" s="95"/>
      <c r="AY19" s="93"/>
    </row>
    <row r="20" ht="14.5" spans="1:51">
      <c r="A20" s="91"/>
      <c r="B20" s="95"/>
      <c r="C20" s="128" t="s">
        <v>24</v>
      </c>
      <c r="D20" s="129" t="s">
        <v>25</v>
      </c>
      <c r="E20" s="130" t="s">
        <v>26</v>
      </c>
      <c r="F20" s="142" t="s">
        <v>39</v>
      </c>
      <c r="G20" s="142" t="s">
        <v>39</v>
      </c>
      <c r="H20" s="142" t="s">
        <v>39</v>
      </c>
      <c r="I20" s="142" t="s">
        <v>39</v>
      </c>
      <c r="J20" s="132">
        <v>0.9</v>
      </c>
      <c r="K20" s="133">
        <v>0.919191919191919</v>
      </c>
      <c r="L20" s="133">
        <v>0.889830508474576</v>
      </c>
      <c r="M20" s="134">
        <v>0.890625</v>
      </c>
      <c r="N20" s="133">
        <v>0.894937917860554</v>
      </c>
      <c r="O20" s="135">
        <v>0.9</v>
      </c>
      <c r="P20" s="133">
        <v>0.997746478873239</v>
      </c>
      <c r="Q20" s="133">
        <v>0.985014409221902</v>
      </c>
      <c r="R20" s="133">
        <v>0.792047036979731</v>
      </c>
      <c r="S20" s="133">
        <v>0.946534239206232</v>
      </c>
      <c r="T20" s="135">
        <v>0.9</v>
      </c>
      <c r="U20" s="133">
        <v>0.787323943661972</v>
      </c>
      <c r="V20" s="133">
        <v>0.795196926032661</v>
      </c>
      <c r="W20" s="133">
        <v>0.895095157047811</v>
      </c>
      <c r="X20" s="133">
        <v>0.826273634715387</v>
      </c>
      <c r="Y20" s="135">
        <v>0.92</v>
      </c>
      <c r="Z20" s="135">
        <v>0.853699551569507</v>
      </c>
      <c r="AA20" s="135">
        <v>0.854045801526718</v>
      </c>
      <c r="AB20" s="135">
        <v>0.931904503526858</v>
      </c>
      <c r="AC20" s="135">
        <v>0.932435022334921</v>
      </c>
      <c r="AD20" s="135">
        <v>0.92</v>
      </c>
      <c r="AE20" s="133">
        <v>0.994350282485876</v>
      </c>
      <c r="AF20" s="133">
        <v>0.997784342688331</v>
      </c>
      <c r="AG20" s="133">
        <v>0.994328922495274</v>
      </c>
      <c r="AH20" s="133">
        <v>0.993780020042158</v>
      </c>
      <c r="AI20" s="135">
        <v>0.92</v>
      </c>
      <c r="AJ20" s="133">
        <v>0.890013115982762</v>
      </c>
      <c r="AK20" s="133">
        <v>0.899528301886792</v>
      </c>
      <c r="AL20" s="133">
        <v>0.957232952305873</v>
      </c>
      <c r="AM20" s="133">
        <v>0.953837557658472</v>
      </c>
      <c r="AN20" s="132">
        <v>0.99</v>
      </c>
      <c r="AO20" s="137">
        <v>1</v>
      </c>
      <c r="AP20" s="137">
        <v>1</v>
      </c>
      <c r="AQ20" s="137">
        <v>1</v>
      </c>
      <c r="AR20" s="137">
        <v>1</v>
      </c>
      <c r="AS20" s="139">
        <v>0.0872182100128262</v>
      </c>
      <c r="AT20" s="141">
        <v>0.133333333333333</v>
      </c>
      <c r="AU20" s="141">
        <v>0.04</v>
      </c>
      <c r="AV20" s="141">
        <v>0.0408163265306122</v>
      </c>
      <c r="AW20" s="141">
        <v>0.0568627450980392</v>
      </c>
      <c r="AX20" s="95"/>
      <c r="AY20" s="93"/>
    </row>
    <row r="21" ht="14.5" spans="1:51">
      <c r="A21" s="91"/>
      <c r="B21" s="95"/>
      <c r="C21" s="128" t="s">
        <v>24</v>
      </c>
      <c r="D21" s="129" t="s">
        <v>25</v>
      </c>
      <c r="E21" s="130" t="s">
        <v>26</v>
      </c>
      <c r="F21" s="142" t="s">
        <v>40</v>
      </c>
      <c r="G21" s="142" t="s">
        <v>40</v>
      </c>
      <c r="H21" s="142" t="s">
        <v>40</v>
      </c>
      <c r="I21" s="142" t="s">
        <v>40</v>
      </c>
      <c r="J21" s="132">
        <v>0.9</v>
      </c>
      <c r="K21" s="133">
        <v>1</v>
      </c>
      <c r="L21" s="133">
        <v>0.823529411764706</v>
      </c>
      <c r="M21" s="134">
        <v>1</v>
      </c>
      <c r="N21" s="133">
        <v>0.914754098360656</v>
      </c>
      <c r="O21" s="135">
        <v>0.9</v>
      </c>
      <c r="P21" s="133">
        <v>0.992167101827676</v>
      </c>
      <c r="Q21" s="133">
        <v>0.993029150823828</v>
      </c>
      <c r="R21" s="133">
        <v>0.997212543554007</v>
      </c>
      <c r="S21" s="133">
        <v>0.981138963251399</v>
      </c>
      <c r="T21" s="135">
        <v>0.9</v>
      </c>
      <c r="U21" s="133">
        <v>0.526544821583986</v>
      </c>
      <c r="V21" s="133">
        <v>0.8808618504436</v>
      </c>
      <c r="W21" s="133">
        <v>0.926132404181185</v>
      </c>
      <c r="X21" s="133">
        <v>0.864768394581001</v>
      </c>
      <c r="Y21" s="135">
        <v>0.92</v>
      </c>
      <c r="Z21" s="135">
        <v>0.54679802955665</v>
      </c>
      <c r="AA21" s="135">
        <v>0.864197530864197</v>
      </c>
      <c r="AB21" s="135">
        <v>0.94234592445328</v>
      </c>
      <c r="AC21" s="135">
        <v>0.921223999494215</v>
      </c>
      <c r="AD21" s="135">
        <v>0.92</v>
      </c>
      <c r="AE21" s="133">
        <v>0.999657005659407</v>
      </c>
      <c r="AF21" s="133">
        <v>0.995778971603991</v>
      </c>
      <c r="AG21" s="133">
        <v>0.98718910136233</v>
      </c>
      <c r="AH21" s="133">
        <v>0.975119777508698</v>
      </c>
      <c r="AI21" s="135">
        <v>0.92</v>
      </c>
      <c r="AJ21" s="133">
        <v>0.573052870949403</v>
      </c>
      <c r="AK21" s="133">
        <v>0.913325232887809</v>
      </c>
      <c r="AL21" s="133">
        <v>0.964782964782965</v>
      </c>
      <c r="AM21" s="133">
        <v>0.940219671726521</v>
      </c>
      <c r="AN21" s="132">
        <v>0.99</v>
      </c>
      <c r="AO21" s="137">
        <v>1</v>
      </c>
      <c r="AP21" s="137">
        <v>1</v>
      </c>
      <c r="AQ21" s="137">
        <v>1</v>
      </c>
      <c r="AR21" s="137">
        <v>1</v>
      </c>
      <c r="AS21" s="139">
        <v>0.0872182100128262</v>
      </c>
      <c r="AT21" s="141">
        <v>0</v>
      </c>
      <c r="AU21" s="141">
        <v>0</v>
      </c>
      <c r="AV21" s="141">
        <v>0</v>
      </c>
      <c r="AW21" s="141">
        <v>0.056</v>
      </c>
      <c r="AX21" s="95"/>
      <c r="AY21" s="93"/>
    </row>
    <row r="22" ht="14.5" spans="1:51">
      <c r="A22" s="91"/>
      <c r="B22" s="95"/>
      <c r="C22" s="128" t="s">
        <v>24</v>
      </c>
      <c r="D22" s="129" t="s">
        <v>25</v>
      </c>
      <c r="E22" s="130" t="s">
        <v>26</v>
      </c>
      <c r="F22" s="142" t="s">
        <v>41</v>
      </c>
      <c r="G22" s="142" t="s">
        <v>41</v>
      </c>
      <c r="H22" s="142" t="s">
        <v>41</v>
      </c>
      <c r="I22" s="142" t="s">
        <v>41</v>
      </c>
      <c r="J22" s="132">
        <v>0.9</v>
      </c>
      <c r="K22" s="133">
        <v>0.875</v>
      </c>
      <c r="L22" s="133">
        <v>0.880952380952381</v>
      </c>
      <c r="M22" s="134">
        <v>0.958333333333333</v>
      </c>
      <c r="N22" s="133">
        <v>0.906976744186046</v>
      </c>
      <c r="O22" s="135">
        <v>0.9</v>
      </c>
      <c r="P22" s="133">
        <v>0.887819760619573</v>
      </c>
      <c r="Q22" s="133">
        <v>0.988035415171094</v>
      </c>
      <c r="R22" s="133">
        <v>0.829604438875962</v>
      </c>
      <c r="S22" s="133">
        <v>0.949334804733002</v>
      </c>
      <c r="T22" s="135">
        <v>0.9</v>
      </c>
      <c r="U22" s="133">
        <v>0.664867402018306</v>
      </c>
      <c r="V22" s="133">
        <v>0.804498683895669</v>
      </c>
      <c r="W22" s="133">
        <v>0.872561303024879</v>
      </c>
      <c r="X22" s="133">
        <v>0.780773710992582</v>
      </c>
      <c r="Y22" s="135">
        <v>0.92</v>
      </c>
      <c r="Z22" s="135">
        <v>0.878208629164391</v>
      </c>
      <c r="AA22" s="135">
        <v>0.984372876749558</v>
      </c>
      <c r="AB22" s="135">
        <v>0.953381483913329</v>
      </c>
      <c r="AC22" s="135">
        <v>0.964133864963435</v>
      </c>
      <c r="AD22" s="135">
        <v>0.92</v>
      </c>
      <c r="AE22" s="133">
        <v>0.998627989023912</v>
      </c>
      <c r="AF22" s="133">
        <v>0.998251667816885</v>
      </c>
      <c r="AG22" s="133">
        <v>0.98281246275239</v>
      </c>
      <c r="AH22" s="133">
        <v>0.984518588978815</v>
      </c>
      <c r="AI22" s="135">
        <v>0.92</v>
      </c>
      <c r="AJ22" s="133">
        <v>0.794749794913864</v>
      </c>
      <c r="AK22" s="133">
        <v>0.979807608978248</v>
      </c>
      <c r="AL22" s="133">
        <v>0.969423210562891</v>
      </c>
      <c r="AM22" s="133">
        <v>0.969531598513011</v>
      </c>
      <c r="AN22" s="132">
        <v>0.99</v>
      </c>
      <c r="AO22" s="137">
        <v>1</v>
      </c>
      <c r="AP22" s="137">
        <v>1</v>
      </c>
      <c r="AQ22" s="137">
        <v>1</v>
      </c>
      <c r="AR22" s="137">
        <v>1</v>
      </c>
      <c r="AS22" s="139">
        <v>0.0872182100128262</v>
      </c>
      <c r="AT22" s="141">
        <v>0.136363636363636</v>
      </c>
      <c r="AU22" s="141">
        <v>0.176470588235294</v>
      </c>
      <c r="AV22" s="141">
        <v>0.0625</v>
      </c>
      <c r="AW22" s="141">
        <v>0.0945558739255014</v>
      </c>
      <c r="AX22" s="95"/>
      <c r="AY22" s="93"/>
    </row>
    <row r="23" ht="14.5" spans="1:51">
      <c r="A23" s="91"/>
      <c r="B23" s="95"/>
      <c r="C23" s="128" t="s">
        <v>24</v>
      </c>
      <c r="D23" s="129" t="s">
        <v>25</v>
      </c>
      <c r="E23" s="130" t="s">
        <v>26</v>
      </c>
      <c r="F23" s="142" t="s">
        <v>42</v>
      </c>
      <c r="G23" s="142" t="s">
        <v>42</v>
      </c>
      <c r="H23" s="142" t="s">
        <v>42</v>
      </c>
      <c r="I23" s="142" t="s">
        <v>42</v>
      </c>
      <c r="J23" s="132">
        <v>0.9</v>
      </c>
      <c r="K23" s="133">
        <v>0.745614035087719</v>
      </c>
      <c r="L23" s="133">
        <v>0.768</v>
      </c>
      <c r="M23" s="134">
        <v>0.781954887218045</v>
      </c>
      <c r="N23" s="133">
        <v>0.823064113238968</v>
      </c>
      <c r="O23" s="135">
        <v>0.9</v>
      </c>
      <c r="P23" s="133">
        <v>0.881594372801876</v>
      </c>
      <c r="Q23" s="133">
        <v>0.843803056027165</v>
      </c>
      <c r="R23" s="133">
        <v>0.935118637392931</v>
      </c>
      <c r="S23" s="133">
        <v>0.900940650482065</v>
      </c>
      <c r="T23" s="135">
        <v>0.9</v>
      </c>
      <c r="U23" s="133">
        <v>0.638270157613651</v>
      </c>
      <c r="V23" s="133">
        <v>0.702320316921336</v>
      </c>
      <c r="W23" s="133">
        <v>0.716156345377572</v>
      </c>
      <c r="X23" s="133">
        <v>0.654214339172247</v>
      </c>
      <c r="Y23" s="135">
        <v>0.92</v>
      </c>
      <c r="Z23" s="135">
        <v>0.923850574712644</v>
      </c>
      <c r="AA23" s="135">
        <v>0.948340294570235</v>
      </c>
      <c r="AB23" s="135">
        <v>0.944942142590519</v>
      </c>
      <c r="AC23" s="135">
        <v>0.958228107997126</v>
      </c>
      <c r="AD23" s="135">
        <v>0.92</v>
      </c>
      <c r="AE23" s="133">
        <v>0.575403496973773</v>
      </c>
      <c r="AF23" s="133">
        <v>0.900030712530713</v>
      </c>
      <c r="AG23" s="133">
        <v>0.756695684385997</v>
      </c>
      <c r="AH23" s="133">
        <v>0.772096780643871</v>
      </c>
      <c r="AI23" s="135">
        <v>0.92</v>
      </c>
      <c r="AJ23" s="133">
        <v>0.924950407758431</v>
      </c>
      <c r="AK23" s="133">
        <v>0.961393783409226</v>
      </c>
      <c r="AL23" s="133">
        <v>0.960363495746326</v>
      </c>
      <c r="AM23" s="133">
        <v>0.966858092891397</v>
      </c>
      <c r="AN23" s="132">
        <v>0.99</v>
      </c>
      <c r="AO23" s="137">
        <v>1</v>
      </c>
      <c r="AP23" s="137">
        <v>1</v>
      </c>
      <c r="AQ23" s="137">
        <v>1</v>
      </c>
      <c r="AR23" s="137">
        <v>0.996902281047592</v>
      </c>
      <c r="AS23" s="139">
        <v>0.0872182100128262</v>
      </c>
      <c r="AT23" s="141">
        <v>0.06</v>
      </c>
      <c r="AU23" s="141">
        <v>0.0533333333333333</v>
      </c>
      <c r="AV23" s="141">
        <v>0.0206185567010309</v>
      </c>
      <c r="AW23" s="141">
        <v>0.0475754803293687</v>
      </c>
      <c r="AX23" s="95"/>
      <c r="AY23" s="93"/>
    </row>
    <row r="24" ht="14.5" spans="1:51">
      <c r="A24" s="91"/>
      <c r="B24" s="95"/>
      <c r="C24" s="128" t="s">
        <v>24</v>
      </c>
      <c r="D24" s="129" t="s">
        <v>25</v>
      </c>
      <c r="E24" s="130" t="s">
        <v>26</v>
      </c>
      <c r="F24" s="142" t="s">
        <v>43</v>
      </c>
      <c r="G24" s="142" t="s">
        <v>43</v>
      </c>
      <c r="H24" s="142" t="s">
        <v>43</v>
      </c>
      <c r="I24" s="142" t="s">
        <v>43</v>
      </c>
      <c r="J24" s="132">
        <v>0.9</v>
      </c>
      <c r="K24" s="133">
        <v>0.843478260869565</v>
      </c>
      <c r="L24" s="133">
        <v>0.748091603053435</v>
      </c>
      <c r="M24" s="134">
        <v>0.863309352517986</v>
      </c>
      <c r="N24" s="133">
        <v>0.829672606713635</v>
      </c>
      <c r="O24" s="135">
        <v>0.9</v>
      </c>
      <c r="P24" s="133">
        <v>0.970211873295574</v>
      </c>
      <c r="Q24" s="133">
        <v>0.97996140715452</v>
      </c>
      <c r="R24" s="133">
        <v>0.983702153110048</v>
      </c>
      <c r="S24" s="133">
        <v>0.964212281189219</v>
      </c>
      <c r="T24" s="135">
        <v>0.9</v>
      </c>
      <c r="U24" s="133">
        <v>0.615481434864695</v>
      </c>
      <c r="V24" s="133">
        <v>0.635742912275494</v>
      </c>
      <c r="W24" s="133">
        <v>0.698265550239234</v>
      </c>
      <c r="X24" s="133">
        <v>0.683610526733616</v>
      </c>
      <c r="Y24" s="135">
        <v>0.92</v>
      </c>
      <c r="Z24" s="135">
        <v>0.816946080652469</v>
      </c>
      <c r="AA24" s="135">
        <v>0.73477361526086</v>
      </c>
      <c r="AB24" s="135">
        <v>0.873529978793137</v>
      </c>
      <c r="AC24" s="135">
        <v>0.892751454131093</v>
      </c>
      <c r="AD24" s="135">
        <v>0.92</v>
      </c>
      <c r="AE24" s="133">
        <v>0.9</v>
      </c>
      <c r="AF24" s="133">
        <v>0.333333333333333</v>
      </c>
      <c r="AG24" s="133">
        <v>0.774193548387097</v>
      </c>
      <c r="AH24" s="133">
        <v>0.774271844660194</v>
      </c>
      <c r="AI24" s="135">
        <v>0.92</v>
      </c>
      <c r="AJ24" s="133">
        <v>0.855934633027523</v>
      </c>
      <c r="AK24" s="133">
        <v>0.827651515151515</v>
      </c>
      <c r="AL24" s="133">
        <v>0.902484210526316</v>
      </c>
      <c r="AM24" s="133">
        <v>0.921725813906799</v>
      </c>
      <c r="AN24" s="132">
        <v>0.99</v>
      </c>
      <c r="AO24" s="137">
        <v>1</v>
      </c>
      <c r="AP24" s="137">
        <v>1</v>
      </c>
      <c r="AQ24" s="137">
        <v>1</v>
      </c>
      <c r="AR24" s="137">
        <v>1</v>
      </c>
      <c r="AS24" s="139">
        <v>0.0872182100128262</v>
      </c>
      <c r="AT24" s="141">
        <v>0.0597014925373134</v>
      </c>
      <c r="AU24" s="141">
        <v>0.0625</v>
      </c>
      <c r="AV24" s="141">
        <v>0.025974025974026</v>
      </c>
      <c r="AW24" s="141">
        <v>0.0645438898450947</v>
      </c>
      <c r="AX24" s="95"/>
      <c r="AY24" s="93"/>
    </row>
    <row r="25" ht="14.5" spans="1:51">
      <c r="A25" s="91"/>
      <c r="B25" s="95"/>
      <c r="C25" s="128" t="s">
        <v>24</v>
      </c>
      <c r="D25" s="129" t="s">
        <v>25</v>
      </c>
      <c r="E25" s="130" t="s">
        <v>26</v>
      </c>
      <c r="F25" s="142" t="s">
        <v>44</v>
      </c>
      <c r="G25" s="142" t="s">
        <v>44</v>
      </c>
      <c r="H25" s="142" t="s">
        <v>44</v>
      </c>
      <c r="I25" s="142" t="s">
        <v>44</v>
      </c>
      <c r="J25" s="132">
        <v>0.9</v>
      </c>
      <c r="K25" s="133">
        <v>0.948717948717949</v>
      </c>
      <c r="L25" s="133">
        <v>0.911111111111111</v>
      </c>
      <c r="M25" s="134">
        <v>0.959183673469388</v>
      </c>
      <c r="N25" s="133">
        <v>0.957270029673591</v>
      </c>
      <c r="O25" s="135">
        <v>0.9</v>
      </c>
      <c r="P25" s="133">
        <v>0.992167832167832</v>
      </c>
      <c r="Q25" s="133">
        <v>0.983487940630798</v>
      </c>
      <c r="R25" s="133">
        <v>0.983081680916864</v>
      </c>
      <c r="S25" s="133">
        <v>0.971735832034774</v>
      </c>
      <c r="T25" s="135">
        <v>0.9</v>
      </c>
      <c r="U25" s="133">
        <v>0.755524475524476</v>
      </c>
      <c r="V25" s="133">
        <v>0.741372912801484</v>
      </c>
      <c r="W25" s="133">
        <v>0.826086956521739</v>
      </c>
      <c r="X25" s="133">
        <v>0.793734109735094</v>
      </c>
      <c r="Y25" s="135">
        <v>0.92</v>
      </c>
      <c r="Z25" s="135">
        <v>0.846106683016554</v>
      </c>
      <c r="AA25" s="135">
        <v>0.88159111933395</v>
      </c>
      <c r="AB25" s="135">
        <v>0.901360544217687</v>
      </c>
      <c r="AC25" s="135">
        <v>0.914697674418605</v>
      </c>
      <c r="AD25" s="135">
        <v>0.92</v>
      </c>
      <c r="AE25" s="133">
        <v>0.989512855209743</v>
      </c>
      <c r="AF25" s="133">
        <v>0.976823238566131</v>
      </c>
      <c r="AG25" s="133">
        <v>0.998920355452205</v>
      </c>
      <c r="AH25" s="133">
        <v>0.990692181754744</v>
      </c>
      <c r="AI25" s="135">
        <v>0.92</v>
      </c>
      <c r="AJ25" s="133">
        <v>0.890147877856731</v>
      </c>
      <c r="AK25" s="133">
        <v>0.911975909196201</v>
      </c>
      <c r="AL25" s="133">
        <v>0.935180055401662</v>
      </c>
      <c r="AM25" s="133">
        <v>0.941513683625929</v>
      </c>
      <c r="AN25" s="132">
        <v>0.99</v>
      </c>
      <c r="AO25" s="137">
        <v>1</v>
      </c>
      <c r="AP25" s="137">
        <v>1</v>
      </c>
      <c r="AQ25" s="137">
        <v>1</v>
      </c>
      <c r="AR25" s="137">
        <v>1</v>
      </c>
      <c r="AS25" s="139">
        <v>0.0872182100128262</v>
      </c>
      <c r="AT25" s="141">
        <v>0.0806451612903226</v>
      </c>
      <c r="AU25" s="141">
        <v>0.0461538461538462</v>
      </c>
      <c r="AV25" s="141">
        <v>0.0333333333333333</v>
      </c>
      <c r="AW25" s="141">
        <v>0.0614107883817427</v>
      </c>
      <c r="AX25" s="95"/>
      <c r="AY25" s="93"/>
    </row>
    <row r="26" ht="14.5" spans="1:51">
      <c r="A26" s="91"/>
      <c r="B26" s="95"/>
      <c r="C26" s="128" t="s">
        <v>24</v>
      </c>
      <c r="D26" s="129" t="s">
        <v>25</v>
      </c>
      <c r="E26" s="130" t="s">
        <v>26</v>
      </c>
      <c r="F26" s="142" t="s">
        <v>45</v>
      </c>
      <c r="G26" s="142" t="s">
        <v>45</v>
      </c>
      <c r="H26" s="142" t="s">
        <v>45</v>
      </c>
      <c r="I26" s="142" t="s">
        <v>45</v>
      </c>
      <c r="J26" s="132">
        <v>0.9</v>
      </c>
      <c r="K26" s="133">
        <v>0.932584269662921</v>
      </c>
      <c r="L26" s="133">
        <v>0.820224719101124</v>
      </c>
      <c r="M26" s="134">
        <v>0.866666666666667</v>
      </c>
      <c r="N26" s="133">
        <v>0.888387824126268</v>
      </c>
      <c r="O26" s="135">
        <v>0.9</v>
      </c>
      <c r="P26" s="133">
        <v>0.938661710037175</v>
      </c>
      <c r="Q26" s="133">
        <v>0.926102941176471</v>
      </c>
      <c r="R26" s="133">
        <v>0.941603124418821</v>
      </c>
      <c r="S26" s="133">
        <v>0.937626129038578</v>
      </c>
      <c r="T26" s="135">
        <v>0.9</v>
      </c>
      <c r="U26" s="133">
        <v>0.753850238980351</v>
      </c>
      <c r="V26" s="133">
        <v>0.639889705882353</v>
      </c>
      <c r="W26" s="133">
        <v>0.712479077552539</v>
      </c>
      <c r="X26" s="133">
        <v>0.674758517996042</v>
      </c>
      <c r="Y26" s="135">
        <v>0.92</v>
      </c>
      <c r="Z26" s="135">
        <v>0.883192731992213</v>
      </c>
      <c r="AA26" s="135">
        <v>0.772756827048114</v>
      </c>
      <c r="AB26" s="135">
        <v>0.87941901890929</v>
      </c>
      <c r="AC26" s="135">
        <v>0.909114346375493</v>
      </c>
      <c r="AD26" s="135">
        <v>0.92</v>
      </c>
      <c r="AE26" s="133">
        <v>0.978421052631579</v>
      </c>
      <c r="AF26" s="133">
        <v>0.995475113122172</v>
      </c>
      <c r="AG26" s="133">
        <v>0.998782343987823</v>
      </c>
      <c r="AH26" s="133">
        <v>0.990925366846872</v>
      </c>
      <c r="AI26" s="135">
        <v>0.92</v>
      </c>
      <c r="AJ26" s="133">
        <v>0.917514124293785</v>
      </c>
      <c r="AK26" s="133">
        <v>0.867676411882118</v>
      </c>
      <c r="AL26" s="133">
        <v>0.921005982716597</v>
      </c>
      <c r="AM26" s="133">
        <v>0.938648955859861</v>
      </c>
      <c r="AN26" s="132">
        <v>0.99</v>
      </c>
      <c r="AO26" s="137">
        <v>1</v>
      </c>
      <c r="AP26" s="137">
        <v>1</v>
      </c>
      <c r="AQ26" s="137">
        <v>1</v>
      </c>
      <c r="AR26" s="137">
        <v>1</v>
      </c>
      <c r="AS26" s="139">
        <v>0.0872182100128262</v>
      </c>
      <c r="AT26" s="141">
        <v>0.0307692307692308</v>
      </c>
      <c r="AU26" s="141">
        <v>0.0416666666666667</v>
      </c>
      <c r="AV26" s="141">
        <v>0.0169491525423729</v>
      </c>
      <c r="AW26" s="141">
        <v>0.0339721254355401</v>
      </c>
      <c r="AX26" s="95"/>
      <c r="AY26" s="93"/>
    </row>
    <row r="27" ht="14.5" spans="1:51">
      <c r="A27" s="91"/>
      <c r="B27" s="95"/>
      <c r="C27" s="128" t="s">
        <v>24</v>
      </c>
      <c r="D27" s="129" t="s">
        <v>25</v>
      </c>
      <c r="E27" s="130" t="s">
        <v>26</v>
      </c>
      <c r="F27" s="142" t="s">
        <v>46</v>
      </c>
      <c r="G27" s="142" t="s">
        <v>46</v>
      </c>
      <c r="H27" s="142" t="s">
        <v>46</v>
      </c>
      <c r="I27" s="142" t="s">
        <v>46</v>
      </c>
      <c r="J27" s="132">
        <v>0.9</v>
      </c>
      <c r="K27" s="133">
        <v>0.986111111111111</v>
      </c>
      <c r="L27" s="133">
        <v>0.945652173913043</v>
      </c>
      <c r="M27" s="134">
        <v>0.938144329896907</v>
      </c>
      <c r="N27" s="133">
        <v>0.950442477876106</v>
      </c>
      <c r="O27" s="135">
        <v>0.9</v>
      </c>
      <c r="P27" s="133">
        <v>0.96484233417905</v>
      </c>
      <c r="Q27" s="133">
        <v>0.9839719509141</v>
      </c>
      <c r="R27" s="133">
        <v>0.97691500524659</v>
      </c>
      <c r="S27" s="133">
        <v>0.940269550146157</v>
      </c>
      <c r="T27" s="135">
        <v>0.9</v>
      </c>
      <c r="U27" s="133">
        <v>0.822036969916636</v>
      </c>
      <c r="V27" s="133">
        <v>0.873027798647633</v>
      </c>
      <c r="W27" s="133">
        <v>0.89401888772298</v>
      </c>
      <c r="X27" s="133">
        <v>0.895232428796854</v>
      </c>
      <c r="Y27" s="135">
        <v>0.92</v>
      </c>
      <c r="Z27" s="135">
        <v>0.904878048780488</v>
      </c>
      <c r="AA27" s="135">
        <v>0.91451367781155</v>
      </c>
      <c r="AB27" s="135">
        <v>0.931536005675772</v>
      </c>
      <c r="AC27" s="135">
        <v>0.949735992686158</v>
      </c>
      <c r="AD27" s="135">
        <v>0.92</v>
      </c>
      <c r="AE27" s="133">
        <v>1</v>
      </c>
      <c r="AF27" s="133">
        <v>0</v>
      </c>
      <c r="AG27" s="133">
        <v>0.9375</v>
      </c>
      <c r="AH27" s="133">
        <v>0.895061728395062</v>
      </c>
      <c r="AI27" s="135">
        <v>0.92</v>
      </c>
      <c r="AJ27" s="133">
        <v>0.942384769539078</v>
      </c>
      <c r="AK27" s="133">
        <v>0.942490566037736</v>
      </c>
      <c r="AL27" s="133">
        <v>0.955820265379976</v>
      </c>
      <c r="AM27" s="133">
        <v>0.968240631826584</v>
      </c>
      <c r="AN27" s="132">
        <v>0.99</v>
      </c>
      <c r="AO27" s="137">
        <v>1</v>
      </c>
      <c r="AP27" s="137">
        <v>1</v>
      </c>
      <c r="AQ27" s="137">
        <v>1</v>
      </c>
      <c r="AR27" s="137">
        <v>1</v>
      </c>
      <c r="AS27" s="139">
        <v>0.0872182100128262</v>
      </c>
      <c r="AT27" s="141">
        <v>0.138888888888889</v>
      </c>
      <c r="AU27" s="141">
        <v>0</v>
      </c>
      <c r="AV27" s="141">
        <v>0.0512820512820513</v>
      </c>
      <c r="AW27" s="141">
        <v>0.0676392572944297</v>
      </c>
      <c r="AX27" s="95"/>
      <c r="AY27" s="93"/>
    </row>
    <row r="28" ht="14.5" spans="1:51">
      <c r="A28" s="91"/>
      <c r="B28" s="95"/>
      <c r="C28" s="128" t="s">
        <v>24</v>
      </c>
      <c r="D28" s="129" t="s">
        <v>25</v>
      </c>
      <c r="E28" s="130" t="s">
        <v>26</v>
      </c>
      <c r="F28" s="142" t="s">
        <v>47</v>
      </c>
      <c r="G28" s="142" t="s">
        <v>47</v>
      </c>
      <c r="H28" s="142" t="s">
        <v>47</v>
      </c>
      <c r="I28" s="142" t="s">
        <v>47</v>
      </c>
      <c r="J28" s="132">
        <v>0.9</v>
      </c>
      <c r="K28" s="133">
        <v>0.981481481481482</v>
      </c>
      <c r="L28" s="133">
        <v>0.981481481481482</v>
      </c>
      <c r="M28" s="134">
        <v>0.87037037037037</v>
      </c>
      <c r="N28" s="133">
        <v>0.96976241900648</v>
      </c>
      <c r="O28" s="135">
        <v>0.9</v>
      </c>
      <c r="P28" s="133">
        <v>0.974278215223097</v>
      </c>
      <c r="Q28" s="133">
        <v>0.985583684950774</v>
      </c>
      <c r="R28" s="133">
        <v>0.746426529445397</v>
      </c>
      <c r="S28" s="133">
        <v>0.969064163884126</v>
      </c>
      <c r="T28" s="135">
        <v>0.9</v>
      </c>
      <c r="U28" s="133">
        <v>0.888713910761155</v>
      </c>
      <c r="V28" s="133">
        <v>0.873417721518987</v>
      </c>
      <c r="W28" s="133">
        <v>0.941680960548885</v>
      </c>
      <c r="X28" s="133">
        <v>0.876689829437776</v>
      </c>
      <c r="Y28" s="135">
        <v>0.92</v>
      </c>
      <c r="Z28" s="135">
        <v>0.937078651685393</v>
      </c>
      <c r="AA28" s="135">
        <v>0.940337909186906</v>
      </c>
      <c r="AB28" s="135">
        <v>0.958413926499033</v>
      </c>
      <c r="AC28" s="135">
        <v>0.961176962038536</v>
      </c>
      <c r="AD28" s="135">
        <v>0.92</v>
      </c>
      <c r="AE28" s="133">
        <v>0.997604790419162</v>
      </c>
      <c r="AF28" s="133">
        <v>0.997489730716568</v>
      </c>
      <c r="AG28" s="133">
        <v>0.991402714932127</v>
      </c>
      <c r="AH28" s="133">
        <v>0.992419851072368</v>
      </c>
      <c r="AI28" s="135">
        <v>0.92</v>
      </c>
      <c r="AJ28" s="133">
        <v>0.954561717352415</v>
      </c>
      <c r="AK28" s="133">
        <v>0.953989024905023</v>
      </c>
      <c r="AL28" s="133">
        <v>0.975925260510241</v>
      </c>
      <c r="AM28" s="133">
        <v>0.973772660826513</v>
      </c>
      <c r="AN28" s="132">
        <v>0.99</v>
      </c>
      <c r="AO28" s="137">
        <v>1</v>
      </c>
      <c r="AP28" s="137">
        <v>1</v>
      </c>
      <c r="AQ28" s="137">
        <v>1</v>
      </c>
      <c r="AR28" s="137">
        <v>1</v>
      </c>
      <c r="AS28" s="139">
        <v>0.0872182100128262</v>
      </c>
      <c r="AT28" s="141">
        <v>0.0740740740740741</v>
      </c>
      <c r="AU28" s="141">
        <v>0</v>
      </c>
      <c r="AV28" s="141">
        <v>0.114285714285714</v>
      </c>
      <c r="AW28" s="141">
        <v>0.066427289048474</v>
      </c>
      <c r="AX28" s="95"/>
      <c r="AY28" s="93"/>
    </row>
    <row r="29" ht="14.5" spans="1:51">
      <c r="A29" s="91"/>
      <c r="B29" s="95"/>
      <c r="C29" s="128" t="s">
        <v>24</v>
      </c>
      <c r="D29" s="129" t="s">
        <v>25</v>
      </c>
      <c r="E29" s="130" t="s">
        <v>26</v>
      </c>
      <c r="F29" s="142" t="s">
        <v>48</v>
      </c>
      <c r="G29" s="142" t="s">
        <v>48</v>
      </c>
      <c r="H29" s="142" t="s">
        <v>48</v>
      </c>
      <c r="I29" s="142" t="s">
        <v>48</v>
      </c>
      <c r="J29" s="132">
        <v>0.9</v>
      </c>
      <c r="K29" s="133">
        <v>0.66</v>
      </c>
      <c r="L29" s="133">
        <v>0.807017543859649</v>
      </c>
      <c r="M29" s="134">
        <v>0.688524590163934</v>
      </c>
      <c r="N29" s="133">
        <v>0.845419847328244</v>
      </c>
      <c r="O29" s="135">
        <v>0.9</v>
      </c>
      <c r="P29" s="133">
        <v>0.954555580307418</v>
      </c>
      <c r="Q29" s="133">
        <v>0.977226000316306</v>
      </c>
      <c r="R29" s="133">
        <v>0.983800421189049</v>
      </c>
      <c r="S29" s="133">
        <v>0.988204201997939</v>
      </c>
      <c r="T29" s="135">
        <v>0.9</v>
      </c>
      <c r="U29" s="133">
        <v>0.856760971263088</v>
      </c>
      <c r="V29" s="133">
        <v>0.894512098687332</v>
      </c>
      <c r="W29" s="133">
        <v>0.912036287056536</v>
      </c>
      <c r="X29" s="133">
        <v>0.832409873368639</v>
      </c>
      <c r="Y29" s="135">
        <v>0.92</v>
      </c>
      <c r="Z29" s="135">
        <v>0.950372208436725</v>
      </c>
      <c r="AA29" s="135">
        <v>0.969430992736077</v>
      </c>
      <c r="AB29" s="135">
        <v>0.979591836734694</v>
      </c>
      <c r="AC29" s="135">
        <v>0.966973806812299</v>
      </c>
      <c r="AD29" s="135">
        <v>0.92</v>
      </c>
      <c r="AE29" s="133">
        <v>0.9906496248539</v>
      </c>
      <c r="AF29" s="133">
        <v>0.991322591473649</v>
      </c>
      <c r="AG29" s="133">
        <v>0.986131558172779</v>
      </c>
      <c r="AH29" s="133">
        <v>0.956324237020088</v>
      </c>
      <c r="AI29" s="135">
        <v>0.92</v>
      </c>
      <c r="AJ29" s="133">
        <v>0.93689390649877</v>
      </c>
      <c r="AK29" s="133">
        <v>0.982343165766514</v>
      </c>
      <c r="AL29" s="133">
        <v>0.985291071058629</v>
      </c>
      <c r="AM29" s="133">
        <v>0.976898176340502</v>
      </c>
      <c r="AN29" s="132">
        <v>0.99</v>
      </c>
      <c r="AO29" s="137">
        <v>1</v>
      </c>
      <c r="AP29" s="137">
        <v>1</v>
      </c>
      <c r="AQ29" s="137">
        <v>1</v>
      </c>
      <c r="AR29" s="137">
        <v>1</v>
      </c>
      <c r="AS29" s="139">
        <v>0.0872182100128262</v>
      </c>
      <c r="AT29" s="141">
        <v>0.00952380952380952</v>
      </c>
      <c r="AU29" s="141">
        <v>0.027027027027027</v>
      </c>
      <c r="AV29" s="141">
        <v>0</v>
      </c>
      <c r="AW29" s="141">
        <v>0.0294117647058824</v>
      </c>
      <c r="AX29" s="95"/>
      <c r="AY29" s="93"/>
    </row>
    <row r="30" ht="14.5" spans="1:51">
      <c r="A30" s="91"/>
      <c r="B30" s="95"/>
      <c r="C30" s="128" t="s">
        <v>24</v>
      </c>
      <c r="D30" s="129" t="s">
        <v>25</v>
      </c>
      <c r="E30" s="130" t="s">
        <v>26</v>
      </c>
      <c r="F30" s="142" t="s">
        <v>49</v>
      </c>
      <c r="G30" s="142" t="s">
        <v>49</v>
      </c>
      <c r="H30" s="142" t="s">
        <v>49</v>
      </c>
      <c r="I30" s="142" t="s">
        <v>49</v>
      </c>
      <c r="J30" s="132">
        <v>0.9</v>
      </c>
      <c r="K30" s="133">
        <v>0.833333333333333</v>
      </c>
      <c r="L30" s="133">
        <v>0.82089552238806</v>
      </c>
      <c r="M30" s="134">
        <v>0.897058823529412</v>
      </c>
      <c r="N30" s="133">
        <v>0.89124893797791</v>
      </c>
      <c r="O30" s="135">
        <v>0.9</v>
      </c>
      <c r="P30" s="133">
        <v>0.972718253968254</v>
      </c>
      <c r="Q30" s="133">
        <v>0.975497702909648</v>
      </c>
      <c r="R30" s="133">
        <v>0.978203434610304</v>
      </c>
      <c r="S30" s="133">
        <v>0.965702837156392</v>
      </c>
      <c r="T30" s="135">
        <v>0.9</v>
      </c>
      <c r="U30" s="133">
        <v>0.771825396825397</v>
      </c>
      <c r="V30" s="133">
        <v>0.789280245022971</v>
      </c>
      <c r="W30" s="133">
        <v>0.821334214002642</v>
      </c>
      <c r="X30" s="133">
        <v>0.817511927602425</v>
      </c>
      <c r="Y30" s="135">
        <v>0.92</v>
      </c>
      <c r="Z30" s="135">
        <v>0.827133479212254</v>
      </c>
      <c r="AA30" s="135">
        <v>0.88808864265928</v>
      </c>
      <c r="AB30" s="135">
        <v>0.916398713826367</v>
      </c>
      <c r="AC30" s="135">
        <v>0.926604373659426</v>
      </c>
      <c r="AD30" s="135">
        <v>0.92</v>
      </c>
      <c r="AE30" s="133">
        <v>0.333333333333333</v>
      </c>
      <c r="AF30" s="133">
        <v>1</v>
      </c>
      <c r="AG30" s="133">
        <v>1</v>
      </c>
      <c r="AH30" s="133">
        <v>0.707792207792208</v>
      </c>
      <c r="AI30" s="135">
        <v>0.92</v>
      </c>
      <c r="AJ30" s="133">
        <v>0.884300341296928</v>
      </c>
      <c r="AK30" s="133">
        <v>0.915598501281798</v>
      </c>
      <c r="AL30" s="133">
        <v>0.937560038424592</v>
      </c>
      <c r="AM30" s="133">
        <v>0.94788296525531</v>
      </c>
      <c r="AN30" s="132">
        <v>0.99</v>
      </c>
      <c r="AO30" s="137">
        <v>1</v>
      </c>
      <c r="AP30" s="137" t="s">
        <v>35</v>
      </c>
      <c r="AQ30" s="137">
        <v>1</v>
      </c>
      <c r="AR30" s="137">
        <v>1</v>
      </c>
      <c r="AS30" s="139">
        <v>0.0872182100128262</v>
      </c>
      <c r="AT30" s="141">
        <v>0.0571428571428571</v>
      </c>
      <c r="AU30" s="141">
        <v>0</v>
      </c>
      <c r="AV30" s="141">
        <v>0</v>
      </c>
      <c r="AW30" s="141">
        <v>0.041335453100159</v>
      </c>
      <c r="AX30" s="95"/>
      <c r="AY30" s="93"/>
    </row>
    <row r="31" ht="14.5" spans="1:51">
      <c r="A31" s="91"/>
      <c r="B31" s="95"/>
      <c r="C31" s="128" t="s">
        <v>24</v>
      </c>
      <c r="D31" s="129" t="s">
        <v>25</v>
      </c>
      <c r="E31" s="130" t="s">
        <v>26</v>
      </c>
      <c r="F31" s="142" t="s">
        <v>50</v>
      </c>
      <c r="G31" s="142" t="s">
        <v>50</v>
      </c>
      <c r="H31" s="142" t="s">
        <v>50</v>
      </c>
      <c r="I31" s="142" t="s">
        <v>50</v>
      </c>
      <c r="J31" s="132">
        <v>0.9</v>
      </c>
      <c r="K31" s="133">
        <v>0.948051948051948</v>
      </c>
      <c r="L31" s="133">
        <v>0.929411764705882</v>
      </c>
      <c r="M31" s="134">
        <v>0.934065934065934</v>
      </c>
      <c r="N31" s="133">
        <v>0.933844011142061</v>
      </c>
      <c r="O31" s="135">
        <v>0.9</v>
      </c>
      <c r="P31" s="133">
        <v>0.988563049853372</v>
      </c>
      <c r="Q31" s="133">
        <v>0.996417375727721</v>
      </c>
      <c r="R31" s="133">
        <v>0.99112426035503</v>
      </c>
      <c r="S31" s="133">
        <v>0.951803888954893</v>
      </c>
      <c r="T31" s="135">
        <v>0.9</v>
      </c>
      <c r="U31" s="133">
        <v>0.750146627565982</v>
      </c>
      <c r="V31" s="133">
        <v>0.723690103000448</v>
      </c>
      <c r="W31" s="133">
        <v>0.743343195266272</v>
      </c>
      <c r="X31" s="133">
        <v>0.764405370084353</v>
      </c>
      <c r="Y31" s="135">
        <v>0.92</v>
      </c>
      <c r="Z31" s="135">
        <v>0.736808236808237</v>
      </c>
      <c r="AA31" s="135">
        <v>0.766071428571429</v>
      </c>
      <c r="AB31" s="135">
        <v>0.801310043668122</v>
      </c>
      <c r="AC31" s="135">
        <v>0.875702931104898</v>
      </c>
      <c r="AD31" s="135">
        <v>0.92</v>
      </c>
      <c r="AE31" s="133">
        <v>0.999012833168806</v>
      </c>
      <c r="AF31" s="133">
        <v>0.999385182908085</v>
      </c>
      <c r="AG31" s="133">
        <v>0.996630727762803</v>
      </c>
      <c r="AH31" s="133">
        <v>0.995610784928461</v>
      </c>
      <c r="AI31" s="135">
        <v>0.92</v>
      </c>
      <c r="AJ31" s="133">
        <v>0.808219178082192</v>
      </c>
      <c r="AK31" s="133">
        <v>0.793065492570171</v>
      </c>
      <c r="AL31" s="133">
        <v>0.816440264716127</v>
      </c>
      <c r="AM31" s="133">
        <v>0.900734713704536</v>
      </c>
      <c r="AN31" s="132">
        <v>0.99</v>
      </c>
      <c r="AO31" s="137">
        <v>1</v>
      </c>
      <c r="AP31" s="137">
        <v>1</v>
      </c>
      <c r="AQ31" s="137">
        <v>1</v>
      </c>
      <c r="AR31" s="137">
        <v>1</v>
      </c>
      <c r="AS31" s="139">
        <v>0.0872182100128262</v>
      </c>
      <c r="AT31" s="141">
        <v>0.0425531914893617</v>
      </c>
      <c r="AU31" s="141">
        <v>0.0408163265306122</v>
      </c>
      <c r="AV31" s="141">
        <v>0.0555555555555556</v>
      </c>
      <c r="AW31" s="141">
        <v>0.0706836616454229</v>
      </c>
      <c r="AX31" s="95"/>
      <c r="AY31" s="93"/>
    </row>
    <row r="32" ht="14.5" spans="1:51">
      <c r="A32" s="91"/>
      <c r="B32" s="95"/>
      <c r="C32" s="128" t="s">
        <v>24</v>
      </c>
      <c r="D32" s="129" t="s">
        <v>25</v>
      </c>
      <c r="E32" s="130" t="s">
        <v>26</v>
      </c>
      <c r="F32" s="142" t="s">
        <v>51</v>
      </c>
      <c r="G32" s="142" t="s">
        <v>51</v>
      </c>
      <c r="H32" s="142" t="s">
        <v>51</v>
      </c>
      <c r="I32" s="142" t="s">
        <v>51</v>
      </c>
      <c r="J32" s="132">
        <v>0.9</v>
      </c>
      <c r="K32" s="133">
        <v>0.872727272727273</v>
      </c>
      <c r="L32" s="133">
        <v>0.863636363636364</v>
      </c>
      <c r="M32" s="134">
        <v>0.857142857142857</v>
      </c>
      <c r="N32" s="133">
        <v>0.928330522765599</v>
      </c>
      <c r="O32" s="135">
        <v>0.9</v>
      </c>
      <c r="P32" s="133">
        <v>0.991482112436116</v>
      </c>
      <c r="Q32" s="133">
        <v>0.978808705612829</v>
      </c>
      <c r="R32" s="133">
        <v>0.993932038834951</v>
      </c>
      <c r="S32" s="133">
        <v>0.962189265750685</v>
      </c>
      <c r="T32" s="135">
        <v>0.9</v>
      </c>
      <c r="U32" s="133">
        <v>0.809625212947189</v>
      </c>
      <c r="V32" s="133">
        <v>0.866265750286369</v>
      </c>
      <c r="W32" s="133">
        <v>0.872876213592233</v>
      </c>
      <c r="X32" s="133">
        <v>0.877766500537773</v>
      </c>
      <c r="Y32" s="135">
        <v>0.92</v>
      </c>
      <c r="Z32" s="135">
        <v>0.907045009784736</v>
      </c>
      <c r="AA32" s="135">
        <v>0.901408450704225</v>
      </c>
      <c r="AB32" s="135">
        <v>0.944177932839075</v>
      </c>
      <c r="AC32" s="135">
        <v>0.953449310137972</v>
      </c>
      <c r="AD32" s="135">
        <v>0.92</v>
      </c>
      <c r="AE32" s="133">
        <v>1</v>
      </c>
      <c r="AF32" s="133">
        <v>0.997809419496167</v>
      </c>
      <c r="AG32" s="133">
        <v>0.998227474150665</v>
      </c>
      <c r="AH32" s="133">
        <v>0.997325195224845</v>
      </c>
      <c r="AI32" s="135">
        <v>0.92</v>
      </c>
      <c r="AJ32" s="133">
        <v>0.941891491254076</v>
      </c>
      <c r="AK32" s="133">
        <v>0.927932858967342</v>
      </c>
      <c r="AL32" s="133">
        <v>0.960100196815173</v>
      </c>
      <c r="AM32" s="133">
        <v>0.967658965978309</v>
      </c>
      <c r="AN32" s="132">
        <v>0.99</v>
      </c>
      <c r="AO32" s="137">
        <v>1</v>
      </c>
      <c r="AP32" s="137">
        <v>1</v>
      </c>
      <c r="AQ32" s="137">
        <v>1</v>
      </c>
      <c r="AR32" s="137">
        <v>1</v>
      </c>
      <c r="AS32" s="139">
        <v>0.0872182100128262</v>
      </c>
      <c r="AT32" s="141">
        <v>0.0277777777777778</v>
      </c>
      <c r="AU32" s="141">
        <v>0.0540540540540541</v>
      </c>
      <c r="AV32" s="141">
        <v>0</v>
      </c>
      <c r="AW32" s="141">
        <v>0.0505709624796085</v>
      </c>
      <c r="AX32" s="95"/>
      <c r="AY32" s="93"/>
    </row>
    <row r="33" ht="14.5" spans="1:51">
      <c r="A33" s="91"/>
      <c r="B33" s="95"/>
      <c r="C33" s="128" t="s">
        <v>24</v>
      </c>
      <c r="D33" s="129" t="s">
        <v>25</v>
      </c>
      <c r="E33" s="130" t="s">
        <v>26</v>
      </c>
      <c r="F33" s="142" t="s">
        <v>52</v>
      </c>
      <c r="G33" s="142" t="s">
        <v>52</v>
      </c>
      <c r="H33" s="142" t="s">
        <v>52</v>
      </c>
      <c r="I33" s="142" t="s">
        <v>52</v>
      </c>
      <c r="J33" s="132">
        <v>0.9</v>
      </c>
      <c r="K33" s="133">
        <v>0.909090909090909</v>
      </c>
      <c r="L33" s="133">
        <v>0.854838709677419</v>
      </c>
      <c r="M33" s="134">
        <v>0.826086956521739</v>
      </c>
      <c r="N33" s="133">
        <v>0.904013961605585</v>
      </c>
      <c r="O33" s="135">
        <v>0.9</v>
      </c>
      <c r="P33" s="133">
        <v>0.844215755855216</v>
      </c>
      <c r="Q33" s="133">
        <v>0.912075681691708</v>
      </c>
      <c r="R33" s="133">
        <v>0.889380530973451</v>
      </c>
      <c r="S33" s="133">
        <v>0.865412719891746</v>
      </c>
      <c r="T33" s="135">
        <v>0.9</v>
      </c>
      <c r="U33" s="133">
        <v>0.688431511710433</v>
      </c>
      <c r="V33" s="133">
        <v>0.725097384529772</v>
      </c>
      <c r="W33" s="133">
        <v>0.820243362831858</v>
      </c>
      <c r="X33" s="133">
        <v>0.781258457374831</v>
      </c>
      <c r="Y33" s="135">
        <v>0.92</v>
      </c>
      <c r="Z33" s="135">
        <v>0.920757967269595</v>
      </c>
      <c r="AA33" s="135">
        <v>0.952340425531915</v>
      </c>
      <c r="AB33" s="135">
        <v>0.953531030265974</v>
      </c>
      <c r="AC33" s="135">
        <v>0.949196342919791</v>
      </c>
      <c r="AD33" s="135">
        <v>0.92</v>
      </c>
      <c r="AE33" s="133">
        <v>0.999152961106798</v>
      </c>
      <c r="AF33" s="133">
        <v>0.975864623542715</v>
      </c>
      <c r="AG33" s="133">
        <v>0.988512179065174</v>
      </c>
      <c r="AH33" s="133">
        <v>0.968316287469818</v>
      </c>
      <c r="AI33" s="135">
        <v>0.92</v>
      </c>
      <c r="AJ33" s="133">
        <v>0.877638190954774</v>
      </c>
      <c r="AK33" s="133">
        <v>0.952420981842636</v>
      </c>
      <c r="AL33" s="133">
        <v>0.95878084179971</v>
      </c>
      <c r="AM33" s="133">
        <v>0.95879421903368</v>
      </c>
      <c r="AN33" s="132">
        <v>0.99</v>
      </c>
      <c r="AO33" s="137">
        <v>1</v>
      </c>
      <c r="AP33" s="137">
        <v>1</v>
      </c>
      <c r="AQ33" s="137">
        <v>1</v>
      </c>
      <c r="AR33" s="137">
        <v>1</v>
      </c>
      <c r="AS33" s="139">
        <v>0.0872182100128262</v>
      </c>
      <c r="AT33" s="141">
        <v>0.1</v>
      </c>
      <c r="AU33" s="141">
        <v>0</v>
      </c>
      <c r="AV33" s="141">
        <v>0.0512820512820513</v>
      </c>
      <c r="AW33" s="141">
        <v>0.0661764705882353</v>
      </c>
      <c r="AX33" s="95"/>
      <c r="AY33" s="93"/>
    </row>
    <row r="34" ht="14.5" spans="1:51">
      <c r="A34" s="91"/>
      <c r="B34" s="95"/>
      <c r="C34" s="128" t="s">
        <v>24</v>
      </c>
      <c r="D34" s="129" t="s">
        <v>25</v>
      </c>
      <c r="E34" s="130" t="s">
        <v>26</v>
      </c>
      <c r="F34" s="142" t="s">
        <v>53</v>
      </c>
      <c r="G34" s="142" t="s">
        <v>53</v>
      </c>
      <c r="H34" s="142" t="s">
        <v>53</v>
      </c>
      <c r="I34" s="142" t="s">
        <v>53</v>
      </c>
      <c r="J34" s="132">
        <v>0.9</v>
      </c>
      <c r="K34" s="133">
        <v>1</v>
      </c>
      <c r="L34" s="133">
        <v>0.990566037735849</v>
      </c>
      <c r="M34" s="134">
        <v>0.966942148760331</v>
      </c>
      <c r="N34" s="133">
        <v>0.978238866396761</v>
      </c>
      <c r="O34" s="135">
        <v>0.9</v>
      </c>
      <c r="P34" s="133">
        <v>0.991571506253399</v>
      </c>
      <c r="Q34" s="133">
        <v>0.995998475609756</v>
      </c>
      <c r="R34" s="133">
        <v>0.993726687012547</v>
      </c>
      <c r="S34" s="133">
        <v>0.993313414568297</v>
      </c>
      <c r="T34" s="135">
        <v>0.9</v>
      </c>
      <c r="U34" s="133">
        <v>0.835780315388798</v>
      </c>
      <c r="V34" s="133">
        <v>0.815167682926829</v>
      </c>
      <c r="W34" s="133">
        <v>0.859952526280095</v>
      </c>
      <c r="X34" s="133">
        <v>0.868635144621034</v>
      </c>
      <c r="Y34" s="135">
        <v>0.92</v>
      </c>
      <c r="Z34" s="135">
        <v>0.81442663378545</v>
      </c>
      <c r="AA34" s="135">
        <v>0.863885505481121</v>
      </c>
      <c r="AB34" s="135">
        <v>0.918508997429306</v>
      </c>
      <c r="AC34" s="135">
        <v>0.933341613878193</v>
      </c>
      <c r="AD34" s="135">
        <v>0.92</v>
      </c>
      <c r="AE34" s="133">
        <v>0.988919667590028</v>
      </c>
      <c r="AF34" s="133">
        <v>0.992070484581498</v>
      </c>
      <c r="AG34" s="133">
        <v>0.990173847316704</v>
      </c>
      <c r="AH34" s="133">
        <v>0.986630084487414</v>
      </c>
      <c r="AI34" s="135">
        <v>0.92</v>
      </c>
      <c r="AJ34" s="133">
        <v>0.894736842105263</v>
      </c>
      <c r="AK34" s="133">
        <v>0.908462259728082</v>
      </c>
      <c r="AL34" s="133">
        <v>0.939619942787086</v>
      </c>
      <c r="AM34" s="133">
        <v>0.955497453495656</v>
      </c>
      <c r="AN34" s="132">
        <v>0.99</v>
      </c>
      <c r="AO34" s="137">
        <v>1</v>
      </c>
      <c r="AP34" s="137">
        <v>1</v>
      </c>
      <c r="AQ34" s="137">
        <v>1</v>
      </c>
      <c r="AR34" s="137">
        <v>1</v>
      </c>
      <c r="AS34" s="139">
        <v>0.0872182100128262</v>
      </c>
      <c r="AT34" s="141">
        <v>0.0784313725490196</v>
      </c>
      <c r="AU34" s="141">
        <v>0.03125</v>
      </c>
      <c r="AV34" s="141">
        <v>0.0166666666666667</v>
      </c>
      <c r="AW34" s="141">
        <v>0.0473269062226117</v>
      </c>
      <c r="AX34" s="95"/>
      <c r="AY34" s="93"/>
    </row>
    <row r="35" ht="14.5" spans="1:51">
      <c r="A35" s="91"/>
      <c r="B35" s="95"/>
      <c r="C35" s="128" t="s">
        <v>24</v>
      </c>
      <c r="D35" s="129" t="s">
        <v>25</v>
      </c>
      <c r="E35" s="130" t="s">
        <v>26</v>
      </c>
      <c r="F35" s="142" t="s">
        <v>54</v>
      </c>
      <c r="G35" s="142" t="s">
        <v>54</v>
      </c>
      <c r="H35" s="142" t="s">
        <v>54</v>
      </c>
      <c r="I35" s="142" t="s">
        <v>54</v>
      </c>
      <c r="J35" s="132">
        <v>0.9</v>
      </c>
      <c r="K35" s="133">
        <v>0.934210526315789</v>
      </c>
      <c r="L35" s="133">
        <v>0.91304347826087</v>
      </c>
      <c r="M35" s="134">
        <v>0.884210526315789</v>
      </c>
      <c r="N35" s="133">
        <v>0.889825016202203</v>
      </c>
      <c r="O35" s="135">
        <v>0.9</v>
      </c>
      <c r="P35" s="133">
        <v>0.891486291486291</v>
      </c>
      <c r="Q35" s="133">
        <v>0.901109597041075</v>
      </c>
      <c r="R35" s="133">
        <v>0.837843024371522</v>
      </c>
      <c r="S35" s="133">
        <v>0.935574566777525</v>
      </c>
      <c r="T35" s="135">
        <v>0.9</v>
      </c>
      <c r="U35" s="133">
        <v>0.824819624819625</v>
      </c>
      <c r="V35" s="133">
        <v>0.827136460969437</v>
      </c>
      <c r="W35" s="133">
        <v>0.837651122625216</v>
      </c>
      <c r="X35" s="133">
        <v>0.807806756520217</v>
      </c>
      <c r="Y35" s="135">
        <v>0.92</v>
      </c>
      <c r="Z35" s="135">
        <v>0.878861296184131</v>
      </c>
      <c r="AA35" s="135">
        <v>0.905685618729097</v>
      </c>
      <c r="AB35" s="135">
        <v>0.929782082324455</v>
      </c>
      <c r="AC35" s="135">
        <v>0.934953972651712</v>
      </c>
      <c r="AD35" s="135">
        <v>0.92</v>
      </c>
      <c r="AE35" s="133">
        <v>0.998956594323873</v>
      </c>
      <c r="AF35" s="133">
        <v>0.995802728226653</v>
      </c>
      <c r="AG35" s="133">
        <v>0.990036692824812</v>
      </c>
      <c r="AH35" s="133">
        <v>0.953447229913612</v>
      </c>
      <c r="AI35" s="135">
        <v>0.92</v>
      </c>
      <c r="AJ35" s="133">
        <v>0.927119968737788</v>
      </c>
      <c r="AK35" s="133">
        <v>0.94169741697417</v>
      </c>
      <c r="AL35" s="133">
        <v>0.955388588870627</v>
      </c>
      <c r="AM35" s="133">
        <v>0.958063356152766</v>
      </c>
      <c r="AN35" s="132">
        <v>0.99</v>
      </c>
      <c r="AO35" s="137">
        <v>1</v>
      </c>
      <c r="AP35" s="137">
        <v>1</v>
      </c>
      <c r="AQ35" s="137">
        <v>1</v>
      </c>
      <c r="AR35" s="137">
        <v>0.999393203883495</v>
      </c>
      <c r="AS35" s="139">
        <v>0.0872182100128262</v>
      </c>
      <c r="AT35" s="141">
        <v>0.108108108108108</v>
      </c>
      <c r="AU35" s="141">
        <v>0</v>
      </c>
      <c r="AV35" s="141">
        <v>0.0277777777777778</v>
      </c>
      <c r="AW35" s="141">
        <v>0.0856793145654835</v>
      </c>
      <c r="AX35" s="95"/>
      <c r="AY35" s="93"/>
    </row>
    <row r="36" ht="14.5" spans="1:51">
      <c r="A36" s="91"/>
      <c r="B36" s="95"/>
      <c r="C36" s="128" t="s">
        <v>24</v>
      </c>
      <c r="D36" s="129" t="s">
        <v>25</v>
      </c>
      <c r="E36" s="130" t="s">
        <v>26</v>
      </c>
      <c r="F36" s="142" t="s">
        <v>55</v>
      </c>
      <c r="G36" s="142" t="s">
        <v>55</v>
      </c>
      <c r="H36" s="142" t="s">
        <v>55</v>
      </c>
      <c r="I36" s="142" t="s">
        <v>55</v>
      </c>
      <c r="J36" s="132">
        <v>0.9</v>
      </c>
      <c r="K36" s="133">
        <v>0.954545454545455</v>
      </c>
      <c r="L36" s="133">
        <v>0.895833333333333</v>
      </c>
      <c r="M36" s="134">
        <v>0.934640522875817</v>
      </c>
      <c r="N36" s="133">
        <v>0.909899458623357</v>
      </c>
      <c r="O36" s="135">
        <v>0.9</v>
      </c>
      <c r="P36" s="133">
        <v>0.957866666666667</v>
      </c>
      <c r="Q36" s="133">
        <v>0.948702689835753</v>
      </c>
      <c r="R36" s="133">
        <v>0.977980989050656</v>
      </c>
      <c r="S36" s="133">
        <v>0.941262811103918</v>
      </c>
      <c r="T36" s="135">
        <v>0.9</v>
      </c>
      <c r="U36" s="133">
        <v>0.755022222222222</v>
      </c>
      <c r="V36" s="133">
        <v>0.710307069745299</v>
      </c>
      <c r="W36" s="133">
        <v>0.794609553603658</v>
      </c>
      <c r="X36" s="133">
        <v>0.757513604286712</v>
      </c>
      <c r="Y36" s="135">
        <v>0.92</v>
      </c>
      <c r="Z36" s="135">
        <v>0.875212947189097</v>
      </c>
      <c r="AA36" s="135">
        <v>0.850167644593462</v>
      </c>
      <c r="AB36" s="135">
        <v>0.897251881673377</v>
      </c>
      <c r="AC36" s="135">
        <v>0.911298665382921</v>
      </c>
      <c r="AD36" s="135">
        <v>0.92</v>
      </c>
      <c r="AE36" s="133">
        <v>0.879432624113475</v>
      </c>
      <c r="AF36" s="133">
        <v>0.951588502269289</v>
      </c>
      <c r="AG36" s="133">
        <v>0.989096573208723</v>
      </c>
      <c r="AH36" s="133">
        <v>0.967540821375557</v>
      </c>
      <c r="AI36" s="135">
        <v>0.92</v>
      </c>
      <c r="AJ36" s="133">
        <v>0.901717437633195</v>
      </c>
      <c r="AK36" s="133">
        <v>0.89274328222256</v>
      </c>
      <c r="AL36" s="133">
        <v>0.920778665145465</v>
      </c>
      <c r="AM36" s="133">
        <v>0.937386416049388</v>
      </c>
      <c r="AN36" s="132">
        <v>0.99</v>
      </c>
      <c r="AO36" s="137">
        <v>1</v>
      </c>
      <c r="AP36" s="137">
        <v>1</v>
      </c>
      <c r="AQ36" s="137">
        <v>1</v>
      </c>
      <c r="AR36" s="137">
        <v>1</v>
      </c>
      <c r="AS36" s="139">
        <v>0.0872182100128262</v>
      </c>
      <c r="AT36" s="141">
        <v>0.0526315789473684</v>
      </c>
      <c r="AU36" s="141">
        <v>0.0689655172413793</v>
      </c>
      <c r="AV36" s="141">
        <v>0.0434782608695652</v>
      </c>
      <c r="AW36" s="141">
        <v>0.0644095788604459</v>
      </c>
      <c r="AX36" s="95"/>
      <c r="AY36" s="93"/>
    </row>
    <row r="37" ht="14.5" spans="1:51">
      <c r="A37" s="91"/>
      <c r="B37" s="95"/>
      <c r="C37" s="128" t="s">
        <v>24</v>
      </c>
      <c r="D37" s="129" t="s">
        <v>25</v>
      </c>
      <c r="E37" s="130" t="s">
        <v>26</v>
      </c>
      <c r="F37" s="142" t="s">
        <v>56</v>
      </c>
      <c r="G37" s="142" t="s">
        <v>56</v>
      </c>
      <c r="H37" s="142" t="s">
        <v>56</v>
      </c>
      <c r="I37" s="142" t="s">
        <v>56</v>
      </c>
      <c r="J37" s="132">
        <v>0.9</v>
      </c>
      <c r="K37" s="133" t="s">
        <v>35</v>
      </c>
      <c r="L37" s="133" t="s">
        <v>35</v>
      </c>
      <c r="M37" s="134" t="s">
        <v>35</v>
      </c>
      <c r="N37" s="133" t="s">
        <v>35</v>
      </c>
      <c r="O37" s="135">
        <v>0.9</v>
      </c>
      <c r="P37" s="133" t="s">
        <v>35</v>
      </c>
      <c r="Q37" s="133" t="s">
        <v>35</v>
      </c>
      <c r="R37" s="133">
        <v>0</v>
      </c>
      <c r="S37" s="133">
        <v>0.988565488565489</v>
      </c>
      <c r="T37" s="135">
        <v>0.9</v>
      </c>
      <c r="U37" s="133" t="s">
        <v>35</v>
      </c>
      <c r="V37" s="133" t="s">
        <v>35</v>
      </c>
      <c r="W37" s="133">
        <v>0</v>
      </c>
      <c r="X37" s="133">
        <v>0.993243243243243</v>
      </c>
      <c r="Y37" s="135">
        <v>0.92</v>
      </c>
      <c r="Z37" s="135" t="s">
        <v>35</v>
      </c>
      <c r="AA37" s="135">
        <v>1</v>
      </c>
      <c r="AB37" s="135" t="s">
        <v>35</v>
      </c>
      <c r="AC37" s="135">
        <v>0.99616122840691</v>
      </c>
      <c r="AD37" s="135">
        <v>0.92</v>
      </c>
      <c r="AE37" s="133" t="s">
        <v>35</v>
      </c>
      <c r="AF37" s="133" t="s">
        <v>35</v>
      </c>
      <c r="AG37" s="133" t="s">
        <v>35</v>
      </c>
      <c r="AH37" s="133">
        <v>0.999397729905027</v>
      </c>
      <c r="AI37" s="135">
        <v>0.92</v>
      </c>
      <c r="AJ37" s="133" t="s">
        <v>35</v>
      </c>
      <c r="AK37" s="133">
        <v>1</v>
      </c>
      <c r="AL37" s="133">
        <v>0</v>
      </c>
      <c r="AM37" s="133">
        <v>0.995962314939435</v>
      </c>
      <c r="AN37" s="132">
        <v>0.99</v>
      </c>
      <c r="AO37" s="137" t="s">
        <v>35</v>
      </c>
      <c r="AP37" s="137" t="s">
        <v>35</v>
      </c>
      <c r="AQ37" s="137" t="s">
        <v>35</v>
      </c>
      <c r="AR37" s="137">
        <v>1</v>
      </c>
      <c r="AS37" s="139">
        <v>0.0872182100128262</v>
      </c>
      <c r="AT37" s="141" t="s">
        <v>35</v>
      </c>
      <c r="AU37" s="141" t="s">
        <v>35</v>
      </c>
      <c r="AV37" s="141" t="s">
        <v>35</v>
      </c>
      <c r="AW37" s="141" t="s">
        <v>35</v>
      </c>
      <c r="AX37" s="95"/>
      <c r="AY37" s="93"/>
    </row>
    <row r="38" ht="14.5" spans="1:51">
      <c r="A38" s="91"/>
      <c r="B38" s="95"/>
      <c r="C38" s="128" t="s">
        <v>24</v>
      </c>
      <c r="D38" s="129" t="s">
        <v>25</v>
      </c>
      <c r="E38" s="130" t="s">
        <v>26</v>
      </c>
      <c r="F38" s="142" t="s">
        <v>57</v>
      </c>
      <c r="G38" s="142" t="s">
        <v>57</v>
      </c>
      <c r="H38" s="142" t="s">
        <v>57</v>
      </c>
      <c r="I38" s="142" t="s">
        <v>57</v>
      </c>
      <c r="J38" s="132">
        <v>0.9</v>
      </c>
      <c r="K38" s="133">
        <v>1</v>
      </c>
      <c r="L38" s="133">
        <v>1</v>
      </c>
      <c r="M38" s="134">
        <v>0.942028985507246</v>
      </c>
      <c r="N38" s="133">
        <v>0.984112974404237</v>
      </c>
      <c r="O38" s="135">
        <v>0.9</v>
      </c>
      <c r="P38" s="133">
        <v>0.991373589913736</v>
      </c>
      <c r="Q38" s="133">
        <v>0.984520123839009</v>
      </c>
      <c r="R38" s="133">
        <v>0.979029217719133</v>
      </c>
      <c r="S38" s="133">
        <v>0.979015690969815</v>
      </c>
      <c r="T38" s="135">
        <v>0.9</v>
      </c>
      <c r="U38" s="133">
        <v>0.854014598540146</v>
      </c>
      <c r="V38" s="133">
        <v>0.790137107474569</v>
      </c>
      <c r="W38" s="133">
        <v>0.869227144203581</v>
      </c>
      <c r="X38" s="133">
        <v>0.835805658831684</v>
      </c>
      <c r="Y38" s="135">
        <v>0.92</v>
      </c>
      <c r="Z38" s="135">
        <v>0.894409937888199</v>
      </c>
      <c r="AA38" s="135">
        <v>0.860652591170825</v>
      </c>
      <c r="AB38" s="135">
        <v>0.94123440577807</v>
      </c>
      <c r="AC38" s="135">
        <v>0.936263191038681</v>
      </c>
      <c r="AD38" s="135">
        <v>0.92</v>
      </c>
      <c r="AE38" s="133">
        <v>0.962302598064187</v>
      </c>
      <c r="AF38" s="133">
        <v>0.994413407821229</v>
      </c>
      <c r="AG38" s="133">
        <v>0.999235056278002</v>
      </c>
      <c r="AH38" s="133">
        <v>0.96031188407913</v>
      </c>
      <c r="AI38" s="135">
        <v>0.92</v>
      </c>
      <c r="AJ38" s="133">
        <v>0.938675958188153</v>
      </c>
      <c r="AK38" s="133">
        <v>0.901795735129068</v>
      </c>
      <c r="AL38" s="133">
        <v>0.958996160175535</v>
      </c>
      <c r="AM38" s="133">
        <v>0.95634191873966</v>
      </c>
      <c r="AN38" s="132">
        <v>0.99</v>
      </c>
      <c r="AO38" s="137">
        <v>1</v>
      </c>
      <c r="AP38" s="137">
        <v>1</v>
      </c>
      <c r="AQ38" s="137">
        <v>1</v>
      </c>
      <c r="AR38" s="137">
        <v>1</v>
      </c>
      <c r="AS38" s="139">
        <v>0.0872182100128262</v>
      </c>
      <c r="AT38" s="141">
        <v>0.142857142857143</v>
      </c>
      <c r="AU38" s="141">
        <v>0.117647058823529</v>
      </c>
      <c r="AV38" s="141">
        <v>0</v>
      </c>
      <c r="AW38" s="141">
        <v>0.0620525059665871</v>
      </c>
      <c r="AX38" s="95"/>
      <c r="AY38" s="93"/>
    </row>
    <row r="39" ht="14.5" spans="1:51">
      <c r="A39" s="91"/>
      <c r="B39" s="95"/>
      <c r="C39" s="128" t="s">
        <v>24</v>
      </c>
      <c r="D39" s="129" t="s">
        <v>25</v>
      </c>
      <c r="E39" s="130" t="s">
        <v>26</v>
      </c>
      <c r="F39" s="142" t="s">
        <v>58</v>
      </c>
      <c r="G39" s="142" t="s">
        <v>58</v>
      </c>
      <c r="H39" s="142" t="s">
        <v>58</v>
      </c>
      <c r="I39" s="142" t="s">
        <v>58</v>
      </c>
      <c r="J39" s="132">
        <v>0.9</v>
      </c>
      <c r="K39" s="133">
        <v>0.966101694915254</v>
      </c>
      <c r="L39" s="133">
        <v>0.936507936507937</v>
      </c>
      <c r="M39" s="134">
        <v>0.91304347826087</v>
      </c>
      <c r="N39" s="133">
        <v>0.940619621342513</v>
      </c>
      <c r="O39" s="135">
        <v>0.9</v>
      </c>
      <c r="P39" s="133">
        <v>0.993804852865256</v>
      </c>
      <c r="Q39" s="133">
        <v>0.995333333333333</v>
      </c>
      <c r="R39" s="133">
        <v>0.998244998244998</v>
      </c>
      <c r="S39" s="133">
        <v>0.995784767138249</v>
      </c>
      <c r="T39" s="135">
        <v>0.9</v>
      </c>
      <c r="U39" s="133">
        <v>0.837893649974187</v>
      </c>
      <c r="V39" s="133">
        <v>0.848</v>
      </c>
      <c r="W39" s="133">
        <v>0.871533871533872</v>
      </c>
      <c r="X39" s="133">
        <v>0.846647439288701</v>
      </c>
      <c r="Y39" s="135">
        <v>0.92</v>
      </c>
      <c r="Z39" s="135">
        <v>0.899764150943396</v>
      </c>
      <c r="AA39" s="135">
        <v>0.929865575686733</v>
      </c>
      <c r="AB39" s="135">
        <v>0.948302872062663</v>
      </c>
      <c r="AC39" s="135">
        <v>0.944998763090624</v>
      </c>
      <c r="AD39" s="135">
        <v>0.92</v>
      </c>
      <c r="AE39" s="133">
        <v>1</v>
      </c>
      <c r="AF39" s="133">
        <v>0.994623655913978</v>
      </c>
      <c r="AG39" s="133">
        <v>0.993453355155483</v>
      </c>
      <c r="AH39" s="133">
        <v>0.965447154471545</v>
      </c>
      <c r="AI39" s="135">
        <v>0.92</v>
      </c>
      <c r="AJ39" s="133">
        <v>0.925753228120517</v>
      </c>
      <c r="AK39" s="133">
        <v>0.942262789216727</v>
      </c>
      <c r="AL39" s="133">
        <v>0.957607555089192</v>
      </c>
      <c r="AM39" s="133">
        <v>0.960669130109802</v>
      </c>
      <c r="AN39" s="132">
        <v>0.99</v>
      </c>
      <c r="AO39" s="137">
        <v>1</v>
      </c>
      <c r="AP39" s="137">
        <v>1</v>
      </c>
      <c r="AQ39" s="137">
        <v>1</v>
      </c>
      <c r="AR39" s="137">
        <v>1</v>
      </c>
      <c r="AS39" s="139">
        <v>0.0872182100128262</v>
      </c>
      <c r="AT39" s="141">
        <v>0.05</v>
      </c>
      <c r="AU39" s="141">
        <v>0.0967741935483871</v>
      </c>
      <c r="AV39" s="141">
        <v>0.0555555555555556</v>
      </c>
      <c r="AW39" s="141">
        <v>0.0614406779661017</v>
      </c>
      <c r="AX39" s="95"/>
      <c r="AY39" s="93"/>
    </row>
    <row r="40" ht="14.5" spans="1:51">
      <c r="A40" s="91"/>
      <c r="B40" s="95"/>
      <c r="C40" s="128" t="s">
        <v>24</v>
      </c>
      <c r="D40" s="129" t="s">
        <v>25</v>
      </c>
      <c r="E40" s="130" t="s">
        <v>26</v>
      </c>
      <c r="F40" s="142" t="s">
        <v>59</v>
      </c>
      <c r="G40" s="142" t="s">
        <v>59</v>
      </c>
      <c r="H40" s="142" t="s">
        <v>59</v>
      </c>
      <c r="I40" s="142" t="s">
        <v>59</v>
      </c>
      <c r="J40" s="132">
        <v>0.9</v>
      </c>
      <c r="K40" s="133">
        <v>0.941176470588235</v>
      </c>
      <c r="L40" s="133">
        <v>0.936708860759494</v>
      </c>
      <c r="M40" s="134">
        <v>0.8</v>
      </c>
      <c r="N40" s="133">
        <v>0.937723693629205</v>
      </c>
      <c r="O40" s="135">
        <v>0.9</v>
      </c>
      <c r="P40" s="133">
        <v>0.966714082503556</v>
      </c>
      <c r="Q40" s="133">
        <v>0.940421263791374</v>
      </c>
      <c r="R40" s="133">
        <v>0.953740949316171</v>
      </c>
      <c r="S40" s="133">
        <v>0.969712999437254</v>
      </c>
      <c r="T40" s="135">
        <v>0.9</v>
      </c>
      <c r="U40" s="133">
        <v>0.746799431009957</v>
      </c>
      <c r="V40" s="133">
        <v>0.79358074222668</v>
      </c>
      <c r="W40" s="133">
        <v>0.861625100563154</v>
      </c>
      <c r="X40" s="133">
        <v>0.81679234665166</v>
      </c>
      <c r="Y40" s="135">
        <v>0.92</v>
      </c>
      <c r="Z40" s="135">
        <v>0.860510805500982</v>
      </c>
      <c r="AA40" s="135">
        <v>0.894630872483221</v>
      </c>
      <c r="AB40" s="135">
        <v>0.916793660469369</v>
      </c>
      <c r="AC40" s="135">
        <v>0.93770255671588</v>
      </c>
      <c r="AD40" s="135">
        <v>0.92</v>
      </c>
      <c r="AE40" s="133">
        <v>0.99830220713073</v>
      </c>
      <c r="AF40" s="133">
        <v>0.994379767161782</v>
      </c>
      <c r="AG40" s="133">
        <v>0.97928454097463</v>
      </c>
      <c r="AH40" s="133">
        <v>0.952341495709236</v>
      </c>
      <c r="AI40" s="135">
        <v>0.92</v>
      </c>
      <c r="AJ40" s="133">
        <v>0.88459250446163</v>
      </c>
      <c r="AK40" s="133">
        <v>0.917011927181419</v>
      </c>
      <c r="AL40" s="133">
        <v>0.938468992248062</v>
      </c>
      <c r="AM40" s="133">
        <v>0.953292933135861</v>
      </c>
      <c r="AN40" s="132">
        <v>0.99</v>
      </c>
      <c r="AO40" s="137">
        <v>1</v>
      </c>
      <c r="AP40" s="137">
        <v>1</v>
      </c>
      <c r="AQ40" s="137">
        <v>1</v>
      </c>
      <c r="AR40" s="137">
        <v>1</v>
      </c>
      <c r="AS40" s="139">
        <v>0.0872182100128262</v>
      </c>
      <c r="AT40" s="141">
        <v>0.04</v>
      </c>
      <c r="AU40" s="141">
        <v>0.172413793103448</v>
      </c>
      <c r="AV40" s="141">
        <v>0</v>
      </c>
      <c r="AW40" s="141">
        <v>0.0627009646302251</v>
      </c>
      <c r="AX40" s="95"/>
      <c r="AY40" s="93"/>
    </row>
    <row r="41" ht="14.5" spans="1:51">
      <c r="A41" s="91"/>
      <c r="B41" s="95"/>
      <c r="C41" s="128" t="s">
        <v>24</v>
      </c>
      <c r="D41" s="129" t="s">
        <v>25</v>
      </c>
      <c r="E41" s="130" t="s">
        <v>26</v>
      </c>
      <c r="F41" s="142" t="s">
        <v>60</v>
      </c>
      <c r="G41" s="142" t="s">
        <v>60</v>
      </c>
      <c r="H41" s="142" t="s">
        <v>60</v>
      </c>
      <c r="I41" s="142" t="s">
        <v>60</v>
      </c>
      <c r="J41" s="132">
        <v>0.9</v>
      </c>
      <c r="K41" s="133">
        <v>0.961240310077519</v>
      </c>
      <c r="L41" s="133">
        <v>0.992537313432836</v>
      </c>
      <c r="M41" s="134">
        <v>0.969465648854962</v>
      </c>
      <c r="N41" s="133">
        <v>0.965683905268246</v>
      </c>
      <c r="O41" s="135">
        <v>0.9</v>
      </c>
      <c r="P41" s="133">
        <v>0.994571922033062</v>
      </c>
      <c r="Q41" s="133">
        <v>0.994447088687926</v>
      </c>
      <c r="R41" s="133">
        <v>0.992601118053272</v>
      </c>
      <c r="S41" s="133">
        <v>0.990452545683565</v>
      </c>
      <c r="T41" s="135">
        <v>0.9</v>
      </c>
      <c r="U41" s="133">
        <v>0.857142857142857</v>
      </c>
      <c r="V41" s="133">
        <v>0.891004283674441</v>
      </c>
      <c r="W41" s="133">
        <v>0.9044722130878</v>
      </c>
      <c r="X41" s="133">
        <v>0.89589076105807</v>
      </c>
      <c r="Y41" s="135">
        <v>0.92</v>
      </c>
      <c r="Z41" s="135">
        <v>0.895421141888072</v>
      </c>
      <c r="AA41" s="135">
        <v>0.937738940469689</v>
      </c>
      <c r="AB41" s="135">
        <v>0.950492780197112</v>
      </c>
      <c r="AC41" s="135">
        <v>0.957252273213185</v>
      </c>
      <c r="AD41" s="135">
        <v>0.92</v>
      </c>
      <c r="AE41" s="133">
        <v>0.977290524667189</v>
      </c>
      <c r="AF41" s="133">
        <v>0.990713224368499</v>
      </c>
      <c r="AG41" s="133">
        <v>0.998153277931671</v>
      </c>
      <c r="AH41" s="133">
        <v>0.98564395159435</v>
      </c>
      <c r="AI41" s="135">
        <v>0.92</v>
      </c>
      <c r="AJ41" s="133">
        <v>0.93130688648463</v>
      </c>
      <c r="AK41" s="133">
        <v>0.954244431065623</v>
      </c>
      <c r="AL41" s="133">
        <v>0.964579743442466</v>
      </c>
      <c r="AM41" s="133">
        <v>0.971061093247588</v>
      </c>
      <c r="AN41" s="132">
        <v>0.99</v>
      </c>
      <c r="AO41" s="137">
        <v>1</v>
      </c>
      <c r="AP41" s="137">
        <v>1</v>
      </c>
      <c r="AQ41" s="137">
        <v>1</v>
      </c>
      <c r="AR41" s="137">
        <v>1</v>
      </c>
      <c r="AS41" s="139">
        <v>0.0872182100128262</v>
      </c>
      <c r="AT41" s="141">
        <v>0.09375</v>
      </c>
      <c r="AU41" s="141">
        <v>0.0526315789473684</v>
      </c>
      <c r="AV41" s="141">
        <v>0.04</v>
      </c>
      <c r="AW41" s="141">
        <v>0.0583333333333333</v>
      </c>
      <c r="AX41" s="95"/>
      <c r="AY41" s="93"/>
    </row>
    <row r="42" ht="14.5" spans="1:51">
      <c r="A42" s="91"/>
      <c r="B42" s="95"/>
      <c r="C42" s="128" t="s">
        <v>24</v>
      </c>
      <c r="D42" s="129" t="s">
        <v>25</v>
      </c>
      <c r="E42" s="130" t="s">
        <v>26</v>
      </c>
      <c r="F42" s="142" t="s">
        <v>61</v>
      </c>
      <c r="G42" s="142" t="s">
        <v>61</v>
      </c>
      <c r="H42" s="142" t="s">
        <v>61</v>
      </c>
      <c r="I42" s="142" t="s">
        <v>61</v>
      </c>
      <c r="J42" s="132">
        <v>0.9</v>
      </c>
      <c r="K42" s="133">
        <v>0.980952380952381</v>
      </c>
      <c r="L42" s="133">
        <v>0.901785714285714</v>
      </c>
      <c r="M42" s="134">
        <v>0.949152542372881</v>
      </c>
      <c r="N42" s="133">
        <v>0.97094322753688</v>
      </c>
      <c r="O42" s="135">
        <v>0.9</v>
      </c>
      <c r="P42" s="133">
        <v>0.993914409108755</v>
      </c>
      <c r="Q42" s="133">
        <v>0.996920061598768</v>
      </c>
      <c r="R42" s="133">
        <v>0.997738835500283</v>
      </c>
      <c r="S42" s="133">
        <v>0.997544799684993</v>
      </c>
      <c r="T42" s="135">
        <v>0.9</v>
      </c>
      <c r="U42" s="133">
        <v>0.843737730663526</v>
      </c>
      <c r="V42" s="133">
        <v>0.879742405151897</v>
      </c>
      <c r="W42" s="133">
        <v>0.906020350480497</v>
      </c>
      <c r="X42" s="133">
        <v>0.902594945993314</v>
      </c>
      <c r="Y42" s="135">
        <v>0.92</v>
      </c>
      <c r="Z42" s="135">
        <v>0.878977569118414</v>
      </c>
      <c r="AA42" s="135">
        <v>0.919723005898948</v>
      </c>
      <c r="AB42" s="135">
        <v>0.941398865784499</v>
      </c>
      <c r="AC42" s="135">
        <v>0.951440839810726</v>
      </c>
      <c r="AD42" s="135">
        <v>0.92</v>
      </c>
      <c r="AE42" s="133">
        <v>0.994715208455667</v>
      </c>
      <c r="AF42" s="133">
        <v>0.991803278688525</v>
      </c>
      <c r="AG42" s="133">
        <v>0.997358341038172</v>
      </c>
      <c r="AH42" s="133">
        <v>0.979444861215304</v>
      </c>
      <c r="AI42" s="135">
        <v>0.92</v>
      </c>
      <c r="AJ42" s="133">
        <v>0.919161676646707</v>
      </c>
      <c r="AK42" s="133">
        <v>0.937250996015936</v>
      </c>
      <c r="AL42" s="133">
        <v>0.958181971783391</v>
      </c>
      <c r="AM42" s="133">
        <v>0.967267077225329</v>
      </c>
      <c r="AN42" s="132">
        <v>0.99</v>
      </c>
      <c r="AO42" s="137">
        <v>1</v>
      </c>
      <c r="AP42" s="137">
        <v>1</v>
      </c>
      <c r="AQ42" s="137">
        <v>1</v>
      </c>
      <c r="AR42" s="137">
        <v>1</v>
      </c>
      <c r="AS42" s="139">
        <v>0.0872182100128262</v>
      </c>
      <c r="AT42" s="141">
        <v>0.0833333333333333</v>
      </c>
      <c r="AU42" s="141">
        <v>0.037037037037037</v>
      </c>
      <c r="AV42" s="141">
        <v>0.0185185185185185</v>
      </c>
      <c r="AW42" s="141">
        <v>0.0460122699386503</v>
      </c>
      <c r="AX42" s="95"/>
      <c r="AY42" s="93"/>
    </row>
    <row r="43" ht="14.5" spans="1:51">
      <c r="A43" s="91"/>
      <c r="B43" s="95"/>
      <c r="C43" s="128" t="s">
        <v>24</v>
      </c>
      <c r="D43" s="129" t="s">
        <v>25</v>
      </c>
      <c r="E43" s="130" t="s">
        <v>26</v>
      </c>
      <c r="F43" s="142" t="s">
        <v>62</v>
      </c>
      <c r="G43" s="142" t="s">
        <v>62</v>
      </c>
      <c r="H43" s="142" t="s">
        <v>62</v>
      </c>
      <c r="I43" s="142" t="s">
        <v>62</v>
      </c>
      <c r="J43" s="132">
        <v>0.9</v>
      </c>
      <c r="K43" s="133" t="s">
        <v>35</v>
      </c>
      <c r="L43" s="133" t="s">
        <v>35</v>
      </c>
      <c r="M43" s="134" t="s">
        <v>35</v>
      </c>
      <c r="N43" s="133" t="s">
        <v>35</v>
      </c>
      <c r="O43" s="135">
        <v>0.9</v>
      </c>
      <c r="P43" s="133" t="s">
        <v>35</v>
      </c>
      <c r="Q43" s="133" t="s">
        <v>35</v>
      </c>
      <c r="R43" s="133" t="s">
        <v>35</v>
      </c>
      <c r="S43" s="133">
        <v>0.714285714285714</v>
      </c>
      <c r="T43" s="135">
        <v>0.9</v>
      </c>
      <c r="U43" s="133" t="s">
        <v>35</v>
      </c>
      <c r="V43" s="133" t="s">
        <v>35</v>
      </c>
      <c r="W43" s="133" t="s">
        <v>35</v>
      </c>
      <c r="X43" s="133">
        <v>1</v>
      </c>
      <c r="Y43" s="135">
        <v>0.92</v>
      </c>
      <c r="Z43" s="135" t="s">
        <v>35</v>
      </c>
      <c r="AA43" s="135" t="s">
        <v>35</v>
      </c>
      <c r="AB43" s="135" t="s">
        <v>35</v>
      </c>
      <c r="AC43" s="135">
        <v>1</v>
      </c>
      <c r="AD43" s="135">
        <v>0.92</v>
      </c>
      <c r="AE43" s="133" t="s">
        <v>35</v>
      </c>
      <c r="AF43" s="133" t="s">
        <v>35</v>
      </c>
      <c r="AG43" s="133" t="s">
        <v>35</v>
      </c>
      <c r="AH43" s="133">
        <v>0.947368421052632</v>
      </c>
      <c r="AI43" s="135">
        <v>0.92</v>
      </c>
      <c r="AJ43" s="133" t="s">
        <v>35</v>
      </c>
      <c r="AK43" s="133" t="s">
        <v>35</v>
      </c>
      <c r="AL43" s="133" t="s">
        <v>35</v>
      </c>
      <c r="AM43" s="133">
        <v>0.923076923076923</v>
      </c>
      <c r="AN43" s="132">
        <v>0.99</v>
      </c>
      <c r="AO43" s="137" t="s">
        <v>35</v>
      </c>
      <c r="AP43" s="137" t="s">
        <v>35</v>
      </c>
      <c r="AQ43" s="137" t="s">
        <v>35</v>
      </c>
      <c r="AR43" s="137">
        <v>1</v>
      </c>
      <c r="AS43" s="139">
        <v>0.0872182100128262</v>
      </c>
      <c r="AT43" s="141" t="s">
        <v>35</v>
      </c>
      <c r="AU43" s="141" t="s">
        <v>35</v>
      </c>
      <c r="AV43" s="141" t="s">
        <v>35</v>
      </c>
      <c r="AW43" s="141" t="s">
        <v>35</v>
      </c>
      <c r="AX43" s="95"/>
      <c r="AY43" s="93"/>
    </row>
    <row r="44" ht="14.5" spans="1:51">
      <c r="A44" s="91"/>
      <c r="B44" s="95"/>
      <c r="C44" s="128" t="s">
        <v>24</v>
      </c>
      <c r="D44" s="129" t="s">
        <v>25</v>
      </c>
      <c r="E44" s="130" t="s">
        <v>26</v>
      </c>
      <c r="F44" s="142" t="s">
        <v>63</v>
      </c>
      <c r="G44" s="142" t="s">
        <v>63</v>
      </c>
      <c r="H44" s="142" t="s">
        <v>63</v>
      </c>
      <c r="I44" s="142" t="s">
        <v>63</v>
      </c>
      <c r="J44" s="132">
        <v>0.9</v>
      </c>
      <c r="K44" s="133">
        <v>0.884615384615385</v>
      </c>
      <c r="L44" s="133">
        <v>0.851063829787234</v>
      </c>
      <c r="M44" s="134">
        <v>0.916666666666667</v>
      </c>
      <c r="N44" s="133">
        <v>0.837890625</v>
      </c>
      <c r="O44" s="135">
        <v>0.9</v>
      </c>
      <c r="P44" s="133">
        <v>0.933219178082192</v>
      </c>
      <c r="Q44" s="133">
        <v>0.968957871396896</v>
      </c>
      <c r="R44" s="133">
        <v>0.957493857493858</v>
      </c>
      <c r="S44" s="133">
        <v>0.956065171734565</v>
      </c>
      <c r="T44" s="135">
        <v>0.9</v>
      </c>
      <c r="U44" s="133">
        <v>0.472602739726027</v>
      </c>
      <c r="V44" s="133">
        <v>0.509423503325942</v>
      </c>
      <c r="W44" s="133">
        <v>0.681326781326781</v>
      </c>
      <c r="X44" s="133">
        <v>0.557925357753167</v>
      </c>
      <c r="Y44" s="135">
        <v>0.92</v>
      </c>
      <c r="Z44" s="135">
        <v>0.856745479833102</v>
      </c>
      <c r="AA44" s="135">
        <v>0.823145884270579</v>
      </c>
      <c r="AB44" s="135">
        <v>0.873326467559217</v>
      </c>
      <c r="AC44" s="135">
        <v>0.866126841222065</v>
      </c>
      <c r="AD44" s="135">
        <v>0.92</v>
      </c>
      <c r="AE44" s="133">
        <v>0.777777777777778</v>
      </c>
      <c r="AF44" s="133">
        <v>0.956521739130435</v>
      </c>
      <c r="AG44" s="133">
        <v>0.8</v>
      </c>
      <c r="AH44" s="133">
        <v>0.665467625899281</v>
      </c>
      <c r="AI44" s="135">
        <v>0.92</v>
      </c>
      <c r="AJ44" s="133">
        <v>0.728222039021709</v>
      </c>
      <c r="AK44" s="133">
        <v>0.733815925542916</v>
      </c>
      <c r="AL44" s="133">
        <v>0.857950765136394</v>
      </c>
      <c r="AM44" s="133">
        <v>0.878758427458191</v>
      </c>
      <c r="AN44" s="132">
        <v>0.99</v>
      </c>
      <c r="AO44" s="137">
        <v>1</v>
      </c>
      <c r="AP44" s="137">
        <v>1</v>
      </c>
      <c r="AQ44" s="137">
        <v>1</v>
      </c>
      <c r="AR44" s="137">
        <v>1</v>
      </c>
      <c r="AS44" s="139">
        <v>0.0872182100128262</v>
      </c>
      <c r="AT44" s="141">
        <v>0.0652173913043478</v>
      </c>
      <c r="AU44" s="141">
        <v>0.0263157894736842</v>
      </c>
      <c r="AV44" s="141">
        <v>0.075</v>
      </c>
      <c r="AW44" s="141">
        <v>0.0459905660377358</v>
      </c>
      <c r="AX44" s="95"/>
      <c r="AY44" s="93"/>
    </row>
    <row r="45" ht="14.5" spans="1:51">
      <c r="A45" s="91"/>
      <c r="B45" s="95"/>
      <c r="C45" s="128" t="s">
        <v>24</v>
      </c>
      <c r="D45" s="129" t="s">
        <v>25</v>
      </c>
      <c r="E45" s="130" t="s">
        <v>26</v>
      </c>
      <c r="F45" s="142" t="s">
        <v>64</v>
      </c>
      <c r="G45" s="142" t="s">
        <v>64</v>
      </c>
      <c r="H45" s="142" t="s">
        <v>64</v>
      </c>
      <c r="I45" s="142" t="s">
        <v>64</v>
      </c>
      <c r="J45" s="132">
        <v>0.9</v>
      </c>
      <c r="K45" s="133">
        <v>0.885714285714286</v>
      </c>
      <c r="L45" s="133">
        <v>0.844827586206897</v>
      </c>
      <c r="M45" s="134">
        <v>0.833333333333333</v>
      </c>
      <c r="N45" s="133">
        <v>0.892100192678227</v>
      </c>
      <c r="O45" s="135">
        <v>0.9</v>
      </c>
      <c r="P45" s="133">
        <v>0.736273291925466</v>
      </c>
      <c r="Q45" s="133">
        <v>0.904934573545641</v>
      </c>
      <c r="R45" s="133">
        <v>0.854104787929191</v>
      </c>
      <c r="S45" s="133">
        <v>0.853711720888776</v>
      </c>
      <c r="T45" s="135">
        <v>0.9</v>
      </c>
      <c r="U45" s="133">
        <v>0.596521739130435</v>
      </c>
      <c r="V45" s="133">
        <v>0.839823427400284</v>
      </c>
      <c r="W45" s="133">
        <v>0.868480456219556</v>
      </c>
      <c r="X45" s="133">
        <v>0.819363977844273</v>
      </c>
      <c r="Y45" s="135">
        <v>0.92</v>
      </c>
      <c r="Z45" s="135">
        <v>0.726540011514105</v>
      </c>
      <c r="AA45" s="135">
        <v>0.969717475892404</v>
      </c>
      <c r="AB45" s="135">
        <v>0.980036297640653</v>
      </c>
      <c r="AC45" s="135">
        <v>0.96486362199293</v>
      </c>
      <c r="AD45" s="135">
        <v>0.92</v>
      </c>
      <c r="AE45" s="133">
        <v>0.997269116186693</v>
      </c>
      <c r="AF45" s="133">
        <v>0.999268160015824</v>
      </c>
      <c r="AG45" s="133">
        <v>0.999217353656235</v>
      </c>
      <c r="AH45" s="133">
        <v>0.997620723760374</v>
      </c>
      <c r="AI45" s="135">
        <v>0.92</v>
      </c>
      <c r="AJ45" s="133">
        <v>0.662272333044232</v>
      </c>
      <c r="AK45" s="133">
        <v>0.95362295215584</v>
      </c>
      <c r="AL45" s="133">
        <v>0.980363126314969</v>
      </c>
      <c r="AM45" s="133">
        <v>0.961665446690452</v>
      </c>
      <c r="AN45" s="132">
        <v>0.99</v>
      </c>
      <c r="AO45" s="137">
        <v>1</v>
      </c>
      <c r="AP45" s="137">
        <v>1</v>
      </c>
      <c r="AQ45" s="137">
        <v>1</v>
      </c>
      <c r="AR45" s="137">
        <v>1</v>
      </c>
      <c r="AS45" s="139">
        <v>0.0872182100128262</v>
      </c>
      <c r="AT45" s="141">
        <v>0</v>
      </c>
      <c r="AU45" s="141">
        <v>0.0384615384615385</v>
      </c>
      <c r="AV45" s="141">
        <v>0</v>
      </c>
      <c r="AW45" s="141">
        <v>0.0535714285714286</v>
      </c>
      <c r="AX45" s="95"/>
      <c r="AY45" s="93"/>
    </row>
    <row r="46" ht="14.5" spans="1:51">
      <c r="A46" s="91"/>
      <c r="B46" s="95"/>
      <c r="C46" s="128" t="s">
        <v>24</v>
      </c>
      <c r="D46" s="129" t="s">
        <v>25</v>
      </c>
      <c r="E46" s="130" t="s">
        <v>26</v>
      </c>
      <c r="F46" s="142" t="s">
        <v>65</v>
      </c>
      <c r="G46" s="142" t="s">
        <v>65</v>
      </c>
      <c r="H46" s="142" t="s">
        <v>65</v>
      </c>
      <c r="I46" s="142" t="s">
        <v>65</v>
      </c>
      <c r="J46" s="132">
        <v>0.9</v>
      </c>
      <c r="K46" s="133" t="s">
        <v>35</v>
      </c>
      <c r="L46" s="133" t="s">
        <v>35</v>
      </c>
      <c r="M46" s="134" t="s">
        <v>35</v>
      </c>
      <c r="N46" s="133">
        <v>0.926694329183956</v>
      </c>
      <c r="O46" s="135">
        <v>0.9</v>
      </c>
      <c r="P46" s="133">
        <v>0.960655737704918</v>
      </c>
      <c r="Q46" s="133">
        <v>0.966029723991507</v>
      </c>
      <c r="R46" s="133">
        <v>0.977777777777778</v>
      </c>
      <c r="S46" s="133">
        <v>0.948056254804721</v>
      </c>
      <c r="T46" s="135">
        <v>0.9</v>
      </c>
      <c r="U46" s="133">
        <v>0.973770491803279</v>
      </c>
      <c r="V46" s="133">
        <v>0.840764331210191</v>
      </c>
      <c r="W46" s="133">
        <v>0.977777777777778</v>
      </c>
      <c r="X46" s="133">
        <v>0.789225365912482</v>
      </c>
      <c r="Y46" s="135">
        <v>0.92</v>
      </c>
      <c r="Z46" s="135">
        <v>0.984924623115578</v>
      </c>
      <c r="AA46" s="135">
        <v>0.981818181818182</v>
      </c>
      <c r="AB46" s="135">
        <v>0.991666666666667</v>
      </c>
      <c r="AC46" s="135">
        <v>0.910860129742848</v>
      </c>
      <c r="AD46" s="135">
        <v>0.92</v>
      </c>
      <c r="AE46" s="133" t="s">
        <v>35</v>
      </c>
      <c r="AF46" s="133" t="s">
        <v>35</v>
      </c>
      <c r="AG46" s="133">
        <v>0.441666666666667</v>
      </c>
      <c r="AH46" s="133">
        <v>0.9709256622045</v>
      </c>
      <c r="AI46" s="135">
        <v>0.92</v>
      </c>
      <c r="AJ46" s="133">
        <v>0.970472440944882</v>
      </c>
      <c r="AK46" s="133">
        <v>0.977044476327116</v>
      </c>
      <c r="AL46" s="133">
        <v>0.978386167146974</v>
      </c>
      <c r="AM46" s="133">
        <v>0.945026273870773</v>
      </c>
      <c r="AN46" s="132">
        <v>0.99</v>
      </c>
      <c r="AO46" s="137" t="s">
        <v>35</v>
      </c>
      <c r="AP46" s="137" t="s">
        <v>35</v>
      </c>
      <c r="AQ46" s="137" t="s">
        <v>35</v>
      </c>
      <c r="AR46" s="137">
        <v>0.999323867478026</v>
      </c>
      <c r="AS46" s="139">
        <v>0.0872182100128262</v>
      </c>
      <c r="AT46" s="141">
        <v>0</v>
      </c>
      <c r="AU46" s="141" t="s">
        <v>35</v>
      </c>
      <c r="AV46" s="141" t="s">
        <v>35</v>
      </c>
      <c r="AW46" s="141">
        <v>0.0687203791469194</v>
      </c>
      <c r="AX46" s="95"/>
      <c r="AY46" s="93"/>
    </row>
    <row r="47" ht="14.5" spans="1:51">
      <c r="A47" s="91"/>
      <c r="B47" s="95"/>
      <c r="C47" s="128" t="s">
        <v>24</v>
      </c>
      <c r="D47" s="129" t="s">
        <v>25</v>
      </c>
      <c r="E47" s="130" t="s">
        <v>26</v>
      </c>
      <c r="F47" s="142" t="s">
        <v>66</v>
      </c>
      <c r="G47" s="142" t="s">
        <v>66</v>
      </c>
      <c r="H47" s="142" t="s">
        <v>66</v>
      </c>
      <c r="I47" s="142" t="s">
        <v>66</v>
      </c>
      <c r="J47" s="132">
        <v>0.9</v>
      </c>
      <c r="K47" s="133">
        <v>0.932584269662921</v>
      </c>
      <c r="L47" s="133">
        <v>0.809090909090909</v>
      </c>
      <c r="M47" s="134">
        <v>0.923076923076923</v>
      </c>
      <c r="N47" s="133">
        <v>0.89309127584468</v>
      </c>
      <c r="O47" s="135">
        <v>0.9</v>
      </c>
      <c r="P47" s="133">
        <v>0.958282950423216</v>
      </c>
      <c r="Q47" s="133">
        <v>0.949949223850283</v>
      </c>
      <c r="R47" s="133">
        <v>0.972478429038977</v>
      </c>
      <c r="S47" s="133">
        <v>0.943026870633137</v>
      </c>
      <c r="T47" s="135">
        <v>0.9</v>
      </c>
      <c r="U47" s="133">
        <v>0.789399435711407</v>
      </c>
      <c r="V47" s="133">
        <v>0.793558682721602</v>
      </c>
      <c r="W47" s="133">
        <v>0.84647426361202</v>
      </c>
      <c r="X47" s="133">
        <v>0.802810181907723</v>
      </c>
      <c r="Y47" s="135">
        <v>0.92</v>
      </c>
      <c r="Z47" s="135">
        <v>0.862099253403601</v>
      </c>
      <c r="AA47" s="135">
        <v>0.901433691756272</v>
      </c>
      <c r="AB47" s="135">
        <v>0.949943374858437</v>
      </c>
      <c r="AC47" s="135">
        <v>0.946104965874323</v>
      </c>
      <c r="AD47" s="135">
        <v>0.92</v>
      </c>
      <c r="AE47" s="133">
        <v>0.998505678421996</v>
      </c>
      <c r="AF47" s="133">
        <v>0.998834413928754</v>
      </c>
      <c r="AG47" s="133">
        <v>0.996666810960565</v>
      </c>
      <c r="AH47" s="133">
        <v>0.983613734750098</v>
      </c>
      <c r="AI47" s="135">
        <v>0.92</v>
      </c>
      <c r="AJ47" s="133">
        <v>0.889302967563837</v>
      </c>
      <c r="AK47" s="133">
        <v>0.916010741735346</v>
      </c>
      <c r="AL47" s="133">
        <v>0.960595996768692</v>
      </c>
      <c r="AM47" s="133">
        <v>0.959790242976462</v>
      </c>
      <c r="AN47" s="132">
        <v>0.99</v>
      </c>
      <c r="AO47" s="137">
        <v>1</v>
      </c>
      <c r="AP47" s="137">
        <v>1</v>
      </c>
      <c r="AQ47" s="137">
        <v>1</v>
      </c>
      <c r="AR47" s="137">
        <v>1</v>
      </c>
      <c r="AS47" s="139">
        <v>0.0872182100128262</v>
      </c>
      <c r="AT47" s="141">
        <v>0.0344827586206897</v>
      </c>
      <c r="AU47" s="141">
        <v>0.0930232558139535</v>
      </c>
      <c r="AV47" s="141">
        <v>0.0540540540540541</v>
      </c>
      <c r="AW47" s="141">
        <v>0.0718711276332094</v>
      </c>
      <c r="AX47" s="95"/>
      <c r="AY47" s="93"/>
    </row>
    <row r="48" ht="14.5" spans="1:51">
      <c r="A48" s="91"/>
      <c r="B48" s="95"/>
      <c r="C48" s="128" t="s">
        <v>24</v>
      </c>
      <c r="D48" s="129" t="s">
        <v>25</v>
      </c>
      <c r="E48" s="130" t="s">
        <v>26</v>
      </c>
      <c r="F48" s="142" t="s">
        <v>67</v>
      </c>
      <c r="G48" s="142" t="s">
        <v>67</v>
      </c>
      <c r="H48" s="142" t="s">
        <v>67</v>
      </c>
      <c r="I48" s="142" t="s">
        <v>67</v>
      </c>
      <c r="J48" s="132">
        <v>0.9</v>
      </c>
      <c r="K48" s="133">
        <v>0.966101694915254</v>
      </c>
      <c r="L48" s="133">
        <v>0.970588235294118</v>
      </c>
      <c r="M48" s="134">
        <v>0.985074626865672</v>
      </c>
      <c r="N48" s="133">
        <v>0.976647206005004</v>
      </c>
      <c r="O48" s="135">
        <v>0.9</v>
      </c>
      <c r="P48" s="133">
        <v>0.958911015881018</v>
      </c>
      <c r="Q48" s="133">
        <v>0.978454968944099</v>
      </c>
      <c r="R48" s="133">
        <v>0.924711596842744</v>
      </c>
      <c r="S48" s="133">
        <v>0.952467832783512</v>
      </c>
      <c r="T48" s="135">
        <v>0.9</v>
      </c>
      <c r="U48" s="133">
        <v>0.826317116208722</v>
      </c>
      <c r="V48" s="133">
        <v>0.873253105590062</v>
      </c>
      <c r="W48" s="133">
        <v>0.895770087026918</v>
      </c>
      <c r="X48" s="133">
        <v>0.859694716408728</v>
      </c>
      <c r="Y48" s="135">
        <v>0.92</v>
      </c>
      <c r="Z48" s="135">
        <v>0.902327935222672</v>
      </c>
      <c r="AA48" s="135">
        <v>0.942544459644323</v>
      </c>
      <c r="AB48" s="135">
        <v>0.954545454545455</v>
      </c>
      <c r="AC48" s="135">
        <v>0.957555178268251</v>
      </c>
      <c r="AD48" s="135">
        <v>0.92</v>
      </c>
      <c r="AE48" s="133">
        <v>0.907750197244644</v>
      </c>
      <c r="AF48" s="133">
        <v>0.994788768024285</v>
      </c>
      <c r="AG48" s="133">
        <v>0.99355012899742</v>
      </c>
      <c r="AH48" s="133">
        <v>0.980074228342742</v>
      </c>
      <c r="AI48" s="135">
        <v>0.92</v>
      </c>
      <c r="AJ48" s="133">
        <v>0.915391084945332</v>
      </c>
      <c r="AK48" s="133">
        <v>0.953583364277757</v>
      </c>
      <c r="AL48" s="133">
        <v>0.969947682199781</v>
      </c>
      <c r="AM48" s="133">
        <v>0.970678468387316</v>
      </c>
      <c r="AN48" s="132">
        <v>0.99</v>
      </c>
      <c r="AO48" s="137">
        <v>1</v>
      </c>
      <c r="AP48" s="137">
        <v>1</v>
      </c>
      <c r="AQ48" s="137">
        <v>1</v>
      </c>
      <c r="AR48" s="137">
        <v>1</v>
      </c>
      <c r="AS48" s="139">
        <v>0.0872182100128262</v>
      </c>
      <c r="AT48" s="141">
        <v>0.0333333333333333</v>
      </c>
      <c r="AU48" s="141">
        <v>0.0256410256410256</v>
      </c>
      <c r="AV48" s="141">
        <v>0.0689655172413793</v>
      </c>
      <c r="AW48" s="141">
        <v>0.0450070323488045</v>
      </c>
      <c r="AX48" s="95"/>
      <c r="AY48" s="93"/>
    </row>
    <row r="49" ht="14.5" spans="1:51">
      <c r="A49" s="91"/>
      <c r="B49" s="95"/>
      <c r="C49" s="128" t="s">
        <v>24</v>
      </c>
      <c r="D49" s="129" t="s">
        <v>25</v>
      </c>
      <c r="E49" s="130" t="s">
        <v>26</v>
      </c>
      <c r="F49" s="142" t="s">
        <v>68</v>
      </c>
      <c r="G49" s="142" t="s">
        <v>68</v>
      </c>
      <c r="H49" s="142" t="s">
        <v>68</v>
      </c>
      <c r="I49" s="142" t="s">
        <v>68</v>
      </c>
      <c r="J49" s="132">
        <v>0.9</v>
      </c>
      <c r="K49" s="133">
        <v>0.911111111111111</v>
      </c>
      <c r="L49" s="133">
        <v>0.94</v>
      </c>
      <c r="M49" s="134">
        <v>0.94</v>
      </c>
      <c r="N49" s="133">
        <v>0.945945945945946</v>
      </c>
      <c r="O49" s="135">
        <v>0.9</v>
      </c>
      <c r="P49" s="133">
        <v>0.822544951590595</v>
      </c>
      <c r="Q49" s="133">
        <v>0.80238620413074</v>
      </c>
      <c r="R49" s="133">
        <v>0.986782183716539</v>
      </c>
      <c r="S49" s="133">
        <v>0.93372497791336</v>
      </c>
      <c r="T49" s="135">
        <v>0.9</v>
      </c>
      <c r="U49" s="133">
        <v>0.842461964038728</v>
      </c>
      <c r="V49" s="133">
        <v>0.940745939442551</v>
      </c>
      <c r="W49" s="133">
        <v>0.93479951127402</v>
      </c>
      <c r="X49" s="133">
        <v>0.912559558418219</v>
      </c>
      <c r="Y49" s="135">
        <v>0.92</v>
      </c>
      <c r="Z49" s="135">
        <v>0.868381240544629</v>
      </c>
      <c r="AA49" s="135">
        <v>0.967387109224238</v>
      </c>
      <c r="AB49" s="135">
        <v>0.970647219690064</v>
      </c>
      <c r="AC49" s="135">
        <v>0.969044680325845</v>
      </c>
      <c r="AD49" s="135">
        <v>0.92</v>
      </c>
      <c r="AE49" s="133">
        <v>0.989948184223986</v>
      </c>
      <c r="AF49" s="133">
        <v>0.992136680398025</v>
      </c>
      <c r="AG49" s="133">
        <v>0.988683328982859</v>
      </c>
      <c r="AH49" s="133">
        <v>0.981795533722153</v>
      </c>
      <c r="AI49" s="135">
        <v>0.92</v>
      </c>
      <c r="AJ49" s="133">
        <v>0.869909788382093</v>
      </c>
      <c r="AK49" s="133">
        <v>0.97532818787519</v>
      </c>
      <c r="AL49" s="133">
        <v>0.978676419846801</v>
      </c>
      <c r="AM49" s="133">
        <v>0.975833306013104</v>
      </c>
      <c r="AN49" s="132">
        <v>0.99</v>
      </c>
      <c r="AO49" s="137">
        <v>1</v>
      </c>
      <c r="AP49" s="137">
        <v>1</v>
      </c>
      <c r="AQ49" s="137">
        <v>1</v>
      </c>
      <c r="AR49" s="137">
        <v>1</v>
      </c>
      <c r="AS49" s="139">
        <v>0.0872182100128262</v>
      </c>
      <c r="AT49" s="141">
        <v>0</v>
      </c>
      <c r="AU49" s="141">
        <v>0.105263157894737</v>
      </c>
      <c r="AV49" s="141">
        <v>0.0357142857142857</v>
      </c>
      <c r="AW49" s="141">
        <v>0.0742705570291777</v>
      </c>
      <c r="AX49" s="95"/>
      <c r="AY49" s="93"/>
    </row>
    <row r="50" ht="14.5" spans="1:51">
      <c r="A50" s="91"/>
      <c r="B50" s="95"/>
      <c r="C50" s="128" t="s">
        <v>24</v>
      </c>
      <c r="D50" s="129" t="s">
        <v>25</v>
      </c>
      <c r="E50" s="130" t="s">
        <v>26</v>
      </c>
      <c r="F50" s="142" t="s">
        <v>69</v>
      </c>
      <c r="G50" s="142" t="s">
        <v>69</v>
      </c>
      <c r="H50" s="142" t="s">
        <v>69</v>
      </c>
      <c r="I50" s="142" t="s">
        <v>69</v>
      </c>
      <c r="J50" s="132">
        <v>0.9</v>
      </c>
      <c r="K50" s="133">
        <v>0.95</v>
      </c>
      <c r="L50" s="133">
        <v>0.909090909090909</v>
      </c>
      <c r="M50" s="134">
        <v>0.925233644859813</v>
      </c>
      <c r="N50" s="133">
        <v>0.931888544891641</v>
      </c>
      <c r="O50" s="135">
        <v>0.9</v>
      </c>
      <c r="P50" s="133">
        <v>0.902760860738936</v>
      </c>
      <c r="Q50" s="133">
        <v>0.901270132250884</v>
      </c>
      <c r="R50" s="133">
        <v>0.908680381334671</v>
      </c>
      <c r="S50" s="133">
        <v>0.896680175201605</v>
      </c>
      <c r="T50" s="135">
        <v>0.9</v>
      </c>
      <c r="U50" s="133">
        <v>0.694275274056029</v>
      </c>
      <c r="V50" s="133">
        <v>0.628257169045437</v>
      </c>
      <c r="W50" s="133">
        <v>0.687782237832413</v>
      </c>
      <c r="X50" s="133">
        <v>0.648027617449207</v>
      </c>
      <c r="Y50" s="135">
        <v>0.92</v>
      </c>
      <c r="Z50" s="135">
        <v>0.793234873749404</v>
      </c>
      <c r="AA50" s="135">
        <v>0.795201582982933</v>
      </c>
      <c r="AB50" s="135">
        <v>0.864847715736041</v>
      </c>
      <c r="AC50" s="135">
        <v>0.886438008867842</v>
      </c>
      <c r="AD50" s="135">
        <v>0.92</v>
      </c>
      <c r="AE50" s="133">
        <v>0.956521739130435</v>
      </c>
      <c r="AF50" s="133">
        <v>0.928104575163399</v>
      </c>
      <c r="AG50" s="133">
        <v>0.993939393939394</v>
      </c>
      <c r="AH50" s="133">
        <v>0.887890884896873</v>
      </c>
      <c r="AI50" s="135">
        <v>0.92</v>
      </c>
      <c r="AJ50" s="133">
        <v>0.848385720381169</v>
      </c>
      <c r="AK50" s="133">
        <v>0.845119863013699</v>
      </c>
      <c r="AL50" s="133">
        <v>0.898110236220472</v>
      </c>
      <c r="AM50" s="133">
        <v>0.921703151270291</v>
      </c>
      <c r="AN50" s="132">
        <v>0.99</v>
      </c>
      <c r="AO50" s="137">
        <v>1</v>
      </c>
      <c r="AP50" s="137">
        <v>1</v>
      </c>
      <c r="AQ50" s="137">
        <v>1</v>
      </c>
      <c r="AR50" s="137">
        <v>1</v>
      </c>
      <c r="AS50" s="139">
        <v>0.0872182100128262</v>
      </c>
      <c r="AT50" s="141">
        <v>0.162162162162162</v>
      </c>
      <c r="AU50" s="141">
        <v>0.0625</v>
      </c>
      <c r="AV50" s="141">
        <v>0.0444444444444444</v>
      </c>
      <c r="AW50" s="141">
        <v>0.0645161290322581</v>
      </c>
      <c r="AX50" s="95"/>
      <c r="AY50" s="93"/>
    </row>
    <row r="51" ht="14.5" spans="1:51">
      <c r="A51" s="91"/>
      <c r="B51" s="95"/>
      <c r="C51" s="128" t="s">
        <v>24</v>
      </c>
      <c r="D51" s="129" t="s">
        <v>25</v>
      </c>
      <c r="E51" s="130" t="s">
        <v>26</v>
      </c>
      <c r="F51" s="142" t="s">
        <v>70</v>
      </c>
      <c r="G51" s="142" t="s">
        <v>70</v>
      </c>
      <c r="H51" s="142" t="s">
        <v>70</v>
      </c>
      <c r="I51" s="142" t="s">
        <v>70</v>
      </c>
      <c r="J51" s="132">
        <v>0.9</v>
      </c>
      <c r="K51" s="133">
        <v>0.885057471264368</v>
      </c>
      <c r="L51" s="133">
        <v>0.931818181818182</v>
      </c>
      <c r="M51" s="134">
        <v>0.904255319148936</v>
      </c>
      <c r="N51" s="133">
        <v>0.917617237008872</v>
      </c>
      <c r="O51" s="135">
        <v>0.9</v>
      </c>
      <c r="P51" s="133">
        <v>0.952181414838551</v>
      </c>
      <c r="Q51" s="133">
        <v>0.961025463363936</v>
      </c>
      <c r="R51" s="133">
        <v>0.950948800572861</v>
      </c>
      <c r="S51" s="133">
        <v>0.936049858812563</v>
      </c>
      <c r="T51" s="135">
        <v>0.9</v>
      </c>
      <c r="U51" s="133">
        <v>0.82326842494454</v>
      </c>
      <c r="V51" s="133">
        <v>0.809977481378833</v>
      </c>
      <c r="W51" s="133">
        <v>0.87468671679198</v>
      </c>
      <c r="X51" s="133">
        <v>0.814692631752095</v>
      </c>
      <c r="Y51" s="135">
        <v>0.92</v>
      </c>
      <c r="Z51" s="135">
        <v>0.893837705918243</v>
      </c>
      <c r="AA51" s="135">
        <v>0.897404580152672</v>
      </c>
      <c r="AB51" s="135">
        <v>0.927704485488127</v>
      </c>
      <c r="AC51" s="135">
        <v>0.93759916137806</v>
      </c>
      <c r="AD51" s="135">
        <v>0.92</v>
      </c>
      <c r="AE51" s="133">
        <v>0.833333333333333</v>
      </c>
      <c r="AF51" s="133">
        <v>0.6</v>
      </c>
      <c r="AG51" s="133">
        <v>1</v>
      </c>
      <c r="AH51" s="133">
        <v>0.777777777777778</v>
      </c>
      <c r="AI51" s="135">
        <v>0.92</v>
      </c>
      <c r="AJ51" s="133">
        <v>0.934175882043181</v>
      </c>
      <c r="AK51" s="133">
        <v>0.93368700265252</v>
      </c>
      <c r="AL51" s="133">
        <v>0.958088941025914</v>
      </c>
      <c r="AM51" s="133">
        <v>0.960578354478192</v>
      </c>
      <c r="AN51" s="132">
        <v>0.99</v>
      </c>
      <c r="AO51" s="137">
        <v>1</v>
      </c>
      <c r="AP51" s="137">
        <v>1</v>
      </c>
      <c r="AQ51" s="137">
        <v>1</v>
      </c>
      <c r="AR51" s="137">
        <v>1</v>
      </c>
      <c r="AS51" s="139">
        <v>0.0872182100128262</v>
      </c>
      <c r="AT51" s="141">
        <v>0.05</v>
      </c>
      <c r="AU51" s="141">
        <v>0.0222222222222222</v>
      </c>
      <c r="AV51" s="141">
        <v>0.0232558139534884</v>
      </c>
      <c r="AW51" s="141">
        <v>0.0540216086434574</v>
      </c>
      <c r="AX51" s="95"/>
      <c r="AY51" s="93"/>
    </row>
    <row r="52" ht="14.5" spans="1:51">
      <c r="A52" s="91"/>
      <c r="B52" s="95"/>
      <c r="C52" s="128" t="s">
        <v>24</v>
      </c>
      <c r="D52" s="129" t="s">
        <v>25</v>
      </c>
      <c r="E52" s="130" t="s">
        <v>26</v>
      </c>
      <c r="F52" s="142" t="s">
        <v>71</v>
      </c>
      <c r="G52" s="142" t="s">
        <v>71</v>
      </c>
      <c r="H52" s="142" t="s">
        <v>71</v>
      </c>
      <c r="I52" s="142" t="s">
        <v>71</v>
      </c>
      <c r="J52" s="132">
        <v>0.9</v>
      </c>
      <c r="K52" s="133">
        <v>1</v>
      </c>
      <c r="L52" s="133">
        <v>0.949367088607595</v>
      </c>
      <c r="M52" s="134">
        <v>0.951219512195122</v>
      </c>
      <c r="N52" s="133">
        <v>0.974860335195531</v>
      </c>
      <c r="O52" s="135">
        <v>0.9</v>
      </c>
      <c r="P52" s="133">
        <v>0.991708723864456</v>
      </c>
      <c r="Q52" s="133">
        <v>0.995757093609122</v>
      </c>
      <c r="R52" s="133">
        <v>0.991915727584517</v>
      </c>
      <c r="S52" s="133">
        <v>0.993059166374442</v>
      </c>
      <c r="T52" s="135">
        <v>0.9</v>
      </c>
      <c r="U52" s="133">
        <v>0.886806056236482</v>
      </c>
      <c r="V52" s="133">
        <v>0.881994166003712</v>
      </c>
      <c r="W52" s="133">
        <v>0.895639392454679</v>
      </c>
      <c r="X52" s="133">
        <v>0.916202130618266</v>
      </c>
      <c r="Y52" s="135">
        <v>0.92</v>
      </c>
      <c r="Z52" s="135">
        <v>0.906656465187452</v>
      </c>
      <c r="AA52" s="135">
        <v>0.911622276029056</v>
      </c>
      <c r="AB52" s="135">
        <v>0.946422398893882</v>
      </c>
      <c r="AC52" s="135">
        <v>0.953871321480576</v>
      </c>
      <c r="AD52" s="135">
        <v>0.92</v>
      </c>
      <c r="AE52" s="133">
        <v>0.995746943115364</v>
      </c>
      <c r="AF52" s="133">
        <v>0.994973388527499</v>
      </c>
      <c r="AG52" s="133">
        <v>0.990734306231179</v>
      </c>
      <c r="AH52" s="133">
        <v>0.977354592287512</v>
      </c>
      <c r="AI52" s="135">
        <v>0.92</v>
      </c>
      <c r="AJ52" s="133">
        <v>0.930705190989226</v>
      </c>
      <c r="AK52" s="133">
        <v>0.936309809569531</v>
      </c>
      <c r="AL52" s="133">
        <v>0.957126469744766</v>
      </c>
      <c r="AM52" s="133">
        <v>0.968353561127937</v>
      </c>
      <c r="AN52" s="132">
        <v>0.99</v>
      </c>
      <c r="AO52" s="137">
        <v>1</v>
      </c>
      <c r="AP52" s="137">
        <v>1</v>
      </c>
      <c r="AQ52" s="137">
        <v>1</v>
      </c>
      <c r="AR52" s="137">
        <v>1</v>
      </c>
      <c r="AS52" s="139">
        <v>0.0872182100128262</v>
      </c>
      <c r="AT52" s="141">
        <v>0.0952380952380952</v>
      </c>
      <c r="AU52" s="141">
        <v>0.112903225806452</v>
      </c>
      <c r="AV52" s="141">
        <v>0.0327868852459016</v>
      </c>
      <c r="AW52" s="141">
        <v>0.0664621676891615</v>
      </c>
      <c r="AX52" s="95"/>
      <c r="AY52" s="93"/>
    </row>
    <row r="53" ht="14.5" spans="1:51">
      <c r="A53" s="91"/>
      <c r="B53" s="95"/>
      <c r="C53" s="128" t="s">
        <v>24</v>
      </c>
      <c r="D53" s="129" t="s">
        <v>25</v>
      </c>
      <c r="E53" s="130" t="s">
        <v>26</v>
      </c>
      <c r="F53" s="142" t="s">
        <v>72</v>
      </c>
      <c r="G53" s="142" t="s">
        <v>72</v>
      </c>
      <c r="H53" s="142" t="s">
        <v>72</v>
      </c>
      <c r="I53" s="142" t="s">
        <v>72</v>
      </c>
      <c r="J53" s="132">
        <v>0.9</v>
      </c>
      <c r="K53" s="133">
        <v>0.883720930232558</v>
      </c>
      <c r="L53" s="133">
        <v>0.91304347826087</v>
      </c>
      <c r="M53" s="134">
        <v>0.938775510204082</v>
      </c>
      <c r="N53" s="133">
        <v>0.952655889145496</v>
      </c>
      <c r="O53" s="135">
        <v>0.9</v>
      </c>
      <c r="P53" s="133">
        <v>0.527225987380229</v>
      </c>
      <c r="Q53" s="133">
        <v>0.959057767807067</v>
      </c>
      <c r="R53" s="133">
        <v>0.963827969239533</v>
      </c>
      <c r="S53" s="133">
        <v>0.925872605476554</v>
      </c>
      <c r="T53" s="135">
        <v>0.9</v>
      </c>
      <c r="U53" s="133">
        <v>0.893900444028979</v>
      </c>
      <c r="V53" s="133">
        <v>0.820807627593943</v>
      </c>
      <c r="W53" s="133">
        <v>0.853318142979208</v>
      </c>
      <c r="X53" s="133">
        <v>0.831134680926078</v>
      </c>
      <c r="Y53" s="135">
        <v>0.92</v>
      </c>
      <c r="Z53" s="135">
        <v>0.832007952286282</v>
      </c>
      <c r="AA53" s="135">
        <v>0.904200819672131</v>
      </c>
      <c r="AB53" s="135">
        <v>0.922561741314357</v>
      </c>
      <c r="AC53" s="135">
        <v>0.936246626531036</v>
      </c>
      <c r="AD53" s="135">
        <v>0.92</v>
      </c>
      <c r="AE53" s="133">
        <v>0.997914494264859</v>
      </c>
      <c r="AF53" s="133">
        <v>0.959083469721768</v>
      </c>
      <c r="AG53" s="133">
        <v>0.946188340807175</v>
      </c>
      <c r="AH53" s="133">
        <v>0.952844609863086</v>
      </c>
      <c r="AI53" s="135">
        <v>0.92</v>
      </c>
      <c r="AJ53" s="133">
        <v>0.922640438812181</v>
      </c>
      <c r="AK53" s="133">
        <v>0.916636462486408</v>
      </c>
      <c r="AL53" s="133">
        <v>0.938305084745763</v>
      </c>
      <c r="AM53" s="133">
        <v>0.953534780103046</v>
      </c>
      <c r="AN53" s="132">
        <v>0.99</v>
      </c>
      <c r="AO53" s="137">
        <v>1</v>
      </c>
      <c r="AP53" s="137">
        <v>1</v>
      </c>
      <c r="AQ53" s="137">
        <v>1</v>
      </c>
      <c r="AR53" s="137">
        <v>1</v>
      </c>
      <c r="AS53" s="139">
        <v>0.0872182100128262</v>
      </c>
      <c r="AT53" s="141">
        <v>0.0869565217391304</v>
      </c>
      <c r="AU53" s="141">
        <v>0.0645161290322581</v>
      </c>
      <c r="AV53" s="141">
        <v>0.0769230769230769</v>
      </c>
      <c r="AW53" s="141">
        <v>0.0505415162454874</v>
      </c>
      <c r="AX53" s="95"/>
      <c r="AY53" s="93"/>
    </row>
    <row r="54" ht="14.5" spans="1:51">
      <c r="A54" s="91"/>
      <c r="B54" s="95"/>
      <c r="C54" s="128" t="s">
        <v>24</v>
      </c>
      <c r="D54" s="129" t="s">
        <v>25</v>
      </c>
      <c r="E54" s="130" t="s">
        <v>26</v>
      </c>
      <c r="F54" s="142" t="s">
        <v>73</v>
      </c>
      <c r="G54" s="142" t="s">
        <v>73</v>
      </c>
      <c r="H54" s="142" t="s">
        <v>73</v>
      </c>
      <c r="I54" s="142" t="s">
        <v>73</v>
      </c>
      <c r="J54" s="132">
        <v>0.9</v>
      </c>
      <c r="K54" s="133">
        <v>0.954545454545455</v>
      </c>
      <c r="L54" s="133">
        <v>0.904761904761905</v>
      </c>
      <c r="M54" s="134">
        <v>0.833333333333333</v>
      </c>
      <c r="N54" s="133">
        <v>0.940414507772021</v>
      </c>
      <c r="O54" s="135">
        <v>0.9</v>
      </c>
      <c r="P54" s="133">
        <v>0.96165191740413</v>
      </c>
      <c r="Q54" s="133">
        <v>0.966055668703327</v>
      </c>
      <c r="R54" s="133">
        <v>0.954915806626833</v>
      </c>
      <c r="S54" s="133">
        <v>0.949663167253702</v>
      </c>
      <c r="T54" s="135">
        <v>0.9</v>
      </c>
      <c r="U54" s="133">
        <v>0.927236971484759</v>
      </c>
      <c r="V54" s="133">
        <v>0.909708078750849</v>
      </c>
      <c r="W54" s="133">
        <v>0.916349809885932</v>
      </c>
      <c r="X54" s="133">
        <v>0.902506582771945</v>
      </c>
      <c r="Y54" s="135">
        <v>0.92</v>
      </c>
      <c r="Z54" s="135">
        <v>0.900497512437811</v>
      </c>
      <c r="AA54" s="135">
        <v>0.892688679245283</v>
      </c>
      <c r="AB54" s="135">
        <v>0.934552454282964</v>
      </c>
      <c r="AC54" s="135">
        <v>0.944885266995496</v>
      </c>
      <c r="AD54" s="135">
        <v>0.92</v>
      </c>
      <c r="AE54" s="133">
        <v>0.987405541561713</v>
      </c>
      <c r="AF54" s="133">
        <v>1</v>
      </c>
      <c r="AG54" s="133">
        <v>0.83982683982684</v>
      </c>
      <c r="AH54" s="133">
        <v>0.786688341009663</v>
      </c>
      <c r="AI54" s="135">
        <v>0.92</v>
      </c>
      <c r="AJ54" s="133">
        <v>0.945070422535211</v>
      </c>
      <c r="AK54" s="133">
        <v>0.939707149009475</v>
      </c>
      <c r="AL54" s="133">
        <v>0.963194444444444</v>
      </c>
      <c r="AM54" s="133">
        <v>0.96731030163866</v>
      </c>
      <c r="AN54" s="132">
        <v>0.99</v>
      </c>
      <c r="AO54" s="137">
        <v>1</v>
      </c>
      <c r="AP54" s="137">
        <v>1</v>
      </c>
      <c r="AQ54" s="137">
        <v>1</v>
      </c>
      <c r="AR54" s="137">
        <v>1</v>
      </c>
      <c r="AS54" s="139">
        <v>0.0872182100128262</v>
      </c>
      <c r="AT54" s="141">
        <v>0</v>
      </c>
      <c r="AU54" s="141">
        <v>0.0555555555555556</v>
      </c>
      <c r="AV54" s="141">
        <v>0.153846153846154</v>
      </c>
      <c r="AW54" s="141">
        <v>0.0531914893617021</v>
      </c>
      <c r="AX54" s="95"/>
      <c r="AY54" s="93"/>
    </row>
    <row r="55" ht="14.5" spans="1:51">
      <c r="A55" s="91"/>
      <c r="B55" s="95"/>
      <c r="C55" s="128" t="s">
        <v>24</v>
      </c>
      <c r="D55" s="129" t="s">
        <v>25</v>
      </c>
      <c r="E55" s="130" t="s">
        <v>26</v>
      </c>
      <c r="F55" s="142" t="s">
        <v>74</v>
      </c>
      <c r="G55" s="142" t="s">
        <v>74</v>
      </c>
      <c r="H55" s="142" t="s">
        <v>74</v>
      </c>
      <c r="I55" s="142" t="s">
        <v>74</v>
      </c>
      <c r="J55" s="132">
        <v>0.9</v>
      </c>
      <c r="K55" s="133">
        <v>0.917808219178082</v>
      </c>
      <c r="L55" s="133">
        <v>0.925925925925926</v>
      </c>
      <c r="M55" s="134">
        <v>0.882352941176471</v>
      </c>
      <c r="N55" s="133">
        <v>0.924342105263158</v>
      </c>
      <c r="O55" s="135">
        <v>0.9</v>
      </c>
      <c r="P55" s="133">
        <v>0.960121765601218</v>
      </c>
      <c r="Q55" s="133">
        <v>0.981132075471698</v>
      </c>
      <c r="R55" s="133">
        <v>0.98091678142829</v>
      </c>
      <c r="S55" s="133">
        <v>0.944729954542083</v>
      </c>
      <c r="T55" s="135">
        <v>0.9</v>
      </c>
      <c r="U55" s="133">
        <v>0.875190258751903</v>
      </c>
      <c r="V55" s="133">
        <v>0.893576425694297</v>
      </c>
      <c r="W55" s="133">
        <v>0.903206767656896</v>
      </c>
      <c r="X55" s="133">
        <v>0.896569993536287</v>
      </c>
      <c r="Y55" s="135">
        <v>0.92</v>
      </c>
      <c r="Z55" s="135">
        <v>0.886900501073729</v>
      </c>
      <c r="AA55" s="135">
        <v>0.9156841729189</v>
      </c>
      <c r="AB55" s="135">
        <v>0.933134328358209</v>
      </c>
      <c r="AC55" s="135">
        <v>0.944774205802745</v>
      </c>
      <c r="AD55" s="135">
        <v>0.92</v>
      </c>
      <c r="AE55" s="133">
        <v>0.960203217612193</v>
      </c>
      <c r="AF55" s="133">
        <v>0.974522292993631</v>
      </c>
      <c r="AG55" s="133">
        <v>0.958211143695015</v>
      </c>
      <c r="AH55" s="133">
        <v>0.92348826136322</v>
      </c>
      <c r="AI55" s="135">
        <v>0.92</v>
      </c>
      <c r="AJ55" s="133">
        <v>0.922945570971185</v>
      </c>
      <c r="AK55" s="133">
        <v>0.942655667908462</v>
      </c>
      <c r="AL55" s="133">
        <v>0.956011382499407</v>
      </c>
      <c r="AM55" s="133">
        <v>0.963481737695554</v>
      </c>
      <c r="AN55" s="132">
        <v>0.99</v>
      </c>
      <c r="AO55" s="137">
        <v>1</v>
      </c>
      <c r="AP55" s="137">
        <v>1</v>
      </c>
      <c r="AQ55" s="137">
        <v>1</v>
      </c>
      <c r="AR55" s="137">
        <v>1</v>
      </c>
      <c r="AS55" s="139">
        <v>0.0872182100128262</v>
      </c>
      <c r="AT55" s="141">
        <v>0.0196078431372549</v>
      </c>
      <c r="AU55" s="141">
        <v>0.06</v>
      </c>
      <c r="AV55" s="141">
        <v>0</v>
      </c>
      <c r="AW55" s="141">
        <v>0.0433017591339648</v>
      </c>
      <c r="AX55" s="95"/>
      <c r="AY55" s="93"/>
    </row>
    <row r="56" ht="14.5" spans="1:51">
      <c r="A56" s="91"/>
      <c r="B56" s="95"/>
      <c r="C56" s="128" t="s">
        <v>24</v>
      </c>
      <c r="D56" s="129" t="s">
        <v>25</v>
      </c>
      <c r="E56" s="130" t="s">
        <v>26</v>
      </c>
      <c r="F56" s="142" t="s">
        <v>75</v>
      </c>
      <c r="G56" s="142" t="s">
        <v>75</v>
      </c>
      <c r="H56" s="142" t="s">
        <v>75</v>
      </c>
      <c r="I56" s="142" t="s">
        <v>75</v>
      </c>
      <c r="J56" s="132">
        <v>0.9</v>
      </c>
      <c r="K56" s="133">
        <v>1</v>
      </c>
      <c r="L56" s="133">
        <v>0.985294117647059</v>
      </c>
      <c r="M56" s="134">
        <v>1</v>
      </c>
      <c r="N56" s="133">
        <v>0.993227990970655</v>
      </c>
      <c r="O56" s="135">
        <v>0.9</v>
      </c>
      <c r="P56" s="133">
        <v>0.974218321448162</v>
      </c>
      <c r="Q56" s="133">
        <v>0.970746268656716</v>
      </c>
      <c r="R56" s="133">
        <v>0.978116451738961</v>
      </c>
      <c r="S56" s="133">
        <v>0.977132592615018</v>
      </c>
      <c r="T56" s="135">
        <v>0.9</v>
      </c>
      <c r="U56" s="133">
        <v>0.903181568842567</v>
      </c>
      <c r="V56" s="133">
        <v>0.859502487562189</v>
      </c>
      <c r="W56" s="133">
        <v>0.897030089878859</v>
      </c>
      <c r="X56" s="133">
        <v>0.906915725631477</v>
      </c>
      <c r="Y56" s="135">
        <v>0.92</v>
      </c>
      <c r="Z56" s="135">
        <v>0.888726207906296</v>
      </c>
      <c r="AA56" s="135">
        <v>0.851633078526755</v>
      </c>
      <c r="AB56" s="135">
        <v>0.916023738872404</v>
      </c>
      <c r="AC56" s="135">
        <v>0.937182613016943</v>
      </c>
      <c r="AD56" s="135">
        <v>0.92</v>
      </c>
      <c r="AE56" s="133">
        <v>0.997960571040109</v>
      </c>
      <c r="AF56" s="133">
        <v>0.996953283683142</v>
      </c>
      <c r="AG56" s="133">
        <v>0.996611936408653</v>
      </c>
      <c r="AH56" s="133">
        <v>0.972576931128323</v>
      </c>
      <c r="AI56" s="135">
        <v>0.92</v>
      </c>
      <c r="AJ56" s="133">
        <v>0.934795613160518</v>
      </c>
      <c r="AK56" s="133">
        <v>0.893837783120334</v>
      </c>
      <c r="AL56" s="133">
        <v>0.940386427898209</v>
      </c>
      <c r="AM56" s="133">
        <v>0.957296113713929</v>
      </c>
      <c r="AN56" s="132">
        <v>0.99</v>
      </c>
      <c r="AO56" s="137">
        <v>1</v>
      </c>
      <c r="AP56" s="137">
        <v>1</v>
      </c>
      <c r="AQ56" s="137">
        <v>1</v>
      </c>
      <c r="AR56" s="137">
        <v>1</v>
      </c>
      <c r="AS56" s="139">
        <v>0.0872182100128262</v>
      </c>
      <c r="AT56" s="141">
        <v>0.148148148148148</v>
      </c>
      <c r="AU56" s="141">
        <v>0.075</v>
      </c>
      <c r="AV56" s="141">
        <v>0.0833333333333333</v>
      </c>
      <c r="AW56" s="141">
        <v>0.0607734806629834</v>
      </c>
      <c r="AX56" s="95"/>
      <c r="AY56" s="93"/>
    </row>
    <row r="57" ht="14.5" spans="1:51">
      <c r="A57" s="91"/>
      <c r="B57" s="95"/>
      <c r="C57" s="128" t="s">
        <v>24</v>
      </c>
      <c r="D57" s="129" t="s">
        <v>25</v>
      </c>
      <c r="E57" s="130" t="s">
        <v>26</v>
      </c>
      <c r="F57" s="142" t="s">
        <v>76</v>
      </c>
      <c r="G57" s="142" t="s">
        <v>76</v>
      </c>
      <c r="H57" s="142" t="s">
        <v>76</v>
      </c>
      <c r="I57" s="142" t="s">
        <v>76</v>
      </c>
      <c r="J57" s="132">
        <v>0.9</v>
      </c>
      <c r="K57" s="133">
        <v>0.933333333333333</v>
      </c>
      <c r="L57" s="133">
        <v>0.963636363636364</v>
      </c>
      <c r="M57" s="134">
        <v>0.90625</v>
      </c>
      <c r="N57" s="133">
        <v>0.962798937112489</v>
      </c>
      <c r="O57" s="135">
        <v>0.9</v>
      </c>
      <c r="P57" s="133">
        <v>0.9735752944922</v>
      </c>
      <c r="Q57" s="133">
        <v>0.971473495058401</v>
      </c>
      <c r="R57" s="133">
        <v>0.965824665676077</v>
      </c>
      <c r="S57" s="133">
        <v>0.97278968620074</v>
      </c>
      <c r="T57" s="135">
        <v>0.9</v>
      </c>
      <c r="U57" s="133">
        <v>0.89652976758994</v>
      </c>
      <c r="V57" s="133">
        <v>0.899820305480683</v>
      </c>
      <c r="W57" s="133">
        <v>0.92358310337508</v>
      </c>
      <c r="X57" s="133">
        <v>0.9195432597261</v>
      </c>
      <c r="Y57" s="135">
        <v>0.92</v>
      </c>
      <c r="Z57" s="135">
        <v>0.937984496124031</v>
      </c>
      <c r="AA57" s="135">
        <v>0.927390076643808</v>
      </c>
      <c r="AB57" s="135">
        <v>0.950596252129472</v>
      </c>
      <c r="AC57" s="135">
        <v>0.953152165696576</v>
      </c>
      <c r="AD57" s="135">
        <v>0.92</v>
      </c>
      <c r="AE57" s="133">
        <v>0.978303251367838</v>
      </c>
      <c r="AF57" s="133">
        <v>0.972216192750163</v>
      </c>
      <c r="AG57" s="133">
        <v>0.981638964051024</v>
      </c>
      <c r="AH57" s="133">
        <v>0.975627107029928</v>
      </c>
      <c r="AI57" s="135">
        <v>0.92</v>
      </c>
      <c r="AJ57" s="133">
        <v>0.951315789473684</v>
      </c>
      <c r="AK57" s="133">
        <v>0.952257320063465</v>
      </c>
      <c r="AL57" s="133">
        <v>0.967826314412765</v>
      </c>
      <c r="AM57" s="133">
        <v>0.970782958069696</v>
      </c>
      <c r="AN57" s="132">
        <v>0.99</v>
      </c>
      <c r="AO57" s="137">
        <v>1</v>
      </c>
      <c r="AP57" s="137">
        <v>1</v>
      </c>
      <c r="AQ57" s="137">
        <v>1</v>
      </c>
      <c r="AR57" s="137">
        <v>1</v>
      </c>
      <c r="AS57" s="139">
        <v>0.0872182100128262</v>
      </c>
      <c r="AT57" s="141">
        <v>0.0357142857142857</v>
      </c>
      <c r="AU57" s="141">
        <v>0</v>
      </c>
      <c r="AV57" s="141">
        <v>0.0232558139534884</v>
      </c>
      <c r="AW57" s="141">
        <v>0.0327635327635328</v>
      </c>
      <c r="AX57" s="95"/>
      <c r="AY57" s="93"/>
    </row>
    <row r="58" ht="14.5" spans="1:51">
      <c r="A58" s="91"/>
      <c r="B58" s="95"/>
      <c r="C58" s="128" t="s">
        <v>24</v>
      </c>
      <c r="D58" s="129" t="s">
        <v>25</v>
      </c>
      <c r="E58" s="130" t="s">
        <v>26</v>
      </c>
      <c r="F58" s="142" t="s">
        <v>77</v>
      </c>
      <c r="G58" s="142" t="s">
        <v>77</v>
      </c>
      <c r="H58" s="142" t="s">
        <v>77</v>
      </c>
      <c r="I58" s="142" t="s">
        <v>77</v>
      </c>
      <c r="J58" s="132">
        <v>0.9</v>
      </c>
      <c r="K58" s="133">
        <v>1</v>
      </c>
      <c r="L58" s="133">
        <v>1</v>
      </c>
      <c r="M58" s="134">
        <v>0.941176470588235</v>
      </c>
      <c r="N58" s="133">
        <v>0.964028776978417</v>
      </c>
      <c r="O58" s="135">
        <v>0.9</v>
      </c>
      <c r="P58" s="133">
        <v>0.542678151918559</v>
      </c>
      <c r="Q58" s="133">
        <v>0.942630597014925</v>
      </c>
      <c r="R58" s="133">
        <v>0.939954853273138</v>
      </c>
      <c r="S58" s="133">
        <v>0.922074717465331</v>
      </c>
      <c r="T58" s="135">
        <v>0.9</v>
      </c>
      <c r="U58" s="133">
        <v>0.959671104150352</v>
      </c>
      <c r="V58" s="133">
        <v>0.879664179104478</v>
      </c>
      <c r="W58" s="133">
        <v>0.884424379232506</v>
      </c>
      <c r="X58" s="133">
        <v>0.926294230864137</v>
      </c>
      <c r="Y58" s="135">
        <v>0.92</v>
      </c>
      <c r="Z58" s="135">
        <v>0.898305084745763</v>
      </c>
      <c r="AA58" s="135">
        <v>0.944398340248963</v>
      </c>
      <c r="AB58" s="135">
        <v>0.938515901060071</v>
      </c>
      <c r="AC58" s="135">
        <v>0.967209174563934</v>
      </c>
      <c r="AD58" s="135">
        <v>0.92</v>
      </c>
      <c r="AE58" s="133">
        <v>1</v>
      </c>
      <c r="AF58" s="133">
        <v>0.907639680729761</v>
      </c>
      <c r="AG58" s="133">
        <v>0.91095406360424</v>
      </c>
      <c r="AH58" s="133">
        <v>0.978019037424978</v>
      </c>
      <c r="AI58" s="135">
        <v>0.92</v>
      </c>
      <c r="AJ58" s="133">
        <v>0.959936406995231</v>
      </c>
      <c r="AK58" s="133">
        <v>0.952224544640191</v>
      </c>
      <c r="AL58" s="133">
        <v>0.960903083700441</v>
      </c>
      <c r="AM58" s="133">
        <v>0.97547148147085</v>
      </c>
      <c r="AN58" s="132">
        <v>0.99</v>
      </c>
      <c r="AO58" s="137">
        <v>1</v>
      </c>
      <c r="AP58" s="137">
        <v>1</v>
      </c>
      <c r="AQ58" s="137">
        <v>1</v>
      </c>
      <c r="AR58" s="137">
        <v>1</v>
      </c>
      <c r="AS58" s="139">
        <v>0.0872182100128262</v>
      </c>
      <c r="AT58" s="141">
        <v>0</v>
      </c>
      <c r="AU58" s="141">
        <v>0.0625</v>
      </c>
      <c r="AV58" s="141">
        <v>0</v>
      </c>
      <c r="AW58" s="141">
        <v>0.0549019607843137</v>
      </c>
      <c r="AX58" s="95"/>
      <c r="AY58" s="93"/>
    </row>
    <row r="59" ht="14.5" spans="1:51">
      <c r="A59" s="91"/>
      <c r="B59" s="95"/>
      <c r="C59" s="128" t="s">
        <v>24</v>
      </c>
      <c r="D59" s="129" t="s">
        <v>25</v>
      </c>
      <c r="E59" s="130" t="s">
        <v>26</v>
      </c>
      <c r="F59" s="142" t="s">
        <v>78</v>
      </c>
      <c r="G59" s="142" t="s">
        <v>78</v>
      </c>
      <c r="H59" s="142" t="s">
        <v>78</v>
      </c>
      <c r="I59" s="142" t="s">
        <v>78</v>
      </c>
      <c r="J59" s="132">
        <v>0.9</v>
      </c>
      <c r="K59" s="133">
        <v>0.935064935064935</v>
      </c>
      <c r="L59" s="133">
        <v>0.903614457831325</v>
      </c>
      <c r="M59" s="134">
        <v>0.9375</v>
      </c>
      <c r="N59" s="133">
        <v>0.899694189602447</v>
      </c>
      <c r="O59" s="135">
        <v>0.9</v>
      </c>
      <c r="P59" s="133">
        <v>0.901154982540962</v>
      </c>
      <c r="Q59" s="133">
        <v>0.969886154976129</v>
      </c>
      <c r="R59" s="133">
        <v>0.974647115252844</v>
      </c>
      <c r="S59" s="133">
        <v>0.950591257363036</v>
      </c>
      <c r="T59" s="135">
        <v>0.9</v>
      </c>
      <c r="U59" s="133">
        <v>0.587160891753962</v>
      </c>
      <c r="V59" s="133">
        <v>0.64506059493206</v>
      </c>
      <c r="W59" s="133">
        <v>0.763738522680554</v>
      </c>
      <c r="X59" s="133">
        <v>0.670348553966075</v>
      </c>
      <c r="Y59" s="135">
        <v>0.92</v>
      </c>
      <c r="Z59" s="135">
        <v>0.611291369240753</v>
      </c>
      <c r="AA59" s="135">
        <v>0.718997779892166</v>
      </c>
      <c r="AB59" s="135">
        <v>0.913270925110132</v>
      </c>
      <c r="AC59" s="135">
        <v>0.908604033505531</v>
      </c>
      <c r="AD59" s="135">
        <v>0.92</v>
      </c>
      <c r="AE59" s="133">
        <v>0.962934362934363</v>
      </c>
      <c r="AF59" s="133">
        <v>0.996606334841629</v>
      </c>
      <c r="AG59" s="133">
        <v>0.998466257668712</v>
      </c>
      <c r="AH59" s="133">
        <v>0.994031952523847</v>
      </c>
      <c r="AI59" s="135">
        <v>0.92</v>
      </c>
      <c r="AJ59" s="133">
        <v>0.730155715913407</v>
      </c>
      <c r="AK59" s="133">
        <v>0.831085794001395</v>
      </c>
      <c r="AL59" s="133">
        <v>0.934199688844148</v>
      </c>
      <c r="AM59" s="133">
        <v>0.936620184093039</v>
      </c>
      <c r="AN59" s="132">
        <v>0.99</v>
      </c>
      <c r="AO59" s="137">
        <v>1</v>
      </c>
      <c r="AP59" s="137">
        <v>1</v>
      </c>
      <c r="AQ59" s="137">
        <v>1</v>
      </c>
      <c r="AR59" s="137">
        <v>1</v>
      </c>
      <c r="AS59" s="139">
        <v>0.0872182100128262</v>
      </c>
      <c r="AT59" s="141">
        <v>0.0697674418604651</v>
      </c>
      <c r="AU59" s="141">
        <v>0</v>
      </c>
      <c r="AV59" s="141">
        <v>0.05</v>
      </c>
      <c r="AW59" s="141">
        <v>0.0625814863102999</v>
      </c>
      <c r="AX59" s="95"/>
      <c r="AY59" s="93"/>
    </row>
    <row r="60" ht="14.5" spans="1:51">
      <c r="A60" s="91"/>
      <c r="B60" s="95"/>
      <c r="C60" s="128" t="s">
        <v>24</v>
      </c>
      <c r="D60" s="129" t="s">
        <v>25</v>
      </c>
      <c r="E60" s="130" t="s">
        <v>26</v>
      </c>
      <c r="F60" s="142" t="s">
        <v>79</v>
      </c>
      <c r="G60" s="142" t="s">
        <v>79</v>
      </c>
      <c r="H60" s="142" t="s">
        <v>79</v>
      </c>
      <c r="I60" s="142" t="s">
        <v>79</v>
      </c>
      <c r="J60" s="132">
        <v>0.9</v>
      </c>
      <c r="K60" s="133">
        <v>0.890909090909091</v>
      </c>
      <c r="L60" s="133">
        <v>0.904761904761905</v>
      </c>
      <c r="M60" s="134">
        <v>0.96</v>
      </c>
      <c r="N60" s="133">
        <v>0.939837398373984</v>
      </c>
      <c r="O60" s="135">
        <v>0.9</v>
      </c>
      <c r="P60" s="133">
        <v>0.883347788378144</v>
      </c>
      <c r="Q60" s="133">
        <v>0.935249421869838</v>
      </c>
      <c r="R60" s="133">
        <v>0.967905682004257</v>
      </c>
      <c r="S60" s="133">
        <v>0.945363563900452</v>
      </c>
      <c r="T60" s="135">
        <v>0.9</v>
      </c>
      <c r="U60" s="133">
        <v>0.618386816999133</v>
      </c>
      <c r="V60" s="133">
        <v>0.677898909811695</v>
      </c>
      <c r="W60" s="133">
        <v>0.788603242181104</v>
      </c>
      <c r="X60" s="133">
        <v>0.738836241254096</v>
      </c>
      <c r="Y60" s="135">
        <v>0.92</v>
      </c>
      <c r="Z60" s="135">
        <v>0.845435684647303</v>
      </c>
      <c r="AA60" s="135">
        <v>0.914356130622304</v>
      </c>
      <c r="AB60" s="135">
        <v>0.941755768148565</v>
      </c>
      <c r="AC60" s="135">
        <v>0.949257615184448</v>
      </c>
      <c r="AD60" s="135">
        <v>0.92</v>
      </c>
      <c r="AE60" s="133">
        <v>0.997481108312343</v>
      </c>
      <c r="AF60" s="133">
        <v>0.992388118465375</v>
      </c>
      <c r="AG60" s="133">
        <v>0.993181529874413</v>
      </c>
      <c r="AH60" s="133">
        <v>0.985922337209473</v>
      </c>
      <c r="AI60" s="135">
        <v>0.92</v>
      </c>
      <c r="AJ60" s="133">
        <v>0.832721712538226</v>
      </c>
      <c r="AK60" s="133">
        <v>0.929370027950978</v>
      </c>
      <c r="AL60" s="133">
        <v>0.958704202028566</v>
      </c>
      <c r="AM60" s="133">
        <v>0.960415591409914</v>
      </c>
      <c r="AN60" s="132">
        <v>0.99</v>
      </c>
      <c r="AO60" s="137">
        <v>1</v>
      </c>
      <c r="AP60" s="137">
        <v>1</v>
      </c>
      <c r="AQ60" s="137">
        <v>1</v>
      </c>
      <c r="AR60" s="137">
        <v>1</v>
      </c>
      <c r="AS60" s="139">
        <v>0.0872182100128262</v>
      </c>
      <c r="AT60" s="141">
        <v>0.0256410256410256</v>
      </c>
      <c r="AU60" s="141">
        <v>0.0652173913043478</v>
      </c>
      <c r="AV60" s="141">
        <v>0.0238095238095238</v>
      </c>
      <c r="AW60" s="141">
        <v>0.0484764542936288</v>
      </c>
      <c r="AX60" s="95"/>
      <c r="AY60" s="93"/>
    </row>
    <row r="61" ht="14.5" spans="1:51">
      <c r="A61" s="91"/>
      <c r="B61" s="95"/>
      <c r="C61" s="128" t="s">
        <v>24</v>
      </c>
      <c r="D61" s="129" t="s">
        <v>25</v>
      </c>
      <c r="E61" s="130" t="s">
        <v>26</v>
      </c>
      <c r="F61" s="142" t="s">
        <v>80</v>
      </c>
      <c r="G61" s="142" t="s">
        <v>80</v>
      </c>
      <c r="H61" s="142" t="s">
        <v>80</v>
      </c>
      <c r="I61" s="142" t="s">
        <v>80</v>
      </c>
      <c r="J61" s="132">
        <v>0.9</v>
      </c>
      <c r="K61" s="133">
        <v>0.914285714285714</v>
      </c>
      <c r="L61" s="133">
        <v>0.894736842105263</v>
      </c>
      <c r="M61" s="134">
        <v>0.925</v>
      </c>
      <c r="N61" s="133">
        <v>0.935036496350365</v>
      </c>
      <c r="O61" s="135">
        <v>0.9</v>
      </c>
      <c r="P61" s="133">
        <v>0.944059073618259</v>
      </c>
      <c r="Q61" s="133">
        <v>0.951939689021517</v>
      </c>
      <c r="R61" s="133">
        <v>0.983790936156136</v>
      </c>
      <c r="S61" s="133">
        <v>0.966184208369531</v>
      </c>
      <c r="T61" s="135">
        <v>0.9</v>
      </c>
      <c r="U61" s="133">
        <v>0.855672409935109</v>
      </c>
      <c r="V61" s="133">
        <v>0.862572640175907</v>
      </c>
      <c r="W61" s="133">
        <v>0.882070790605359</v>
      </c>
      <c r="X61" s="133">
        <v>0.843116363695969</v>
      </c>
      <c r="Y61" s="135">
        <v>0.92</v>
      </c>
      <c r="Z61" s="135">
        <v>0.899886234357224</v>
      </c>
      <c r="AA61" s="135">
        <v>0.931987577639752</v>
      </c>
      <c r="AB61" s="135">
        <v>0.969969127140051</v>
      </c>
      <c r="AC61" s="135">
        <v>0.954565785107273</v>
      </c>
      <c r="AD61" s="135">
        <v>0.92</v>
      </c>
      <c r="AE61" s="133">
        <v>0.995669859598478</v>
      </c>
      <c r="AF61" s="133">
        <v>0.990071788605468</v>
      </c>
      <c r="AG61" s="133">
        <v>0.961610860760938</v>
      </c>
      <c r="AH61" s="133">
        <v>0.974379656151359</v>
      </c>
      <c r="AI61" s="135">
        <v>0.92</v>
      </c>
      <c r="AJ61" s="133">
        <v>0.924534360950546</v>
      </c>
      <c r="AK61" s="133">
        <v>0.949520233625365</v>
      </c>
      <c r="AL61" s="133">
        <v>0.97606410656676</v>
      </c>
      <c r="AM61" s="133">
        <v>0.967518723117366</v>
      </c>
      <c r="AN61" s="132">
        <v>0.99</v>
      </c>
      <c r="AO61" s="137">
        <v>1</v>
      </c>
      <c r="AP61" s="137">
        <v>1</v>
      </c>
      <c r="AQ61" s="137">
        <v>1</v>
      </c>
      <c r="AR61" s="137">
        <v>0.999134199134199</v>
      </c>
      <c r="AS61" s="139">
        <v>0.0872182100128262</v>
      </c>
      <c r="AT61" s="141">
        <v>0.0909090909090909</v>
      </c>
      <c r="AU61" s="141">
        <v>0.0185185185185185</v>
      </c>
      <c r="AV61" s="141">
        <v>0.0227272727272727</v>
      </c>
      <c r="AW61" s="141">
        <v>0.0702479338842975</v>
      </c>
      <c r="AX61" s="95"/>
      <c r="AY61" s="93"/>
    </row>
    <row r="62" ht="14.5" spans="1:51">
      <c r="A62" s="91"/>
      <c r="B62" s="95"/>
      <c r="C62" s="128" t="s">
        <v>24</v>
      </c>
      <c r="D62" s="129" t="s">
        <v>81</v>
      </c>
      <c r="E62" s="130" t="s">
        <v>26</v>
      </c>
      <c r="F62" s="142" t="s">
        <v>82</v>
      </c>
      <c r="G62" s="142" t="s">
        <v>82</v>
      </c>
      <c r="H62" s="142" t="s">
        <v>82</v>
      </c>
      <c r="I62" s="142" t="s">
        <v>82</v>
      </c>
      <c r="J62" s="132">
        <v>0.9</v>
      </c>
      <c r="K62" s="133">
        <v>0.914285714285714</v>
      </c>
      <c r="L62" s="133">
        <v>0.676470588235294</v>
      </c>
      <c r="M62" s="134">
        <v>0.631578947368421</v>
      </c>
      <c r="N62" s="133">
        <v>0.822122571001495</v>
      </c>
      <c r="O62" s="135">
        <v>0.9</v>
      </c>
      <c r="P62" s="133">
        <v>0.924088463837418</v>
      </c>
      <c r="Q62" s="133">
        <v>0.949878738884398</v>
      </c>
      <c r="R62" s="133">
        <v>0.977337110481586</v>
      </c>
      <c r="S62" s="133">
        <v>0.973154083940167</v>
      </c>
      <c r="T62" s="135">
        <v>0.9</v>
      </c>
      <c r="U62" s="133">
        <v>0.579796772265392</v>
      </c>
      <c r="V62" s="133">
        <v>0.525060630557801</v>
      </c>
      <c r="W62" s="133">
        <v>0.679077296641036</v>
      </c>
      <c r="X62" s="133">
        <v>0.641750171158275</v>
      </c>
      <c r="Y62" s="135">
        <v>0.92</v>
      </c>
      <c r="Z62" s="135">
        <v>0.726666666666667</v>
      </c>
      <c r="AA62" s="135">
        <v>0.763923524522028</v>
      </c>
      <c r="AB62" s="135">
        <v>0.787418655097614</v>
      </c>
      <c r="AC62" s="135">
        <v>0.883539448449177</v>
      </c>
      <c r="AD62" s="135">
        <v>0.92</v>
      </c>
      <c r="AE62" s="133">
        <v>1</v>
      </c>
      <c r="AF62" s="133">
        <v>0.763157894736842</v>
      </c>
      <c r="AG62" s="133">
        <v>0.74468085106383</v>
      </c>
      <c r="AH62" s="133">
        <v>0.874433656957929</v>
      </c>
      <c r="AI62" s="135">
        <v>0.92</v>
      </c>
      <c r="AJ62" s="133">
        <v>0.76242850857897</v>
      </c>
      <c r="AK62" s="133">
        <v>0.768352365415987</v>
      </c>
      <c r="AL62" s="133">
        <v>0.848469122989102</v>
      </c>
      <c r="AM62" s="133">
        <v>0.905462425903499</v>
      </c>
      <c r="AN62" s="132">
        <v>0.99</v>
      </c>
      <c r="AO62" s="137">
        <v>1</v>
      </c>
      <c r="AP62" s="137">
        <v>1</v>
      </c>
      <c r="AQ62" s="137">
        <v>1</v>
      </c>
      <c r="AR62" s="137">
        <v>1</v>
      </c>
      <c r="AS62" s="139">
        <v>0.0872182100128262</v>
      </c>
      <c r="AT62" s="141">
        <v>0</v>
      </c>
      <c r="AU62" s="141">
        <v>0</v>
      </c>
      <c r="AV62" s="141">
        <v>0</v>
      </c>
      <c r="AW62" s="141">
        <v>0.0438871473354232</v>
      </c>
      <c r="AX62" s="95"/>
      <c r="AY62" s="93"/>
    </row>
    <row r="63" ht="14.5" spans="1:51">
      <c r="A63" s="91"/>
      <c r="B63" s="95"/>
      <c r="C63" s="128" t="s">
        <v>24</v>
      </c>
      <c r="D63" s="129" t="s">
        <v>25</v>
      </c>
      <c r="E63" s="130" t="s">
        <v>26</v>
      </c>
      <c r="F63" s="142" t="s">
        <v>83</v>
      </c>
      <c r="G63" s="142" t="s">
        <v>83</v>
      </c>
      <c r="H63" s="142" t="s">
        <v>83</v>
      </c>
      <c r="I63" s="142" t="s">
        <v>83</v>
      </c>
      <c r="J63" s="132">
        <v>0.9</v>
      </c>
      <c r="K63" s="133">
        <v>0.975308641975309</v>
      </c>
      <c r="L63" s="133">
        <v>0.988095238095238</v>
      </c>
      <c r="M63" s="134">
        <v>0.965909090909091</v>
      </c>
      <c r="N63" s="133">
        <v>0.919250645994832</v>
      </c>
      <c r="O63" s="135">
        <v>0.9</v>
      </c>
      <c r="P63" s="133">
        <v>0.996469310157523</v>
      </c>
      <c r="Q63" s="133">
        <v>0.994175888177053</v>
      </c>
      <c r="R63" s="133">
        <v>0.993809904153355</v>
      </c>
      <c r="S63" s="133">
        <v>0.986311412943866</v>
      </c>
      <c r="T63" s="135">
        <v>0.9</v>
      </c>
      <c r="U63" s="133">
        <v>0.883758826724606</v>
      </c>
      <c r="V63" s="133">
        <v>0.872257814016696</v>
      </c>
      <c r="W63" s="133">
        <v>0.864217252396166</v>
      </c>
      <c r="X63" s="133">
        <v>0.852126602548643</v>
      </c>
      <c r="Y63" s="135">
        <v>0.92</v>
      </c>
      <c r="Z63" s="135">
        <v>0.885321100917431</v>
      </c>
      <c r="AA63" s="135">
        <v>0.907183725365544</v>
      </c>
      <c r="AB63" s="135">
        <v>0.926131630102749</v>
      </c>
      <c r="AC63" s="135">
        <v>0.930778792784459</v>
      </c>
      <c r="AD63" s="135">
        <v>0.92</v>
      </c>
      <c r="AE63" s="133">
        <v>0.992851469420175</v>
      </c>
      <c r="AF63" s="133">
        <v>0.986167615947925</v>
      </c>
      <c r="AG63" s="133">
        <v>0.985775248933144</v>
      </c>
      <c r="AH63" s="133">
        <v>0.983806742766127</v>
      </c>
      <c r="AI63" s="135">
        <v>0.92</v>
      </c>
      <c r="AJ63" s="133">
        <v>0.932411674347158</v>
      </c>
      <c r="AK63" s="133">
        <v>0.93166204652284</v>
      </c>
      <c r="AL63" s="133">
        <v>0.949837436135625</v>
      </c>
      <c r="AM63" s="133">
        <v>0.955761376389869</v>
      </c>
      <c r="AN63" s="132">
        <v>0.99</v>
      </c>
      <c r="AO63" s="137">
        <v>1</v>
      </c>
      <c r="AP63" s="137">
        <v>1</v>
      </c>
      <c r="AQ63" s="137">
        <v>1</v>
      </c>
      <c r="AR63" s="137">
        <v>1</v>
      </c>
      <c r="AS63" s="139">
        <v>0.0872182100128262</v>
      </c>
      <c r="AT63" s="141">
        <v>0.129032258064516</v>
      </c>
      <c r="AU63" s="141">
        <v>0.0625</v>
      </c>
      <c r="AV63" s="141">
        <v>0.145833333333333</v>
      </c>
      <c r="AW63" s="141">
        <v>0.0720720720720721</v>
      </c>
      <c r="AX63" s="95"/>
      <c r="AY63" s="93"/>
    </row>
    <row r="64" ht="14.5" spans="1:51">
      <c r="A64" s="91"/>
      <c r="B64" s="95"/>
      <c r="C64" s="128" t="s">
        <v>24</v>
      </c>
      <c r="D64" s="129" t="s">
        <v>25</v>
      </c>
      <c r="E64" s="130" t="s">
        <v>26</v>
      </c>
      <c r="F64" s="142" t="s">
        <v>84</v>
      </c>
      <c r="G64" s="142" t="s">
        <v>84</v>
      </c>
      <c r="H64" s="142" t="s">
        <v>84</v>
      </c>
      <c r="I64" s="142" t="s">
        <v>84</v>
      </c>
      <c r="J64" s="132">
        <v>0.9</v>
      </c>
      <c r="K64" s="133">
        <v>0.927835051546392</v>
      </c>
      <c r="L64" s="133">
        <v>0.950980392156863</v>
      </c>
      <c r="M64" s="134">
        <v>0.888888888888889</v>
      </c>
      <c r="N64" s="133">
        <v>0.932601880877743</v>
      </c>
      <c r="O64" s="135">
        <v>0.9</v>
      </c>
      <c r="P64" s="133">
        <v>0.983998706966219</v>
      </c>
      <c r="Q64" s="133">
        <v>0.984201351056875</v>
      </c>
      <c r="R64" s="133">
        <v>0.987281741754689</v>
      </c>
      <c r="S64" s="133">
        <v>0.965169127048704</v>
      </c>
      <c r="T64" s="135">
        <v>0.9</v>
      </c>
      <c r="U64" s="133">
        <v>0.848715047680621</v>
      </c>
      <c r="V64" s="133">
        <v>0.801590760514273</v>
      </c>
      <c r="W64" s="133">
        <v>0.84899762879931</v>
      </c>
      <c r="X64" s="133">
        <v>0.792398000697431</v>
      </c>
      <c r="Y64" s="135">
        <v>0.92</v>
      </c>
      <c r="Z64" s="135">
        <v>0.893543428132206</v>
      </c>
      <c r="AA64" s="135">
        <v>0.898966462771567</v>
      </c>
      <c r="AB64" s="135">
        <v>0.931656642974303</v>
      </c>
      <c r="AC64" s="135">
        <v>0.943975545885537</v>
      </c>
      <c r="AD64" s="135">
        <v>0.92</v>
      </c>
      <c r="AE64" s="133">
        <v>0.997104501184522</v>
      </c>
      <c r="AF64" s="133">
        <v>0.985358653155669</v>
      </c>
      <c r="AG64" s="133">
        <v>0.971948407368928</v>
      </c>
      <c r="AH64" s="133">
        <v>0.978142387503089</v>
      </c>
      <c r="AI64" s="135">
        <v>0.92</v>
      </c>
      <c r="AJ64" s="133">
        <v>0.916951080773606</v>
      </c>
      <c r="AK64" s="133">
        <v>0.92671887348229</v>
      </c>
      <c r="AL64" s="133">
        <v>0.952045516120293</v>
      </c>
      <c r="AM64" s="133">
        <v>0.96154909794846</v>
      </c>
      <c r="AN64" s="132">
        <v>0.99</v>
      </c>
      <c r="AO64" s="137">
        <v>1</v>
      </c>
      <c r="AP64" s="137">
        <v>1</v>
      </c>
      <c r="AQ64" s="137">
        <v>1</v>
      </c>
      <c r="AR64" s="137">
        <v>0.999938122640926</v>
      </c>
      <c r="AS64" s="139">
        <v>0.0872182100128262</v>
      </c>
      <c r="AT64" s="141">
        <v>0.111111111111111</v>
      </c>
      <c r="AU64" s="141">
        <v>0.0405405405405405</v>
      </c>
      <c r="AV64" s="141">
        <v>0.0392156862745098</v>
      </c>
      <c r="AW64" s="141">
        <v>0.067911714770798</v>
      </c>
      <c r="AX64" s="95"/>
      <c r="AY64" s="93"/>
    </row>
    <row r="65" ht="14.5" spans="1:51">
      <c r="A65" s="91"/>
      <c r="B65" s="95"/>
      <c r="C65" s="128" t="s">
        <v>24</v>
      </c>
      <c r="D65" s="129" t="s">
        <v>25</v>
      </c>
      <c r="E65" s="130" t="s">
        <v>26</v>
      </c>
      <c r="F65" s="142" t="s">
        <v>85</v>
      </c>
      <c r="G65" s="142" t="s">
        <v>85</v>
      </c>
      <c r="H65" s="142" t="s">
        <v>85</v>
      </c>
      <c r="I65" s="142" t="s">
        <v>85</v>
      </c>
      <c r="J65" s="132">
        <v>0.9</v>
      </c>
      <c r="K65" s="133">
        <v>0.811594202898551</v>
      </c>
      <c r="L65" s="133">
        <v>0.735294117647059</v>
      </c>
      <c r="M65" s="134">
        <v>0.765432098765432</v>
      </c>
      <c r="N65" s="133">
        <v>0.819771863117871</v>
      </c>
      <c r="O65" s="135">
        <v>0.9</v>
      </c>
      <c r="P65" s="133">
        <v>0.963121501481725</v>
      </c>
      <c r="Q65" s="133">
        <v>0.990280289330922</v>
      </c>
      <c r="R65" s="133">
        <v>0.990426457789382</v>
      </c>
      <c r="S65" s="133">
        <v>0.945313102597159</v>
      </c>
      <c r="T65" s="135">
        <v>0.9</v>
      </c>
      <c r="U65" s="133">
        <v>0.570299637800461</v>
      </c>
      <c r="V65" s="133">
        <v>0.535940325497288</v>
      </c>
      <c r="W65" s="133">
        <v>0.69538729329852</v>
      </c>
      <c r="X65" s="133">
        <v>0.659901050103027</v>
      </c>
      <c r="Y65" s="135">
        <v>0.92</v>
      </c>
      <c r="Z65" s="135">
        <v>0.617777777777778</v>
      </c>
      <c r="AA65" s="135">
        <v>0.551835417507059</v>
      </c>
      <c r="AB65" s="135">
        <v>0.858092389498172</v>
      </c>
      <c r="AC65" s="135">
        <v>0.862199158678712</v>
      </c>
      <c r="AD65" s="135">
        <v>0.92</v>
      </c>
      <c r="AE65" s="133">
        <v>0.981418918918919</v>
      </c>
      <c r="AF65" s="133">
        <v>0.952406134320465</v>
      </c>
      <c r="AG65" s="133">
        <v>0.83358186698479</v>
      </c>
      <c r="AH65" s="133">
        <v>0.875156890636767</v>
      </c>
      <c r="AI65" s="135">
        <v>0.92</v>
      </c>
      <c r="AJ65" s="133">
        <v>0.709273182957393</v>
      </c>
      <c r="AK65" s="133">
        <v>0.65406345067362</v>
      </c>
      <c r="AL65" s="133">
        <v>0.899303273300907</v>
      </c>
      <c r="AM65" s="133">
        <v>0.895239567648957</v>
      </c>
      <c r="AN65" s="132">
        <v>0.99</v>
      </c>
      <c r="AO65" s="137">
        <v>1</v>
      </c>
      <c r="AP65" s="137">
        <v>1</v>
      </c>
      <c r="AQ65" s="137">
        <v>1</v>
      </c>
      <c r="AR65" s="137">
        <v>1</v>
      </c>
      <c r="AS65" s="139">
        <v>0.0872182100128262</v>
      </c>
      <c r="AT65" s="141">
        <v>0.0285714285714286</v>
      </c>
      <c r="AU65" s="141">
        <v>0.148148148148148</v>
      </c>
      <c r="AV65" s="141">
        <v>0.0789473684210526</v>
      </c>
      <c r="AW65" s="141">
        <v>0.0646153846153846</v>
      </c>
      <c r="AX65" s="95"/>
      <c r="AY65" s="93"/>
    </row>
    <row r="66" ht="14.5" spans="1:51">
      <c r="A66" s="91"/>
      <c r="B66" s="95"/>
      <c r="C66" s="128" t="s">
        <v>24</v>
      </c>
      <c r="D66" s="129" t="s">
        <v>25</v>
      </c>
      <c r="E66" s="130" t="s">
        <v>26</v>
      </c>
      <c r="F66" s="142" t="s">
        <v>86</v>
      </c>
      <c r="G66" s="142" t="s">
        <v>86</v>
      </c>
      <c r="H66" s="142" t="s">
        <v>86</v>
      </c>
      <c r="I66" s="142" t="s">
        <v>86</v>
      </c>
      <c r="J66" s="132">
        <v>0.9</v>
      </c>
      <c r="K66" s="133">
        <v>0.978260869565217</v>
      </c>
      <c r="L66" s="133">
        <v>0.918367346938776</v>
      </c>
      <c r="M66" s="134">
        <v>0.924528301886792</v>
      </c>
      <c r="N66" s="133">
        <v>0.947136563876652</v>
      </c>
      <c r="O66" s="135">
        <v>0.9</v>
      </c>
      <c r="P66" s="133">
        <v>0.921403197158082</v>
      </c>
      <c r="Q66" s="133">
        <v>0.972561548581094</v>
      </c>
      <c r="R66" s="133">
        <v>0.961850168017395</v>
      </c>
      <c r="S66" s="133">
        <v>0.968079695723321</v>
      </c>
      <c r="T66" s="135">
        <v>0.9</v>
      </c>
      <c r="U66" s="133">
        <v>0.793738898756661</v>
      </c>
      <c r="V66" s="133">
        <v>0.865626761886863</v>
      </c>
      <c r="W66" s="133">
        <v>0.92804902154576</v>
      </c>
      <c r="X66" s="133">
        <v>0.841902171509442</v>
      </c>
      <c r="Y66" s="135">
        <v>0.92</v>
      </c>
      <c r="Z66" s="135">
        <v>0.907619047619048</v>
      </c>
      <c r="AA66" s="135">
        <v>0.960229187731716</v>
      </c>
      <c r="AB66" s="135">
        <v>0.956188039654621</v>
      </c>
      <c r="AC66" s="135">
        <v>0.964989502375778</v>
      </c>
      <c r="AD66" s="135">
        <v>0.92</v>
      </c>
      <c r="AE66" s="133">
        <v>0.992267299669112</v>
      </c>
      <c r="AF66" s="133">
        <v>0.9976853158697</v>
      </c>
      <c r="AG66" s="133">
        <v>0.990198850249741</v>
      </c>
      <c r="AH66" s="133">
        <v>0.989929778862462</v>
      </c>
      <c r="AI66" s="135">
        <v>0.92</v>
      </c>
      <c r="AJ66" s="133">
        <v>0.876588021778584</v>
      </c>
      <c r="AK66" s="133">
        <v>0.953975903614458</v>
      </c>
      <c r="AL66" s="133">
        <v>0.96607687614399</v>
      </c>
      <c r="AM66" s="133">
        <v>0.969589835658058</v>
      </c>
      <c r="AN66" s="132">
        <v>0.99</v>
      </c>
      <c r="AO66" s="137">
        <v>1</v>
      </c>
      <c r="AP66" s="137">
        <v>1</v>
      </c>
      <c r="AQ66" s="137">
        <v>1</v>
      </c>
      <c r="AR66" s="137">
        <v>1</v>
      </c>
      <c r="AS66" s="139">
        <v>0.0872182100128262</v>
      </c>
      <c r="AT66" s="141">
        <v>0.05</v>
      </c>
      <c r="AU66" s="141">
        <v>0.0869565217391304</v>
      </c>
      <c r="AV66" s="141">
        <v>0.125</v>
      </c>
      <c r="AW66" s="141">
        <v>0.0545774647887324</v>
      </c>
      <c r="AX66" s="95"/>
      <c r="AY66" s="93"/>
    </row>
    <row r="67" ht="14.5" spans="1:51">
      <c r="A67" s="91"/>
      <c r="B67" s="95"/>
      <c r="C67" s="128" t="s">
        <v>24</v>
      </c>
      <c r="D67" s="129" t="s">
        <v>25</v>
      </c>
      <c r="E67" s="130" t="s">
        <v>26</v>
      </c>
      <c r="F67" s="142" t="s">
        <v>87</v>
      </c>
      <c r="G67" s="142" t="s">
        <v>87</v>
      </c>
      <c r="H67" s="142" t="s">
        <v>87</v>
      </c>
      <c r="I67" s="142" t="s">
        <v>87</v>
      </c>
      <c r="J67" s="132">
        <v>0.9</v>
      </c>
      <c r="K67" s="133" t="s">
        <v>35</v>
      </c>
      <c r="L67" s="133" t="s">
        <v>35</v>
      </c>
      <c r="M67" s="134" t="s">
        <v>35</v>
      </c>
      <c r="N67" s="133" t="s">
        <v>35</v>
      </c>
      <c r="O67" s="135">
        <v>0.9</v>
      </c>
      <c r="P67" s="133">
        <v>0.5</v>
      </c>
      <c r="Q67" s="133">
        <v>0</v>
      </c>
      <c r="R67" s="133">
        <v>0</v>
      </c>
      <c r="S67" s="133">
        <v>0.846913580246914</v>
      </c>
      <c r="T67" s="135">
        <v>0.9</v>
      </c>
      <c r="U67" s="133">
        <v>1</v>
      </c>
      <c r="V67" s="133">
        <v>1</v>
      </c>
      <c r="W67" s="133">
        <v>0.928571428571429</v>
      </c>
      <c r="X67" s="133">
        <v>0.966049382716049</v>
      </c>
      <c r="Y67" s="135">
        <v>0.92</v>
      </c>
      <c r="Z67" s="135">
        <v>1</v>
      </c>
      <c r="AA67" s="135">
        <v>1</v>
      </c>
      <c r="AB67" s="135">
        <v>1</v>
      </c>
      <c r="AC67" s="135">
        <v>0.980237154150198</v>
      </c>
      <c r="AD67" s="135">
        <v>0.92</v>
      </c>
      <c r="AE67" s="133" t="s">
        <v>35</v>
      </c>
      <c r="AF67" s="133" t="s">
        <v>35</v>
      </c>
      <c r="AG67" s="133" t="s">
        <v>35</v>
      </c>
      <c r="AH67" s="133">
        <v>0.833333333333333</v>
      </c>
      <c r="AI67" s="135">
        <v>0.92</v>
      </c>
      <c r="AJ67" s="133">
        <v>1</v>
      </c>
      <c r="AK67" s="133">
        <v>1</v>
      </c>
      <c r="AL67" s="133">
        <v>1</v>
      </c>
      <c r="AM67" s="133">
        <v>0.977833542450857</v>
      </c>
      <c r="AN67" s="132">
        <v>0.99</v>
      </c>
      <c r="AO67" s="137" t="s">
        <v>35</v>
      </c>
      <c r="AP67" s="137" t="s">
        <v>35</v>
      </c>
      <c r="AQ67" s="137" t="s">
        <v>35</v>
      </c>
      <c r="AR67" s="137">
        <v>1</v>
      </c>
      <c r="AS67" s="139">
        <v>0.0872182100128262</v>
      </c>
      <c r="AT67" s="141" t="s">
        <v>35</v>
      </c>
      <c r="AU67" s="141" t="s">
        <v>35</v>
      </c>
      <c r="AV67" s="141" t="s">
        <v>35</v>
      </c>
      <c r="AW67" s="141">
        <v>2</v>
      </c>
      <c r="AX67" s="95"/>
      <c r="AY67" s="93"/>
    </row>
    <row r="68" ht="14.5" spans="1:51">
      <c r="A68" s="91"/>
      <c r="B68" s="95"/>
      <c r="C68" s="128" t="s">
        <v>24</v>
      </c>
      <c r="D68" s="129" t="s">
        <v>25</v>
      </c>
      <c r="E68" s="130" t="s">
        <v>26</v>
      </c>
      <c r="F68" s="142" t="s">
        <v>88</v>
      </c>
      <c r="G68" s="142" t="s">
        <v>88</v>
      </c>
      <c r="H68" s="142" t="s">
        <v>88</v>
      </c>
      <c r="I68" s="142" t="s">
        <v>88</v>
      </c>
      <c r="J68" s="132">
        <v>0.9</v>
      </c>
      <c r="K68" s="133">
        <v>0.917647058823529</v>
      </c>
      <c r="L68" s="133">
        <v>0.92</v>
      </c>
      <c r="M68" s="134">
        <v>0.902439024390244</v>
      </c>
      <c r="N68" s="133">
        <v>0.92901023890785</v>
      </c>
      <c r="O68" s="135">
        <v>0.9</v>
      </c>
      <c r="P68" s="133">
        <v>0.991710625470987</v>
      </c>
      <c r="Q68" s="133">
        <v>0.986530172413793</v>
      </c>
      <c r="R68" s="133">
        <v>0.985724233983287</v>
      </c>
      <c r="S68" s="133">
        <v>0.97375672483926</v>
      </c>
      <c r="T68" s="135">
        <v>0.9</v>
      </c>
      <c r="U68" s="133">
        <v>0.732228083396132</v>
      </c>
      <c r="V68" s="133">
        <v>0.695222701149425</v>
      </c>
      <c r="W68" s="133">
        <v>0.798398328690808</v>
      </c>
      <c r="X68" s="133">
        <v>0.756462406508332</v>
      </c>
      <c r="Y68" s="135">
        <v>0.92</v>
      </c>
      <c r="Z68" s="135">
        <v>0.847694174757282</v>
      </c>
      <c r="AA68" s="135">
        <v>0.775067750677507</v>
      </c>
      <c r="AB68" s="135">
        <v>0.900646830530401</v>
      </c>
      <c r="AC68" s="135">
        <v>0.911923134911389</v>
      </c>
      <c r="AD68" s="135">
        <v>0.92</v>
      </c>
      <c r="AE68" s="133">
        <v>0.968921389396709</v>
      </c>
      <c r="AF68" s="133">
        <v>0.988692232055064</v>
      </c>
      <c r="AG68" s="133">
        <v>0.988343963052562</v>
      </c>
      <c r="AH68" s="133">
        <v>0.977431746467279</v>
      </c>
      <c r="AI68" s="135">
        <v>0.92</v>
      </c>
      <c r="AJ68" s="133">
        <v>0.866986325697034</v>
      </c>
      <c r="AK68" s="133">
        <v>0.821597300337458</v>
      </c>
      <c r="AL68" s="133">
        <v>0.921132036208511</v>
      </c>
      <c r="AM68" s="133">
        <v>0.931923504036219</v>
      </c>
      <c r="AN68" s="132">
        <v>0.99</v>
      </c>
      <c r="AO68" s="137">
        <v>1</v>
      </c>
      <c r="AP68" s="137">
        <v>1</v>
      </c>
      <c r="AQ68" s="137">
        <v>1</v>
      </c>
      <c r="AR68" s="137">
        <v>1</v>
      </c>
      <c r="AS68" s="139">
        <v>0.0872182100128262</v>
      </c>
      <c r="AT68" s="141">
        <v>0.191489361702128</v>
      </c>
      <c r="AU68" s="141">
        <v>0.0163934426229508</v>
      </c>
      <c r="AV68" s="141">
        <v>0.0615384615384615</v>
      </c>
      <c r="AW68" s="141">
        <v>0.0713153724247227</v>
      </c>
      <c r="AX68" s="95"/>
      <c r="AY68" s="93"/>
    </row>
    <row r="69" ht="14.5" spans="1:51">
      <c r="A69" s="91"/>
      <c r="B69" s="95"/>
      <c r="C69" s="128" t="s">
        <v>24</v>
      </c>
      <c r="D69" s="129" t="s">
        <v>25</v>
      </c>
      <c r="E69" s="130" t="s">
        <v>26</v>
      </c>
      <c r="F69" s="142" t="s">
        <v>89</v>
      </c>
      <c r="G69" s="142" t="s">
        <v>89</v>
      </c>
      <c r="H69" s="142" t="s">
        <v>89</v>
      </c>
      <c r="I69" s="142" t="s">
        <v>89</v>
      </c>
      <c r="J69" s="132">
        <v>0.9</v>
      </c>
      <c r="K69" s="133">
        <v>0.989010989010989</v>
      </c>
      <c r="L69" s="133">
        <v>0.97029702970297</v>
      </c>
      <c r="M69" s="134">
        <v>0.982300884955752</v>
      </c>
      <c r="N69" s="133">
        <v>0.978701825557809</v>
      </c>
      <c r="O69" s="135">
        <v>0.9</v>
      </c>
      <c r="P69" s="133">
        <v>0.987977879297908</v>
      </c>
      <c r="Q69" s="133">
        <v>0.985005963537229</v>
      </c>
      <c r="R69" s="133">
        <v>0.990374873353597</v>
      </c>
      <c r="S69" s="133">
        <v>0.971678953236136</v>
      </c>
      <c r="T69" s="135">
        <v>0.9</v>
      </c>
      <c r="U69" s="133">
        <v>0.742726616975234</v>
      </c>
      <c r="V69" s="133">
        <v>0.740841710683251</v>
      </c>
      <c r="W69" s="133">
        <v>0.825059101654846</v>
      </c>
      <c r="X69" s="133">
        <v>0.807577630089276</v>
      </c>
      <c r="Y69" s="135">
        <v>0.92</v>
      </c>
      <c r="Z69" s="135">
        <v>0.765547605943864</v>
      </c>
      <c r="AA69" s="135">
        <v>0.840304182509506</v>
      </c>
      <c r="AB69" s="135">
        <v>0.907473309608541</v>
      </c>
      <c r="AC69" s="135">
        <v>0.914105694657068</v>
      </c>
      <c r="AD69" s="135">
        <v>0.92</v>
      </c>
      <c r="AE69" s="133">
        <v>0.97680412371134</v>
      </c>
      <c r="AF69" s="133">
        <v>0.980613165013526</v>
      </c>
      <c r="AG69" s="133">
        <v>0.972413793103448</v>
      </c>
      <c r="AH69" s="133">
        <v>0.986010920250289</v>
      </c>
      <c r="AI69" s="135">
        <v>0.92</v>
      </c>
      <c r="AJ69" s="133">
        <v>0.831381733021077</v>
      </c>
      <c r="AK69" s="133">
        <v>0.865159128978224</v>
      </c>
      <c r="AL69" s="133">
        <v>0.933122903925824</v>
      </c>
      <c r="AM69" s="133">
        <v>0.939865992349755</v>
      </c>
      <c r="AN69" s="132">
        <v>0.99</v>
      </c>
      <c r="AO69" s="137">
        <v>1</v>
      </c>
      <c r="AP69" s="137">
        <v>1</v>
      </c>
      <c r="AQ69" s="137">
        <v>1</v>
      </c>
      <c r="AR69" s="137">
        <v>1</v>
      </c>
      <c r="AS69" s="139">
        <v>0.0872182100128262</v>
      </c>
      <c r="AT69" s="141">
        <v>0</v>
      </c>
      <c r="AU69" s="141">
        <v>0.0547945205479452</v>
      </c>
      <c r="AV69" s="141">
        <v>0.0062111801242236</v>
      </c>
      <c r="AW69" s="141">
        <v>0.046242774566474</v>
      </c>
      <c r="AX69" s="95"/>
      <c r="AY69" s="93"/>
    </row>
    <row r="70" ht="14.5" spans="1:51">
      <c r="A70" s="91"/>
      <c r="B70" s="95"/>
      <c r="C70" s="128" t="s">
        <v>24</v>
      </c>
      <c r="D70" s="129" t="s">
        <v>25</v>
      </c>
      <c r="E70" s="130" t="s">
        <v>26</v>
      </c>
      <c r="F70" s="142" t="s">
        <v>90</v>
      </c>
      <c r="G70" s="142" t="s">
        <v>90</v>
      </c>
      <c r="H70" s="142" t="s">
        <v>90</v>
      </c>
      <c r="I70" s="142" t="s">
        <v>90</v>
      </c>
      <c r="J70" s="132">
        <v>0.9</v>
      </c>
      <c r="K70" s="133">
        <v>0.904347826086957</v>
      </c>
      <c r="L70" s="133">
        <v>0.936619718309859</v>
      </c>
      <c r="M70" s="134">
        <v>0.931972789115646</v>
      </c>
      <c r="N70" s="133">
        <v>0.952177293934681</v>
      </c>
      <c r="O70" s="135">
        <v>0.9</v>
      </c>
      <c r="P70" s="133">
        <v>0.981038192576654</v>
      </c>
      <c r="Q70" s="133">
        <v>0.979736098020735</v>
      </c>
      <c r="R70" s="133">
        <v>0.981134020618557</v>
      </c>
      <c r="S70" s="133">
        <v>0.969777488257277</v>
      </c>
      <c r="T70" s="135">
        <v>0.9</v>
      </c>
      <c r="U70" s="133">
        <v>0.78375470683163</v>
      </c>
      <c r="V70" s="133">
        <v>0.86578699340245</v>
      </c>
      <c r="W70" s="133">
        <v>0.863505154639175</v>
      </c>
      <c r="X70" s="133">
        <v>0.831824779145381</v>
      </c>
      <c r="Y70" s="135">
        <v>0.92</v>
      </c>
      <c r="Z70" s="135">
        <v>0.850199203187251</v>
      </c>
      <c r="AA70" s="135">
        <v>0.93707756678468</v>
      </c>
      <c r="AB70" s="135">
        <v>0.954961606615475</v>
      </c>
      <c r="AC70" s="135">
        <v>0.946734859892345</v>
      </c>
      <c r="AD70" s="135">
        <v>0.92</v>
      </c>
      <c r="AE70" s="133">
        <v>0.995558680928236</v>
      </c>
      <c r="AF70" s="133">
        <v>0.982198796678435</v>
      </c>
      <c r="AG70" s="133">
        <v>0.989370574017273</v>
      </c>
      <c r="AH70" s="133">
        <v>0.986306640140528</v>
      </c>
      <c r="AI70" s="135">
        <v>0.92</v>
      </c>
      <c r="AJ70" s="133">
        <v>0.881423982869379</v>
      </c>
      <c r="AK70" s="133">
        <v>0.953057222651376</v>
      </c>
      <c r="AL70" s="133">
        <v>0.967281777346121</v>
      </c>
      <c r="AM70" s="133">
        <v>0.962552898675383</v>
      </c>
      <c r="AN70" s="132">
        <v>0.99</v>
      </c>
      <c r="AO70" s="137">
        <v>1</v>
      </c>
      <c r="AP70" s="137">
        <v>1</v>
      </c>
      <c r="AQ70" s="137">
        <v>1</v>
      </c>
      <c r="AR70" s="137">
        <v>1</v>
      </c>
      <c r="AS70" s="139">
        <v>0.0872182100128262</v>
      </c>
      <c r="AT70" s="141">
        <v>0.0545454545454545</v>
      </c>
      <c r="AU70" s="141">
        <v>0.0864197530864197</v>
      </c>
      <c r="AV70" s="141">
        <v>0.0845070422535211</v>
      </c>
      <c r="AW70" s="141">
        <v>0.0648508430609598</v>
      </c>
      <c r="AX70" s="95"/>
      <c r="AY70" s="93"/>
    </row>
    <row r="71" ht="14.5" spans="1:51">
      <c r="A71" s="91"/>
      <c r="B71" s="95"/>
      <c r="C71" s="128" t="s">
        <v>24</v>
      </c>
      <c r="D71" s="129" t="s">
        <v>25</v>
      </c>
      <c r="E71" s="130" t="s">
        <v>26</v>
      </c>
      <c r="F71" s="142" t="s">
        <v>91</v>
      </c>
      <c r="G71" s="142" t="s">
        <v>91</v>
      </c>
      <c r="H71" s="142" t="s">
        <v>91</v>
      </c>
      <c r="I71" s="142" t="s">
        <v>91</v>
      </c>
      <c r="J71" s="132">
        <v>0.9</v>
      </c>
      <c r="K71" s="133">
        <v>0.836363636363636</v>
      </c>
      <c r="L71" s="133">
        <v>0.909090909090909</v>
      </c>
      <c r="M71" s="134">
        <v>0.85</v>
      </c>
      <c r="N71" s="133">
        <v>0.921305182341651</v>
      </c>
      <c r="O71" s="135">
        <v>0.9</v>
      </c>
      <c r="P71" s="133">
        <v>0.91954851104707</v>
      </c>
      <c r="Q71" s="133">
        <v>0.96063786838918</v>
      </c>
      <c r="R71" s="133">
        <v>0.971167512690355</v>
      </c>
      <c r="S71" s="133">
        <v>0.955287632032992</v>
      </c>
      <c r="T71" s="135">
        <v>0.9</v>
      </c>
      <c r="U71" s="133">
        <v>0.842459173871278</v>
      </c>
      <c r="V71" s="133">
        <v>0.901897456600727</v>
      </c>
      <c r="W71" s="133">
        <v>0.899289340101523</v>
      </c>
      <c r="X71" s="133">
        <v>0.838067584059252</v>
      </c>
      <c r="Y71" s="135">
        <v>0.92</v>
      </c>
      <c r="Z71" s="135">
        <v>0.950404312668464</v>
      </c>
      <c r="AA71" s="135">
        <v>0.967510389119758</v>
      </c>
      <c r="AB71" s="135">
        <v>0.963458401305057</v>
      </c>
      <c r="AC71" s="135">
        <v>0.94845750715868</v>
      </c>
      <c r="AD71" s="135">
        <v>0.92</v>
      </c>
      <c r="AE71" s="133">
        <v>0.99773647026545</v>
      </c>
      <c r="AF71" s="133">
        <v>0.97508033888402</v>
      </c>
      <c r="AG71" s="133">
        <v>0.981114339429157</v>
      </c>
      <c r="AH71" s="133">
        <v>0.908343410973074</v>
      </c>
      <c r="AI71" s="135">
        <v>0.92</v>
      </c>
      <c r="AJ71" s="133">
        <v>0.935901693789439</v>
      </c>
      <c r="AK71" s="133">
        <v>0.979350256477706</v>
      </c>
      <c r="AL71" s="133">
        <v>0.976101101101101</v>
      </c>
      <c r="AM71" s="133">
        <v>0.967407181175971</v>
      </c>
      <c r="AN71" s="132">
        <v>0.99</v>
      </c>
      <c r="AO71" s="137">
        <v>1</v>
      </c>
      <c r="AP71" s="137">
        <v>1</v>
      </c>
      <c r="AQ71" s="137">
        <v>1</v>
      </c>
      <c r="AR71" s="137">
        <v>1</v>
      </c>
      <c r="AS71" s="139">
        <v>0.0872182100128262</v>
      </c>
      <c r="AT71" s="141">
        <v>0.138888888888889</v>
      </c>
      <c r="AU71" s="141">
        <v>0.0232558139534884</v>
      </c>
      <c r="AV71" s="141">
        <v>0.05</v>
      </c>
      <c r="AW71" s="141">
        <v>0.0772413793103448</v>
      </c>
      <c r="AX71" s="95"/>
      <c r="AY71" s="93"/>
    </row>
    <row r="72" ht="14.5" spans="1:51">
      <c r="A72" s="91"/>
      <c r="B72" s="95"/>
      <c r="C72" s="128" t="s">
        <v>24</v>
      </c>
      <c r="D72" s="129" t="s">
        <v>25</v>
      </c>
      <c r="E72" s="130" t="s">
        <v>26</v>
      </c>
      <c r="F72" s="142" t="s">
        <v>92</v>
      </c>
      <c r="G72" s="142" t="s">
        <v>92</v>
      </c>
      <c r="H72" s="142" t="s">
        <v>92</v>
      </c>
      <c r="I72" s="142" t="s">
        <v>92</v>
      </c>
      <c r="J72" s="132">
        <v>0.9</v>
      </c>
      <c r="K72" s="133">
        <v>0.833333333333333</v>
      </c>
      <c r="L72" s="133">
        <v>0.835294117647059</v>
      </c>
      <c r="M72" s="134">
        <v>0.808510638297872</v>
      </c>
      <c r="N72" s="133">
        <v>0.839514066496164</v>
      </c>
      <c r="O72" s="135">
        <v>0.9</v>
      </c>
      <c r="P72" s="133">
        <v>0.947604120017913</v>
      </c>
      <c r="Q72" s="133">
        <v>0.949567723342939</v>
      </c>
      <c r="R72" s="133">
        <v>0.907927984838913</v>
      </c>
      <c r="S72" s="133">
        <v>0.850935246786722</v>
      </c>
      <c r="T72" s="135">
        <v>0.9</v>
      </c>
      <c r="U72" s="133">
        <v>0.629422301836095</v>
      </c>
      <c r="V72" s="133">
        <v>0.701729106628242</v>
      </c>
      <c r="W72" s="133">
        <v>0.737049905243209</v>
      </c>
      <c r="X72" s="133">
        <v>0.646365251314919</v>
      </c>
      <c r="Y72" s="135">
        <v>0.92</v>
      </c>
      <c r="Z72" s="135">
        <v>0.705340699815838</v>
      </c>
      <c r="AA72" s="135">
        <v>0.838735177865613</v>
      </c>
      <c r="AB72" s="135">
        <v>0.914055080721747</v>
      </c>
      <c r="AC72" s="135">
        <v>0.86126848903409</v>
      </c>
      <c r="AD72" s="135">
        <v>0.92</v>
      </c>
      <c r="AE72" s="133">
        <v>0.990613592908048</v>
      </c>
      <c r="AF72" s="133">
        <v>0.997173272388284</v>
      </c>
      <c r="AG72" s="133">
        <v>0.991518915489666</v>
      </c>
      <c r="AH72" s="133">
        <v>0.905256109083659</v>
      </c>
      <c r="AI72" s="135">
        <v>0.92</v>
      </c>
      <c r="AJ72" s="133">
        <v>0.767655473573257</v>
      </c>
      <c r="AK72" s="133">
        <v>0.877402649138532</v>
      </c>
      <c r="AL72" s="133">
        <v>0.935135135135135</v>
      </c>
      <c r="AM72" s="133">
        <v>0.895981301927972</v>
      </c>
      <c r="AN72" s="132">
        <v>0.99</v>
      </c>
      <c r="AO72" s="137">
        <v>1</v>
      </c>
      <c r="AP72" s="137">
        <v>1</v>
      </c>
      <c r="AQ72" s="137">
        <v>1</v>
      </c>
      <c r="AR72" s="137">
        <v>1</v>
      </c>
      <c r="AS72" s="139">
        <v>0.0872182100128262</v>
      </c>
      <c r="AT72" s="141">
        <v>0.0869565217391304</v>
      </c>
      <c r="AU72" s="141">
        <v>0.0238095238095238</v>
      </c>
      <c r="AV72" s="141">
        <v>0.0810810810810811</v>
      </c>
      <c r="AW72" s="141">
        <v>0.0597014925373134</v>
      </c>
      <c r="AX72" s="95"/>
      <c r="AY72" s="93"/>
    </row>
    <row r="73" ht="14.5" spans="1:51">
      <c r="A73" s="91"/>
      <c r="B73" s="95"/>
      <c r="C73" s="128" t="s">
        <v>24</v>
      </c>
      <c r="D73" s="129" t="s">
        <v>25</v>
      </c>
      <c r="E73" s="130" t="s">
        <v>26</v>
      </c>
      <c r="F73" s="142" t="s">
        <v>93</v>
      </c>
      <c r="G73" s="142" t="s">
        <v>93</v>
      </c>
      <c r="H73" s="142" t="s">
        <v>93</v>
      </c>
      <c r="I73" s="142" t="s">
        <v>93</v>
      </c>
      <c r="J73" s="132">
        <v>0.9</v>
      </c>
      <c r="K73" s="133">
        <v>0.953125</v>
      </c>
      <c r="L73" s="133">
        <v>0.926174496644295</v>
      </c>
      <c r="M73" s="134">
        <v>0.804054054054054</v>
      </c>
      <c r="N73" s="133">
        <v>0.91163708086785</v>
      </c>
      <c r="O73" s="135">
        <v>0.9</v>
      </c>
      <c r="P73" s="133">
        <v>0.952268583074118</v>
      </c>
      <c r="Q73" s="133">
        <v>0.942589384154985</v>
      </c>
      <c r="R73" s="133">
        <v>0.922714887292544</v>
      </c>
      <c r="S73" s="133">
        <v>0.899863518944421</v>
      </c>
      <c r="T73" s="135">
        <v>0.9</v>
      </c>
      <c r="U73" s="133">
        <v>0.773463477421431</v>
      </c>
      <c r="V73" s="133">
        <v>0.803984879508584</v>
      </c>
      <c r="W73" s="133">
        <v>0.851044504995459</v>
      </c>
      <c r="X73" s="133">
        <v>0.765946796000963</v>
      </c>
      <c r="Y73" s="135">
        <v>0.92</v>
      </c>
      <c r="Z73" s="135">
        <v>0.883813933908651</v>
      </c>
      <c r="AA73" s="135">
        <v>0.887205146533238</v>
      </c>
      <c r="AB73" s="135">
        <v>0.942481943532502</v>
      </c>
      <c r="AC73" s="135">
        <v>0.934163219255359</v>
      </c>
      <c r="AD73" s="135">
        <v>0.92</v>
      </c>
      <c r="AE73" s="133">
        <v>0.993927125506073</v>
      </c>
      <c r="AF73" s="133">
        <v>0.916645643069781</v>
      </c>
      <c r="AG73" s="133">
        <v>0.986337444854596</v>
      </c>
      <c r="AH73" s="133">
        <v>0.95760784845018</v>
      </c>
      <c r="AI73" s="135">
        <v>0.92</v>
      </c>
      <c r="AJ73" s="133">
        <v>0.896228425314298</v>
      </c>
      <c r="AK73" s="133">
        <v>0.915685279187817</v>
      </c>
      <c r="AL73" s="133">
        <v>0.953428267369381</v>
      </c>
      <c r="AM73" s="133">
        <v>0.952022853165511</v>
      </c>
      <c r="AN73" s="132">
        <v>0.99</v>
      </c>
      <c r="AO73" s="137">
        <v>1</v>
      </c>
      <c r="AP73" s="137">
        <v>1</v>
      </c>
      <c r="AQ73" s="137">
        <v>1</v>
      </c>
      <c r="AR73" s="137">
        <v>0.999858256555634</v>
      </c>
      <c r="AS73" s="139">
        <v>0.0872182100128262</v>
      </c>
      <c r="AT73" s="141">
        <v>0.105263157894737</v>
      </c>
      <c r="AU73" s="141">
        <v>0.037037037037037</v>
      </c>
      <c r="AV73" s="141">
        <v>0.0210526315789474</v>
      </c>
      <c r="AW73" s="141">
        <v>0.0534407027818448</v>
      </c>
      <c r="AX73" s="95"/>
      <c r="AY73" s="93"/>
    </row>
    <row r="74" ht="14.5" spans="1:51">
      <c r="A74" s="91"/>
      <c r="B74" s="95"/>
      <c r="C74" s="128" t="s">
        <v>24</v>
      </c>
      <c r="D74" s="129" t="s">
        <v>25</v>
      </c>
      <c r="E74" s="130" t="s">
        <v>26</v>
      </c>
      <c r="F74" s="142" t="s">
        <v>94</v>
      </c>
      <c r="G74" s="142" t="s">
        <v>94</v>
      </c>
      <c r="H74" s="142" t="s">
        <v>94</v>
      </c>
      <c r="I74" s="142" t="s">
        <v>94</v>
      </c>
      <c r="J74" s="132">
        <v>0.9</v>
      </c>
      <c r="K74" s="133">
        <v>0.730769230769231</v>
      </c>
      <c r="L74" s="133">
        <v>0.827586206896552</v>
      </c>
      <c r="M74" s="134">
        <v>0.786407766990291</v>
      </c>
      <c r="N74" s="133">
        <v>0.835138387484958</v>
      </c>
      <c r="O74" s="135">
        <v>0.9</v>
      </c>
      <c r="P74" s="133">
        <v>0.988470776621297</v>
      </c>
      <c r="Q74" s="133">
        <v>0.986287758346582</v>
      </c>
      <c r="R74" s="133">
        <v>0.733229571984436</v>
      </c>
      <c r="S74" s="133">
        <v>0.931592638355986</v>
      </c>
      <c r="T74" s="135">
        <v>0.9</v>
      </c>
      <c r="U74" s="133">
        <v>0.727301841473179</v>
      </c>
      <c r="V74" s="133">
        <v>0.762321144674086</v>
      </c>
      <c r="W74" s="133">
        <v>0.878832684824903</v>
      </c>
      <c r="X74" s="133">
        <v>0.767991155622033</v>
      </c>
      <c r="Y74" s="135">
        <v>0.92</v>
      </c>
      <c r="Z74" s="135">
        <v>0.848089468779124</v>
      </c>
      <c r="AA74" s="135">
        <v>0.856680299931834</v>
      </c>
      <c r="AB74" s="135">
        <v>0.921517027863777</v>
      </c>
      <c r="AC74" s="135">
        <v>0.878520968882955</v>
      </c>
      <c r="AD74" s="135">
        <v>0.92</v>
      </c>
      <c r="AE74" s="133">
        <v>0.999410905320703</v>
      </c>
      <c r="AF74" s="133">
        <v>0.997722360041201</v>
      </c>
      <c r="AG74" s="133">
        <v>0.996303757554524</v>
      </c>
      <c r="AH74" s="133">
        <v>0.990952225082056</v>
      </c>
      <c r="AI74" s="135">
        <v>0.92</v>
      </c>
      <c r="AJ74" s="133">
        <v>0.855709145995077</v>
      </c>
      <c r="AK74" s="133">
        <v>0.89764174611139</v>
      </c>
      <c r="AL74" s="133">
        <v>0.953576234344271</v>
      </c>
      <c r="AM74" s="133">
        <v>0.924594045076826</v>
      </c>
      <c r="AN74" s="132">
        <v>0.99</v>
      </c>
      <c r="AO74" s="137">
        <v>1</v>
      </c>
      <c r="AP74" s="137">
        <v>1</v>
      </c>
      <c r="AQ74" s="137">
        <v>1</v>
      </c>
      <c r="AR74" s="137">
        <v>1</v>
      </c>
      <c r="AS74" s="139">
        <v>0.0872182100128262</v>
      </c>
      <c r="AT74" s="141">
        <v>0.04</v>
      </c>
      <c r="AU74" s="141">
        <v>0.0697674418604651</v>
      </c>
      <c r="AV74" s="141">
        <v>0.0425531914893617</v>
      </c>
      <c r="AW74" s="141">
        <v>0.044822256568779</v>
      </c>
      <c r="AX74" s="95"/>
      <c r="AY74" s="93"/>
    </row>
    <row r="75" ht="14.5" spans="1:51">
      <c r="A75" s="91"/>
      <c r="B75" s="95"/>
      <c r="C75" s="128" t="s">
        <v>24</v>
      </c>
      <c r="D75" s="129" t="s">
        <v>25</v>
      </c>
      <c r="E75" s="130" t="s">
        <v>26</v>
      </c>
      <c r="F75" s="142" t="s">
        <v>95</v>
      </c>
      <c r="G75" s="142" t="s">
        <v>95</v>
      </c>
      <c r="H75" s="142" t="s">
        <v>95</v>
      </c>
      <c r="I75" s="142" t="s">
        <v>95</v>
      </c>
      <c r="J75" s="132">
        <v>0.9</v>
      </c>
      <c r="K75" s="133">
        <v>0.894736842105263</v>
      </c>
      <c r="L75" s="133">
        <v>0.930232558139535</v>
      </c>
      <c r="M75" s="134">
        <v>0.934065934065934</v>
      </c>
      <c r="N75" s="133">
        <v>0.953166226912929</v>
      </c>
      <c r="O75" s="135">
        <v>0.9</v>
      </c>
      <c r="P75" s="133">
        <v>0.935444579780755</v>
      </c>
      <c r="Q75" s="133">
        <v>0.978408636545382</v>
      </c>
      <c r="R75" s="133">
        <v>0.988183724032781</v>
      </c>
      <c r="S75" s="133">
        <v>0.970367920099023</v>
      </c>
      <c r="T75" s="135">
        <v>0.9</v>
      </c>
      <c r="U75" s="133">
        <v>0.821680876979294</v>
      </c>
      <c r="V75" s="133">
        <v>0.874050379848061</v>
      </c>
      <c r="W75" s="133">
        <v>0.906232132647227</v>
      </c>
      <c r="X75" s="133">
        <v>0.868026804387725</v>
      </c>
      <c r="Y75" s="135">
        <v>0.92</v>
      </c>
      <c r="Z75" s="135">
        <v>0.89185393258427</v>
      </c>
      <c r="AA75" s="135">
        <v>0.918628808864266</v>
      </c>
      <c r="AB75" s="135">
        <v>0.954641909814324</v>
      </c>
      <c r="AC75" s="135">
        <v>0.965764770844837</v>
      </c>
      <c r="AD75" s="135">
        <v>0.92</v>
      </c>
      <c r="AE75" s="133">
        <v>0.998930595658218</v>
      </c>
      <c r="AF75" s="133">
        <v>0.991833931160803</v>
      </c>
      <c r="AG75" s="133">
        <v>0.997139588100686</v>
      </c>
      <c r="AH75" s="133">
        <v>0.959709238964281</v>
      </c>
      <c r="AI75" s="135">
        <v>0.92</v>
      </c>
      <c r="AJ75" s="133">
        <v>0.908139325031583</v>
      </c>
      <c r="AK75" s="133">
        <v>0.941511583744778</v>
      </c>
      <c r="AL75" s="133">
        <v>0.968746536628616</v>
      </c>
      <c r="AM75" s="133">
        <v>0.971748390908243</v>
      </c>
      <c r="AN75" s="132">
        <v>0.99</v>
      </c>
      <c r="AO75" s="137">
        <v>1</v>
      </c>
      <c r="AP75" s="137">
        <v>1</v>
      </c>
      <c r="AQ75" s="137">
        <v>1</v>
      </c>
      <c r="AR75" s="137">
        <v>1</v>
      </c>
      <c r="AS75" s="139">
        <v>0.0872182100128262</v>
      </c>
      <c r="AT75" s="141">
        <v>0.037037037037037</v>
      </c>
      <c r="AU75" s="141">
        <v>0.103448275862069</v>
      </c>
      <c r="AV75" s="141">
        <v>0.0882352941176471</v>
      </c>
      <c r="AW75" s="141">
        <v>0.0626086956521739</v>
      </c>
      <c r="AX75" s="95"/>
      <c r="AY75" s="93"/>
    </row>
    <row r="76" ht="14.5" spans="1:51">
      <c r="A76" s="91"/>
      <c r="B76" s="95"/>
      <c r="C76" s="128" t="s">
        <v>24</v>
      </c>
      <c r="D76" s="129" t="s">
        <v>25</v>
      </c>
      <c r="E76" s="130" t="s">
        <v>26</v>
      </c>
      <c r="F76" s="142" t="s">
        <v>96</v>
      </c>
      <c r="G76" s="142" t="s">
        <v>96</v>
      </c>
      <c r="H76" s="142" t="s">
        <v>96</v>
      </c>
      <c r="I76" s="142" t="s">
        <v>96</v>
      </c>
      <c r="J76" s="132">
        <v>0.9</v>
      </c>
      <c r="K76" s="133">
        <v>0.879518072289157</v>
      </c>
      <c r="L76" s="133">
        <v>0.816091954022989</v>
      </c>
      <c r="M76" s="134">
        <v>0.738636363636364</v>
      </c>
      <c r="N76" s="133">
        <v>0.8875</v>
      </c>
      <c r="O76" s="135">
        <v>0.9</v>
      </c>
      <c r="P76" s="133">
        <v>0.897655377744697</v>
      </c>
      <c r="Q76" s="133">
        <v>0.952481520591341</v>
      </c>
      <c r="R76" s="133">
        <v>0.955970956279932</v>
      </c>
      <c r="S76" s="133">
        <v>0.944406932252982</v>
      </c>
      <c r="T76" s="135">
        <v>0.9</v>
      </c>
      <c r="U76" s="133">
        <v>0.583178265723856</v>
      </c>
      <c r="V76" s="133">
        <v>0.703726052194901</v>
      </c>
      <c r="W76" s="133">
        <v>0.742777691951182</v>
      </c>
      <c r="X76" s="133">
        <v>0.734738790106785</v>
      </c>
      <c r="Y76" s="135">
        <v>0.92</v>
      </c>
      <c r="Z76" s="135">
        <v>0.828798660527417</v>
      </c>
      <c r="AA76" s="135">
        <v>0.887883358471594</v>
      </c>
      <c r="AB76" s="135">
        <v>0.930733019502354</v>
      </c>
      <c r="AC76" s="135">
        <v>0.933449102993354</v>
      </c>
      <c r="AD76" s="135">
        <v>0.92</v>
      </c>
      <c r="AE76" s="133">
        <v>0.999743754003844</v>
      </c>
      <c r="AF76" s="133">
        <v>0.998669150918286</v>
      </c>
      <c r="AG76" s="133">
        <v>0.997951485985563</v>
      </c>
      <c r="AH76" s="133">
        <v>0.994736823856958</v>
      </c>
      <c r="AI76" s="135">
        <v>0.92</v>
      </c>
      <c r="AJ76" s="133">
        <v>0.84275595621378</v>
      </c>
      <c r="AK76" s="133">
        <v>0.908328622573959</v>
      </c>
      <c r="AL76" s="133">
        <v>0.948898436785812</v>
      </c>
      <c r="AM76" s="133">
        <v>0.945407742483693</v>
      </c>
      <c r="AN76" s="132">
        <v>0.99</v>
      </c>
      <c r="AO76" s="137">
        <v>1</v>
      </c>
      <c r="AP76" s="137">
        <v>1</v>
      </c>
      <c r="AQ76" s="137">
        <v>1</v>
      </c>
      <c r="AR76" s="137">
        <v>1</v>
      </c>
      <c r="AS76" s="139">
        <v>0.0872182100128262</v>
      </c>
      <c r="AT76" s="141">
        <v>0.115384615384615</v>
      </c>
      <c r="AU76" s="141">
        <v>0.03125</v>
      </c>
      <c r="AV76" s="141">
        <v>0</v>
      </c>
      <c r="AW76" s="141">
        <v>0.0597539543057996</v>
      </c>
      <c r="AX76" s="95"/>
      <c r="AY76" s="93"/>
    </row>
    <row r="77" ht="14.5" spans="1:51">
      <c r="A77" s="91"/>
      <c r="B77" s="95"/>
      <c r="C77" s="128" t="s">
        <v>24</v>
      </c>
      <c r="D77" s="129" t="s">
        <v>25</v>
      </c>
      <c r="E77" s="130" t="s">
        <v>26</v>
      </c>
      <c r="F77" s="142" t="s">
        <v>97</v>
      </c>
      <c r="G77" s="142" t="s">
        <v>97</v>
      </c>
      <c r="H77" s="142" t="s">
        <v>97</v>
      </c>
      <c r="I77" s="142" t="s">
        <v>97</v>
      </c>
      <c r="J77" s="132">
        <v>0.9</v>
      </c>
      <c r="K77" s="133">
        <v>1</v>
      </c>
      <c r="L77" s="133">
        <v>1</v>
      </c>
      <c r="M77" s="134">
        <v>1</v>
      </c>
      <c r="N77" s="133">
        <v>0.968531468531469</v>
      </c>
      <c r="O77" s="135">
        <v>0.9</v>
      </c>
      <c r="P77" s="133">
        <v>0.934977578475336</v>
      </c>
      <c r="Q77" s="133">
        <v>0.989139515455305</v>
      </c>
      <c r="R77" s="133">
        <v>0.97682119205298</v>
      </c>
      <c r="S77" s="133">
        <v>0.971048621692755</v>
      </c>
      <c r="T77" s="135">
        <v>0.9</v>
      </c>
      <c r="U77" s="133">
        <v>0.751121076233184</v>
      </c>
      <c r="V77" s="133">
        <v>0.734335839598998</v>
      </c>
      <c r="W77" s="133">
        <v>0.785596026490066</v>
      </c>
      <c r="X77" s="133">
        <v>0.84937895368703</v>
      </c>
      <c r="Y77" s="135">
        <v>0.92</v>
      </c>
      <c r="Z77" s="135">
        <v>0.820338983050847</v>
      </c>
      <c r="AA77" s="135">
        <v>0.937853107344633</v>
      </c>
      <c r="AB77" s="135">
        <v>0.942602040816326</v>
      </c>
      <c r="AC77" s="135">
        <v>0.954847812940939</v>
      </c>
      <c r="AD77" s="135">
        <v>0.92</v>
      </c>
      <c r="AE77" s="133">
        <v>0</v>
      </c>
      <c r="AF77" s="133">
        <v>1</v>
      </c>
      <c r="AG77" s="133">
        <v>0.195121951219512</v>
      </c>
      <c r="AH77" s="133">
        <v>0.604651162790698</v>
      </c>
      <c r="AI77" s="135">
        <v>0.92</v>
      </c>
      <c r="AJ77" s="133">
        <v>0.860998650472335</v>
      </c>
      <c r="AK77" s="133">
        <v>0.950131233595801</v>
      </c>
      <c r="AL77" s="133">
        <v>0.960863020572002</v>
      </c>
      <c r="AM77" s="133">
        <v>0.969516199649737</v>
      </c>
      <c r="AN77" s="132">
        <v>0.99</v>
      </c>
      <c r="AO77" s="137">
        <v>1</v>
      </c>
      <c r="AP77" s="137">
        <v>1</v>
      </c>
      <c r="AQ77" s="137">
        <v>1</v>
      </c>
      <c r="AR77" s="137">
        <v>1</v>
      </c>
      <c r="AS77" s="139">
        <v>0.0872182100128262</v>
      </c>
      <c r="AT77" s="141">
        <v>0</v>
      </c>
      <c r="AU77" s="141">
        <v>0</v>
      </c>
      <c r="AV77" s="141">
        <v>0</v>
      </c>
      <c r="AW77" s="141">
        <v>0.0470588235294118</v>
      </c>
      <c r="AX77" s="95"/>
      <c r="AY77" s="93"/>
    </row>
    <row r="78" ht="14.5" spans="1:51">
      <c r="A78" s="91"/>
      <c r="B78" s="95"/>
      <c r="C78" s="128" t="s">
        <v>24</v>
      </c>
      <c r="D78" s="129" t="s">
        <v>25</v>
      </c>
      <c r="E78" s="130" t="s">
        <v>26</v>
      </c>
      <c r="F78" s="142" t="s">
        <v>98</v>
      </c>
      <c r="G78" s="142" t="s">
        <v>98</v>
      </c>
      <c r="H78" s="142" t="s">
        <v>98</v>
      </c>
      <c r="I78" s="142" t="s">
        <v>98</v>
      </c>
      <c r="J78" s="132">
        <v>0.9</v>
      </c>
      <c r="K78" s="133">
        <v>0.96</v>
      </c>
      <c r="L78" s="133">
        <v>0.960526315789474</v>
      </c>
      <c r="M78" s="134">
        <v>0.962025316455696</v>
      </c>
      <c r="N78" s="133">
        <v>0.951816160118606</v>
      </c>
      <c r="O78" s="135">
        <v>0.9</v>
      </c>
      <c r="P78" s="133">
        <v>0.987890376035692</v>
      </c>
      <c r="Q78" s="133">
        <v>0.631128616053239</v>
      </c>
      <c r="R78" s="133">
        <v>0.307998937018336</v>
      </c>
      <c r="S78" s="133">
        <v>0.83668831941371</v>
      </c>
      <c r="T78" s="135">
        <v>0.9</v>
      </c>
      <c r="U78" s="133">
        <v>0.833333333333333</v>
      </c>
      <c r="V78" s="133">
        <v>0.913893793290778</v>
      </c>
      <c r="W78" s="133">
        <v>0.9637257507308</v>
      </c>
      <c r="X78" s="133">
        <v>0.869060365955219</v>
      </c>
      <c r="Y78" s="135">
        <v>0.92</v>
      </c>
      <c r="Z78" s="135">
        <v>0.933108108108108</v>
      </c>
      <c r="AA78" s="135">
        <v>0.928071539657854</v>
      </c>
      <c r="AB78" s="135">
        <v>0.963197969543147</v>
      </c>
      <c r="AC78" s="135">
        <v>0.965018824375201</v>
      </c>
      <c r="AD78" s="135">
        <v>0.92</v>
      </c>
      <c r="AE78" s="133">
        <v>0.990485252140818</v>
      </c>
      <c r="AF78" s="133">
        <v>0.959992591220596</v>
      </c>
      <c r="AG78" s="133">
        <v>0.987451415880067</v>
      </c>
      <c r="AH78" s="133">
        <v>0.981501405420021</v>
      </c>
      <c r="AI78" s="135">
        <v>0.92</v>
      </c>
      <c r="AJ78" s="133">
        <v>0.954545454545455</v>
      </c>
      <c r="AK78" s="133">
        <v>0.961461058563091</v>
      </c>
      <c r="AL78" s="133">
        <v>0.988464073829928</v>
      </c>
      <c r="AM78" s="133">
        <v>0.975928779568675</v>
      </c>
      <c r="AN78" s="132">
        <v>0.99</v>
      </c>
      <c r="AO78" s="137">
        <v>1</v>
      </c>
      <c r="AP78" s="137">
        <v>1</v>
      </c>
      <c r="AQ78" s="137">
        <v>1</v>
      </c>
      <c r="AR78" s="137">
        <v>1</v>
      </c>
      <c r="AS78" s="139">
        <v>0.0872182100128262</v>
      </c>
      <c r="AT78" s="141">
        <v>0</v>
      </c>
      <c r="AU78" s="141">
        <v>0.136363636363636</v>
      </c>
      <c r="AV78" s="141">
        <v>0.2</v>
      </c>
      <c r="AW78" s="141">
        <v>0.0753880266075388</v>
      </c>
      <c r="AX78" s="95"/>
      <c r="AY78" s="93"/>
    </row>
    <row r="79" ht="14.5" spans="1:51">
      <c r="A79" s="91"/>
      <c r="B79" s="95"/>
      <c r="C79" s="143"/>
      <c r="D79" s="129"/>
      <c r="E79" s="144"/>
      <c r="F79" s="144"/>
      <c r="G79" s="145"/>
      <c r="H79" s="145"/>
      <c r="I79" s="145"/>
      <c r="J79" s="146"/>
      <c r="K79" s="147"/>
      <c r="L79" s="147"/>
      <c r="M79" s="134"/>
      <c r="N79" s="147"/>
      <c r="O79" s="146"/>
      <c r="P79" s="148"/>
      <c r="Q79" s="149"/>
      <c r="R79" s="133"/>
      <c r="S79" s="149"/>
      <c r="T79" s="150"/>
      <c r="U79" s="147"/>
      <c r="V79" s="147"/>
      <c r="W79" s="133"/>
      <c r="X79" s="147"/>
      <c r="Y79" s="150"/>
      <c r="Z79" s="150"/>
      <c r="AA79" s="150"/>
      <c r="AB79" s="135"/>
      <c r="AC79" s="150"/>
      <c r="AD79" s="147"/>
      <c r="AE79" s="147"/>
      <c r="AF79" s="147"/>
      <c r="AG79" s="133"/>
      <c r="AH79" s="147"/>
      <c r="AI79" s="150"/>
      <c r="AJ79" s="147"/>
      <c r="AK79" s="147"/>
      <c r="AL79" s="133"/>
      <c r="AM79" s="147"/>
      <c r="AN79" s="146"/>
      <c r="AO79" s="146"/>
      <c r="AP79" s="146"/>
      <c r="AQ79" s="137"/>
      <c r="AR79" s="146"/>
      <c r="AS79" s="151"/>
      <c r="AT79" s="146"/>
      <c r="AU79" s="146"/>
      <c r="AV79" s="141"/>
      <c r="AW79" s="146"/>
      <c r="AX79" s="95"/>
      <c r="AY79" s="93"/>
    </row>
    <row r="80" ht="14.5" spans="1:51">
      <c r="A80" s="91"/>
      <c r="B80" s="95"/>
      <c r="C80" s="152" t="s">
        <v>99</v>
      </c>
      <c r="D80" s="153" t="s">
        <v>25</v>
      </c>
      <c r="E80" s="130" t="s">
        <v>100</v>
      </c>
      <c r="F80" s="154" t="s">
        <v>101</v>
      </c>
      <c r="G80" s="154" t="s">
        <v>101</v>
      </c>
      <c r="H80" s="154" t="s">
        <v>101</v>
      </c>
      <c r="I80" s="154" t="s">
        <v>101</v>
      </c>
      <c r="J80" s="132">
        <v>0.9</v>
      </c>
      <c r="K80" s="133">
        <v>0.883333333333333</v>
      </c>
      <c r="L80" s="133">
        <v>0.876923076923077</v>
      </c>
      <c r="M80" s="134">
        <v>0.895522388059702</v>
      </c>
      <c r="N80" s="133">
        <v>0.912295786758384</v>
      </c>
      <c r="O80" s="135">
        <v>0.9</v>
      </c>
      <c r="P80" s="133">
        <v>0.964018525115782</v>
      </c>
      <c r="Q80" s="133">
        <v>0.962774094849567</v>
      </c>
      <c r="R80" s="133">
        <v>0.980757293606456</v>
      </c>
      <c r="S80" s="133">
        <v>0.91614870214092</v>
      </c>
      <c r="T80" s="135">
        <v>0.9</v>
      </c>
      <c r="U80" s="133">
        <v>0.82401140007125</v>
      </c>
      <c r="V80" s="133">
        <v>0.868434472208057</v>
      </c>
      <c r="W80" s="133">
        <v>0.882371198013656</v>
      </c>
      <c r="X80" s="133">
        <v>0.861640305220072</v>
      </c>
      <c r="Y80" s="135">
        <v>0.92</v>
      </c>
      <c r="Z80" s="135">
        <v>0.805914972273567</v>
      </c>
      <c r="AA80" s="135">
        <v>0.888980944490472</v>
      </c>
      <c r="AB80" s="135">
        <v>0.928510998307953</v>
      </c>
      <c r="AC80" s="135">
        <v>0.91416155095669</v>
      </c>
      <c r="AD80" s="135">
        <v>0.92</v>
      </c>
      <c r="AE80" s="133">
        <v>0.985500241662639</v>
      </c>
      <c r="AF80" s="133">
        <v>0.924767801857585</v>
      </c>
      <c r="AG80" s="133">
        <v>0.987463323552947</v>
      </c>
      <c r="AH80" s="133">
        <v>0.976184550290888</v>
      </c>
      <c r="AI80" s="135">
        <v>0.92</v>
      </c>
      <c r="AJ80" s="133">
        <v>0.887605850654349</v>
      </c>
      <c r="AK80" s="133">
        <v>0.940340909090909</v>
      </c>
      <c r="AL80" s="133">
        <v>0.956856426781239</v>
      </c>
      <c r="AM80" s="133">
        <v>0.947924860471214</v>
      </c>
      <c r="AN80" s="132">
        <v>0.99</v>
      </c>
      <c r="AO80" s="137">
        <v>1</v>
      </c>
      <c r="AP80" s="137">
        <v>1</v>
      </c>
      <c r="AQ80" s="137">
        <v>1</v>
      </c>
      <c r="AR80" s="138">
        <v>1</v>
      </c>
      <c r="AS80" s="139">
        <v>0.105261498981944</v>
      </c>
      <c r="AT80" s="140">
        <v>0.0909090909090909</v>
      </c>
      <c r="AU80" s="141">
        <v>0.142857142857143</v>
      </c>
      <c r="AV80" s="141">
        <v>0</v>
      </c>
      <c r="AW80" s="141">
        <v>0.109510086455331</v>
      </c>
      <c r="AX80" s="95"/>
      <c r="AY80" s="93"/>
    </row>
    <row r="81" ht="14.5" spans="1:51">
      <c r="A81" s="91"/>
      <c r="B81" s="95"/>
      <c r="C81" s="152" t="s">
        <v>99</v>
      </c>
      <c r="D81" s="153" t="s">
        <v>25</v>
      </c>
      <c r="E81" s="130" t="s">
        <v>100</v>
      </c>
      <c r="F81" s="154" t="s">
        <v>102</v>
      </c>
      <c r="G81" s="154" t="s">
        <v>102</v>
      </c>
      <c r="H81" s="154" t="s">
        <v>102</v>
      </c>
      <c r="I81" s="154" t="s">
        <v>102</v>
      </c>
      <c r="J81" s="132">
        <v>0.9</v>
      </c>
      <c r="K81" s="133">
        <v>0.936170212765957</v>
      </c>
      <c r="L81" s="133">
        <v>0.836363636363636</v>
      </c>
      <c r="M81" s="134">
        <v>0.982456140350877</v>
      </c>
      <c r="N81" s="133">
        <v>0.90948275862069</v>
      </c>
      <c r="O81" s="135">
        <v>0.9</v>
      </c>
      <c r="P81" s="133">
        <v>0.949552481692433</v>
      </c>
      <c r="Q81" s="133">
        <v>0.918088737201365</v>
      </c>
      <c r="R81" s="133">
        <v>0.95759587020649</v>
      </c>
      <c r="S81" s="133">
        <v>0.919964066351899</v>
      </c>
      <c r="T81" s="135">
        <v>0.9</v>
      </c>
      <c r="U81" s="133">
        <v>0.825874694873881</v>
      </c>
      <c r="V81" s="133">
        <v>0.88424345847554</v>
      </c>
      <c r="W81" s="133">
        <v>0.914823008849557</v>
      </c>
      <c r="X81" s="133">
        <v>0.881690552793214</v>
      </c>
      <c r="Y81" s="135">
        <v>0.92</v>
      </c>
      <c r="Z81" s="135">
        <v>0.876852907639681</v>
      </c>
      <c r="AA81" s="135">
        <v>0.947193149381541</v>
      </c>
      <c r="AB81" s="135">
        <v>0.956862745098039</v>
      </c>
      <c r="AC81" s="135">
        <v>0.943142578485384</v>
      </c>
      <c r="AD81" s="135">
        <v>0.92</v>
      </c>
      <c r="AE81" s="133">
        <v>0.980952380952381</v>
      </c>
      <c r="AF81" s="133">
        <v>0.988986784140969</v>
      </c>
      <c r="AG81" s="133">
        <v>0.987951807228916</v>
      </c>
      <c r="AH81" s="133">
        <v>0.985161419691197</v>
      </c>
      <c r="AI81" s="135">
        <v>0.92</v>
      </c>
      <c r="AJ81" s="133">
        <v>0.939185140802876</v>
      </c>
      <c r="AK81" s="133">
        <v>0.968143797828795</v>
      </c>
      <c r="AL81" s="133">
        <v>0.972222222222222</v>
      </c>
      <c r="AM81" s="133">
        <v>0.96510896165948</v>
      </c>
      <c r="AN81" s="132">
        <v>0.99</v>
      </c>
      <c r="AO81" s="137">
        <v>1</v>
      </c>
      <c r="AP81" s="137">
        <v>1</v>
      </c>
      <c r="AQ81" s="137">
        <v>1</v>
      </c>
      <c r="AR81" s="138">
        <v>1</v>
      </c>
      <c r="AS81" s="139">
        <v>0.105261498981944</v>
      </c>
      <c r="AT81" s="140">
        <v>0.2</v>
      </c>
      <c r="AU81" s="141">
        <v>0</v>
      </c>
      <c r="AV81" s="141">
        <v>0</v>
      </c>
      <c r="AW81" s="141">
        <v>0.164473684210526</v>
      </c>
      <c r="AX81" s="95"/>
      <c r="AY81" s="93"/>
    </row>
    <row r="82" ht="14.5" spans="1:51">
      <c r="A82" s="91"/>
      <c r="B82" s="95"/>
      <c r="C82" s="152" t="s">
        <v>99</v>
      </c>
      <c r="D82" s="153" t="s">
        <v>25</v>
      </c>
      <c r="E82" s="130" t="s">
        <v>100</v>
      </c>
      <c r="F82" s="154" t="s">
        <v>103</v>
      </c>
      <c r="G82" s="154" t="s">
        <v>103</v>
      </c>
      <c r="H82" s="154" t="s">
        <v>103</v>
      </c>
      <c r="I82" s="154" t="s">
        <v>103</v>
      </c>
      <c r="J82" s="132">
        <v>0.9</v>
      </c>
      <c r="K82" s="133">
        <v>0.988235294117647</v>
      </c>
      <c r="L82" s="133">
        <v>0.93</v>
      </c>
      <c r="M82" s="134">
        <v>0.951456310679612</v>
      </c>
      <c r="N82" s="133">
        <v>0.947552447552448</v>
      </c>
      <c r="O82" s="135">
        <v>0.9</v>
      </c>
      <c r="P82" s="133">
        <v>0.985512920908379</v>
      </c>
      <c r="Q82" s="133">
        <v>0.980821139366387</v>
      </c>
      <c r="R82" s="133">
        <v>0.972473805718345</v>
      </c>
      <c r="S82" s="133">
        <v>0.961085420914652</v>
      </c>
      <c r="T82" s="135">
        <v>0.9</v>
      </c>
      <c r="U82" s="133">
        <v>0.787392325763508</v>
      </c>
      <c r="V82" s="133">
        <v>0.856229578065066</v>
      </c>
      <c r="W82" s="133">
        <v>0.852068904279879</v>
      </c>
      <c r="X82" s="133">
        <v>0.838734343140111</v>
      </c>
      <c r="Y82" s="135">
        <v>0.92</v>
      </c>
      <c r="Z82" s="135">
        <v>0.864690026954178</v>
      </c>
      <c r="AA82" s="135">
        <v>0.914049184319455</v>
      </c>
      <c r="AB82" s="135">
        <v>0.924168171266443</v>
      </c>
      <c r="AC82" s="135">
        <v>0.938717776008818</v>
      </c>
      <c r="AD82" s="135">
        <v>0.92</v>
      </c>
      <c r="AE82" s="133">
        <v>0.994652406417112</v>
      </c>
      <c r="AF82" s="133">
        <v>0.989855072463768</v>
      </c>
      <c r="AG82" s="133">
        <v>0.981077147016012</v>
      </c>
      <c r="AH82" s="133">
        <v>0.974531813252835</v>
      </c>
      <c r="AI82" s="135">
        <v>0.92</v>
      </c>
      <c r="AJ82" s="133">
        <v>0.930376112546655</v>
      </c>
      <c r="AK82" s="133">
        <v>0.953346492015073</v>
      </c>
      <c r="AL82" s="133">
        <v>0.951209253417455</v>
      </c>
      <c r="AM82" s="133">
        <v>0.962428862319219</v>
      </c>
      <c r="AN82" s="132">
        <v>0.99</v>
      </c>
      <c r="AO82" s="137">
        <v>1</v>
      </c>
      <c r="AP82" s="137">
        <v>1</v>
      </c>
      <c r="AQ82" s="137">
        <v>1</v>
      </c>
      <c r="AR82" s="137">
        <v>1</v>
      </c>
      <c r="AS82" s="139">
        <v>0.105261498981944</v>
      </c>
      <c r="AT82" s="141">
        <v>0</v>
      </c>
      <c r="AU82" s="141">
        <v>0.125</v>
      </c>
      <c r="AV82" s="141">
        <v>0.0434782608695652</v>
      </c>
      <c r="AW82" s="141">
        <v>0.09366391184573</v>
      </c>
      <c r="AX82" s="95"/>
      <c r="AY82" s="93"/>
    </row>
    <row r="83" ht="14.5" spans="1:51">
      <c r="A83" s="91"/>
      <c r="B83" s="95"/>
      <c r="C83" s="152" t="s">
        <v>99</v>
      </c>
      <c r="D83" s="153" t="s">
        <v>25</v>
      </c>
      <c r="E83" s="130" t="s">
        <v>100</v>
      </c>
      <c r="F83" s="154" t="s">
        <v>104</v>
      </c>
      <c r="G83" s="154" t="s">
        <v>104</v>
      </c>
      <c r="H83" s="154" t="s">
        <v>104</v>
      </c>
      <c r="I83" s="154" t="s">
        <v>104</v>
      </c>
      <c r="J83" s="132">
        <v>0.9</v>
      </c>
      <c r="K83" s="133">
        <v>0.846846846846847</v>
      </c>
      <c r="L83" s="133">
        <v>0.875968992248062</v>
      </c>
      <c r="M83" s="134">
        <v>0.821428571428571</v>
      </c>
      <c r="N83" s="133">
        <v>0.8619939050936</v>
      </c>
      <c r="O83" s="135">
        <v>0.9</v>
      </c>
      <c r="P83" s="133">
        <v>0.88336646785951</v>
      </c>
      <c r="Q83" s="133">
        <v>0.820783847980998</v>
      </c>
      <c r="R83" s="133">
        <v>0.838675536740248</v>
      </c>
      <c r="S83" s="133">
        <v>0.829761962870764</v>
      </c>
      <c r="T83" s="135">
        <v>0.9</v>
      </c>
      <c r="U83" s="133">
        <v>0.757952286282306</v>
      </c>
      <c r="V83" s="133">
        <v>0.794655581947743</v>
      </c>
      <c r="W83" s="133">
        <v>0.830359842757787</v>
      </c>
      <c r="X83" s="133">
        <v>0.826385838173801</v>
      </c>
      <c r="Y83" s="135">
        <v>0.92</v>
      </c>
      <c r="Z83" s="135">
        <v>0.887915936952715</v>
      </c>
      <c r="AA83" s="135">
        <v>0.908514121981171</v>
      </c>
      <c r="AB83" s="135">
        <v>0.925139425139425</v>
      </c>
      <c r="AC83" s="135">
        <v>0.93376935089981</v>
      </c>
      <c r="AD83" s="135">
        <v>0.92</v>
      </c>
      <c r="AE83" s="133">
        <v>0.990417136414882</v>
      </c>
      <c r="AF83" s="133">
        <v>0.99294325198471</v>
      </c>
      <c r="AG83" s="133">
        <v>0.997144112478032</v>
      </c>
      <c r="AH83" s="133">
        <v>0.990659184543259</v>
      </c>
      <c r="AI83" s="135">
        <v>0.92</v>
      </c>
      <c r="AJ83" s="133">
        <v>0.923132356473697</v>
      </c>
      <c r="AK83" s="133">
        <v>0.9388291876456</v>
      </c>
      <c r="AL83" s="133">
        <v>0.952731465058531</v>
      </c>
      <c r="AM83" s="133">
        <v>0.95604883767792</v>
      </c>
      <c r="AN83" s="132">
        <v>0.99</v>
      </c>
      <c r="AO83" s="137">
        <v>1</v>
      </c>
      <c r="AP83" s="137">
        <v>1</v>
      </c>
      <c r="AQ83" s="137">
        <v>1</v>
      </c>
      <c r="AR83" s="137">
        <v>1</v>
      </c>
      <c r="AS83" s="139">
        <v>0.105261498981944</v>
      </c>
      <c r="AT83" s="141">
        <v>0.0285714285714286</v>
      </c>
      <c r="AU83" s="141">
        <v>0.117647058823529</v>
      </c>
      <c r="AV83" s="141">
        <v>0</v>
      </c>
      <c r="AW83" s="141">
        <v>0.0947775628626693</v>
      </c>
      <c r="AX83" s="95"/>
      <c r="AY83" s="93"/>
    </row>
    <row r="84" ht="14.5" spans="1:51">
      <c r="A84" s="91"/>
      <c r="B84" s="95"/>
      <c r="C84" s="152" t="s">
        <v>99</v>
      </c>
      <c r="D84" s="153" t="s">
        <v>25</v>
      </c>
      <c r="E84" s="130" t="s">
        <v>100</v>
      </c>
      <c r="F84" s="154" t="s">
        <v>105</v>
      </c>
      <c r="G84" s="154" t="s">
        <v>105</v>
      </c>
      <c r="H84" s="154" t="s">
        <v>105</v>
      </c>
      <c r="I84" s="154" t="s">
        <v>105</v>
      </c>
      <c r="J84" s="132">
        <v>0.9</v>
      </c>
      <c r="K84" s="133">
        <v>0.945945945945946</v>
      </c>
      <c r="L84" s="133">
        <v>0.938271604938272</v>
      </c>
      <c r="M84" s="134">
        <v>0.942528735632184</v>
      </c>
      <c r="N84" s="133">
        <v>0.937034529451591</v>
      </c>
      <c r="O84" s="135">
        <v>0.9</v>
      </c>
      <c r="P84" s="133">
        <v>0.863703339882122</v>
      </c>
      <c r="Q84" s="133">
        <v>0.846206659800893</v>
      </c>
      <c r="R84" s="133">
        <v>0.898771706903854</v>
      </c>
      <c r="S84" s="133">
        <v>0.876915888915479</v>
      </c>
      <c r="T84" s="135">
        <v>0.9</v>
      </c>
      <c r="U84" s="133">
        <v>0.773575638506876</v>
      </c>
      <c r="V84" s="133">
        <v>0.809818056985925</v>
      </c>
      <c r="W84" s="133">
        <v>0.853028377806014</v>
      </c>
      <c r="X84" s="133">
        <v>0.828370540038517</v>
      </c>
      <c r="Y84" s="135">
        <v>0.92</v>
      </c>
      <c r="Z84" s="135">
        <v>0.87219578518015</v>
      </c>
      <c r="AA84" s="135">
        <v>0.89075373817516</v>
      </c>
      <c r="AB84" s="135">
        <v>0.935909519321395</v>
      </c>
      <c r="AC84" s="135">
        <v>0.920074584413122</v>
      </c>
      <c r="AD84" s="135">
        <v>0.92</v>
      </c>
      <c r="AE84" s="133">
        <v>0.991879350348028</v>
      </c>
      <c r="AF84" s="133">
        <v>0.986577181208054</v>
      </c>
      <c r="AG84" s="133">
        <v>0.994581577363034</v>
      </c>
      <c r="AH84" s="133">
        <v>0.981032281597666</v>
      </c>
      <c r="AI84" s="135">
        <v>0.92</v>
      </c>
      <c r="AJ84" s="133">
        <v>0.922813345356177</v>
      </c>
      <c r="AK84" s="133">
        <v>0.929913215423487</v>
      </c>
      <c r="AL84" s="133">
        <v>0.957368753953194</v>
      </c>
      <c r="AM84" s="133">
        <v>0.949604088874765</v>
      </c>
      <c r="AN84" s="132">
        <v>0.99</v>
      </c>
      <c r="AO84" s="137">
        <v>1</v>
      </c>
      <c r="AP84" s="137">
        <v>1</v>
      </c>
      <c r="AQ84" s="137">
        <v>1</v>
      </c>
      <c r="AR84" s="137">
        <v>1</v>
      </c>
      <c r="AS84" s="139">
        <v>0.105261498981944</v>
      </c>
      <c r="AT84" s="141">
        <v>0.0555555555555556</v>
      </c>
      <c r="AU84" s="141">
        <v>0</v>
      </c>
      <c r="AV84" s="141">
        <v>0.0555555555555556</v>
      </c>
      <c r="AW84" s="141">
        <v>0.0849056603773585</v>
      </c>
      <c r="AX84" s="95"/>
      <c r="AY84" s="93"/>
    </row>
    <row r="85" ht="14.5" spans="1:51">
      <c r="A85" s="91"/>
      <c r="B85" s="95"/>
      <c r="C85" s="152" t="s">
        <v>99</v>
      </c>
      <c r="D85" s="153" t="s">
        <v>25</v>
      </c>
      <c r="E85" s="130" t="s">
        <v>100</v>
      </c>
      <c r="F85" s="154" t="s">
        <v>106</v>
      </c>
      <c r="G85" s="154" t="s">
        <v>106</v>
      </c>
      <c r="H85" s="154" t="s">
        <v>106</v>
      </c>
      <c r="I85" s="154" t="s">
        <v>106</v>
      </c>
      <c r="J85" s="132">
        <v>0.9</v>
      </c>
      <c r="K85" s="133">
        <v>0.888888888888889</v>
      </c>
      <c r="L85" s="133">
        <v>0.892857142857143</v>
      </c>
      <c r="M85" s="134">
        <v>0.95</v>
      </c>
      <c r="N85" s="133">
        <v>0.938330170777989</v>
      </c>
      <c r="O85" s="135">
        <v>0.9</v>
      </c>
      <c r="P85" s="133">
        <v>0</v>
      </c>
      <c r="Q85" s="133" t="s">
        <v>35</v>
      </c>
      <c r="R85" s="133" t="s">
        <v>35</v>
      </c>
      <c r="S85" s="133">
        <v>0.25</v>
      </c>
      <c r="T85" s="135">
        <v>0.9</v>
      </c>
      <c r="U85" s="133">
        <v>0</v>
      </c>
      <c r="V85" s="133" t="s">
        <v>35</v>
      </c>
      <c r="W85" s="133" t="s">
        <v>35</v>
      </c>
      <c r="X85" s="133">
        <v>0</v>
      </c>
      <c r="Y85" s="135">
        <v>0.92</v>
      </c>
      <c r="Z85" s="135" t="s">
        <v>35</v>
      </c>
      <c r="AA85" s="135" t="s">
        <v>35</v>
      </c>
      <c r="AB85" s="135" t="s">
        <v>35</v>
      </c>
      <c r="AC85" s="135">
        <v>0.666666666666667</v>
      </c>
      <c r="AD85" s="135">
        <v>0.92</v>
      </c>
      <c r="AE85" s="133">
        <v>0.9</v>
      </c>
      <c r="AF85" s="133">
        <v>0.89010989010989</v>
      </c>
      <c r="AG85" s="133">
        <v>0.893617021276596</v>
      </c>
      <c r="AH85" s="133">
        <v>0.866706161137441</v>
      </c>
      <c r="AI85" s="135">
        <v>0.92</v>
      </c>
      <c r="AJ85" s="133">
        <v>0.956177402323126</v>
      </c>
      <c r="AK85" s="133">
        <v>0.937610881135423</v>
      </c>
      <c r="AL85" s="133">
        <v>0.976859760832427</v>
      </c>
      <c r="AM85" s="133">
        <v>0.972933308873805</v>
      </c>
      <c r="AN85" s="132">
        <v>0.99</v>
      </c>
      <c r="AO85" s="137">
        <v>1</v>
      </c>
      <c r="AP85" s="137">
        <v>1</v>
      </c>
      <c r="AQ85" s="137">
        <v>1</v>
      </c>
      <c r="AR85" s="137">
        <v>1</v>
      </c>
      <c r="AS85" s="139">
        <v>0.105261498981944</v>
      </c>
      <c r="AT85" s="141">
        <v>0.142857142857143</v>
      </c>
      <c r="AU85" s="141">
        <v>0</v>
      </c>
      <c r="AV85" s="141">
        <v>0</v>
      </c>
      <c r="AW85" s="141">
        <v>0.0868055555555556</v>
      </c>
      <c r="AX85" s="95"/>
      <c r="AY85" s="93"/>
    </row>
    <row r="86" ht="14.5" spans="1:51">
      <c r="A86" s="91"/>
      <c r="B86" s="95"/>
      <c r="C86" s="152" t="s">
        <v>99</v>
      </c>
      <c r="D86" s="153" t="s">
        <v>25</v>
      </c>
      <c r="E86" s="130" t="s">
        <v>100</v>
      </c>
      <c r="F86" s="154" t="s">
        <v>107</v>
      </c>
      <c r="G86" s="154" t="s">
        <v>107</v>
      </c>
      <c r="H86" s="154" t="s">
        <v>107</v>
      </c>
      <c r="I86" s="154" t="s">
        <v>107</v>
      </c>
      <c r="J86" s="132">
        <v>0.9</v>
      </c>
      <c r="K86" s="133">
        <v>0.866666666666667</v>
      </c>
      <c r="L86" s="133">
        <v>0.888888888888889</v>
      </c>
      <c r="M86" s="134">
        <v>0.938461538461538</v>
      </c>
      <c r="N86" s="133">
        <v>0.878113879003559</v>
      </c>
      <c r="O86" s="135">
        <v>0.9</v>
      </c>
      <c r="P86" s="133">
        <v>0.957466918714556</v>
      </c>
      <c r="Q86" s="133">
        <v>0.953953279424978</v>
      </c>
      <c r="R86" s="133">
        <v>0.950442967884828</v>
      </c>
      <c r="S86" s="133">
        <v>0.929272055597231</v>
      </c>
      <c r="T86" s="135">
        <v>0.9</v>
      </c>
      <c r="U86" s="133">
        <v>0.826086956521739</v>
      </c>
      <c r="V86" s="133">
        <v>0.856244384546271</v>
      </c>
      <c r="W86" s="133">
        <v>0.88953488372093</v>
      </c>
      <c r="X86" s="133">
        <v>0.851424608285799</v>
      </c>
      <c r="Y86" s="135">
        <v>0.92</v>
      </c>
      <c r="Z86" s="135">
        <v>0.844974446337308</v>
      </c>
      <c r="AA86" s="135">
        <v>0.915492957746479</v>
      </c>
      <c r="AB86" s="135">
        <v>0.924920127795527</v>
      </c>
      <c r="AC86" s="135">
        <v>0.936950089542942</v>
      </c>
      <c r="AD86" s="135">
        <v>0.92</v>
      </c>
      <c r="AE86" s="133">
        <v>0.992753623188406</v>
      </c>
      <c r="AF86" s="133">
        <v>0.98943661971831</v>
      </c>
      <c r="AG86" s="133">
        <v>0.969230769230769</v>
      </c>
      <c r="AH86" s="133">
        <v>0.971035785496904</v>
      </c>
      <c r="AI86" s="135">
        <v>0.92</v>
      </c>
      <c r="AJ86" s="133">
        <v>0.914252873563218</v>
      </c>
      <c r="AK86" s="133">
        <v>0.951341324200913</v>
      </c>
      <c r="AL86" s="133">
        <v>0.957815565729235</v>
      </c>
      <c r="AM86" s="133">
        <v>0.959691561368143</v>
      </c>
      <c r="AN86" s="132">
        <v>0.99</v>
      </c>
      <c r="AO86" s="137">
        <v>1</v>
      </c>
      <c r="AP86" s="137">
        <v>1</v>
      </c>
      <c r="AQ86" s="137">
        <v>1</v>
      </c>
      <c r="AR86" s="137">
        <v>1</v>
      </c>
      <c r="AS86" s="139">
        <v>0.105261498981944</v>
      </c>
      <c r="AT86" s="141">
        <v>0.0909090909090909</v>
      </c>
      <c r="AU86" s="141">
        <v>0</v>
      </c>
      <c r="AV86" s="141">
        <v>0.0555555555555556</v>
      </c>
      <c r="AW86" s="141">
        <v>0.0948905109489051</v>
      </c>
      <c r="AX86" s="95"/>
      <c r="AY86" s="93"/>
    </row>
    <row r="87" ht="14.5" spans="1:51">
      <c r="A87" s="91"/>
      <c r="B87" s="95"/>
      <c r="C87" s="152" t="s">
        <v>99</v>
      </c>
      <c r="D87" s="153" t="s">
        <v>25</v>
      </c>
      <c r="E87" s="130" t="s">
        <v>100</v>
      </c>
      <c r="F87" s="154" t="s">
        <v>108</v>
      </c>
      <c r="G87" s="154" t="s">
        <v>108</v>
      </c>
      <c r="H87" s="154" t="s">
        <v>108</v>
      </c>
      <c r="I87" s="154" t="s">
        <v>108</v>
      </c>
      <c r="J87" s="132">
        <v>0.9</v>
      </c>
      <c r="K87" s="133">
        <v>0.922077922077922</v>
      </c>
      <c r="L87" s="133">
        <v>0.932432432432432</v>
      </c>
      <c r="M87" s="134">
        <v>0.962962962962963</v>
      </c>
      <c r="N87" s="133">
        <v>0.919424460431655</v>
      </c>
      <c r="O87" s="135">
        <v>0.9</v>
      </c>
      <c r="P87" s="133">
        <v>0</v>
      </c>
      <c r="Q87" s="133">
        <v>1</v>
      </c>
      <c r="R87" s="133" t="s">
        <v>35</v>
      </c>
      <c r="S87" s="133">
        <v>0.681818181818182</v>
      </c>
      <c r="T87" s="135">
        <v>0.9</v>
      </c>
      <c r="U87" s="133">
        <v>0</v>
      </c>
      <c r="V87" s="133">
        <v>0.5</v>
      </c>
      <c r="W87" s="133" t="s">
        <v>35</v>
      </c>
      <c r="X87" s="133">
        <v>0.636363636363636</v>
      </c>
      <c r="Y87" s="135">
        <v>0.92</v>
      </c>
      <c r="Z87" s="135">
        <v>0.5</v>
      </c>
      <c r="AA87" s="135">
        <v>1</v>
      </c>
      <c r="AB87" s="135">
        <v>1</v>
      </c>
      <c r="AC87" s="135">
        <v>0.794117647058823</v>
      </c>
      <c r="AD87" s="135">
        <v>0.92</v>
      </c>
      <c r="AE87" s="133">
        <v>0.947807933194154</v>
      </c>
      <c r="AF87" s="133">
        <v>0.994565217391304</v>
      </c>
      <c r="AG87" s="133">
        <v>0.939349112426035</v>
      </c>
      <c r="AH87" s="133">
        <v>0.975169757778453</v>
      </c>
      <c r="AI87" s="135">
        <v>0.92</v>
      </c>
      <c r="AJ87" s="133">
        <v>0.969215204509322</v>
      </c>
      <c r="AK87" s="133">
        <v>0.98562421185372</v>
      </c>
      <c r="AL87" s="133">
        <v>0.98456416464891</v>
      </c>
      <c r="AM87" s="133">
        <v>0.984753349167901</v>
      </c>
      <c r="AN87" s="132">
        <v>0.99</v>
      </c>
      <c r="AO87" s="137">
        <v>1</v>
      </c>
      <c r="AP87" s="137">
        <v>1</v>
      </c>
      <c r="AQ87" s="137">
        <v>1</v>
      </c>
      <c r="AR87" s="137">
        <v>1</v>
      </c>
      <c r="AS87" s="139">
        <v>0.105261498981944</v>
      </c>
      <c r="AT87" s="141">
        <v>0</v>
      </c>
      <c r="AU87" s="141">
        <v>0</v>
      </c>
      <c r="AV87" s="141">
        <v>0</v>
      </c>
      <c r="AW87" s="141">
        <v>0.0625</v>
      </c>
      <c r="AX87" s="95"/>
      <c r="AY87" s="93"/>
    </row>
    <row r="88" ht="14.5" spans="1:51">
      <c r="A88" s="91"/>
      <c r="B88" s="95"/>
      <c r="C88" s="152" t="s">
        <v>99</v>
      </c>
      <c r="D88" s="153" t="s">
        <v>25</v>
      </c>
      <c r="E88" s="130" t="s">
        <v>100</v>
      </c>
      <c r="F88" s="154" t="s">
        <v>109</v>
      </c>
      <c r="G88" s="154" t="s">
        <v>109</v>
      </c>
      <c r="H88" s="154" t="s">
        <v>109</v>
      </c>
      <c r="I88" s="154" t="s">
        <v>109</v>
      </c>
      <c r="J88" s="132">
        <v>0.9</v>
      </c>
      <c r="K88" s="133">
        <v>0.951219512195122</v>
      </c>
      <c r="L88" s="133">
        <v>0.921052631578947</v>
      </c>
      <c r="M88" s="134">
        <v>0.951219512195122</v>
      </c>
      <c r="N88" s="133">
        <v>0.966666666666667</v>
      </c>
      <c r="O88" s="135">
        <v>0.9</v>
      </c>
      <c r="P88" s="133">
        <v>0.91139846743295</v>
      </c>
      <c r="Q88" s="133">
        <v>0.932096720768466</v>
      </c>
      <c r="R88" s="133">
        <v>0.924830067972811</v>
      </c>
      <c r="S88" s="133">
        <v>0.927073363572053</v>
      </c>
      <c r="T88" s="135">
        <v>0.9</v>
      </c>
      <c r="U88" s="133">
        <v>0.873563218390805</v>
      </c>
      <c r="V88" s="133">
        <v>0.908247764160318</v>
      </c>
      <c r="W88" s="133">
        <v>0.904038384646142</v>
      </c>
      <c r="X88" s="133">
        <v>0.892680287961383</v>
      </c>
      <c r="Y88" s="135">
        <v>0.92</v>
      </c>
      <c r="Z88" s="135">
        <v>0.931216931216931</v>
      </c>
      <c r="AA88" s="135">
        <v>0.938126104890984</v>
      </c>
      <c r="AB88" s="135">
        <v>0.951260504201681</v>
      </c>
      <c r="AC88" s="135">
        <v>0.955785292915133</v>
      </c>
      <c r="AD88" s="135">
        <v>0.92</v>
      </c>
      <c r="AE88" s="133">
        <v>1</v>
      </c>
      <c r="AF88" s="133">
        <v>0.96</v>
      </c>
      <c r="AG88" s="133">
        <v>0.99492385786802</v>
      </c>
      <c r="AH88" s="133">
        <v>0.983606557377049</v>
      </c>
      <c r="AI88" s="135">
        <v>0.92</v>
      </c>
      <c r="AJ88" s="133">
        <v>0.955008787346221</v>
      </c>
      <c r="AK88" s="133">
        <v>0.964588634435963</v>
      </c>
      <c r="AL88" s="133">
        <v>0.970368642090527</v>
      </c>
      <c r="AM88" s="133">
        <v>0.969553014931901</v>
      </c>
      <c r="AN88" s="132">
        <v>0.99</v>
      </c>
      <c r="AO88" s="137">
        <v>1</v>
      </c>
      <c r="AP88" s="137">
        <v>1</v>
      </c>
      <c r="AQ88" s="137">
        <v>1</v>
      </c>
      <c r="AR88" s="137">
        <v>1</v>
      </c>
      <c r="AS88" s="139">
        <v>0.105261498981944</v>
      </c>
      <c r="AT88" s="141">
        <v>0</v>
      </c>
      <c r="AU88" s="141">
        <v>0</v>
      </c>
      <c r="AV88" s="141">
        <v>0</v>
      </c>
      <c r="AW88" s="141">
        <v>0.0797872340425532</v>
      </c>
      <c r="AX88" s="95"/>
      <c r="AY88" s="93"/>
    </row>
    <row r="89" ht="14.5" spans="1:51">
      <c r="A89" s="91"/>
      <c r="B89" s="95"/>
      <c r="C89" s="152" t="s">
        <v>99</v>
      </c>
      <c r="D89" s="153" t="s">
        <v>25</v>
      </c>
      <c r="E89" s="130" t="s">
        <v>100</v>
      </c>
      <c r="F89" s="154" t="s">
        <v>110</v>
      </c>
      <c r="G89" s="154" t="s">
        <v>110</v>
      </c>
      <c r="H89" s="154" t="s">
        <v>110</v>
      </c>
      <c r="I89" s="154" t="s">
        <v>110</v>
      </c>
      <c r="J89" s="132">
        <v>0.9</v>
      </c>
      <c r="K89" s="133">
        <v>0.697674418604651</v>
      </c>
      <c r="L89" s="133">
        <v>0.836734693877551</v>
      </c>
      <c r="M89" s="134">
        <v>0.785714285714286</v>
      </c>
      <c r="N89" s="133">
        <v>0.807855626326964</v>
      </c>
      <c r="O89" s="135">
        <v>0.9</v>
      </c>
      <c r="P89" s="133">
        <v>0.4</v>
      </c>
      <c r="Q89" s="133">
        <v>0</v>
      </c>
      <c r="R89" s="133">
        <v>1</v>
      </c>
      <c r="S89" s="133">
        <v>0.470588235294118</v>
      </c>
      <c r="T89" s="135">
        <v>0.9</v>
      </c>
      <c r="U89" s="133">
        <v>0</v>
      </c>
      <c r="V89" s="133">
        <v>0</v>
      </c>
      <c r="W89" s="133">
        <v>0</v>
      </c>
      <c r="X89" s="133">
        <v>0.294117647058824</v>
      </c>
      <c r="Y89" s="135">
        <v>0.92</v>
      </c>
      <c r="Z89" s="135" t="s">
        <v>35</v>
      </c>
      <c r="AA89" s="135">
        <v>0</v>
      </c>
      <c r="AB89" s="135" t="s">
        <v>35</v>
      </c>
      <c r="AC89" s="135">
        <v>0.5</v>
      </c>
      <c r="AD89" s="135">
        <v>0.92</v>
      </c>
      <c r="AE89" s="133">
        <v>1</v>
      </c>
      <c r="AF89" s="133">
        <v>0.730769230769231</v>
      </c>
      <c r="AG89" s="133">
        <v>0.843373493975904</v>
      </c>
      <c r="AH89" s="133">
        <v>0.944719471947195</v>
      </c>
      <c r="AI89" s="135">
        <v>0.92</v>
      </c>
      <c r="AJ89" s="133">
        <v>0.853708791208791</v>
      </c>
      <c r="AK89" s="133">
        <v>0.922713220585561</v>
      </c>
      <c r="AL89" s="133">
        <v>0.959732901659247</v>
      </c>
      <c r="AM89" s="133">
        <v>0.94126924832939</v>
      </c>
      <c r="AN89" s="132">
        <v>0.99</v>
      </c>
      <c r="AO89" s="137">
        <v>1</v>
      </c>
      <c r="AP89" s="137">
        <v>1</v>
      </c>
      <c r="AQ89" s="137">
        <v>1</v>
      </c>
      <c r="AR89" s="137">
        <v>1</v>
      </c>
      <c r="AS89" s="139">
        <v>0.105261498981944</v>
      </c>
      <c r="AT89" s="141">
        <v>0.0588235294117647</v>
      </c>
      <c r="AU89" s="141">
        <v>0.1</v>
      </c>
      <c r="AV89" s="141">
        <v>0.153846153846154</v>
      </c>
      <c r="AW89" s="141">
        <v>0.0986547085201794</v>
      </c>
      <c r="AX89" s="95"/>
      <c r="AY89" s="93"/>
    </row>
    <row r="90" ht="14.5" spans="1:51">
      <c r="A90" s="91"/>
      <c r="B90" s="95"/>
      <c r="C90" s="152" t="s">
        <v>99</v>
      </c>
      <c r="D90" s="153" t="s">
        <v>25</v>
      </c>
      <c r="E90" s="130" t="s">
        <v>100</v>
      </c>
      <c r="F90" s="154" t="s">
        <v>111</v>
      </c>
      <c r="G90" s="154" t="s">
        <v>111</v>
      </c>
      <c r="H90" s="154" t="s">
        <v>111</v>
      </c>
      <c r="I90" s="154" t="s">
        <v>111</v>
      </c>
      <c r="J90" s="132">
        <v>0.9</v>
      </c>
      <c r="K90" s="133">
        <v>0.879310344827586</v>
      </c>
      <c r="L90" s="133">
        <v>0.807017543859649</v>
      </c>
      <c r="M90" s="134">
        <v>0.859649122807018</v>
      </c>
      <c r="N90" s="133">
        <v>0.900290416263311</v>
      </c>
      <c r="O90" s="135">
        <v>0.9</v>
      </c>
      <c r="P90" s="133">
        <v>0.25</v>
      </c>
      <c r="Q90" s="133">
        <v>0</v>
      </c>
      <c r="R90" s="133">
        <v>0</v>
      </c>
      <c r="S90" s="133">
        <v>0.473684210526316</v>
      </c>
      <c r="T90" s="135">
        <v>0.9</v>
      </c>
      <c r="U90" s="133">
        <v>0</v>
      </c>
      <c r="V90" s="133">
        <v>0.333333333333333</v>
      </c>
      <c r="W90" s="133">
        <v>0</v>
      </c>
      <c r="X90" s="133">
        <v>0.394736842105263</v>
      </c>
      <c r="Y90" s="135">
        <v>0.92</v>
      </c>
      <c r="Z90" s="135">
        <v>0</v>
      </c>
      <c r="AA90" s="135">
        <v>0</v>
      </c>
      <c r="AB90" s="135">
        <v>0.5</v>
      </c>
      <c r="AC90" s="135">
        <v>0.592592592592593</v>
      </c>
      <c r="AD90" s="135">
        <v>0.92</v>
      </c>
      <c r="AE90" s="133">
        <v>0.953703703703704</v>
      </c>
      <c r="AF90" s="133">
        <v>0.99640933572711</v>
      </c>
      <c r="AG90" s="133">
        <v>0.991582491582492</v>
      </c>
      <c r="AH90" s="133">
        <v>0.980196924438544</v>
      </c>
      <c r="AI90" s="135">
        <v>0.92</v>
      </c>
      <c r="AJ90" s="133">
        <v>0.983279851376457</v>
      </c>
      <c r="AK90" s="133">
        <v>0.981240586060523</v>
      </c>
      <c r="AL90" s="133">
        <v>0.980657046361682</v>
      </c>
      <c r="AM90" s="133">
        <v>0.985883183342156</v>
      </c>
      <c r="AN90" s="132">
        <v>0.99</v>
      </c>
      <c r="AO90" s="137">
        <v>1</v>
      </c>
      <c r="AP90" s="137">
        <v>1</v>
      </c>
      <c r="AQ90" s="137">
        <v>1</v>
      </c>
      <c r="AR90" s="137">
        <v>1</v>
      </c>
      <c r="AS90" s="139">
        <v>0.105261498981944</v>
      </c>
      <c r="AT90" s="141">
        <v>0.333333333333333</v>
      </c>
      <c r="AU90" s="141">
        <v>0.153846153846154</v>
      </c>
      <c r="AV90" s="141">
        <v>0.181818181818182</v>
      </c>
      <c r="AW90" s="141">
        <v>0.151260504201681</v>
      </c>
      <c r="AX90" s="95"/>
      <c r="AY90" s="93"/>
    </row>
    <row r="91" ht="14.5" spans="1:51">
      <c r="A91" s="91"/>
      <c r="B91" s="95"/>
      <c r="C91" s="152" t="s">
        <v>99</v>
      </c>
      <c r="D91" s="153" t="s">
        <v>25</v>
      </c>
      <c r="E91" s="130" t="s">
        <v>100</v>
      </c>
      <c r="F91" s="154" t="s">
        <v>112</v>
      </c>
      <c r="G91" s="154" t="s">
        <v>112</v>
      </c>
      <c r="H91" s="154" t="s">
        <v>112</v>
      </c>
      <c r="I91" s="154" t="s">
        <v>112</v>
      </c>
      <c r="J91" s="132">
        <v>0.9</v>
      </c>
      <c r="K91" s="133">
        <v>0.851851851851852</v>
      </c>
      <c r="L91" s="133">
        <v>0.924528301886792</v>
      </c>
      <c r="M91" s="134">
        <v>0.967213114754098</v>
      </c>
      <c r="N91" s="133">
        <v>0.945893719806763</v>
      </c>
      <c r="O91" s="135">
        <v>0.9</v>
      </c>
      <c r="P91" s="133">
        <v>0.940832049306626</v>
      </c>
      <c r="Q91" s="133">
        <v>0.977580569827184</v>
      </c>
      <c r="R91" s="133">
        <v>0.962021781625244</v>
      </c>
      <c r="S91" s="133">
        <v>0.964235231756876</v>
      </c>
      <c r="T91" s="135">
        <v>0.9</v>
      </c>
      <c r="U91" s="133">
        <v>0.797842835130971</v>
      </c>
      <c r="V91" s="133">
        <v>0.797290985520785</v>
      </c>
      <c r="W91" s="133">
        <v>0.879084054733315</v>
      </c>
      <c r="X91" s="133">
        <v>0.860636668826197</v>
      </c>
      <c r="Y91" s="135">
        <v>0.92</v>
      </c>
      <c r="Z91" s="135">
        <v>0.864978902953586</v>
      </c>
      <c r="AA91" s="135">
        <v>0.917305365066559</v>
      </c>
      <c r="AB91" s="135">
        <v>0.923045435939419</v>
      </c>
      <c r="AC91" s="135">
        <v>0.941410705352676</v>
      </c>
      <c r="AD91" s="135">
        <v>0.92</v>
      </c>
      <c r="AE91" s="133">
        <v>0.946666666666667</v>
      </c>
      <c r="AF91" s="133">
        <v>0.996742671009772</v>
      </c>
      <c r="AG91" s="133">
        <v>0.994011976047904</v>
      </c>
      <c r="AH91" s="133">
        <v>0.979892647184119</v>
      </c>
      <c r="AI91" s="135">
        <v>0.92</v>
      </c>
      <c r="AJ91" s="133">
        <v>0.910565442667267</v>
      </c>
      <c r="AK91" s="133">
        <v>0.945570181925751</v>
      </c>
      <c r="AL91" s="133">
        <v>0.955843293492696</v>
      </c>
      <c r="AM91" s="133">
        <v>0.961396902932546</v>
      </c>
      <c r="AN91" s="132">
        <v>0.99</v>
      </c>
      <c r="AO91" s="137">
        <v>1</v>
      </c>
      <c r="AP91" s="137">
        <v>1</v>
      </c>
      <c r="AQ91" s="137">
        <v>1</v>
      </c>
      <c r="AR91" s="137">
        <v>1</v>
      </c>
      <c r="AS91" s="139">
        <v>0.105261498981944</v>
      </c>
      <c r="AT91" s="141">
        <v>0.0476190476190476</v>
      </c>
      <c r="AU91" s="141">
        <v>0.0476190476190476</v>
      </c>
      <c r="AV91" s="141">
        <v>0</v>
      </c>
      <c r="AW91" s="141">
        <v>0.0863095238095238</v>
      </c>
      <c r="AX91" s="95"/>
      <c r="AY91" s="93"/>
    </row>
    <row r="92" ht="14.5" spans="1:51">
      <c r="A92" s="91"/>
      <c r="B92" s="95"/>
      <c r="C92" s="152" t="s">
        <v>99</v>
      </c>
      <c r="D92" s="153" t="s">
        <v>25</v>
      </c>
      <c r="E92" s="130" t="s">
        <v>100</v>
      </c>
      <c r="F92" s="154" t="s">
        <v>113</v>
      </c>
      <c r="G92" s="154" t="s">
        <v>113</v>
      </c>
      <c r="H92" s="154" t="s">
        <v>113</v>
      </c>
      <c r="I92" s="154" t="s">
        <v>113</v>
      </c>
      <c r="J92" s="132">
        <v>0.9</v>
      </c>
      <c r="K92" s="133">
        <v>0.938775510204082</v>
      </c>
      <c r="L92" s="133">
        <v>0.88</v>
      </c>
      <c r="M92" s="134">
        <v>0.944444444444444</v>
      </c>
      <c r="N92" s="133">
        <v>0.950055493895671</v>
      </c>
      <c r="O92" s="135">
        <v>0.9</v>
      </c>
      <c r="P92" s="133">
        <v>0.111111111111111</v>
      </c>
      <c r="Q92" s="133">
        <v>1</v>
      </c>
      <c r="R92" s="133" t="s">
        <v>35</v>
      </c>
      <c r="S92" s="133">
        <v>0.4</v>
      </c>
      <c r="T92" s="135">
        <v>0.9</v>
      </c>
      <c r="U92" s="133">
        <v>0</v>
      </c>
      <c r="V92" s="133">
        <v>1</v>
      </c>
      <c r="W92" s="133" t="s">
        <v>35</v>
      </c>
      <c r="X92" s="133">
        <v>0.4</v>
      </c>
      <c r="Y92" s="135">
        <v>0.92</v>
      </c>
      <c r="Z92" s="135">
        <v>0</v>
      </c>
      <c r="AA92" s="135">
        <v>1</v>
      </c>
      <c r="AB92" s="135" t="s">
        <v>35</v>
      </c>
      <c r="AC92" s="135">
        <v>0.333333333333333</v>
      </c>
      <c r="AD92" s="135">
        <v>0.92</v>
      </c>
      <c r="AE92" s="133">
        <v>0.958015267175573</v>
      </c>
      <c r="AF92" s="133">
        <v>0.86734693877551</v>
      </c>
      <c r="AG92" s="133">
        <v>0.98314606741573</v>
      </c>
      <c r="AH92" s="133">
        <v>0.955087719298246</v>
      </c>
      <c r="AI92" s="135">
        <v>0.92</v>
      </c>
      <c r="AJ92" s="133">
        <v>0.981505657093124</v>
      </c>
      <c r="AK92" s="133">
        <v>0.990859553524345</v>
      </c>
      <c r="AL92" s="133">
        <v>0.988548057259714</v>
      </c>
      <c r="AM92" s="133">
        <v>0.99000798084597</v>
      </c>
      <c r="AN92" s="132">
        <v>0.99</v>
      </c>
      <c r="AO92" s="137">
        <v>1</v>
      </c>
      <c r="AP92" s="137">
        <v>1</v>
      </c>
      <c r="AQ92" s="137">
        <v>1</v>
      </c>
      <c r="AR92" s="137">
        <v>1</v>
      </c>
      <c r="AS92" s="139">
        <v>0.105261498981944</v>
      </c>
      <c r="AT92" s="141">
        <v>0.1</v>
      </c>
      <c r="AU92" s="141">
        <v>0.0833333333333333</v>
      </c>
      <c r="AV92" s="141">
        <v>0</v>
      </c>
      <c r="AW92" s="141">
        <v>0.112359550561798</v>
      </c>
      <c r="AX92" s="95"/>
      <c r="AY92" s="93"/>
    </row>
    <row r="93" ht="14.5" spans="1:51">
      <c r="A93" s="91"/>
      <c r="B93" s="95"/>
      <c r="C93" s="152" t="s">
        <v>99</v>
      </c>
      <c r="D93" s="153" t="s">
        <v>25</v>
      </c>
      <c r="E93" s="130" t="s">
        <v>100</v>
      </c>
      <c r="F93" s="154" t="s">
        <v>114</v>
      </c>
      <c r="G93" s="154" t="s">
        <v>114</v>
      </c>
      <c r="H93" s="154" t="s">
        <v>114</v>
      </c>
      <c r="I93" s="154" t="s">
        <v>114</v>
      </c>
      <c r="J93" s="132">
        <v>0.9</v>
      </c>
      <c r="K93" s="133">
        <v>0.96551724137931</v>
      </c>
      <c r="L93" s="133">
        <v>0.944444444444444</v>
      </c>
      <c r="M93" s="134">
        <v>0.912280701754386</v>
      </c>
      <c r="N93" s="133">
        <v>0.934959349593496</v>
      </c>
      <c r="O93" s="135">
        <v>0.9</v>
      </c>
      <c r="P93" s="133">
        <v>0.949923547400612</v>
      </c>
      <c r="Q93" s="133">
        <v>0.964449232426609</v>
      </c>
      <c r="R93" s="133">
        <v>0.93126079447323</v>
      </c>
      <c r="S93" s="133">
        <v>0.944364390398201</v>
      </c>
      <c r="T93" s="135">
        <v>0.9</v>
      </c>
      <c r="U93" s="133">
        <v>0.869648318042814</v>
      </c>
      <c r="V93" s="133">
        <v>0.896579585241045</v>
      </c>
      <c r="W93" s="133">
        <v>0.873920552677029</v>
      </c>
      <c r="X93" s="133">
        <v>0.882877025269743</v>
      </c>
      <c r="Y93" s="135">
        <v>0.92</v>
      </c>
      <c r="Z93" s="135">
        <v>0.904093567251462</v>
      </c>
      <c r="AA93" s="135">
        <v>0.917842741935484</v>
      </c>
      <c r="AB93" s="135">
        <v>0.941143180531975</v>
      </c>
      <c r="AC93" s="135">
        <v>0.942946858617845</v>
      </c>
      <c r="AD93" s="135">
        <v>0.92</v>
      </c>
      <c r="AE93" s="133">
        <v>0.878661087866109</v>
      </c>
      <c r="AF93" s="133">
        <v>0.92511013215859</v>
      </c>
      <c r="AG93" s="133">
        <v>0.895833333333333</v>
      </c>
      <c r="AH93" s="133">
        <v>0.944940694098697</v>
      </c>
      <c r="AI93" s="135">
        <v>0.92</v>
      </c>
      <c r="AJ93" s="133">
        <v>0.948577994829072</v>
      </c>
      <c r="AK93" s="133">
        <v>0.957551306788283</v>
      </c>
      <c r="AL93" s="133">
        <v>0.971287765159631</v>
      </c>
      <c r="AM93" s="133">
        <v>0.967851135630336</v>
      </c>
      <c r="AN93" s="132">
        <v>0.99</v>
      </c>
      <c r="AO93" s="137">
        <v>1</v>
      </c>
      <c r="AP93" s="137">
        <v>1</v>
      </c>
      <c r="AQ93" s="137">
        <v>1</v>
      </c>
      <c r="AR93" s="137">
        <v>1</v>
      </c>
      <c r="AS93" s="139">
        <v>0.105261498981944</v>
      </c>
      <c r="AT93" s="141">
        <v>0</v>
      </c>
      <c r="AU93" s="141">
        <v>0.0909090909090909</v>
      </c>
      <c r="AV93" s="141">
        <v>0</v>
      </c>
      <c r="AW93" s="141">
        <v>0.089171974522293</v>
      </c>
      <c r="AX93" s="95"/>
      <c r="AY93" s="93"/>
    </row>
    <row r="94" ht="14.5" spans="1:51">
      <c r="A94" s="91"/>
      <c r="B94" s="95"/>
      <c r="C94" s="152" t="s">
        <v>99</v>
      </c>
      <c r="D94" s="153" t="s">
        <v>25</v>
      </c>
      <c r="E94" s="130" t="s">
        <v>100</v>
      </c>
      <c r="F94" s="154" t="s">
        <v>115</v>
      </c>
      <c r="G94" s="154" t="s">
        <v>115</v>
      </c>
      <c r="H94" s="154" t="s">
        <v>115</v>
      </c>
      <c r="I94" s="154" t="s">
        <v>115</v>
      </c>
      <c r="J94" s="132">
        <v>0.9</v>
      </c>
      <c r="K94" s="133">
        <v>0.938461538461538</v>
      </c>
      <c r="L94" s="133">
        <v>0.940298507462687</v>
      </c>
      <c r="M94" s="134">
        <v>0.893333333333333</v>
      </c>
      <c r="N94" s="133">
        <v>0.941176470588235</v>
      </c>
      <c r="O94" s="135">
        <v>0.9</v>
      </c>
      <c r="P94" s="133">
        <v>0.821024967148489</v>
      </c>
      <c r="Q94" s="133">
        <v>0.894364417487996</v>
      </c>
      <c r="R94" s="133">
        <v>0.982866933181039</v>
      </c>
      <c r="S94" s="133">
        <v>0.917258694969899</v>
      </c>
      <c r="T94" s="135">
        <v>0.9</v>
      </c>
      <c r="U94" s="133">
        <v>0.92299605781866</v>
      </c>
      <c r="V94" s="133">
        <v>0.913318170331059</v>
      </c>
      <c r="W94" s="133">
        <v>0.921473443746431</v>
      </c>
      <c r="X94" s="133">
        <v>0.916873519929242</v>
      </c>
      <c r="Y94" s="135">
        <v>0.92</v>
      </c>
      <c r="Z94" s="135">
        <v>0.903117101937658</v>
      </c>
      <c r="AA94" s="135">
        <v>0.947206335239771</v>
      </c>
      <c r="AB94" s="135">
        <v>0.9484</v>
      </c>
      <c r="AC94" s="135">
        <v>0.951073789676837</v>
      </c>
      <c r="AD94" s="135">
        <v>0.92</v>
      </c>
      <c r="AE94" s="133">
        <v>0.954128440366973</v>
      </c>
      <c r="AF94" s="133">
        <v>0.968152866242038</v>
      </c>
      <c r="AG94" s="133">
        <v>0.980582524271845</v>
      </c>
      <c r="AH94" s="133">
        <v>0.959852793576447</v>
      </c>
      <c r="AI94" s="135">
        <v>0.92</v>
      </c>
      <c r="AJ94" s="133">
        <v>0.956547857428915</v>
      </c>
      <c r="AK94" s="133">
        <v>0.96677367576244</v>
      </c>
      <c r="AL94" s="133">
        <v>0.969182075628852</v>
      </c>
      <c r="AM94" s="133">
        <v>0.972150449851452</v>
      </c>
      <c r="AN94" s="132">
        <v>0.99</v>
      </c>
      <c r="AO94" s="137">
        <v>1</v>
      </c>
      <c r="AP94" s="137">
        <v>1</v>
      </c>
      <c r="AQ94" s="137">
        <v>1</v>
      </c>
      <c r="AR94" s="137">
        <v>1</v>
      </c>
      <c r="AS94" s="139">
        <v>0.105261498981944</v>
      </c>
      <c r="AT94" s="141">
        <v>0</v>
      </c>
      <c r="AU94" s="141">
        <v>0.0666666666666667</v>
      </c>
      <c r="AV94" s="141">
        <v>0</v>
      </c>
      <c r="AW94" s="141">
        <v>0.0789473684210526</v>
      </c>
      <c r="AX94" s="95"/>
      <c r="AY94" s="93"/>
    </row>
    <row r="95" ht="14.5" spans="1:51">
      <c r="A95" s="91"/>
      <c r="B95" s="95"/>
      <c r="C95" s="152" t="s">
        <v>99</v>
      </c>
      <c r="D95" s="153" t="s">
        <v>25</v>
      </c>
      <c r="E95" s="130" t="s">
        <v>100</v>
      </c>
      <c r="F95" s="154" t="s">
        <v>116</v>
      </c>
      <c r="G95" s="154" t="s">
        <v>116</v>
      </c>
      <c r="H95" s="154" t="s">
        <v>116</v>
      </c>
      <c r="I95" s="154" t="s">
        <v>116</v>
      </c>
      <c r="J95" s="132">
        <v>0.9</v>
      </c>
      <c r="K95" s="133">
        <v>0.849056603773585</v>
      </c>
      <c r="L95" s="133">
        <v>0.952380952380952</v>
      </c>
      <c r="M95" s="134">
        <v>0.888888888888889</v>
      </c>
      <c r="N95" s="133">
        <v>0.92091388400703</v>
      </c>
      <c r="O95" s="135">
        <v>0.9</v>
      </c>
      <c r="P95" s="133">
        <v>0.929824561403509</v>
      </c>
      <c r="Q95" s="133">
        <v>0.927338530066815</v>
      </c>
      <c r="R95" s="133">
        <v>0.947826086956522</v>
      </c>
      <c r="S95" s="133">
        <v>0.958442803379962</v>
      </c>
      <c r="T95" s="135">
        <v>0.9</v>
      </c>
      <c r="U95" s="133">
        <v>0.87056530214425</v>
      </c>
      <c r="V95" s="133">
        <v>0.88641425389755</v>
      </c>
      <c r="W95" s="133">
        <v>0.911304347826087</v>
      </c>
      <c r="X95" s="133">
        <v>0.910264148263864</v>
      </c>
      <c r="Y95" s="135">
        <v>0.92</v>
      </c>
      <c r="Z95" s="135">
        <v>0.873481781376518</v>
      </c>
      <c r="AA95" s="135">
        <v>0.935546875</v>
      </c>
      <c r="AB95" s="135">
        <v>0.964988009592326</v>
      </c>
      <c r="AC95" s="135">
        <v>0.950604159103874</v>
      </c>
      <c r="AD95" s="135">
        <v>0.92</v>
      </c>
      <c r="AE95" s="133">
        <v>0.986959505833905</v>
      </c>
      <c r="AF95" s="133">
        <v>0.990414110429448</v>
      </c>
      <c r="AG95" s="133">
        <v>0.996298010180472</v>
      </c>
      <c r="AH95" s="133">
        <v>0.988442350332594</v>
      </c>
      <c r="AI95" s="135">
        <v>0.92</v>
      </c>
      <c r="AJ95" s="133">
        <v>0.922081575246132</v>
      </c>
      <c r="AK95" s="133">
        <v>0.961177096259528</v>
      </c>
      <c r="AL95" s="133">
        <v>0.977217741935484</v>
      </c>
      <c r="AM95" s="133">
        <v>0.970781307623413</v>
      </c>
      <c r="AN95" s="132">
        <v>0.99</v>
      </c>
      <c r="AO95" s="137">
        <v>1</v>
      </c>
      <c r="AP95" s="137">
        <v>1</v>
      </c>
      <c r="AQ95" s="137">
        <v>1</v>
      </c>
      <c r="AR95" s="137">
        <v>1</v>
      </c>
      <c r="AS95" s="139">
        <v>0.105261498981944</v>
      </c>
      <c r="AT95" s="141">
        <v>0.1</v>
      </c>
      <c r="AU95" s="141">
        <v>0</v>
      </c>
      <c r="AV95" s="141">
        <v>0.0625</v>
      </c>
      <c r="AW95" s="141">
        <v>0.0991379310344828</v>
      </c>
      <c r="AX95" s="95"/>
      <c r="AY95" s="93"/>
    </row>
    <row r="96" ht="14.5" spans="1:51">
      <c r="A96" s="91"/>
      <c r="B96" s="95"/>
      <c r="C96" s="152" t="s">
        <v>99</v>
      </c>
      <c r="D96" s="153" t="s">
        <v>25</v>
      </c>
      <c r="E96" s="130" t="s">
        <v>100</v>
      </c>
      <c r="F96" s="154" t="s">
        <v>117</v>
      </c>
      <c r="G96" s="154" t="s">
        <v>117</v>
      </c>
      <c r="H96" s="154" t="s">
        <v>117</v>
      </c>
      <c r="I96" s="154" t="s">
        <v>117</v>
      </c>
      <c r="J96" s="132">
        <v>0.9</v>
      </c>
      <c r="K96" s="133">
        <v>0.847457627118644</v>
      </c>
      <c r="L96" s="133">
        <v>0.9</v>
      </c>
      <c r="M96" s="134">
        <v>0.835616438356164</v>
      </c>
      <c r="N96" s="133">
        <v>0.902633679169992</v>
      </c>
      <c r="O96" s="135">
        <v>0.9</v>
      </c>
      <c r="P96" s="133">
        <v>0.766294642857143</v>
      </c>
      <c r="Q96" s="133">
        <v>0.848851063829787</v>
      </c>
      <c r="R96" s="133">
        <v>0.886222222222222</v>
      </c>
      <c r="S96" s="133">
        <v>0.872526969847139</v>
      </c>
      <c r="T96" s="135">
        <v>0.9</v>
      </c>
      <c r="U96" s="133">
        <v>0.733482142857143</v>
      </c>
      <c r="V96" s="133">
        <v>0.802382978723404</v>
      </c>
      <c r="W96" s="133">
        <v>0.870755555555556</v>
      </c>
      <c r="X96" s="133">
        <v>0.854477185224717</v>
      </c>
      <c r="Y96" s="135">
        <v>0.92</v>
      </c>
      <c r="Z96" s="135">
        <v>0.833198380566802</v>
      </c>
      <c r="AA96" s="135">
        <v>0.885073580939033</v>
      </c>
      <c r="AB96" s="135">
        <v>0.932254196642686</v>
      </c>
      <c r="AC96" s="135">
        <v>0.927971454911736</v>
      </c>
      <c r="AD96" s="135">
        <v>0.92</v>
      </c>
      <c r="AE96" s="133">
        <v>0.984398216939079</v>
      </c>
      <c r="AF96" s="133">
        <v>0.941018766756032</v>
      </c>
      <c r="AG96" s="133">
        <v>0.982884195193008</v>
      </c>
      <c r="AH96" s="133">
        <v>0.942190954773869</v>
      </c>
      <c r="AI96" s="135">
        <v>0.92</v>
      </c>
      <c r="AJ96" s="133">
        <v>0.898005598320504</v>
      </c>
      <c r="AK96" s="133">
        <v>0.920160366552119</v>
      </c>
      <c r="AL96" s="133">
        <v>0.955143941084579</v>
      </c>
      <c r="AM96" s="133">
        <v>0.954103473581213</v>
      </c>
      <c r="AN96" s="132">
        <v>0.99</v>
      </c>
      <c r="AO96" s="137">
        <v>1</v>
      </c>
      <c r="AP96" s="137">
        <v>1</v>
      </c>
      <c r="AQ96" s="137">
        <v>1</v>
      </c>
      <c r="AR96" s="137">
        <v>1</v>
      </c>
      <c r="AS96" s="139">
        <v>0.105261498981944</v>
      </c>
      <c r="AT96" s="141">
        <v>0</v>
      </c>
      <c r="AU96" s="141">
        <v>0.0384615384615385</v>
      </c>
      <c r="AV96" s="141">
        <v>0.125</v>
      </c>
      <c r="AW96" s="141">
        <v>0.0755667506297229</v>
      </c>
      <c r="AX96" s="95"/>
      <c r="AY96" s="93"/>
    </row>
    <row r="97" ht="14.5" spans="1:51">
      <c r="A97" s="91"/>
      <c r="B97" s="95"/>
      <c r="C97" s="152" t="s">
        <v>99</v>
      </c>
      <c r="D97" s="153" t="s">
        <v>25</v>
      </c>
      <c r="E97" s="130" t="s">
        <v>100</v>
      </c>
      <c r="F97" s="154" t="s">
        <v>118</v>
      </c>
      <c r="G97" s="154" t="s">
        <v>118</v>
      </c>
      <c r="H97" s="154" t="s">
        <v>118</v>
      </c>
      <c r="I97" s="154" t="s">
        <v>118</v>
      </c>
      <c r="J97" s="132">
        <v>0.9</v>
      </c>
      <c r="K97" s="133">
        <v>0.911764705882353</v>
      </c>
      <c r="L97" s="133">
        <v>0.858974358974359</v>
      </c>
      <c r="M97" s="134">
        <v>0.976470588235294</v>
      </c>
      <c r="N97" s="133">
        <v>0.897330595482546</v>
      </c>
      <c r="O97" s="135">
        <v>0.9</v>
      </c>
      <c r="P97" s="133">
        <v>0.903105300023348</v>
      </c>
      <c r="Q97" s="133">
        <v>0.919146183699871</v>
      </c>
      <c r="R97" s="133">
        <v>0.945543687620382</v>
      </c>
      <c r="S97" s="133">
        <v>0.909941563725128</v>
      </c>
      <c r="T97" s="135">
        <v>0.9</v>
      </c>
      <c r="U97" s="133">
        <v>0.82045295353724</v>
      </c>
      <c r="V97" s="133">
        <v>0.804980595084088</v>
      </c>
      <c r="W97" s="133">
        <v>0.885659254071091</v>
      </c>
      <c r="X97" s="133">
        <v>0.84034506990162</v>
      </c>
      <c r="Y97" s="135">
        <v>0.92</v>
      </c>
      <c r="Z97" s="135">
        <v>0.816604708798017</v>
      </c>
      <c r="AA97" s="135">
        <v>0.837228260869565</v>
      </c>
      <c r="AB97" s="135">
        <v>0.941128148959474</v>
      </c>
      <c r="AC97" s="135">
        <v>0.92633213760497</v>
      </c>
      <c r="AD97" s="135">
        <v>0.92</v>
      </c>
      <c r="AE97" s="133">
        <v>0.967307692307692</v>
      </c>
      <c r="AF97" s="133">
        <v>0.991722381407195</v>
      </c>
      <c r="AG97" s="133">
        <v>0.985232866338508</v>
      </c>
      <c r="AH97" s="133">
        <v>0.916099671572529</v>
      </c>
      <c r="AI97" s="135">
        <v>0.92</v>
      </c>
      <c r="AJ97" s="133">
        <v>0.901661580196677</v>
      </c>
      <c r="AK97" s="133">
        <v>0.9079680064797</v>
      </c>
      <c r="AL97" s="133">
        <v>0.96606914212548</v>
      </c>
      <c r="AM97" s="133">
        <v>0.95790881163392</v>
      </c>
      <c r="AN97" s="132">
        <v>0.99</v>
      </c>
      <c r="AO97" s="137">
        <v>1</v>
      </c>
      <c r="AP97" s="137">
        <v>1</v>
      </c>
      <c r="AQ97" s="137">
        <v>1</v>
      </c>
      <c r="AR97" s="137">
        <v>1</v>
      </c>
      <c r="AS97" s="139">
        <v>0.105261498981944</v>
      </c>
      <c r="AT97" s="141">
        <v>0.176470588235294</v>
      </c>
      <c r="AU97" s="141">
        <v>0.0285714285714286</v>
      </c>
      <c r="AV97" s="141">
        <v>0.0333333333333333</v>
      </c>
      <c r="AW97" s="141">
        <v>0.0821256038647343</v>
      </c>
      <c r="AX97" s="95"/>
      <c r="AY97" s="93"/>
    </row>
    <row r="98" ht="14.5" spans="1:51">
      <c r="A98" s="91"/>
      <c r="B98" s="95"/>
      <c r="C98" s="152" t="s">
        <v>99</v>
      </c>
      <c r="D98" s="153" t="s">
        <v>25</v>
      </c>
      <c r="E98" s="130" t="s">
        <v>100</v>
      </c>
      <c r="F98" s="154" t="s">
        <v>119</v>
      </c>
      <c r="G98" s="154" t="s">
        <v>119</v>
      </c>
      <c r="H98" s="154" t="s">
        <v>119</v>
      </c>
      <c r="I98" s="154" t="s">
        <v>119</v>
      </c>
      <c r="J98" s="132">
        <v>0.9</v>
      </c>
      <c r="K98" s="133">
        <v>0.961538461538462</v>
      </c>
      <c r="L98" s="133">
        <v>0.972222222222222</v>
      </c>
      <c r="M98" s="134">
        <v>0.944444444444444</v>
      </c>
      <c r="N98" s="133">
        <v>0.938967136150235</v>
      </c>
      <c r="O98" s="135">
        <v>0.9</v>
      </c>
      <c r="P98" s="133">
        <v>0.909975669099757</v>
      </c>
      <c r="Q98" s="133">
        <v>0.890965732087227</v>
      </c>
      <c r="R98" s="133">
        <v>0.948794063079777</v>
      </c>
      <c r="S98" s="133">
        <v>0.897246946055998</v>
      </c>
      <c r="T98" s="135">
        <v>0.9</v>
      </c>
      <c r="U98" s="133">
        <v>0.780535279805353</v>
      </c>
      <c r="V98" s="133">
        <v>0.819660782277605</v>
      </c>
      <c r="W98" s="133">
        <v>0.856400742115028</v>
      </c>
      <c r="X98" s="133">
        <v>0.797827105329538</v>
      </c>
      <c r="Y98" s="135">
        <v>0.92</v>
      </c>
      <c r="Z98" s="135">
        <v>0.869753979739508</v>
      </c>
      <c r="AA98" s="135">
        <v>0.899285250162443</v>
      </c>
      <c r="AB98" s="135">
        <v>0.962616822429907</v>
      </c>
      <c r="AC98" s="135">
        <v>0.942200238160667</v>
      </c>
      <c r="AD98" s="135">
        <v>0.92</v>
      </c>
      <c r="AE98" s="133">
        <v>0.96551724137931</v>
      </c>
      <c r="AF98" s="133">
        <v>0.997666277712952</v>
      </c>
      <c r="AG98" s="133">
        <v>0.992659053833605</v>
      </c>
      <c r="AH98" s="133">
        <v>0.987294781972184</v>
      </c>
      <c r="AI98" s="135">
        <v>0.92</v>
      </c>
      <c r="AJ98" s="133">
        <v>0.914785142024763</v>
      </c>
      <c r="AK98" s="133">
        <v>0.93383017163505</v>
      </c>
      <c r="AL98" s="133">
        <v>0.969140004538235</v>
      </c>
      <c r="AM98" s="133">
        <v>0.962246192893401</v>
      </c>
      <c r="AN98" s="132">
        <v>0.99</v>
      </c>
      <c r="AO98" s="137">
        <v>1</v>
      </c>
      <c r="AP98" s="137">
        <v>1</v>
      </c>
      <c r="AQ98" s="137">
        <v>1</v>
      </c>
      <c r="AR98" s="137">
        <v>1</v>
      </c>
      <c r="AS98" s="139">
        <v>0.105261498981944</v>
      </c>
      <c r="AT98" s="141">
        <v>0</v>
      </c>
      <c r="AU98" s="141">
        <v>0.0416666666666667</v>
      </c>
      <c r="AV98" s="141">
        <v>0.0408163265306122</v>
      </c>
      <c r="AW98" s="141">
        <v>0.0552268244575937</v>
      </c>
      <c r="AX98" s="95"/>
      <c r="AY98" s="93"/>
    </row>
    <row r="99" ht="14.5" spans="1:51">
      <c r="A99" s="91"/>
      <c r="B99" s="95"/>
      <c r="C99" s="152" t="s">
        <v>99</v>
      </c>
      <c r="D99" s="153" t="s">
        <v>25</v>
      </c>
      <c r="E99" s="130" t="s">
        <v>100</v>
      </c>
      <c r="F99" s="154" t="s">
        <v>120</v>
      </c>
      <c r="G99" s="154" t="s">
        <v>120</v>
      </c>
      <c r="H99" s="154" t="s">
        <v>120</v>
      </c>
      <c r="I99" s="154" t="s">
        <v>120</v>
      </c>
      <c r="J99" s="132">
        <v>0.9</v>
      </c>
      <c r="K99" s="133">
        <v>0.828571428571429</v>
      </c>
      <c r="L99" s="133">
        <v>0.9</v>
      </c>
      <c r="M99" s="134">
        <v>0.857142857142857</v>
      </c>
      <c r="N99" s="133">
        <v>0.905063291139241</v>
      </c>
      <c r="O99" s="135">
        <v>0.9</v>
      </c>
      <c r="P99" s="133">
        <v>0.874038813621384</v>
      </c>
      <c r="Q99" s="133">
        <v>0.879173290937997</v>
      </c>
      <c r="R99" s="133">
        <v>0.893598103141672</v>
      </c>
      <c r="S99" s="133">
        <v>0.901534681993267</v>
      </c>
      <c r="T99" s="135">
        <v>0.9</v>
      </c>
      <c r="U99" s="133">
        <v>0.81691688026364</v>
      </c>
      <c r="V99" s="133">
        <v>0.830683624801272</v>
      </c>
      <c r="W99" s="133">
        <v>0.882039122703023</v>
      </c>
      <c r="X99" s="133">
        <v>0.857966091413667</v>
      </c>
      <c r="Y99" s="135">
        <v>0.92</v>
      </c>
      <c r="Z99" s="135">
        <v>0.841666666666667</v>
      </c>
      <c r="AA99" s="135">
        <v>0.907772020725389</v>
      </c>
      <c r="AB99" s="135">
        <v>0.927727916863486</v>
      </c>
      <c r="AC99" s="135">
        <v>0.938101168552426</v>
      </c>
      <c r="AD99" s="135">
        <v>0.92</v>
      </c>
      <c r="AE99" s="133">
        <v>0.998329621380846</v>
      </c>
      <c r="AF99" s="133">
        <v>0.995196813495783</v>
      </c>
      <c r="AG99" s="133">
        <v>0.989976869699306</v>
      </c>
      <c r="AH99" s="133">
        <v>0.989505799814288</v>
      </c>
      <c r="AI99" s="135">
        <v>0.92</v>
      </c>
      <c r="AJ99" s="133">
        <v>0.915733482642777</v>
      </c>
      <c r="AK99" s="133">
        <v>0.936021034180543</v>
      </c>
      <c r="AL99" s="133">
        <v>0.957574654042243</v>
      </c>
      <c r="AM99" s="133">
        <v>0.962894749529917</v>
      </c>
      <c r="AN99" s="132">
        <v>0.99</v>
      </c>
      <c r="AO99" s="137">
        <v>1</v>
      </c>
      <c r="AP99" s="137">
        <v>1</v>
      </c>
      <c r="AQ99" s="137">
        <v>1</v>
      </c>
      <c r="AR99" s="137">
        <v>1</v>
      </c>
      <c r="AS99" s="139">
        <v>0.105261498981944</v>
      </c>
      <c r="AT99" s="141">
        <v>0</v>
      </c>
      <c r="AU99" s="141">
        <v>0</v>
      </c>
      <c r="AV99" s="141">
        <v>0.0952380952380952</v>
      </c>
      <c r="AW99" s="141">
        <v>0.0986301369863014</v>
      </c>
      <c r="AX99" s="95"/>
      <c r="AY99" s="93"/>
    </row>
    <row r="100" ht="14.5" spans="1:51">
      <c r="A100" s="91"/>
      <c r="B100" s="95"/>
      <c r="C100" s="152" t="s">
        <v>99</v>
      </c>
      <c r="D100" s="153" t="s">
        <v>25</v>
      </c>
      <c r="E100" s="130" t="s">
        <v>100</v>
      </c>
      <c r="F100" s="154" t="s">
        <v>121</v>
      </c>
      <c r="G100" s="154" t="s">
        <v>121</v>
      </c>
      <c r="H100" s="154" t="s">
        <v>121</v>
      </c>
      <c r="I100" s="154" t="s">
        <v>121</v>
      </c>
      <c r="J100" s="132">
        <v>0.9</v>
      </c>
      <c r="K100" s="133">
        <v>0.931034482758621</v>
      </c>
      <c r="L100" s="133">
        <v>0.931034482758621</v>
      </c>
      <c r="M100" s="134">
        <v>1</v>
      </c>
      <c r="N100" s="133">
        <v>0.968804159445407</v>
      </c>
      <c r="O100" s="135">
        <v>0.9</v>
      </c>
      <c r="P100" s="133">
        <v>0.939724037763253</v>
      </c>
      <c r="Q100" s="133">
        <v>0.96492071119654</v>
      </c>
      <c r="R100" s="133">
        <v>0.958441558441558</v>
      </c>
      <c r="S100" s="133">
        <v>0.956748442266079</v>
      </c>
      <c r="T100" s="135">
        <v>0.9</v>
      </c>
      <c r="U100" s="133">
        <v>0.875090777051561</v>
      </c>
      <c r="V100" s="133">
        <v>0.90485343584815</v>
      </c>
      <c r="W100" s="133">
        <v>0.93038961038961</v>
      </c>
      <c r="X100" s="133">
        <v>0.923169173814428</v>
      </c>
      <c r="Y100" s="135">
        <v>0.92</v>
      </c>
      <c r="Z100" s="135">
        <v>0.874476987447699</v>
      </c>
      <c r="AA100" s="135">
        <v>0.943850267379679</v>
      </c>
      <c r="AB100" s="135">
        <v>0.972602739726027</v>
      </c>
      <c r="AC100" s="135">
        <v>0.967077464788732</v>
      </c>
      <c r="AD100" s="135">
        <v>0.92</v>
      </c>
      <c r="AE100" s="133">
        <v>0.993227990970655</v>
      </c>
      <c r="AF100" s="133">
        <v>0.997515527950311</v>
      </c>
      <c r="AG100" s="133">
        <v>0.993540051679587</v>
      </c>
      <c r="AH100" s="133">
        <v>0.988299232736573</v>
      </c>
      <c r="AI100" s="135">
        <v>0.92</v>
      </c>
      <c r="AJ100" s="133">
        <v>0.931536388140162</v>
      </c>
      <c r="AK100" s="133">
        <v>0.965969403684046</v>
      </c>
      <c r="AL100" s="133">
        <v>0.979005866008027</v>
      </c>
      <c r="AM100" s="133">
        <v>0.978142702773503</v>
      </c>
      <c r="AN100" s="132">
        <v>0.99</v>
      </c>
      <c r="AO100" s="137">
        <v>1</v>
      </c>
      <c r="AP100" s="137">
        <v>1</v>
      </c>
      <c r="AQ100" s="137">
        <v>1</v>
      </c>
      <c r="AR100" s="137">
        <v>1</v>
      </c>
      <c r="AS100" s="139">
        <v>0.105261498981944</v>
      </c>
      <c r="AT100" s="141">
        <v>0</v>
      </c>
      <c r="AU100" s="141">
        <v>0</v>
      </c>
      <c r="AV100" s="141">
        <v>0</v>
      </c>
      <c r="AW100" s="141">
        <v>0.0541871921182266</v>
      </c>
      <c r="AX100" s="95"/>
      <c r="AY100" s="93"/>
    </row>
    <row r="101" ht="14.5" spans="1:51">
      <c r="A101" s="91"/>
      <c r="B101" s="95"/>
      <c r="C101" s="152" t="s">
        <v>99</v>
      </c>
      <c r="D101" s="153" t="s">
        <v>25</v>
      </c>
      <c r="E101" s="130" t="s">
        <v>100</v>
      </c>
      <c r="F101" s="154" t="s">
        <v>122</v>
      </c>
      <c r="G101" s="154" t="s">
        <v>122</v>
      </c>
      <c r="H101" s="154" t="s">
        <v>122</v>
      </c>
      <c r="I101" s="154" t="s">
        <v>122</v>
      </c>
      <c r="J101" s="132">
        <v>0.9</v>
      </c>
      <c r="K101" s="133">
        <v>0.94</v>
      </c>
      <c r="L101" s="133">
        <v>0.942307692307692</v>
      </c>
      <c r="M101" s="134">
        <v>0.964912280701754</v>
      </c>
      <c r="N101" s="133">
        <v>0.940677966101695</v>
      </c>
      <c r="O101" s="135">
        <v>0.9</v>
      </c>
      <c r="P101" s="133">
        <v>0.937642585551331</v>
      </c>
      <c r="Q101" s="133">
        <v>0.944971037388099</v>
      </c>
      <c r="R101" s="133">
        <v>0.930232558139535</v>
      </c>
      <c r="S101" s="133">
        <v>0.955569358178054</v>
      </c>
      <c r="T101" s="135">
        <v>0.9</v>
      </c>
      <c r="U101" s="133">
        <v>0.875665399239544</v>
      </c>
      <c r="V101" s="133">
        <v>0.908636124275935</v>
      </c>
      <c r="W101" s="133">
        <v>0.90189788826517</v>
      </c>
      <c r="X101" s="133">
        <v>0.910379572118703</v>
      </c>
      <c r="Y101" s="135">
        <v>0.92</v>
      </c>
      <c r="Z101" s="135">
        <v>0.832985386221294</v>
      </c>
      <c r="AA101" s="135">
        <v>0.915892420537897</v>
      </c>
      <c r="AB101" s="135">
        <v>0.942748091603053</v>
      </c>
      <c r="AC101" s="135">
        <v>0.950392676239602</v>
      </c>
      <c r="AD101" s="135">
        <v>0.92</v>
      </c>
      <c r="AE101" s="133">
        <v>0.992916174734357</v>
      </c>
      <c r="AF101" s="133">
        <v>0.986858573216521</v>
      </c>
      <c r="AG101" s="133">
        <v>0.995310668229777</v>
      </c>
      <c r="AH101" s="133">
        <v>0.989747140078462</v>
      </c>
      <c r="AI101" s="135">
        <v>0.92</v>
      </c>
      <c r="AJ101" s="133">
        <v>0.904403567447046</v>
      </c>
      <c r="AK101" s="133">
        <v>0.950025671743967</v>
      </c>
      <c r="AL101" s="133">
        <v>0.962616822429907</v>
      </c>
      <c r="AM101" s="133">
        <v>0.969573650122952</v>
      </c>
      <c r="AN101" s="132">
        <v>0.99</v>
      </c>
      <c r="AO101" s="137">
        <v>1</v>
      </c>
      <c r="AP101" s="137">
        <v>1</v>
      </c>
      <c r="AQ101" s="137">
        <v>1</v>
      </c>
      <c r="AR101" s="137">
        <v>1</v>
      </c>
      <c r="AS101" s="139">
        <v>0.105261498981944</v>
      </c>
      <c r="AT101" s="141">
        <v>0.0769230769230769</v>
      </c>
      <c r="AU101" s="141">
        <v>0.0645161290322581</v>
      </c>
      <c r="AV101" s="141">
        <v>0.0952380952380952</v>
      </c>
      <c r="AW101" s="141">
        <v>0.104910714285714</v>
      </c>
      <c r="AX101" s="95"/>
      <c r="AY101" s="93"/>
    </row>
    <row r="102" ht="14.5" spans="1:51">
      <c r="A102" s="91"/>
      <c r="B102" s="95"/>
      <c r="C102" s="152" t="s">
        <v>99</v>
      </c>
      <c r="D102" s="153" t="s">
        <v>25</v>
      </c>
      <c r="E102" s="130" t="s">
        <v>100</v>
      </c>
      <c r="F102" s="154" t="s">
        <v>123</v>
      </c>
      <c r="G102" s="154" t="s">
        <v>123</v>
      </c>
      <c r="H102" s="154" t="s">
        <v>123</v>
      </c>
      <c r="I102" s="154" t="s">
        <v>123</v>
      </c>
      <c r="J102" s="132">
        <v>0.9</v>
      </c>
      <c r="K102" s="133" t="s">
        <v>35</v>
      </c>
      <c r="L102" s="133" t="s">
        <v>35</v>
      </c>
      <c r="M102" s="134" t="s">
        <v>35</v>
      </c>
      <c r="N102" s="133" t="s">
        <v>35</v>
      </c>
      <c r="O102" s="135">
        <v>0.9</v>
      </c>
      <c r="P102" s="133">
        <v>0</v>
      </c>
      <c r="Q102" s="133">
        <v>0</v>
      </c>
      <c r="R102" s="133">
        <v>0.032258064516129</v>
      </c>
      <c r="S102" s="133">
        <v>0.377695167286245</v>
      </c>
      <c r="T102" s="135">
        <v>0.9</v>
      </c>
      <c r="U102" s="133">
        <v>0.923076923076923</v>
      </c>
      <c r="V102" s="133">
        <v>1</v>
      </c>
      <c r="W102" s="133">
        <v>1</v>
      </c>
      <c r="X102" s="133">
        <v>0.981412639405205</v>
      </c>
      <c r="Y102" s="135">
        <v>0.92</v>
      </c>
      <c r="Z102" s="135">
        <v>1</v>
      </c>
      <c r="AA102" s="135">
        <v>1</v>
      </c>
      <c r="AB102" s="135">
        <v>1</v>
      </c>
      <c r="AC102" s="135">
        <v>0.972631578947368</v>
      </c>
      <c r="AD102" s="135">
        <v>0.92</v>
      </c>
      <c r="AE102" s="133" t="s">
        <v>35</v>
      </c>
      <c r="AF102" s="133" t="s">
        <v>35</v>
      </c>
      <c r="AG102" s="133" t="s">
        <v>35</v>
      </c>
      <c r="AH102" s="133">
        <v>0.731947483588621</v>
      </c>
      <c r="AI102" s="135">
        <v>0.92</v>
      </c>
      <c r="AJ102" s="133">
        <v>0.863636363636364</v>
      </c>
      <c r="AK102" s="133">
        <v>1</v>
      </c>
      <c r="AL102" s="133">
        <v>1</v>
      </c>
      <c r="AM102" s="133">
        <v>0.97325327510917</v>
      </c>
      <c r="AN102" s="132">
        <v>0.99</v>
      </c>
      <c r="AO102" s="137" t="s">
        <v>35</v>
      </c>
      <c r="AP102" s="137" t="s">
        <v>35</v>
      </c>
      <c r="AQ102" s="137" t="s">
        <v>35</v>
      </c>
      <c r="AR102" s="137">
        <v>1</v>
      </c>
      <c r="AS102" s="139">
        <v>0.105261498981944</v>
      </c>
      <c r="AT102" s="141" t="s">
        <v>35</v>
      </c>
      <c r="AU102" s="141" t="s">
        <v>35</v>
      </c>
      <c r="AV102" s="141" t="s">
        <v>35</v>
      </c>
      <c r="AW102" s="141">
        <v>0</v>
      </c>
      <c r="AX102" s="95"/>
      <c r="AY102" s="93"/>
    </row>
    <row r="103" ht="14.5" spans="1:51">
      <c r="A103" s="91"/>
      <c r="B103" s="95"/>
      <c r="C103" s="152" t="s">
        <v>99</v>
      </c>
      <c r="D103" s="153" t="s">
        <v>25</v>
      </c>
      <c r="E103" s="130" t="s">
        <v>100</v>
      </c>
      <c r="F103" s="154" t="s">
        <v>124</v>
      </c>
      <c r="G103" s="154" t="s">
        <v>124</v>
      </c>
      <c r="H103" s="154" t="s">
        <v>124</v>
      </c>
      <c r="I103" s="154" t="s">
        <v>124</v>
      </c>
      <c r="J103" s="132">
        <v>0.9</v>
      </c>
      <c r="K103" s="133">
        <v>0.988095238095238</v>
      </c>
      <c r="L103" s="133">
        <v>0.941860465116279</v>
      </c>
      <c r="M103" s="134">
        <v>0.966666666666667</v>
      </c>
      <c r="N103" s="133">
        <v>0.945392491467577</v>
      </c>
      <c r="O103" s="135">
        <v>0.9</v>
      </c>
      <c r="P103" s="133">
        <v>0.950925454236712</v>
      </c>
      <c r="Q103" s="133">
        <v>0.942669638434869</v>
      </c>
      <c r="R103" s="133">
        <v>0.939679817038308</v>
      </c>
      <c r="S103" s="133">
        <v>0.924022515385779</v>
      </c>
      <c r="T103" s="135">
        <v>0.9</v>
      </c>
      <c r="U103" s="133">
        <v>0.893360502632026</v>
      </c>
      <c r="V103" s="133">
        <v>0.909484893511639</v>
      </c>
      <c r="W103" s="133">
        <v>0.909376786735277</v>
      </c>
      <c r="X103" s="133">
        <v>0.880082482106319</v>
      </c>
      <c r="Y103" s="135">
        <v>0.92</v>
      </c>
      <c r="Z103" s="135">
        <v>0.870718232044199</v>
      </c>
      <c r="AA103" s="135">
        <v>0.900084435688151</v>
      </c>
      <c r="AB103" s="135">
        <v>0.927663734115347</v>
      </c>
      <c r="AC103" s="135">
        <v>0.918527109307046</v>
      </c>
      <c r="AD103" s="135">
        <v>0.92</v>
      </c>
      <c r="AE103" s="133">
        <v>0.979261321999121</v>
      </c>
      <c r="AF103" s="133">
        <v>0.983503534956795</v>
      </c>
      <c r="AG103" s="133">
        <v>0.936051030134174</v>
      </c>
      <c r="AH103" s="133">
        <v>0.903088995697574</v>
      </c>
      <c r="AI103" s="135">
        <v>0.92</v>
      </c>
      <c r="AJ103" s="133">
        <v>0.936421435059037</v>
      </c>
      <c r="AK103" s="133">
        <v>0.946029563423857</v>
      </c>
      <c r="AL103" s="133">
        <v>0.958554824758987</v>
      </c>
      <c r="AM103" s="133">
        <v>0.952412812578406</v>
      </c>
      <c r="AN103" s="132">
        <v>0.99</v>
      </c>
      <c r="AO103" s="137">
        <v>1</v>
      </c>
      <c r="AP103" s="137">
        <v>1</v>
      </c>
      <c r="AQ103" s="137">
        <v>1</v>
      </c>
      <c r="AR103" s="137">
        <v>1</v>
      </c>
      <c r="AS103" s="139">
        <v>0.105261498981944</v>
      </c>
      <c r="AT103" s="141">
        <v>0.0909090909090909</v>
      </c>
      <c r="AU103" s="141">
        <v>0</v>
      </c>
      <c r="AV103" s="141">
        <v>0</v>
      </c>
      <c r="AW103" s="141">
        <v>0.0716723549488055</v>
      </c>
      <c r="AX103" s="95"/>
      <c r="AY103" s="93"/>
    </row>
    <row r="104" ht="14.5" spans="1:51">
      <c r="A104" s="91"/>
      <c r="B104" s="95"/>
      <c r="C104" s="152" t="s">
        <v>99</v>
      </c>
      <c r="D104" s="153" t="s">
        <v>125</v>
      </c>
      <c r="E104" s="130" t="s">
        <v>100</v>
      </c>
      <c r="F104" s="154" t="s">
        <v>126</v>
      </c>
      <c r="G104" s="154" t="s">
        <v>126</v>
      </c>
      <c r="H104" s="154" t="s">
        <v>126</v>
      </c>
      <c r="I104" s="154" t="s">
        <v>126</v>
      </c>
      <c r="J104" s="132">
        <v>0.9</v>
      </c>
      <c r="K104" s="133" t="s">
        <v>35</v>
      </c>
      <c r="L104" s="133" t="s">
        <v>35</v>
      </c>
      <c r="M104" s="134" t="s">
        <v>35</v>
      </c>
      <c r="N104" s="133" t="s">
        <v>35</v>
      </c>
      <c r="O104" s="135">
        <v>0.9</v>
      </c>
      <c r="P104" s="133" t="s">
        <v>35</v>
      </c>
      <c r="Q104" s="133" t="s">
        <v>35</v>
      </c>
      <c r="R104" s="133" t="s">
        <v>35</v>
      </c>
      <c r="S104" s="133" t="s">
        <v>35</v>
      </c>
      <c r="T104" s="135">
        <v>0.9</v>
      </c>
      <c r="U104" s="133" t="s">
        <v>35</v>
      </c>
      <c r="V104" s="133" t="s">
        <v>35</v>
      </c>
      <c r="W104" s="133" t="s">
        <v>35</v>
      </c>
      <c r="X104" s="133" t="s">
        <v>35</v>
      </c>
      <c r="Y104" s="135">
        <v>0.92</v>
      </c>
      <c r="Z104" s="135" t="s">
        <v>35</v>
      </c>
      <c r="AA104" s="135" t="s">
        <v>35</v>
      </c>
      <c r="AB104" s="135" t="s">
        <v>35</v>
      </c>
      <c r="AC104" s="135" t="s">
        <v>35</v>
      </c>
      <c r="AD104" s="135">
        <v>0.92</v>
      </c>
      <c r="AE104" s="133">
        <v>1</v>
      </c>
      <c r="AF104" s="133">
        <v>0.966666666666667</v>
      </c>
      <c r="AG104" s="133">
        <v>0.911439114391144</v>
      </c>
      <c r="AH104" s="133">
        <v>0.766664178547436</v>
      </c>
      <c r="AI104" s="135">
        <v>0.92</v>
      </c>
      <c r="AJ104" s="133" t="s">
        <v>35</v>
      </c>
      <c r="AK104" s="133" t="s">
        <v>35</v>
      </c>
      <c r="AL104" s="133" t="s">
        <v>35</v>
      </c>
      <c r="AM104" s="133" t="s">
        <v>35</v>
      </c>
      <c r="AN104" s="132">
        <v>0.99</v>
      </c>
      <c r="AO104" s="137" t="s">
        <v>35</v>
      </c>
      <c r="AP104" s="137">
        <v>1</v>
      </c>
      <c r="AQ104" s="137" t="s">
        <v>35</v>
      </c>
      <c r="AR104" s="137">
        <v>1</v>
      </c>
      <c r="AS104" s="139">
        <v>0.105261498981944</v>
      </c>
      <c r="AT104" s="141" t="s">
        <v>35</v>
      </c>
      <c r="AU104" s="141" t="s">
        <v>35</v>
      </c>
      <c r="AV104" s="141" t="s">
        <v>35</v>
      </c>
      <c r="AW104" s="141" t="s">
        <v>35</v>
      </c>
      <c r="AX104" s="95"/>
      <c r="AY104" s="93"/>
    </row>
    <row r="105" ht="14.5" spans="1:51">
      <c r="A105" s="91"/>
      <c r="B105" s="95"/>
      <c r="C105" s="152" t="s">
        <v>99</v>
      </c>
      <c r="D105" s="153" t="s">
        <v>25</v>
      </c>
      <c r="E105" s="130" t="s">
        <v>100</v>
      </c>
      <c r="F105" s="154" t="s">
        <v>127</v>
      </c>
      <c r="G105" s="154" t="s">
        <v>127</v>
      </c>
      <c r="H105" s="154" t="s">
        <v>127</v>
      </c>
      <c r="I105" s="154" t="s">
        <v>127</v>
      </c>
      <c r="J105" s="132">
        <v>0.9</v>
      </c>
      <c r="K105" s="133">
        <v>0.943661971830986</v>
      </c>
      <c r="L105" s="133">
        <v>0.9</v>
      </c>
      <c r="M105" s="134">
        <v>0.910112359550562</v>
      </c>
      <c r="N105" s="133">
        <v>0.905608755129959</v>
      </c>
      <c r="O105" s="135">
        <v>0.9</v>
      </c>
      <c r="P105" s="133">
        <v>0.956483283212454</v>
      </c>
      <c r="Q105" s="133">
        <v>0.883909355614635</v>
      </c>
      <c r="R105" s="133">
        <v>0.962425538414541</v>
      </c>
      <c r="S105" s="133">
        <v>0.942187726061906</v>
      </c>
      <c r="T105" s="135">
        <v>0.9</v>
      </c>
      <c r="U105" s="133">
        <v>0.858482221829117</v>
      </c>
      <c r="V105" s="133">
        <v>0.865299404987973</v>
      </c>
      <c r="W105" s="133">
        <v>0.90438368718497</v>
      </c>
      <c r="X105" s="133">
        <v>0.864367111769262</v>
      </c>
      <c r="Y105" s="135">
        <v>0.92</v>
      </c>
      <c r="Z105" s="135">
        <v>0.885538805136795</v>
      </c>
      <c r="AA105" s="135">
        <v>0.874463826136689</v>
      </c>
      <c r="AB105" s="135">
        <v>0.940825035561878</v>
      </c>
      <c r="AC105" s="135">
        <v>0.928286014721346</v>
      </c>
      <c r="AD105" s="135">
        <v>0.92</v>
      </c>
      <c r="AE105" s="133">
        <v>0.997483271155327</v>
      </c>
      <c r="AF105" s="133">
        <v>0.986667873193979</v>
      </c>
      <c r="AG105" s="133">
        <v>0.992678169130172</v>
      </c>
      <c r="AH105" s="133">
        <v>0.982183652414317</v>
      </c>
      <c r="AI105" s="135">
        <v>0.92</v>
      </c>
      <c r="AJ105" s="133">
        <v>0.93515908175594</v>
      </c>
      <c r="AK105" s="133">
        <v>0.931602946334619</v>
      </c>
      <c r="AL105" s="133">
        <v>0.96922465998213</v>
      </c>
      <c r="AM105" s="133">
        <v>0.958532304349037</v>
      </c>
      <c r="AN105" s="132">
        <v>0.99</v>
      </c>
      <c r="AO105" s="137">
        <v>1</v>
      </c>
      <c r="AP105" s="137">
        <v>1</v>
      </c>
      <c r="AQ105" s="137">
        <v>1</v>
      </c>
      <c r="AR105" s="137">
        <v>1</v>
      </c>
      <c r="AS105" s="139">
        <v>0.105261498981944</v>
      </c>
      <c r="AT105" s="141">
        <v>0.0909090909090909</v>
      </c>
      <c r="AU105" s="141">
        <v>0.0357142857142857</v>
      </c>
      <c r="AV105" s="141">
        <v>0.0571428571428571</v>
      </c>
      <c r="AW105" s="141">
        <v>0.0520833333333333</v>
      </c>
      <c r="AX105" s="95"/>
      <c r="AY105" s="93"/>
    </row>
    <row r="106" ht="14.5" spans="1:51">
      <c r="A106" s="91"/>
      <c r="B106" s="95"/>
      <c r="C106" s="152" t="s">
        <v>99</v>
      </c>
      <c r="D106" s="153" t="s">
        <v>25</v>
      </c>
      <c r="E106" s="130" t="s">
        <v>100</v>
      </c>
      <c r="F106" s="154" t="s">
        <v>128</v>
      </c>
      <c r="G106" s="154" t="s">
        <v>128</v>
      </c>
      <c r="H106" s="154" t="s">
        <v>128</v>
      </c>
      <c r="I106" s="154" t="s">
        <v>128</v>
      </c>
      <c r="J106" s="132">
        <v>0.9</v>
      </c>
      <c r="K106" s="133">
        <v>0.964285714285714</v>
      </c>
      <c r="L106" s="133">
        <v>0.96969696969697</v>
      </c>
      <c r="M106" s="134">
        <v>0.943661971830986</v>
      </c>
      <c r="N106" s="133">
        <v>0.964433416046319</v>
      </c>
      <c r="O106" s="135">
        <v>0.9</v>
      </c>
      <c r="P106" s="133">
        <v>0.827972027972028</v>
      </c>
      <c r="Q106" s="133">
        <v>0.890471258415329</v>
      </c>
      <c r="R106" s="133">
        <v>0.923437069677775</v>
      </c>
      <c r="S106" s="133">
        <v>0.920605548627593</v>
      </c>
      <c r="T106" s="135">
        <v>0.9</v>
      </c>
      <c r="U106" s="133">
        <v>0.83006993006993</v>
      </c>
      <c r="V106" s="133">
        <v>0.839720352149146</v>
      </c>
      <c r="W106" s="133">
        <v>0.885155604516662</v>
      </c>
      <c r="X106" s="133">
        <v>0.886627244324658</v>
      </c>
      <c r="Y106" s="135">
        <v>0.92</v>
      </c>
      <c r="Z106" s="135">
        <v>0.885747938751472</v>
      </c>
      <c r="AA106" s="135">
        <v>0.908584686774942</v>
      </c>
      <c r="AB106" s="135">
        <v>0.945470932852636</v>
      </c>
      <c r="AC106" s="135">
        <v>0.943459106576274</v>
      </c>
      <c r="AD106" s="135">
        <v>0.92</v>
      </c>
      <c r="AE106" s="133">
        <v>0.973886328725038</v>
      </c>
      <c r="AF106" s="133">
        <v>0.870775347912525</v>
      </c>
      <c r="AG106" s="133">
        <v>0.967546432062561</v>
      </c>
      <c r="AH106" s="133">
        <v>0.961669628704549</v>
      </c>
      <c r="AI106" s="135">
        <v>0.92</v>
      </c>
      <c r="AJ106" s="133">
        <v>0.901051496360205</v>
      </c>
      <c r="AK106" s="133">
        <v>0.930862556091075</v>
      </c>
      <c r="AL106" s="133">
        <v>0.962070732957458</v>
      </c>
      <c r="AM106" s="133">
        <v>0.962101956545603</v>
      </c>
      <c r="AN106" s="132">
        <v>0.99</v>
      </c>
      <c r="AO106" s="137">
        <v>1</v>
      </c>
      <c r="AP106" s="137">
        <v>1</v>
      </c>
      <c r="AQ106" s="137">
        <v>1</v>
      </c>
      <c r="AR106" s="137">
        <v>1</v>
      </c>
      <c r="AS106" s="139">
        <v>0.105261498981944</v>
      </c>
      <c r="AT106" s="141">
        <v>0.0769230769230769</v>
      </c>
      <c r="AU106" s="141">
        <v>0.166666666666667</v>
      </c>
      <c r="AV106" s="141">
        <v>0.107142857142857</v>
      </c>
      <c r="AW106" s="141">
        <v>0.0918163672654691</v>
      </c>
      <c r="AX106" s="95"/>
      <c r="AY106" s="93"/>
    </row>
    <row r="107" ht="14.5" spans="1:51">
      <c r="A107" s="91"/>
      <c r="B107" s="95"/>
      <c r="C107" s="152" t="s">
        <v>99</v>
      </c>
      <c r="D107" s="153" t="s">
        <v>25</v>
      </c>
      <c r="E107" s="130" t="s">
        <v>100</v>
      </c>
      <c r="F107" s="154" t="s">
        <v>129</v>
      </c>
      <c r="G107" s="154" t="s">
        <v>129</v>
      </c>
      <c r="H107" s="154" t="s">
        <v>129</v>
      </c>
      <c r="I107" s="154" t="s">
        <v>129</v>
      </c>
      <c r="J107" s="132">
        <v>0.9</v>
      </c>
      <c r="K107" s="133">
        <v>1</v>
      </c>
      <c r="L107" s="133">
        <v>0.979591836734694</v>
      </c>
      <c r="M107" s="134">
        <v>1</v>
      </c>
      <c r="N107" s="133">
        <v>0.996808510638298</v>
      </c>
      <c r="O107" s="135">
        <v>0.9</v>
      </c>
      <c r="P107" s="133">
        <v>0.968765251342118</v>
      </c>
      <c r="Q107" s="133">
        <v>0.978407992265549</v>
      </c>
      <c r="R107" s="133">
        <v>0.98019801980198</v>
      </c>
      <c r="S107" s="133">
        <v>0.9796933644926</v>
      </c>
      <c r="T107" s="135">
        <v>0.9</v>
      </c>
      <c r="U107" s="133">
        <v>0.798926305514885</v>
      </c>
      <c r="V107" s="133">
        <v>0.82855301321302</v>
      </c>
      <c r="W107" s="133">
        <v>0.898019801980198</v>
      </c>
      <c r="X107" s="133">
        <v>0.87677926492458</v>
      </c>
      <c r="Y107" s="135">
        <v>0.92</v>
      </c>
      <c r="Z107" s="135">
        <v>0.873198847262248</v>
      </c>
      <c r="AA107" s="135">
        <v>0.938926940639269</v>
      </c>
      <c r="AB107" s="135">
        <v>0.958013312852023</v>
      </c>
      <c r="AC107" s="135">
        <v>0.954544117214393</v>
      </c>
      <c r="AD107" s="135">
        <v>0.92</v>
      </c>
      <c r="AE107" s="133">
        <v>0.973867595818815</v>
      </c>
      <c r="AF107" s="133">
        <v>0.990389016018307</v>
      </c>
      <c r="AG107" s="133">
        <v>0.997038917089679</v>
      </c>
      <c r="AH107" s="133">
        <v>0.989864199960638</v>
      </c>
      <c r="AI107" s="135">
        <v>0.92</v>
      </c>
      <c r="AJ107" s="133">
        <v>0.927113702623907</v>
      </c>
      <c r="AK107" s="133">
        <v>0.960247167868177</v>
      </c>
      <c r="AL107" s="133">
        <v>0.975120385232745</v>
      </c>
      <c r="AM107" s="133">
        <v>0.971818222006101</v>
      </c>
      <c r="AN107" s="132">
        <v>0.99</v>
      </c>
      <c r="AO107" s="137">
        <v>1</v>
      </c>
      <c r="AP107" s="137">
        <v>1</v>
      </c>
      <c r="AQ107" s="137">
        <v>1</v>
      </c>
      <c r="AR107" s="137">
        <v>1</v>
      </c>
      <c r="AS107" s="139">
        <v>0.105261498981944</v>
      </c>
      <c r="AT107" s="141">
        <v>0</v>
      </c>
      <c r="AU107" s="141">
        <v>0.210526315789474</v>
      </c>
      <c r="AV107" s="141">
        <v>0.142857142857143</v>
      </c>
      <c r="AW107" s="141">
        <v>0.0740740740740741</v>
      </c>
      <c r="AX107" s="95"/>
      <c r="AY107" s="93"/>
    </row>
    <row r="108" ht="14.5" spans="1:51">
      <c r="A108" s="91"/>
      <c r="B108" s="95"/>
      <c r="C108" s="152" t="s">
        <v>99</v>
      </c>
      <c r="D108" s="153" t="s">
        <v>25</v>
      </c>
      <c r="E108" s="130" t="s">
        <v>100</v>
      </c>
      <c r="F108" s="154" t="s">
        <v>130</v>
      </c>
      <c r="G108" s="154" t="s">
        <v>130</v>
      </c>
      <c r="H108" s="154" t="s">
        <v>130</v>
      </c>
      <c r="I108" s="154" t="s">
        <v>130</v>
      </c>
      <c r="J108" s="132">
        <v>0.9</v>
      </c>
      <c r="K108" s="133">
        <v>0.9375</v>
      </c>
      <c r="L108" s="133">
        <v>0.942857142857143</v>
      </c>
      <c r="M108" s="134">
        <v>0.955555555555556</v>
      </c>
      <c r="N108" s="133">
        <v>0.942577030812325</v>
      </c>
      <c r="O108" s="135">
        <v>0.9</v>
      </c>
      <c r="P108" s="133">
        <v>0.928465858705291</v>
      </c>
      <c r="Q108" s="133">
        <v>0.941987829614604</v>
      </c>
      <c r="R108" s="133">
        <v>0.950567644276254</v>
      </c>
      <c r="S108" s="133">
        <v>0.937774442776944</v>
      </c>
      <c r="T108" s="135">
        <v>0.9</v>
      </c>
      <c r="U108" s="133">
        <v>0.884422110552764</v>
      </c>
      <c r="V108" s="133">
        <v>0.876876267748479</v>
      </c>
      <c r="W108" s="133">
        <v>0.900189214758751</v>
      </c>
      <c r="X108" s="133">
        <v>0.887096325940748</v>
      </c>
      <c r="Y108" s="135">
        <v>0.92</v>
      </c>
      <c r="Z108" s="135">
        <v>0.858925143953935</v>
      </c>
      <c r="AA108" s="135">
        <v>0.901077375122429</v>
      </c>
      <c r="AB108" s="135">
        <v>0.903512880562061</v>
      </c>
      <c r="AC108" s="135">
        <v>0.912977707006369</v>
      </c>
      <c r="AD108" s="135">
        <v>0.92</v>
      </c>
      <c r="AE108" s="133">
        <v>0.996058919158579</v>
      </c>
      <c r="AF108" s="133">
        <v>0.992689224079359</v>
      </c>
      <c r="AG108" s="133">
        <v>0.985759794097171</v>
      </c>
      <c r="AH108" s="133">
        <v>0.986707858345007</v>
      </c>
      <c r="AI108" s="135">
        <v>0.92</v>
      </c>
      <c r="AJ108" s="133">
        <v>0.910734463276836</v>
      </c>
      <c r="AK108" s="133">
        <v>0.938629194149699</v>
      </c>
      <c r="AL108" s="133">
        <v>0.945797329143755</v>
      </c>
      <c r="AM108" s="133">
        <v>0.946292143026457</v>
      </c>
      <c r="AN108" s="132">
        <v>0.99</v>
      </c>
      <c r="AO108" s="137">
        <v>1</v>
      </c>
      <c r="AP108" s="137">
        <v>1</v>
      </c>
      <c r="AQ108" s="137">
        <v>1</v>
      </c>
      <c r="AR108" s="137">
        <v>0.99875400498398</v>
      </c>
      <c r="AS108" s="139">
        <v>0.105261498981944</v>
      </c>
      <c r="AT108" s="141">
        <v>0.166666666666667</v>
      </c>
      <c r="AU108" s="141">
        <v>0</v>
      </c>
      <c r="AV108" s="141">
        <v>0.2</v>
      </c>
      <c r="AW108" s="141">
        <v>0.107569721115538</v>
      </c>
      <c r="AX108" s="95"/>
      <c r="AY108" s="93"/>
    </row>
    <row r="109" ht="14.5" spans="1:51">
      <c r="A109" s="91"/>
      <c r="B109" s="95"/>
      <c r="C109" s="152" t="s">
        <v>99</v>
      </c>
      <c r="D109" s="153" t="s">
        <v>25</v>
      </c>
      <c r="E109" s="130" t="s">
        <v>100</v>
      </c>
      <c r="F109" s="154" t="s">
        <v>131</v>
      </c>
      <c r="G109" s="154" t="s">
        <v>131</v>
      </c>
      <c r="H109" s="154" t="s">
        <v>131</v>
      </c>
      <c r="I109" s="154" t="s">
        <v>131</v>
      </c>
      <c r="J109" s="132">
        <v>0.9</v>
      </c>
      <c r="K109" s="133">
        <v>1</v>
      </c>
      <c r="L109" s="133">
        <v>0.964912280701754</v>
      </c>
      <c r="M109" s="134">
        <v>0.96969696969697</v>
      </c>
      <c r="N109" s="133">
        <v>0.983700862895494</v>
      </c>
      <c r="O109" s="135">
        <v>0.9</v>
      </c>
      <c r="P109" s="133">
        <v>0.885897435897436</v>
      </c>
      <c r="Q109" s="133">
        <v>0.93634001484781</v>
      </c>
      <c r="R109" s="133">
        <v>0.929628835013946</v>
      </c>
      <c r="S109" s="133">
        <v>0.919877746381408</v>
      </c>
      <c r="T109" s="135">
        <v>0.9</v>
      </c>
      <c r="U109" s="133">
        <v>0.799230769230769</v>
      </c>
      <c r="V109" s="133">
        <v>0.889383815887157</v>
      </c>
      <c r="W109" s="133">
        <v>0.927697918901523</v>
      </c>
      <c r="X109" s="133">
        <v>0.88075658843204</v>
      </c>
      <c r="Y109" s="135">
        <v>0.92</v>
      </c>
      <c r="Z109" s="135">
        <v>0.813804173354735</v>
      </c>
      <c r="AA109" s="135">
        <v>0.854229607250755</v>
      </c>
      <c r="AB109" s="135">
        <v>0.926627218934911</v>
      </c>
      <c r="AC109" s="135">
        <v>0.908923233479616</v>
      </c>
      <c r="AD109" s="135">
        <v>0.92</v>
      </c>
      <c r="AE109" s="133">
        <v>0.996349005290217</v>
      </c>
      <c r="AF109" s="133">
        <v>0.988533531672245</v>
      </c>
      <c r="AG109" s="133">
        <v>0.9851150202977</v>
      </c>
      <c r="AH109" s="133">
        <v>0.945345961974301</v>
      </c>
      <c r="AI109" s="135">
        <v>0.92</v>
      </c>
      <c r="AJ109" s="133">
        <v>0.886147270254517</v>
      </c>
      <c r="AK109" s="133">
        <v>0.911160880925719</v>
      </c>
      <c r="AL109" s="133">
        <v>0.948318977493748</v>
      </c>
      <c r="AM109" s="133">
        <v>0.941281032473934</v>
      </c>
      <c r="AN109" s="132">
        <v>0.99</v>
      </c>
      <c r="AO109" s="137">
        <v>1</v>
      </c>
      <c r="AP109" s="137">
        <v>1</v>
      </c>
      <c r="AQ109" s="137">
        <v>1</v>
      </c>
      <c r="AR109" s="137">
        <v>0.999601752289924</v>
      </c>
      <c r="AS109" s="139">
        <v>0.105261498981944</v>
      </c>
      <c r="AT109" s="141">
        <v>0.0833333333333333</v>
      </c>
      <c r="AU109" s="141">
        <v>0</v>
      </c>
      <c r="AV109" s="141">
        <v>0.0526315789473684</v>
      </c>
      <c r="AW109" s="141">
        <v>0.050709939148073</v>
      </c>
      <c r="AX109" s="95"/>
      <c r="AY109" s="93"/>
    </row>
    <row r="110" ht="14.5" spans="1:51">
      <c r="A110" s="91"/>
      <c r="B110" s="95"/>
      <c r="C110" s="152" t="s">
        <v>99</v>
      </c>
      <c r="D110" s="153" t="s">
        <v>25</v>
      </c>
      <c r="E110" s="130" t="s">
        <v>100</v>
      </c>
      <c r="F110" s="154" t="s">
        <v>132</v>
      </c>
      <c r="G110" s="154" t="s">
        <v>132</v>
      </c>
      <c r="H110" s="154" t="s">
        <v>132</v>
      </c>
      <c r="I110" s="154" t="s">
        <v>132</v>
      </c>
      <c r="J110" s="132">
        <v>0.9</v>
      </c>
      <c r="K110" s="133" t="s">
        <v>35</v>
      </c>
      <c r="L110" s="133" t="s">
        <v>35</v>
      </c>
      <c r="M110" s="134" t="s">
        <v>35</v>
      </c>
      <c r="N110" s="133" t="s">
        <v>35</v>
      </c>
      <c r="O110" s="135">
        <v>0.9</v>
      </c>
      <c r="P110" s="133" t="s">
        <v>35</v>
      </c>
      <c r="Q110" s="133" t="s">
        <v>35</v>
      </c>
      <c r="R110" s="133" t="s">
        <v>35</v>
      </c>
      <c r="S110" s="133" t="s">
        <v>35</v>
      </c>
      <c r="T110" s="135">
        <v>0.9</v>
      </c>
      <c r="U110" s="133" t="s">
        <v>35</v>
      </c>
      <c r="V110" s="133" t="s">
        <v>35</v>
      </c>
      <c r="W110" s="133" t="s">
        <v>35</v>
      </c>
      <c r="X110" s="133" t="s">
        <v>35</v>
      </c>
      <c r="Y110" s="135">
        <v>0.92</v>
      </c>
      <c r="Z110" s="135" t="s">
        <v>35</v>
      </c>
      <c r="AA110" s="135" t="s">
        <v>35</v>
      </c>
      <c r="AB110" s="135" t="s">
        <v>35</v>
      </c>
      <c r="AC110" s="135">
        <v>1</v>
      </c>
      <c r="AD110" s="135">
        <v>0.92</v>
      </c>
      <c r="AE110" s="133">
        <v>0.992125984251969</v>
      </c>
      <c r="AF110" s="133">
        <v>0.987623762376238</v>
      </c>
      <c r="AG110" s="133">
        <v>0.98669623059867</v>
      </c>
      <c r="AH110" s="133">
        <v>0.921361855980717</v>
      </c>
      <c r="AI110" s="135">
        <v>0.92</v>
      </c>
      <c r="AJ110" s="133" t="s">
        <v>35</v>
      </c>
      <c r="AK110" s="133" t="s">
        <v>35</v>
      </c>
      <c r="AL110" s="133" t="s">
        <v>35</v>
      </c>
      <c r="AM110" s="133">
        <v>1</v>
      </c>
      <c r="AN110" s="132">
        <v>0.99</v>
      </c>
      <c r="AO110" s="137">
        <v>1</v>
      </c>
      <c r="AP110" s="137">
        <v>1</v>
      </c>
      <c r="AQ110" s="137">
        <v>1</v>
      </c>
      <c r="AR110" s="137">
        <v>1</v>
      </c>
      <c r="AS110" s="139">
        <v>0.105261498981944</v>
      </c>
      <c r="AT110" s="141" t="s">
        <v>35</v>
      </c>
      <c r="AU110" s="141" t="s">
        <v>35</v>
      </c>
      <c r="AV110" s="141" t="s">
        <v>35</v>
      </c>
      <c r="AW110" s="141" t="s">
        <v>35</v>
      </c>
      <c r="AX110" s="95"/>
      <c r="AY110" s="93"/>
    </row>
    <row r="111" ht="14.5" spans="1:51">
      <c r="A111" s="91"/>
      <c r="B111" s="95"/>
      <c r="C111" s="152" t="s">
        <v>99</v>
      </c>
      <c r="D111" s="153" t="s">
        <v>25</v>
      </c>
      <c r="E111" s="130" t="s">
        <v>100</v>
      </c>
      <c r="F111" s="154" t="s">
        <v>133</v>
      </c>
      <c r="G111" s="154" t="s">
        <v>133</v>
      </c>
      <c r="H111" s="154" t="s">
        <v>133</v>
      </c>
      <c r="I111" s="154" t="s">
        <v>133</v>
      </c>
      <c r="J111" s="132">
        <v>0.9</v>
      </c>
      <c r="K111" s="133">
        <v>0.837837837837838</v>
      </c>
      <c r="L111" s="133">
        <v>0.883720930232558</v>
      </c>
      <c r="M111" s="134">
        <v>0.930693069306931</v>
      </c>
      <c r="N111" s="133">
        <v>0.877491207502931</v>
      </c>
      <c r="O111" s="135">
        <v>0.9</v>
      </c>
      <c r="P111" s="133">
        <v>0.830610377728402</v>
      </c>
      <c r="Q111" s="133">
        <v>0.872749099639856</v>
      </c>
      <c r="R111" s="133">
        <v>0.866457539771454</v>
      </c>
      <c r="S111" s="133">
        <v>0.869690597020564</v>
      </c>
      <c r="T111" s="135">
        <v>0.9</v>
      </c>
      <c r="U111" s="133">
        <v>0.809305973075415</v>
      </c>
      <c r="V111" s="133">
        <v>0.830432172869148</v>
      </c>
      <c r="W111" s="133">
        <v>0.849316603181716</v>
      </c>
      <c r="X111" s="133">
        <v>0.843711828336125</v>
      </c>
      <c r="Y111" s="135">
        <v>0.92</v>
      </c>
      <c r="Z111" s="135">
        <v>0.780543852929912</v>
      </c>
      <c r="AA111" s="135">
        <v>0.814348646947766</v>
      </c>
      <c r="AB111" s="135">
        <v>0.878864475986778</v>
      </c>
      <c r="AC111" s="135">
        <v>0.885896877611308</v>
      </c>
      <c r="AD111" s="135">
        <v>0.92</v>
      </c>
      <c r="AE111" s="133">
        <v>0.99027555405747</v>
      </c>
      <c r="AF111" s="133">
        <v>0.964434309489518</v>
      </c>
      <c r="AG111" s="133">
        <v>0.982646734714322</v>
      </c>
      <c r="AH111" s="133">
        <v>0.980440873362445</v>
      </c>
      <c r="AI111" s="135">
        <v>0.92</v>
      </c>
      <c r="AJ111" s="133">
        <v>0.857490035967726</v>
      </c>
      <c r="AK111" s="133">
        <v>0.871774029668766</v>
      </c>
      <c r="AL111" s="133">
        <v>0.932712803751599</v>
      </c>
      <c r="AM111" s="133">
        <v>0.928080801453311</v>
      </c>
      <c r="AN111" s="132">
        <v>0.99</v>
      </c>
      <c r="AO111" s="137">
        <v>1</v>
      </c>
      <c r="AP111" s="137">
        <v>1</v>
      </c>
      <c r="AQ111" s="137">
        <v>1</v>
      </c>
      <c r="AR111" s="137">
        <v>0.999934891594505</v>
      </c>
      <c r="AS111" s="139">
        <v>0.105261498981944</v>
      </c>
      <c r="AT111" s="141">
        <v>0.0102040816326531</v>
      </c>
      <c r="AU111" s="141">
        <v>0.0087719298245614</v>
      </c>
      <c r="AV111" s="141">
        <v>0.0223463687150838</v>
      </c>
      <c r="AW111" s="141">
        <v>0.0167037861915367</v>
      </c>
      <c r="AX111" s="95"/>
      <c r="AY111" s="93"/>
    </row>
    <row r="112" ht="14.5" spans="1:51">
      <c r="A112" s="91"/>
      <c r="B112" s="95"/>
      <c r="C112" s="152" t="s">
        <v>99</v>
      </c>
      <c r="D112" s="153" t="s">
        <v>125</v>
      </c>
      <c r="E112" s="130" t="s">
        <v>100</v>
      </c>
      <c r="F112" s="154" t="s">
        <v>134</v>
      </c>
      <c r="G112" s="154" t="s">
        <v>134</v>
      </c>
      <c r="H112" s="154" t="s">
        <v>134</v>
      </c>
      <c r="I112" s="154" t="s">
        <v>134</v>
      </c>
      <c r="J112" s="132">
        <v>0.9</v>
      </c>
      <c r="K112" s="133" t="s">
        <v>35</v>
      </c>
      <c r="L112" s="133" t="s">
        <v>35</v>
      </c>
      <c r="M112" s="134" t="s">
        <v>35</v>
      </c>
      <c r="N112" s="133" t="s">
        <v>35</v>
      </c>
      <c r="O112" s="135">
        <v>0.9</v>
      </c>
      <c r="P112" s="133">
        <v>0</v>
      </c>
      <c r="Q112" s="133" t="s">
        <v>35</v>
      </c>
      <c r="R112" s="133" t="s">
        <v>35</v>
      </c>
      <c r="S112" s="133">
        <v>0.238095238095238</v>
      </c>
      <c r="T112" s="135">
        <v>0.9</v>
      </c>
      <c r="U112" s="133">
        <v>0</v>
      </c>
      <c r="V112" s="133" t="s">
        <v>35</v>
      </c>
      <c r="W112" s="133" t="s">
        <v>35</v>
      </c>
      <c r="X112" s="133">
        <v>0.857142857142857</v>
      </c>
      <c r="Y112" s="135">
        <v>0.92</v>
      </c>
      <c r="Z112" s="135" t="s">
        <v>35</v>
      </c>
      <c r="AA112" s="135">
        <v>1</v>
      </c>
      <c r="AB112" s="135" t="s">
        <v>35</v>
      </c>
      <c r="AC112" s="135">
        <v>1</v>
      </c>
      <c r="AD112" s="135">
        <v>0.92</v>
      </c>
      <c r="AE112" s="133">
        <v>0.997478726757012</v>
      </c>
      <c r="AF112" s="133">
        <v>0.996532156368222</v>
      </c>
      <c r="AG112" s="133">
        <v>0.996129032258064</v>
      </c>
      <c r="AH112" s="133">
        <v>0.959233194974119</v>
      </c>
      <c r="AI112" s="135">
        <v>0.92</v>
      </c>
      <c r="AJ112" s="133">
        <v>0</v>
      </c>
      <c r="AK112" s="133">
        <v>1</v>
      </c>
      <c r="AL112" s="133" t="s">
        <v>35</v>
      </c>
      <c r="AM112" s="133">
        <v>0.884615384615385</v>
      </c>
      <c r="AN112" s="132">
        <v>0.99</v>
      </c>
      <c r="AO112" s="137">
        <v>1</v>
      </c>
      <c r="AP112" s="137">
        <v>1</v>
      </c>
      <c r="AQ112" s="137" t="s">
        <v>35</v>
      </c>
      <c r="AR112" s="137">
        <v>1</v>
      </c>
      <c r="AS112" s="139">
        <v>0.105261498981944</v>
      </c>
      <c r="AT112" s="141" t="s">
        <v>35</v>
      </c>
      <c r="AU112" s="141" t="s">
        <v>35</v>
      </c>
      <c r="AV112" s="141" t="s">
        <v>35</v>
      </c>
      <c r="AW112" s="141" t="s">
        <v>35</v>
      </c>
      <c r="AX112" s="95"/>
      <c r="AY112" s="93"/>
    </row>
    <row r="113" ht="14.5" spans="1:51">
      <c r="A113" s="91"/>
      <c r="B113" s="95"/>
      <c r="C113" s="152" t="s">
        <v>99</v>
      </c>
      <c r="D113" s="153" t="s">
        <v>25</v>
      </c>
      <c r="E113" s="130" t="s">
        <v>100</v>
      </c>
      <c r="F113" s="154" t="s">
        <v>135</v>
      </c>
      <c r="G113" s="154" t="s">
        <v>135</v>
      </c>
      <c r="H113" s="154" t="s">
        <v>135</v>
      </c>
      <c r="I113" s="154" t="s">
        <v>135</v>
      </c>
      <c r="J113" s="132">
        <v>0.9</v>
      </c>
      <c r="K113" s="133">
        <v>0.931034482758621</v>
      </c>
      <c r="L113" s="133">
        <v>0.878787878787879</v>
      </c>
      <c r="M113" s="134">
        <v>0.972602739726027</v>
      </c>
      <c r="N113" s="133">
        <v>0.90468085106383</v>
      </c>
      <c r="O113" s="135">
        <v>0.9</v>
      </c>
      <c r="P113" s="133">
        <v>0.857077100115075</v>
      </c>
      <c r="Q113" s="133">
        <v>0.86856344911852</v>
      </c>
      <c r="R113" s="133">
        <v>0.964090829079387</v>
      </c>
      <c r="S113" s="133">
        <v>0.926909203738898</v>
      </c>
      <c r="T113" s="135">
        <v>0.9</v>
      </c>
      <c r="U113" s="133">
        <v>0.790333716915995</v>
      </c>
      <c r="V113" s="133">
        <v>0.812009076627684</v>
      </c>
      <c r="W113" s="133">
        <v>0.911107199436719</v>
      </c>
      <c r="X113" s="133">
        <v>0.868023503859132</v>
      </c>
      <c r="Y113" s="135">
        <v>0.92</v>
      </c>
      <c r="Z113" s="135">
        <v>0.815721649484536</v>
      </c>
      <c r="AA113" s="135">
        <v>0.857555089192025</v>
      </c>
      <c r="AB113" s="135">
        <v>0.919543084181773</v>
      </c>
      <c r="AC113" s="135">
        <v>0.899531623189305</v>
      </c>
      <c r="AD113" s="135">
        <v>0.92</v>
      </c>
      <c r="AE113" s="133">
        <v>0.996087314662274</v>
      </c>
      <c r="AF113" s="133">
        <v>0.985515789473684</v>
      </c>
      <c r="AG113" s="133">
        <v>0.997050147492625</v>
      </c>
      <c r="AH113" s="133">
        <v>0.941206003005951</v>
      </c>
      <c r="AI113" s="135">
        <v>0.92</v>
      </c>
      <c r="AJ113" s="133">
        <v>0.84454096150966</v>
      </c>
      <c r="AK113" s="133">
        <v>0.887561563449649</v>
      </c>
      <c r="AL113" s="133">
        <v>0.952209290349161</v>
      </c>
      <c r="AM113" s="133">
        <v>0.932968258797282</v>
      </c>
      <c r="AN113" s="132">
        <v>0.99</v>
      </c>
      <c r="AO113" s="137">
        <v>1</v>
      </c>
      <c r="AP113" s="137">
        <v>1</v>
      </c>
      <c r="AQ113" s="137">
        <v>1</v>
      </c>
      <c r="AR113" s="137">
        <v>1</v>
      </c>
      <c r="AS113" s="139">
        <v>0.105261498981944</v>
      </c>
      <c r="AT113" s="141">
        <v>0.111111111111111</v>
      </c>
      <c r="AU113" s="141">
        <v>0.117647058823529</v>
      </c>
      <c r="AV113" s="141">
        <v>0.133333333333333</v>
      </c>
      <c r="AW113" s="141">
        <v>0.0892857142857143</v>
      </c>
      <c r="AX113" s="95"/>
      <c r="AY113" s="93"/>
    </row>
    <row r="114" ht="14.5" spans="1:51">
      <c r="A114" s="91"/>
      <c r="B114" s="95"/>
      <c r="C114" s="152" t="s">
        <v>99</v>
      </c>
      <c r="D114" s="153" t="s">
        <v>25</v>
      </c>
      <c r="E114" s="130" t="s">
        <v>100</v>
      </c>
      <c r="F114" s="154" t="s">
        <v>136</v>
      </c>
      <c r="G114" s="154" t="s">
        <v>136</v>
      </c>
      <c r="H114" s="154" t="s">
        <v>136</v>
      </c>
      <c r="I114" s="154" t="s">
        <v>136</v>
      </c>
      <c r="J114" s="132">
        <v>0.9</v>
      </c>
      <c r="K114" s="133">
        <v>0.933333333333333</v>
      </c>
      <c r="L114" s="133">
        <v>0.96875</v>
      </c>
      <c r="M114" s="134">
        <v>0.92</v>
      </c>
      <c r="N114" s="133">
        <v>0.907019704433498</v>
      </c>
      <c r="O114" s="135">
        <v>0.9</v>
      </c>
      <c r="P114" s="133">
        <v>0.675319753671246</v>
      </c>
      <c r="Q114" s="133">
        <v>0.656816015252622</v>
      </c>
      <c r="R114" s="133">
        <v>0.746476591608618</v>
      </c>
      <c r="S114" s="133">
        <v>0.769171806211832</v>
      </c>
      <c r="T114" s="135">
        <v>0.9</v>
      </c>
      <c r="U114" s="133">
        <v>0.953576504026528</v>
      </c>
      <c r="V114" s="133">
        <v>0.954975434479724</v>
      </c>
      <c r="W114" s="133">
        <v>0.973108699173821</v>
      </c>
      <c r="X114" s="133">
        <v>0.938814618328887</v>
      </c>
      <c r="Y114" s="135">
        <v>0.92</v>
      </c>
      <c r="Z114" s="135">
        <v>0.947594501718213</v>
      </c>
      <c r="AA114" s="135">
        <v>0.963240418118467</v>
      </c>
      <c r="AB114" s="135">
        <v>0.982579564489112</v>
      </c>
      <c r="AC114" s="135">
        <v>0.973064546848843</v>
      </c>
      <c r="AD114" s="135">
        <v>0.92</v>
      </c>
      <c r="AE114" s="133">
        <v>0.963551579748763</v>
      </c>
      <c r="AF114" s="133">
        <v>0.976472031779628</v>
      </c>
      <c r="AG114" s="133">
        <v>0.968969141580858</v>
      </c>
      <c r="AH114" s="133">
        <v>0.964420297445974</v>
      </c>
      <c r="AI114" s="135">
        <v>0.92</v>
      </c>
      <c r="AJ114" s="133">
        <v>0.967347229138507</v>
      </c>
      <c r="AK114" s="133">
        <v>0.977249277754849</v>
      </c>
      <c r="AL114" s="133">
        <v>0.98887191795767</v>
      </c>
      <c r="AM114" s="133">
        <v>0.981867621567069</v>
      </c>
      <c r="AN114" s="132">
        <v>0.99</v>
      </c>
      <c r="AO114" s="137">
        <v>1</v>
      </c>
      <c r="AP114" s="137">
        <v>0.977777777777778</v>
      </c>
      <c r="AQ114" s="137">
        <v>1</v>
      </c>
      <c r="AR114" s="137">
        <v>0.999902553108556</v>
      </c>
      <c r="AS114" s="139">
        <v>0.105261498981944</v>
      </c>
      <c r="AT114" s="141">
        <v>0.133333333333333</v>
      </c>
      <c r="AU114" s="141">
        <v>0.0454545454545455</v>
      </c>
      <c r="AV114" s="141">
        <v>0.04</v>
      </c>
      <c r="AW114" s="141">
        <v>0.0838852097130243</v>
      </c>
      <c r="AX114" s="95"/>
      <c r="AY114" s="93"/>
    </row>
    <row r="115" ht="14.5" spans="1:51">
      <c r="A115" s="91"/>
      <c r="B115" s="95"/>
      <c r="C115" s="152" t="s">
        <v>99</v>
      </c>
      <c r="D115" s="153" t="s">
        <v>25</v>
      </c>
      <c r="E115" s="130" t="s">
        <v>100</v>
      </c>
      <c r="F115" s="154" t="s">
        <v>137</v>
      </c>
      <c r="G115" s="154" t="s">
        <v>137</v>
      </c>
      <c r="H115" s="154" t="s">
        <v>137</v>
      </c>
      <c r="I115" s="154" t="s">
        <v>137</v>
      </c>
      <c r="J115" s="132">
        <v>0.9</v>
      </c>
      <c r="K115" s="133">
        <v>0.810344827586207</v>
      </c>
      <c r="L115" s="133">
        <v>0.898550724637681</v>
      </c>
      <c r="M115" s="134">
        <v>0.822784810126582</v>
      </c>
      <c r="N115" s="133">
        <v>0.867603550295858</v>
      </c>
      <c r="O115" s="135">
        <v>0.9</v>
      </c>
      <c r="P115" s="133">
        <v>0.849893162393162</v>
      </c>
      <c r="Q115" s="133">
        <v>0.903738136742204</v>
      </c>
      <c r="R115" s="133">
        <v>0.949298597194389</v>
      </c>
      <c r="S115" s="133">
        <v>0.919987824462335</v>
      </c>
      <c r="T115" s="135">
        <v>0.9</v>
      </c>
      <c r="U115" s="133">
        <v>0.680021367521368</v>
      </c>
      <c r="V115" s="133">
        <v>0.822583769126477</v>
      </c>
      <c r="W115" s="133">
        <v>0.864929859719439</v>
      </c>
      <c r="X115" s="133">
        <v>0.835010968480052</v>
      </c>
      <c r="Y115" s="135">
        <v>0.92</v>
      </c>
      <c r="Z115" s="135">
        <v>0.812993854258121</v>
      </c>
      <c r="AA115" s="135">
        <v>0.901345291479821</v>
      </c>
      <c r="AB115" s="135">
        <v>0.951491314323173</v>
      </c>
      <c r="AC115" s="135">
        <v>0.933236574746009</v>
      </c>
      <c r="AD115" s="135">
        <v>0.92</v>
      </c>
      <c r="AE115" s="133">
        <v>0.974508375819374</v>
      </c>
      <c r="AF115" s="133">
        <v>0.987570621468927</v>
      </c>
      <c r="AG115" s="133">
        <v>0.978686833963561</v>
      </c>
      <c r="AH115" s="133">
        <v>0.974323770491803</v>
      </c>
      <c r="AI115" s="135">
        <v>0.92</v>
      </c>
      <c r="AJ115" s="133">
        <v>0.844389844389844</v>
      </c>
      <c r="AK115" s="133">
        <v>0.922448979591837</v>
      </c>
      <c r="AL115" s="133">
        <v>0.965924636239274</v>
      </c>
      <c r="AM115" s="133">
        <v>0.955331440975121</v>
      </c>
      <c r="AN115" s="132">
        <v>0.99</v>
      </c>
      <c r="AO115" s="137">
        <v>1</v>
      </c>
      <c r="AP115" s="137">
        <v>1</v>
      </c>
      <c r="AQ115" s="137">
        <v>1</v>
      </c>
      <c r="AR115" s="137">
        <v>1</v>
      </c>
      <c r="AS115" s="139">
        <v>0.105261498981944</v>
      </c>
      <c r="AT115" s="141">
        <v>0.0555555555555556</v>
      </c>
      <c r="AU115" s="141">
        <v>0.117647058823529</v>
      </c>
      <c r="AV115" s="141">
        <v>0</v>
      </c>
      <c r="AW115" s="141">
        <v>0.0850622406639004</v>
      </c>
      <c r="AX115" s="95"/>
      <c r="AY115" s="93"/>
    </row>
    <row r="116" ht="14.5" spans="1:51">
      <c r="A116" s="91"/>
      <c r="B116" s="95"/>
      <c r="C116" s="152" t="s">
        <v>99</v>
      </c>
      <c r="D116" s="153" t="s">
        <v>25</v>
      </c>
      <c r="E116" s="130" t="s">
        <v>100</v>
      </c>
      <c r="F116" s="154" t="s">
        <v>138</v>
      </c>
      <c r="G116" s="154" t="s">
        <v>138</v>
      </c>
      <c r="H116" s="154" t="s">
        <v>138</v>
      </c>
      <c r="I116" s="154" t="s">
        <v>138</v>
      </c>
      <c r="J116" s="132">
        <v>0.9</v>
      </c>
      <c r="K116" s="133">
        <v>0.974025974025974</v>
      </c>
      <c r="L116" s="133">
        <v>0.949367088607595</v>
      </c>
      <c r="M116" s="134">
        <v>0.989010989010989</v>
      </c>
      <c r="N116" s="133">
        <v>0.978480161398789</v>
      </c>
      <c r="O116" s="135">
        <v>0.9</v>
      </c>
      <c r="P116" s="133">
        <v>0</v>
      </c>
      <c r="Q116" s="133">
        <v>0</v>
      </c>
      <c r="R116" s="133" t="s">
        <v>35</v>
      </c>
      <c r="S116" s="133">
        <v>0.2</v>
      </c>
      <c r="T116" s="135">
        <v>0.9</v>
      </c>
      <c r="U116" s="133">
        <v>0</v>
      </c>
      <c r="V116" s="133">
        <v>0</v>
      </c>
      <c r="W116" s="133" t="s">
        <v>35</v>
      </c>
      <c r="X116" s="133">
        <v>0.2</v>
      </c>
      <c r="Y116" s="135">
        <v>0.92</v>
      </c>
      <c r="Z116" s="135" t="s">
        <v>35</v>
      </c>
      <c r="AA116" s="135" t="s">
        <v>35</v>
      </c>
      <c r="AB116" s="135">
        <v>0</v>
      </c>
      <c r="AC116" s="135">
        <v>0</v>
      </c>
      <c r="AD116" s="135">
        <v>0.92</v>
      </c>
      <c r="AE116" s="133">
        <v>0.997271487039563</v>
      </c>
      <c r="AF116" s="133">
        <v>0.990419161676647</v>
      </c>
      <c r="AG116" s="133">
        <v>0.992912827781715</v>
      </c>
      <c r="AH116" s="133">
        <v>0.99521814565613</v>
      </c>
      <c r="AI116" s="135">
        <v>0.92</v>
      </c>
      <c r="AJ116" s="133">
        <v>0.941968624184368</v>
      </c>
      <c r="AK116" s="133">
        <v>0.960524788110995</v>
      </c>
      <c r="AL116" s="133">
        <v>0.976620905260296</v>
      </c>
      <c r="AM116" s="133">
        <v>0.9771110056926</v>
      </c>
      <c r="AN116" s="132">
        <v>0.99</v>
      </c>
      <c r="AO116" s="137">
        <v>1</v>
      </c>
      <c r="AP116" s="137">
        <v>1</v>
      </c>
      <c r="AQ116" s="137">
        <v>1</v>
      </c>
      <c r="AR116" s="137">
        <v>1</v>
      </c>
      <c r="AS116" s="139">
        <v>0.105261498981944</v>
      </c>
      <c r="AT116" s="141">
        <v>0</v>
      </c>
      <c r="AU116" s="141">
        <v>0.0416666666666667</v>
      </c>
      <c r="AV116" s="141">
        <v>0.166666666666667</v>
      </c>
      <c r="AW116" s="141">
        <v>0.0825958702064897</v>
      </c>
      <c r="AX116" s="95"/>
      <c r="AY116" s="93"/>
    </row>
    <row r="117" ht="14.5" spans="1:51">
      <c r="A117" s="91"/>
      <c r="B117" s="95"/>
      <c r="C117" s="152" t="s">
        <v>99</v>
      </c>
      <c r="D117" s="153" t="s">
        <v>25</v>
      </c>
      <c r="E117" s="130" t="s">
        <v>100</v>
      </c>
      <c r="F117" s="154" t="s">
        <v>139</v>
      </c>
      <c r="G117" s="154" t="s">
        <v>139</v>
      </c>
      <c r="H117" s="154" t="s">
        <v>139</v>
      </c>
      <c r="I117" s="154" t="s">
        <v>139</v>
      </c>
      <c r="J117" s="132">
        <v>0.9</v>
      </c>
      <c r="K117" s="133">
        <v>0.923913043478261</v>
      </c>
      <c r="L117" s="133">
        <v>0.876404494382023</v>
      </c>
      <c r="M117" s="134">
        <v>0.958762886597938</v>
      </c>
      <c r="N117" s="133">
        <v>0.923213230950975</v>
      </c>
      <c r="O117" s="135">
        <v>0.9</v>
      </c>
      <c r="P117" s="133">
        <v>0</v>
      </c>
      <c r="Q117" s="133" t="s">
        <v>35</v>
      </c>
      <c r="R117" s="133">
        <v>0</v>
      </c>
      <c r="S117" s="133">
        <v>0.125</v>
      </c>
      <c r="T117" s="135">
        <v>0.9</v>
      </c>
      <c r="U117" s="133">
        <v>0</v>
      </c>
      <c r="V117" s="133" t="s">
        <v>35</v>
      </c>
      <c r="W117" s="133">
        <v>0</v>
      </c>
      <c r="X117" s="133">
        <v>0</v>
      </c>
      <c r="Y117" s="135">
        <v>0.92</v>
      </c>
      <c r="Z117" s="135" t="s">
        <v>35</v>
      </c>
      <c r="AA117" s="135">
        <v>0</v>
      </c>
      <c r="AB117" s="135" t="s">
        <v>35</v>
      </c>
      <c r="AC117" s="135">
        <v>0</v>
      </c>
      <c r="AD117" s="135">
        <v>0.92</v>
      </c>
      <c r="AE117" s="133">
        <v>0.994186046511628</v>
      </c>
      <c r="AF117" s="133">
        <v>0.923076923076923</v>
      </c>
      <c r="AG117" s="133">
        <v>0.589403973509934</v>
      </c>
      <c r="AH117" s="133">
        <v>0.862039170506912</v>
      </c>
      <c r="AI117" s="135">
        <v>0.92</v>
      </c>
      <c r="AJ117" s="133">
        <v>0.941667771443723</v>
      </c>
      <c r="AK117" s="133">
        <v>0.948620148081669</v>
      </c>
      <c r="AL117" s="133">
        <v>0.977295409181637</v>
      </c>
      <c r="AM117" s="133">
        <v>0.971583283813288</v>
      </c>
      <c r="AN117" s="132">
        <v>0.99</v>
      </c>
      <c r="AO117" s="137">
        <v>1</v>
      </c>
      <c r="AP117" s="137">
        <v>1</v>
      </c>
      <c r="AQ117" s="137">
        <v>1</v>
      </c>
      <c r="AR117" s="137">
        <v>1</v>
      </c>
      <c r="AS117" s="139">
        <v>0.105261498981944</v>
      </c>
      <c r="AT117" s="141">
        <v>0.111111111111111</v>
      </c>
      <c r="AU117" s="141">
        <v>0.111111111111111</v>
      </c>
      <c r="AV117" s="141">
        <v>0.272727272727273</v>
      </c>
      <c r="AW117" s="141">
        <v>0.0824175824175824</v>
      </c>
      <c r="AX117" s="95"/>
      <c r="AY117" s="93"/>
    </row>
    <row r="118" ht="14.5" spans="1:51">
      <c r="A118" s="91"/>
      <c r="B118" s="95"/>
      <c r="C118" s="152" t="s">
        <v>99</v>
      </c>
      <c r="D118" s="153" t="s">
        <v>25</v>
      </c>
      <c r="E118" s="130" t="s">
        <v>100</v>
      </c>
      <c r="F118" s="154" t="s">
        <v>140</v>
      </c>
      <c r="G118" s="154" t="s">
        <v>140</v>
      </c>
      <c r="H118" s="154" t="s">
        <v>140</v>
      </c>
      <c r="I118" s="154" t="s">
        <v>140</v>
      </c>
      <c r="J118" s="132">
        <v>0.9</v>
      </c>
      <c r="K118" s="133">
        <v>1</v>
      </c>
      <c r="L118" s="133">
        <v>0.974683544303797</v>
      </c>
      <c r="M118" s="134">
        <v>0.949367088607595</v>
      </c>
      <c r="N118" s="133">
        <v>0.974006116207951</v>
      </c>
      <c r="O118" s="135">
        <v>0.9</v>
      </c>
      <c r="P118" s="133">
        <v>0</v>
      </c>
      <c r="Q118" s="133" t="s">
        <v>35</v>
      </c>
      <c r="R118" s="133" t="s">
        <v>35</v>
      </c>
      <c r="S118" s="133">
        <v>0</v>
      </c>
      <c r="T118" s="135">
        <v>0.9</v>
      </c>
      <c r="U118" s="133">
        <v>0</v>
      </c>
      <c r="V118" s="133" t="s">
        <v>35</v>
      </c>
      <c r="W118" s="133" t="s">
        <v>35</v>
      </c>
      <c r="X118" s="133">
        <v>0</v>
      </c>
      <c r="Y118" s="135">
        <v>0.92</v>
      </c>
      <c r="Z118" s="135" t="s">
        <v>35</v>
      </c>
      <c r="AA118" s="135">
        <v>0</v>
      </c>
      <c r="AB118" s="135" t="s">
        <v>35</v>
      </c>
      <c r="AC118" s="135">
        <v>0</v>
      </c>
      <c r="AD118" s="135">
        <v>0.92</v>
      </c>
      <c r="AE118" s="133">
        <v>0.99236641221374</v>
      </c>
      <c r="AF118" s="133">
        <v>0.986486486486487</v>
      </c>
      <c r="AG118" s="133">
        <v>0.99468085106383</v>
      </c>
      <c r="AH118" s="133">
        <v>0.995644283121597</v>
      </c>
      <c r="AI118" s="135">
        <v>0.92</v>
      </c>
      <c r="AJ118" s="133">
        <v>0.945991358617379</v>
      </c>
      <c r="AK118" s="133">
        <v>0.972466837587783</v>
      </c>
      <c r="AL118" s="133">
        <v>0.974513830172726</v>
      </c>
      <c r="AM118" s="133">
        <v>0.97363356305777</v>
      </c>
      <c r="AN118" s="132">
        <v>0.99</v>
      </c>
      <c r="AO118" s="137">
        <v>1</v>
      </c>
      <c r="AP118" s="137">
        <v>1</v>
      </c>
      <c r="AQ118" s="137">
        <v>1</v>
      </c>
      <c r="AR118" s="137">
        <v>1</v>
      </c>
      <c r="AS118" s="139">
        <v>0.105261498981944</v>
      </c>
      <c r="AT118" s="141">
        <v>0.2</v>
      </c>
      <c r="AU118" s="141">
        <v>0.181818181818182</v>
      </c>
      <c r="AV118" s="141">
        <v>0.08</v>
      </c>
      <c r="AW118" s="141">
        <v>0.101694915254237</v>
      </c>
      <c r="AX118" s="95"/>
      <c r="AY118" s="93"/>
    </row>
    <row r="119" ht="14.5" spans="1:51">
      <c r="A119" s="91"/>
      <c r="B119" s="95"/>
      <c r="C119" s="152" t="s">
        <v>99</v>
      </c>
      <c r="D119" s="153" t="s">
        <v>25</v>
      </c>
      <c r="E119" s="130" t="s">
        <v>100</v>
      </c>
      <c r="F119" s="154" t="s">
        <v>141</v>
      </c>
      <c r="G119" s="154" t="s">
        <v>141</v>
      </c>
      <c r="H119" s="154" t="s">
        <v>141</v>
      </c>
      <c r="I119" s="154" t="s">
        <v>141</v>
      </c>
      <c r="J119" s="132">
        <v>0.9</v>
      </c>
      <c r="K119" s="133">
        <v>0.96551724137931</v>
      </c>
      <c r="L119" s="133">
        <v>0.923076923076923</v>
      </c>
      <c r="M119" s="134">
        <v>0.9</v>
      </c>
      <c r="N119" s="133">
        <v>0.936931079323797</v>
      </c>
      <c r="O119" s="135">
        <v>0.9</v>
      </c>
      <c r="P119" s="133">
        <v>0</v>
      </c>
      <c r="Q119" s="133" t="s">
        <v>35</v>
      </c>
      <c r="R119" s="133" t="s">
        <v>35</v>
      </c>
      <c r="S119" s="133">
        <v>0</v>
      </c>
      <c r="T119" s="135">
        <v>0.9</v>
      </c>
      <c r="U119" s="133">
        <v>0</v>
      </c>
      <c r="V119" s="133" t="s">
        <v>35</v>
      </c>
      <c r="W119" s="133" t="s">
        <v>35</v>
      </c>
      <c r="X119" s="133">
        <v>0</v>
      </c>
      <c r="Y119" s="135">
        <v>0.92</v>
      </c>
      <c r="Z119" s="135" t="s">
        <v>35</v>
      </c>
      <c r="AA119" s="135">
        <v>0</v>
      </c>
      <c r="AB119" s="135" t="s">
        <v>35</v>
      </c>
      <c r="AC119" s="135">
        <v>0</v>
      </c>
      <c r="AD119" s="135">
        <v>0.92</v>
      </c>
      <c r="AE119" s="133">
        <v>0.888888888888889</v>
      </c>
      <c r="AF119" s="133">
        <v>0.947368421052632</v>
      </c>
      <c r="AG119" s="133">
        <v>0.908396946564885</v>
      </c>
      <c r="AH119" s="133">
        <v>0.946502057613169</v>
      </c>
      <c r="AI119" s="135">
        <v>0.92</v>
      </c>
      <c r="AJ119" s="133">
        <v>0.957472660996355</v>
      </c>
      <c r="AK119" s="133">
        <v>0.973277564772859</v>
      </c>
      <c r="AL119" s="133">
        <v>0.976530887510116</v>
      </c>
      <c r="AM119" s="133">
        <v>0.974458807039402</v>
      </c>
      <c r="AN119" s="132">
        <v>0.99</v>
      </c>
      <c r="AO119" s="137">
        <v>1</v>
      </c>
      <c r="AP119" s="137">
        <v>1</v>
      </c>
      <c r="AQ119" s="137">
        <v>1</v>
      </c>
      <c r="AR119" s="137">
        <v>1</v>
      </c>
      <c r="AS119" s="139">
        <v>0.105261498981944</v>
      </c>
      <c r="AT119" s="141">
        <v>0.142857142857143</v>
      </c>
      <c r="AU119" s="141">
        <v>0.2</v>
      </c>
      <c r="AV119" s="141">
        <v>0.0909090909090909</v>
      </c>
      <c r="AW119" s="141">
        <v>0.0820512820512821</v>
      </c>
      <c r="AX119" s="95"/>
      <c r="AY119" s="93"/>
    </row>
    <row r="120" ht="14.5" spans="1:51">
      <c r="A120" s="91"/>
      <c r="B120" s="95"/>
      <c r="C120" s="152" t="s">
        <v>99</v>
      </c>
      <c r="D120" s="153" t="s">
        <v>25</v>
      </c>
      <c r="E120" s="130" t="s">
        <v>100</v>
      </c>
      <c r="F120" s="154" t="s">
        <v>142</v>
      </c>
      <c r="G120" s="154" t="s">
        <v>142</v>
      </c>
      <c r="H120" s="154" t="s">
        <v>142</v>
      </c>
      <c r="I120" s="154" t="s">
        <v>142</v>
      </c>
      <c r="J120" s="132">
        <v>0.9</v>
      </c>
      <c r="K120" s="133">
        <v>0.91304347826087</v>
      </c>
      <c r="L120" s="133">
        <v>0.901098901098901</v>
      </c>
      <c r="M120" s="134">
        <v>0.910112359550562</v>
      </c>
      <c r="N120" s="133">
        <v>0.925641025641026</v>
      </c>
      <c r="O120" s="135">
        <v>0.9</v>
      </c>
      <c r="P120" s="133">
        <v>0</v>
      </c>
      <c r="Q120" s="133">
        <v>0.5</v>
      </c>
      <c r="R120" s="133" t="s">
        <v>35</v>
      </c>
      <c r="S120" s="133">
        <v>0.4</v>
      </c>
      <c r="T120" s="135">
        <v>0.9</v>
      </c>
      <c r="U120" s="133">
        <v>0</v>
      </c>
      <c r="V120" s="133">
        <v>0</v>
      </c>
      <c r="W120" s="133" t="s">
        <v>35</v>
      </c>
      <c r="X120" s="133">
        <v>0</v>
      </c>
      <c r="Y120" s="135">
        <v>0.92</v>
      </c>
      <c r="Z120" s="135" t="s">
        <v>35</v>
      </c>
      <c r="AA120" s="135">
        <v>0</v>
      </c>
      <c r="AB120" s="135" t="s">
        <v>35</v>
      </c>
      <c r="AC120" s="135">
        <v>0</v>
      </c>
      <c r="AD120" s="135">
        <v>0.92</v>
      </c>
      <c r="AE120" s="133">
        <v>0.9</v>
      </c>
      <c r="AF120" s="133">
        <v>0.984615384615385</v>
      </c>
      <c r="AG120" s="133">
        <v>1</v>
      </c>
      <c r="AH120" s="133">
        <v>0.946536144578313</v>
      </c>
      <c r="AI120" s="135">
        <v>0.92</v>
      </c>
      <c r="AJ120" s="133">
        <v>0.885327844751544</v>
      </c>
      <c r="AK120" s="133">
        <v>0.940904547726137</v>
      </c>
      <c r="AL120" s="133">
        <v>0.947867950481431</v>
      </c>
      <c r="AM120" s="133">
        <v>0.947223643807574</v>
      </c>
      <c r="AN120" s="132">
        <v>0.99</v>
      </c>
      <c r="AO120" s="137">
        <v>1</v>
      </c>
      <c r="AP120" s="137">
        <v>1</v>
      </c>
      <c r="AQ120" s="137">
        <v>1</v>
      </c>
      <c r="AR120" s="137">
        <v>1</v>
      </c>
      <c r="AS120" s="139">
        <v>0.105261498981944</v>
      </c>
      <c r="AT120" s="141">
        <v>0.555555555555556</v>
      </c>
      <c r="AU120" s="141">
        <v>0</v>
      </c>
      <c r="AV120" s="141">
        <v>0.25</v>
      </c>
      <c r="AW120" s="141">
        <v>0.0970149253731343</v>
      </c>
      <c r="AX120" s="95"/>
      <c r="AY120" s="93"/>
    </row>
    <row r="121" ht="14.5" spans="1:51">
      <c r="A121" s="91"/>
      <c r="B121" s="95"/>
      <c r="C121" s="152" t="s">
        <v>99</v>
      </c>
      <c r="D121" s="153" t="s">
        <v>25</v>
      </c>
      <c r="E121" s="130" t="s">
        <v>100</v>
      </c>
      <c r="F121" s="154" t="s">
        <v>143</v>
      </c>
      <c r="G121" s="154" t="s">
        <v>143</v>
      </c>
      <c r="H121" s="154" t="s">
        <v>143</v>
      </c>
      <c r="I121" s="154" t="s">
        <v>143</v>
      </c>
      <c r="J121" s="132">
        <v>0.9</v>
      </c>
      <c r="K121" s="133">
        <v>0.96969696969697</v>
      </c>
      <c r="L121" s="133">
        <v>0.96875</v>
      </c>
      <c r="M121" s="134">
        <v>0.967741935483871</v>
      </c>
      <c r="N121" s="133">
        <v>0.983050847457627</v>
      </c>
      <c r="O121" s="135">
        <v>0.9</v>
      </c>
      <c r="P121" s="133">
        <v>0</v>
      </c>
      <c r="Q121" s="133" t="s">
        <v>35</v>
      </c>
      <c r="R121" s="133" t="s">
        <v>35</v>
      </c>
      <c r="S121" s="133">
        <v>0</v>
      </c>
      <c r="T121" s="135">
        <v>0.9</v>
      </c>
      <c r="U121" s="133">
        <v>0</v>
      </c>
      <c r="V121" s="133" t="s">
        <v>35</v>
      </c>
      <c r="W121" s="133" t="s">
        <v>35</v>
      </c>
      <c r="X121" s="133">
        <v>0</v>
      </c>
      <c r="Y121" s="135">
        <v>0.92</v>
      </c>
      <c r="Z121" s="135" t="s">
        <v>35</v>
      </c>
      <c r="AA121" s="135" t="s">
        <v>35</v>
      </c>
      <c r="AB121" s="135" t="s">
        <v>35</v>
      </c>
      <c r="AC121" s="135">
        <v>0</v>
      </c>
      <c r="AD121" s="135">
        <v>0.92</v>
      </c>
      <c r="AE121" s="133">
        <v>1</v>
      </c>
      <c r="AF121" s="133">
        <v>1</v>
      </c>
      <c r="AG121" s="133">
        <v>0.998263888888889</v>
      </c>
      <c r="AH121" s="133">
        <v>0.99608684675587</v>
      </c>
      <c r="AI121" s="135">
        <v>0.92</v>
      </c>
      <c r="AJ121" s="133">
        <v>0.947094188376754</v>
      </c>
      <c r="AK121" s="133">
        <v>0.970009996667777</v>
      </c>
      <c r="AL121" s="133">
        <v>0.974045235446793</v>
      </c>
      <c r="AM121" s="133">
        <v>0.977006762716848</v>
      </c>
      <c r="AN121" s="132">
        <v>0.99</v>
      </c>
      <c r="AO121" s="137">
        <v>1</v>
      </c>
      <c r="AP121" s="137">
        <v>1</v>
      </c>
      <c r="AQ121" s="137">
        <v>1</v>
      </c>
      <c r="AR121" s="137">
        <v>1</v>
      </c>
      <c r="AS121" s="139">
        <v>0.105261498981944</v>
      </c>
      <c r="AT121" s="141">
        <v>0</v>
      </c>
      <c r="AU121" s="141">
        <v>0.333333333333333</v>
      </c>
      <c r="AV121" s="141">
        <v>0</v>
      </c>
      <c r="AW121" s="141">
        <v>0.119402985074627</v>
      </c>
      <c r="AX121" s="95"/>
      <c r="AY121" s="93"/>
    </row>
    <row r="122" ht="14.5" spans="1:51">
      <c r="A122" s="91"/>
      <c r="B122" s="95"/>
      <c r="C122" s="152" t="s">
        <v>99</v>
      </c>
      <c r="D122" s="153" t="s">
        <v>25</v>
      </c>
      <c r="E122" s="130" t="s">
        <v>100</v>
      </c>
      <c r="F122" s="154" t="s">
        <v>144</v>
      </c>
      <c r="G122" s="154" t="s">
        <v>144</v>
      </c>
      <c r="H122" s="154" t="s">
        <v>144</v>
      </c>
      <c r="I122" s="154" t="s">
        <v>144</v>
      </c>
      <c r="J122" s="132">
        <v>0.9</v>
      </c>
      <c r="K122" s="133">
        <v>1</v>
      </c>
      <c r="L122" s="133">
        <v>0.985294117647059</v>
      </c>
      <c r="M122" s="134">
        <v>0.971830985915493</v>
      </c>
      <c r="N122" s="133">
        <v>0.990459670424978</v>
      </c>
      <c r="O122" s="135">
        <v>0.9</v>
      </c>
      <c r="P122" s="133">
        <v>0</v>
      </c>
      <c r="Q122" s="133">
        <v>0</v>
      </c>
      <c r="R122" s="133" t="s">
        <v>35</v>
      </c>
      <c r="S122" s="133">
        <v>0</v>
      </c>
      <c r="T122" s="135">
        <v>0.9</v>
      </c>
      <c r="U122" s="133">
        <v>0</v>
      </c>
      <c r="V122" s="133">
        <v>0</v>
      </c>
      <c r="W122" s="133" t="s">
        <v>35</v>
      </c>
      <c r="X122" s="133">
        <v>0.285714285714286</v>
      </c>
      <c r="Y122" s="135">
        <v>0.92</v>
      </c>
      <c r="Z122" s="135" t="s">
        <v>35</v>
      </c>
      <c r="AA122" s="135">
        <v>0</v>
      </c>
      <c r="AB122" s="135" t="s">
        <v>35</v>
      </c>
      <c r="AC122" s="135">
        <v>0.4</v>
      </c>
      <c r="AD122" s="135">
        <v>0.92</v>
      </c>
      <c r="AE122" s="133">
        <v>0.985915492957746</v>
      </c>
      <c r="AF122" s="133">
        <v>0.972826086956522</v>
      </c>
      <c r="AG122" s="133">
        <v>0.986363636363636</v>
      </c>
      <c r="AH122" s="133">
        <v>0.982742537313433</v>
      </c>
      <c r="AI122" s="135">
        <v>0.92</v>
      </c>
      <c r="AJ122" s="133">
        <v>0.964387464387464</v>
      </c>
      <c r="AK122" s="133">
        <v>0.990087073007368</v>
      </c>
      <c r="AL122" s="133">
        <v>0.989467064926898</v>
      </c>
      <c r="AM122" s="133">
        <v>0.989484086136616</v>
      </c>
      <c r="AN122" s="132">
        <v>0.99</v>
      </c>
      <c r="AO122" s="137">
        <v>1</v>
      </c>
      <c r="AP122" s="137">
        <v>1</v>
      </c>
      <c r="AQ122" s="137">
        <v>1</v>
      </c>
      <c r="AR122" s="137">
        <v>1</v>
      </c>
      <c r="AS122" s="139">
        <v>0.105261498981944</v>
      </c>
      <c r="AT122" s="141">
        <v>0.0909090909090909</v>
      </c>
      <c r="AU122" s="141">
        <v>0.2</v>
      </c>
      <c r="AV122" s="141">
        <v>0.0909090909090909</v>
      </c>
      <c r="AW122" s="141">
        <v>0.202614379084967</v>
      </c>
      <c r="AX122" s="95"/>
      <c r="AY122" s="93"/>
    </row>
    <row r="123" ht="14.5" spans="1:51">
      <c r="A123" s="91"/>
      <c r="B123" s="95"/>
      <c r="C123" s="152" t="s">
        <v>99</v>
      </c>
      <c r="D123" s="153" t="s">
        <v>25</v>
      </c>
      <c r="E123" s="130" t="s">
        <v>100</v>
      </c>
      <c r="F123" s="154" t="s">
        <v>145</v>
      </c>
      <c r="G123" s="154" t="s">
        <v>145</v>
      </c>
      <c r="H123" s="154" t="s">
        <v>145</v>
      </c>
      <c r="I123" s="154" t="s">
        <v>145</v>
      </c>
      <c r="J123" s="132">
        <v>0.9</v>
      </c>
      <c r="K123" s="133">
        <v>1</v>
      </c>
      <c r="L123" s="133">
        <v>1</v>
      </c>
      <c r="M123" s="134">
        <v>0.976470588235294</v>
      </c>
      <c r="N123" s="133">
        <v>0.983393501805054</v>
      </c>
      <c r="O123" s="135">
        <v>0.9</v>
      </c>
      <c r="P123" s="133">
        <v>0</v>
      </c>
      <c r="Q123" s="133" t="s">
        <v>35</v>
      </c>
      <c r="R123" s="133" t="s">
        <v>35</v>
      </c>
      <c r="S123" s="133">
        <v>0</v>
      </c>
      <c r="T123" s="135">
        <v>0.9</v>
      </c>
      <c r="U123" s="133">
        <v>0</v>
      </c>
      <c r="V123" s="133" t="s">
        <v>35</v>
      </c>
      <c r="W123" s="133" t="s">
        <v>35</v>
      </c>
      <c r="X123" s="133">
        <v>0</v>
      </c>
      <c r="Y123" s="135">
        <v>0.92</v>
      </c>
      <c r="Z123" s="135" t="s">
        <v>35</v>
      </c>
      <c r="AA123" s="135" t="s">
        <v>35</v>
      </c>
      <c r="AB123" s="135" t="s">
        <v>35</v>
      </c>
      <c r="AC123" s="135" t="s">
        <v>35</v>
      </c>
      <c r="AD123" s="135">
        <v>0.92</v>
      </c>
      <c r="AE123" s="133">
        <v>1</v>
      </c>
      <c r="AF123" s="133">
        <v>0.988888888888889</v>
      </c>
      <c r="AG123" s="133">
        <v>0.997630331753555</v>
      </c>
      <c r="AH123" s="133">
        <v>0.992408646423057</v>
      </c>
      <c r="AI123" s="135">
        <v>0.92</v>
      </c>
      <c r="AJ123" s="133">
        <v>0.961962981830532</v>
      </c>
      <c r="AK123" s="133">
        <v>0.98141592920354</v>
      </c>
      <c r="AL123" s="133">
        <v>0.978381182981667</v>
      </c>
      <c r="AM123" s="133">
        <v>0.982378736592032</v>
      </c>
      <c r="AN123" s="132">
        <v>0.99</v>
      </c>
      <c r="AO123" s="137">
        <v>1</v>
      </c>
      <c r="AP123" s="137">
        <v>1</v>
      </c>
      <c r="AQ123" s="137">
        <v>1</v>
      </c>
      <c r="AR123" s="137">
        <v>1</v>
      </c>
      <c r="AS123" s="139">
        <v>0.105261498981944</v>
      </c>
      <c r="AT123" s="141">
        <v>0</v>
      </c>
      <c r="AU123" s="141">
        <v>0.4</v>
      </c>
      <c r="AV123" s="141">
        <v>0.4</v>
      </c>
      <c r="AW123" s="141">
        <v>0.163793103448276</v>
      </c>
      <c r="AX123" s="95"/>
      <c r="AY123" s="93"/>
    </row>
    <row r="124" ht="14.5" spans="1:51">
      <c r="A124" s="91"/>
      <c r="B124" s="95"/>
      <c r="C124" s="152" t="s">
        <v>99</v>
      </c>
      <c r="D124" s="153" t="s">
        <v>25</v>
      </c>
      <c r="E124" s="130" t="s">
        <v>100</v>
      </c>
      <c r="F124" s="154" t="s">
        <v>146</v>
      </c>
      <c r="G124" s="154" t="s">
        <v>146</v>
      </c>
      <c r="H124" s="154" t="s">
        <v>146</v>
      </c>
      <c r="I124" s="154" t="s">
        <v>146</v>
      </c>
      <c r="J124" s="132">
        <v>0.9</v>
      </c>
      <c r="K124" s="133">
        <v>0.984126984126984</v>
      </c>
      <c r="L124" s="133">
        <v>1</v>
      </c>
      <c r="M124" s="134">
        <v>1</v>
      </c>
      <c r="N124" s="133">
        <v>0.991095280498664</v>
      </c>
      <c r="O124" s="135">
        <v>0.9</v>
      </c>
      <c r="P124" s="133" t="s">
        <v>35</v>
      </c>
      <c r="Q124" s="133">
        <v>0</v>
      </c>
      <c r="R124" s="133" t="s">
        <v>35</v>
      </c>
      <c r="S124" s="133">
        <v>0</v>
      </c>
      <c r="T124" s="135">
        <v>0.9</v>
      </c>
      <c r="U124" s="133" t="s">
        <v>35</v>
      </c>
      <c r="V124" s="133">
        <v>0</v>
      </c>
      <c r="W124" s="133" t="s">
        <v>35</v>
      </c>
      <c r="X124" s="133">
        <v>0.25</v>
      </c>
      <c r="Y124" s="135">
        <v>0.92</v>
      </c>
      <c r="Z124" s="135" t="s">
        <v>35</v>
      </c>
      <c r="AA124" s="135">
        <v>0</v>
      </c>
      <c r="AB124" s="135" t="s">
        <v>35</v>
      </c>
      <c r="AC124" s="135">
        <v>0.5</v>
      </c>
      <c r="AD124" s="135">
        <v>0.92</v>
      </c>
      <c r="AE124" s="133">
        <v>0.0321100917431193</v>
      </c>
      <c r="AF124" s="133">
        <v>0.995652173913044</v>
      </c>
      <c r="AG124" s="133">
        <v>0.993548387096774</v>
      </c>
      <c r="AH124" s="133">
        <v>0.891094619666048</v>
      </c>
      <c r="AI124" s="135">
        <v>0.92</v>
      </c>
      <c r="AJ124" s="133">
        <v>0.926785714285714</v>
      </c>
      <c r="AK124" s="133">
        <v>0.940833764888659</v>
      </c>
      <c r="AL124" s="133">
        <v>0.940253010211858</v>
      </c>
      <c r="AM124" s="133">
        <v>0.952025981561473</v>
      </c>
      <c r="AN124" s="132">
        <v>0.99</v>
      </c>
      <c r="AO124" s="137">
        <v>1</v>
      </c>
      <c r="AP124" s="137">
        <v>1</v>
      </c>
      <c r="AQ124" s="137">
        <v>1</v>
      </c>
      <c r="AR124" s="137">
        <v>1</v>
      </c>
      <c r="AS124" s="139">
        <v>0.105261498981944</v>
      </c>
      <c r="AT124" s="141">
        <v>0.142857142857143</v>
      </c>
      <c r="AU124" s="141">
        <v>0.0666666666666667</v>
      </c>
      <c r="AV124" s="141">
        <v>0</v>
      </c>
      <c r="AW124" s="141">
        <v>0.0871794871794872</v>
      </c>
      <c r="AX124" s="95"/>
      <c r="AY124" s="93"/>
    </row>
    <row r="125" ht="14.5" spans="1:51">
      <c r="A125" s="91"/>
      <c r="B125" s="95"/>
      <c r="C125" s="152" t="s">
        <v>99</v>
      </c>
      <c r="D125" s="153" t="s">
        <v>25</v>
      </c>
      <c r="E125" s="130" t="s">
        <v>100</v>
      </c>
      <c r="F125" s="154" t="s">
        <v>147</v>
      </c>
      <c r="G125" s="154" t="s">
        <v>147</v>
      </c>
      <c r="H125" s="154" t="s">
        <v>147</v>
      </c>
      <c r="I125" s="154" t="s">
        <v>147</v>
      </c>
      <c r="J125" s="132">
        <v>0.9</v>
      </c>
      <c r="K125" s="133">
        <v>0.962264150943396</v>
      </c>
      <c r="L125" s="133">
        <v>0.909090909090909</v>
      </c>
      <c r="M125" s="134">
        <v>0.983606557377049</v>
      </c>
      <c r="N125" s="133">
        <v>0.974306269270298</v>
      </c>
      <c r="O125" s="135">
        <v>0.9</v>
      </c>
      <c r="P125" s="133">
        <v>0</v>
      </c>
      <c r="Q125" s="133" t="s">
        <v>35</v>
      </c>
      <c r="R125" s="133" t="s">
        <v>35</v>
      </c>
      <c r="S125" s="133">
        <v>0</v>
      </c>
      <c r="T125" s="135">
        <v>0.9</v>
      </c>
      <c r="U125" s="133">
        <v>0</v>
      </c>
      <c r="V125" s="133" t="s">
        <v>35</v>
      </c>
      <c r="W125" s="133" t="s">
        <v>35</v>
      </c>
      <c r="X125" s="133">
        <v>0</v>
      </c>
      <c r="Y125" s="135">
        <v>0.92</v>
      </c>
      <c r="Z125" s="135" t="s">
        <v>35</v>
      </c>
      <c r="AA125" s="135" t="s">
        <v>35</v>
      </c>
      <c r="AB125" s="135" t="s">
        <v>35</v>
      </c>
      <c r="AC125" s="135" t="s">
        <v>35</v>
      </c>
      <c r="AD125" s="135">
        <v>0.92</v>
      </c>
      <c r="AE125" s="133">
        <v>0.993006993006993</v>
      </c>
      <c r="AF125" s="133">
        <v>0.993939393939394</v>
      </c>
      <c r="AG125" s="133">
        <v>0.986666666666667</v>
      </c>
      <c r="AH125" s="133">
        <v>0.987091222030981</v>
      </c>
      <c r="AI125" s="135">
        <v>0.92</v>
      </c>
      <c r="AJ125" s="133">
        <v>0.962299717247879</v>
      </c>
      <c r="AK125" s="133">
        <v>0.975545708189726</v>
      </c>
      <c r="AL125" s="133">
        <v>0.984630738522954</v>
      </c>
      <c r="AM125" s="133">
        <v>0.981168030489855</v>
      </c>
      <c r="AN125" s="132">
        <v>0.99</v>
      </c>
      <c r="AO125" s="137">
        <v>1</v>
      </c>
      <c r="AP125" s="137">
        <v>1</v>
      </c>
      <c r="AQ125" s="137">
        <v>1</v>
      </c>
      <c r="AR125" s="137">
        <v>1</v>
      </c>
      <c r="AS125" s="139">
        <v>0.105261498981944</v>
      </c>
      <c r="AT125" s="141">
        <v>0.333333333333333</v>
      </c>
      <c r="AU125" s="141">
        <v>0</v>
      </c>
      <c r="AV125" s="141">
        <v>0.333333333333333</v>
      </c>
      <c r="AW125" s="141">
        <v>0.0641025641025641</v>
      </c>
      <c r="AX125" s="95"/>
      <c r="AY125" s="93"/>
    </row>
    <row r="126" ht="14.5" spans="1:51">
      <c r="A126" s="91"/>
      <c r="B126" s="95"/>
      <c r="C126" s="152" t="s">
        <v>99</v>
      </c>
      <c r="D126" s="153" t="s">
        <v>25</v>
      </c>
      <c r="E126" s="130" t="s">
        <v>100</v>
      </c>
      <c r="F126" s="154" t="s">
        <v>148</v>
      </c>
      <c r="G126" s="154" t="s">
        <v>148</v>
      </c>
      <c r="H126" s="154" t="s">
        <v>148</v>
      </c>
      <c r="I126" s="154" t="s">
        <v>148</v>
      </c>
      <c r="J126" s="132">
        <v>0.9</v>
      </c>
      <c r="K126" s="133">
        <v>1</v>
      </c>
      <c r="L126" s="133">
        <v>0.972972972972973</v>
      </c>
      <c r="M126" s="134">
        <v>0.973684210526316</v>
      </c>
      <c r="N126" s="133">
        <v>0.985507246376812</v>
      </c>
      <c r="O126" s="135">
        <v>0.9</v>
      </c>
      <c r="P126" s="133">
        <v>1</v>
      </c>
      <c r="Q126" s="133" t="s">
        <v>35</v>
      </c>
      <c r="R126" s="133" t="s">
        <v>35</v>
      </c>
      <c r="S126" s="133">
        <v>1</v>
      </c>
      <c r="T126" s="135">
        <v>0.9</v>
      </c>
      <c r="U126" s="133">
        <v>0</v>
      </c>
      <c r="V126" s="133" t="s">
        <v>35</v>
      </c>
      <c r="W126" s="133" t="s">
        <v>35</v>
      </c>
      <c r="X126" s="133">
        <v>0</v>
      </c>
      <c r="Y126" s="135">
        <v>0.92</v>
      </c>
      <c r="Z126" s="135" t="s">
        <v>35</v>
      </c>
      <c r="AA126" s="135" t="s">
        <v>35</v>
      </c>
      <c r="AB126" s="135">
        <v>1</v>
      </c>
      <c r="AC126" s="135">
        <v>1</v>
      </c>
      <c r="AD126" s="135">
        <v>0.92</v>
      </c>
      <c r="AE126" s="133">
        <v>1</v>
      </c>
      <c r="AF126" s="133">
        <v>1</v>
      </c>
      <c r="AG126" s="133">
        <v>1</v>
      </c>
      <c r="AH126" s="133">
        <v>0.998911860718172</v>
      </c>
      <c r="AI126" s="135">
        <v>0.92</v>
      </c>
      <c r="AJ126" s="133">
        <v>0.977279612238716</v>
      </c>
      <c r="AK126" s="133">
        <v>0.987138263665595</v>
      </c>
      <c r="AL126" s="133">
        <v>0.98901464713715</v>
      </c>
      <c r="AM126" s="133">
        <v>0.987243040870801</v>
      </c>
      <c r="AN126" s="132">
        <v>0.99</v>
      </c>
      <c r="AO126" s="137">
        <v>1</v>
      </c>
      <c r="AP126" s="137">
        <v>1</v>
      </c>
      <c r="AQ126" s="137">
        <v>1</v>
      </c>
      <c r="AR126" s="137">
        <v>1</v>
      </c>
      <c r="AS126" s="139">
        <v>0.105261498981944</v>
      </c>
      <c r="AT126" s="141">
        <v>0</v>
      </c>
      <c r="AU126" s="141">
        <v>0.25</v>
      </c>
      <c r="AV126" s="141">
        <v>0</v>
      </c>
      <c r="AW126" s="141">
        <v>0.0540540540540541</v>
      </c>
      <c r="AX126" s="95"/>
      <c r="AY126" s="93"/>
    </row>
    <row r="127" ht="14.5" spans="1:51">
      <c r="A127" s="91"/>
      <c r="B127" s="95"/>
      <c r="C127" s="152" t="s">
        <v>99</v>
      </c>
      <c r="D127" s="153" t="s">
        <v>25</v>
      </c>
      <c r="E127" s="130" t="s">
        <v>100</v>
      </c>
      <c r="F127" s="154" t="s">
        <v>149</v>
      </c>
      <c r="G127" s="154" t="s">
        <v>149</v>
      </c>
      <c r="H127" s="154" t="s">
        <v>149</v>
      </c>
      <c r="I127" s="154" t="s">
        <v>149</v>
      </c>
      <c r="J127" s="132">
        <v>0.9</v>
      </c>
      <c r="K127" s="133">
        <v>1</v>
      </c>
      <c r="L127" s="133">
        <v>0.959183673469388</v>
      </c>
      <c r="M127" s="134">
        <v>1</v>
      </c>
      <c r="N127" s="133">
        <v>0.98410896708286</v>
      </c>
      <c r="O127" s="135">
        <v>0.9</v>
      </c>
      <c r="P127" s="133" t="s">
        <v>35</v>
      </c>
      <c r="Q127" s="133" t="s">
        <v>35</v>
      </c>
      <c r="R127" s="133">
        <v>0</v>
      </c>
      <c r="S127" s="133">
        <v>0</v>
      </c>
      <c r="T127" s="135">
        <v>0.9</v>
      </c>
      <c r="U127" s="133" t="s">
        <v>35</v>
      </c>
      <c r="V127" s="133" t="s">
        <v>35</v>
      </c>
      <c r="W127" s="133">
        <v>0</v>
      </c>
      <c r="X127" s="133">
        <v>0</v>
      </c>
      <c r="Y127" s="135">
        <v>0.92</v>
      </c>
      <c r="Z127" s="135">
        <v>0</v>
      </c>
      <c r="AA127" s="135">
        <v>0</v>
      </c>
      <c r="AB127" s="135" t="s">
        <v>35</v>
      </c>
      <c r="AC127" s="135">
        <v>0.333333333333333</v>
      </c>
      <c r="AD127" s="135">
        <v>0.92</v>
      </c>
      <c r="AE127" s="133">
        <v>0.983168316831683</v>
      </c>
      <c r="AF127" s="133">
        <v>0.964523281596452</v>
      </c>
      <c r="AG127" s="133">
        <v>0.989289191820837</v>
      </c>
      <c r="AH127" s="133">
        <v>0.983841528881254</v>
      </c>
      <c r="AI127" s="135">
        <v>0.92</v>
      </c>
      <c r="AJ127" s="133">
        <v>0.94570021467357</v>
      </c>
      <c r="AK127" s="133">
        <v>0.97057261234463</v>
      </c>
      <c r="AL127" s="133">
        <v>0.98359659781288</v>
      </c>
      <c r="AM127" s="133">
        <v>0.983183300717547</v>
      </c>
      <c r="AN127" s="132">
        <v>0.99</v>
      </c>
      <c r="AO127" s="137">
        <v>1</v>
      </c>
      <c r="AP127" s="137">
        <v>1</v>
      </c>
      <c r="AQ127" s="137">
        <v>1</v>
      </c>
      <c r="AR127" s="137">
        <v>1</v>
      </c>
      <c r="AS127" s="139">
        <v>0.105261498981944</v>
      </c>
      <c r="AT127" s="141">
        <v>0.142857142857143</v>
      </c>
      <c r="AU127" s="141">
        <v>0.142857142857143</v>
      </c>
      <c r="AV127" s="141">
        <v>0.2</v>
      </c>
      <c r="AW127" s="141">
        <v>0.0593607305936073</v>
      </c>
      <c r="AX127" s="95"/>
      <c r="AY127" s="93"/>
    </row>
    <row r="128" ht="14.5" spans="1:51">
      <c r="A128" s="91"/>
      <c r="B128" s="95"/>
      <c r="C128" s="152" t="s">
        <v>99</v>
      </c>
      <c r="D128" s="153" t="s">
        <v>25</v>
      </c>
      <c r="E128" s="130" t="s">
        <v>100</v>
      </c>
      <c r="F128" s="154" t="s">
        <v>150</v>
      </c>
      <c r="G128" s="154" t="s">
        <v>150</v>
      </c>
      <c r="H128" s="154" t="s">
        <v>150</v>
      </c>
      <c r="I128" s="154" t="s">
        <v>150</v>
      </c>
      <c r="J128" s="132">
        <v>0.9</v>
      </c>
      <c r="K128" s="133">
        <v>0.980392156862745</v>
      </c>
      <c r="L128" s="133">
        <v>1</v>
      </c>
      <c r="M128" s="134">
        <v>1</v>
      </c>
      <c r="N128" s="133">
        <v>0.976744186046512</v>
      </c>
      <c r="O128" s="135">
        <v>0.9</v>
      </c>
      <c r="P128" s="133" t="s">
        <v>35</v>
      </c>
      <c r="Q128" s="133" t="s">
        <v>35</v>
      </c>
      <c r="R128" s="133" t="s">
        <v>35</v>
      </c>
      <c r="S128" s="133">
        <v>0.333333333333333</v>
      </c>
      <c r="T128" s="135">
        <v>0.9</v>
      </c>
      <c r="U128" s="133" t="s">
        <v>35</v>
      </c>
      <c r="V128" s="133" t="s">
        <v>35</v>
      </c>
      <c r="W128" s="133" t="s">
        <v>35</v>
      </c>
      <c r="X128" s="133">
        <v>0.333333333333333</v>
      </c>
      <c r="Y128" s="135">
        <v>0.92</v>
      </c>
      <c r="Z128" s="135" t="s">
        <v>35</v>
      </c>
      <c r="AA128" s="135" t="s">
        <v>35</v>
      </c>
      <c r="AB128" s="135" t="s">
        <v>35</v>
      </c>
      <c r="AC128" s="135" t="s">
        <v>35</v>
      </c>
      <c r="AD128" s="135">
        <v>0.92</v>
      </c>
      <c r="AE128" s="133">
        <v>0.974358974358974</v>
      </c>
      <c r="AF128" s="133">
        <v>0.996688741721854</v>
      </c>
      <c r="AG128" s="133">
        <v>0.997422680412371</v>
      </c>
      <c r="AH128" s="133">
        <v>0.977088219375789</v>
      </c>
      <c r="AI128" s="135">
        <v>0.92</v>
      </c>
      <c r="AJ128" s="133">
        <v>0.951021355617456</v>
      </c>
      <c r="AK128" s="133">
        <v>0.951587916343919</v>
      </c>
      <c r="AL128" s="133">
        <v>0.967771428571429</v>
      </c>
      <c r="AM128" s="133">
        <v>0.967170301823342</v>
      </c>
      <c r="AN128" s="132">
        <v>0.99</v>
      </c>
      <c r="AO128" s="137">
        <v>1</v>
      </c>
      <c r="AP128" s="137">
        <v>1</v>
      </c>
      <c r="AQ128" s="137">
        <v>1</v>
      </c>
      <c r="AR128" s="137">
        <v>1</v>
      </c>
      <c r="AS128" s="139">
        <v>0.105261498981944</v>
      </c>
      <c r="AT128" s="141">
        <v>0</v>
      </c>
      <c r="AU128" s="141">
        <v>0</v>
      </c>
      <c r="AV128" s="141">
        <v>0.25</v>
      </c>
      <c r="AW128" s="141">
        <v>0.0454545454545455</v>
      </c>
      <c r="AX128" s="95"/>
      <c r="AY128" s="93"/>
    </row>
    <row r="129" ht="14.5" spans="1:51">
      <c r="A129" s="91"/>
      <c r="B129" s="95"/>
      <c r="C129" s="152" t="s">
        <v>99</v>
      </c>
      <c r="D129" s="153" t="s">
        <v>25</v>
      </c>
      <c r="E129" s="130" t="s">
        <v>100</v>
      </c>
      <c r="F129" s="154" t="s">
        <v>151</v>
      </c>
      <c r="G129" s="154" t="s">
        <v>151</v>
      </c>
      <c r="H129" s="154" t="s">
        <v>151</v>
      </c>
      <c r="I129" s="154" t="s">
        <v>151</v>
      </c>
      <c r="J129" s="132">
        <v>0.9</v>
      </c>
      <c r="K129" s="133">
        <v>1</v>
      </c>
      <c r="L129" s="133">
        <v>0.981132075471698</v>
      </c>
      <c r="M129" s="134">
        <v>0.981481481481482</v>
      </c>
      <c r="N129" s="133">
        <v>0.992569002123142</v>
      </c>
      <c r="O129" s="135">
        <v>0.9</v>
      </c>
      <c r="P129" s="133">
        <v>0</v>
      </c>
      <c r="Q129" s="133" t="s">
        <v>35</v>
      </c>
      <c r="R129" s="133" t="s">
        <v>35</v>
      </c>
      <c r="S129" s="133">
        <v>0</v>
      </c>
      <c r="T129" s="135">
        <v>0.9</v>
      </c>
      <c r="U129" s="133">
        <v>0</v>
      </c>
      <c r="V129" s="133" t="s">
        <v>35</v>
      </c>
      <c r="W129" s="133" t="s">
        <v>35</v>
      </c>
      <c r="X129" s="133">
        <v>0</v>
      </c>
      <c r="Y129" s="135">
        <v>0.92</v>
      </c>
      <c r="Z129" s="135" t="s">
        <v>35</v>
      </c>
      <c r="AA129" s="135" t="s">
        <v>35</v>
      </c>
      <c r="AB129" s="135" t="s">
        <v>35</v>
      </c>
      <c r="AC129" s="135" t="s">
        <v>35</v>
      </c>
      <c r="AD129" s="135">
        <v>0.92</v>
      </c>
      <c r="AE129" s="133">
        <v>1</v>
      </c>
      <c r="AF129" s="133">
        <v>0.990625</v>
      </c>
      <c r="AG129" s="133">
        <v>0.991774383078731</v>
      </c>
      <c r="AH129" s="133">
        <v>0.995252837977296</v>
      </c>
      <c r="AI129" s="135">
        <v>0.92</v>
      </c>
      <c r="AJ129" s="133">
        <v>0.96804932735426</v>
      </c>
      <c r="AK129" s="133">
        <v>0.977325312355391</v>
      </c>
      <c r="AL129" s="133">
        <v>0.979218472468916</v>
      </c>
      <c r="AM129" s="133">
        <v>0.984243939976914</v>
      </c>
      <c r="AN129" s="132">
        <v>0.99</v>
      </c>
      <c r="AO129" s="137">
        <v>1</v>
      </c>
      <c r="AP129" s="137">
        <v>1</v>
      </c>
      <c r="AQ129" s="137">
        <v>1</v>
      </c>
      <c r="AR129" s="137">
        <v>1</v>
      </c>
      <c r="AS129" s="139">
        <v>0.105261498981944</v>
      </c>
      <c r="AT129" s="141">
        <v>0</v>
      </c>
      <c r="AU129" s="141">
        <v>0</v>
      </c>
      <c r="AV129" s="141">
        <v>0.142857142857143</v>
      </c>
      <c r="AW129" s="141">
        <v>0.0526315789473684</v>
      </c>
      <c r="AX129" s="95"/>
      <c r="AY129" s="93"/>
    </row>
    <row r="130" ht="14.5" spans="1:51">
      <c r="A130" s="91"/>
      <c r="B130" s="95"/>
      <c r="C130" s="152" t="s">
        <v>99</v>
      </c>
      <c r="D130" s="153" t="s">
        <v>25</v>
      </c>
      <c r="E130" s="130" t="s">
        <v>100</v>
      </c>
      <c r="F130" s="154" t="s">
        <v>152</v>
      </c>
      <c r="G130" s="154" t="s">
        <v>152</v>
      </c>
      <c r="H130" s="154" t="s">
        <v>152</v>
      </c>
      <c r="I130" s="154" t="s">
        <v>152</v>
      </c>
      <c r="J130" s="132">
        <v>0.9</v>
      </c>
      <c r="K130" s="133">
        <v>1</v>
      </c>
      <c r="L130" s="133">
        <v>1</v>
      </c>
      <c r="M130" s="134">
        <v>0.983333333333333</v>
      </c>
      <c r="N130" s="133">
        <v>0.99402390438247</v>
      </c>
      <c r="O130" s="135">
        <v>0.9</v>
      </c>
      <c r="P130" s="133">
        <v>0</v>
      </c>
      <c r="Q130" s="133">
        <v>0.5</v>
      </c>
      <c r="R130" s="133" t="s">
        <v>35</v>
      </c>
      <c r="S130" s="133">
        <v>0.25</v>
      </c>
      <c r="T130" s="135">
        <v>0.9</v>
      </c>
      <c r="U130" s="133">
        <v>0</v>
      </c>
      <c r="V130" s="133">
        <v>0.5</v>
      </c>
      <c r="W130" s="133" t="s">
        <v>35</v>
      </c>
      <c r="X130" s="133">
        <v>0.5</v>
      </c>
      <c r="Y130" s="135">
        <v>0.92</v>
      </c>
      <c r="Z130" s="135" t="s">
        <v>35</v>
      </c>
      <c r="AA130" s="135" t="s">
        <v>35</v>
      </c>
      <c r="AB130" s="135" t="s">
        <v>35</v>
      </c>
      <c r="AC130" s="135">
        <v>0</v>
      </c>
      <c r="AD130" s="135">
        <v>0.92</v>
      </c>
      <c r="AE130" s="133">
        <v>0.996219281663516</v>
      </c>
      <c r="AF130" s="133">
        <v>0.995283018867924</v>
      </c>
      <c r="AG130" s="133">
        <v>0.97724039829303</v>
      </c>
      <c r="AH130" s="133">
        <v>0.991497710922171</v>
      </c>
      <c r="AI130" s="135">
        <v>0.92</v>
      </c>
      <c r="AJ130" s="133">
        <v>0.958502673796791</v>
      </c>
      <c r="AK130" s="133">
        <v>0.971524584365051</v>
      </c>
      <c r="AL130" s="133">
        <v>0.980440601194153</v>
      </c>
      <c r="AM130" s="133">
        <v>0.98106258148631</v>
      </c>
      <c r="AN130" s="132">
        <v>0.99</v>
      </c>
      <c r="AO130" s="137">
        <v>1</v>
      </c>
      <c r="AP130" s="137">
        <v>1</v>
      </c>
      <c r="AQ130" s="137">
        <v>1</v>
      </c>
      <c r="AR130" s="137">
        <v>1</v>
      </c>
      <c r="AS130" s="139">
        <v>0.105261498981944</v>
      </c>
      <c r="AT130" s="141">
        <v>0.153846153846154</v>
      </c>
      <c r="AU130" s="141">
        <v>0</v>
      </c>
      <c r="AV130" s="141">
        <v>0.0769230769230769</v>
      </c>
      <c r="AW130" s="141">
        <v>0.0432098765432099</v>
      </c>
      <c r="AX130" s="95"/>
      <c r="AY130" s="93"/>
    </row>
    <row r="131" ht="14.5" spans="1:51">
      <c r="A131" s="91"/>
      <c r="B131" s="95"/>
      <c r="C131" s="152" t="s">
        <v>99</v>
      </c>
      <c r="D131" s="153" t="s">
        <v>25</v>
      </c>
      <c r="E131" s="130" t="s">
        <v>100</v>
      </c>
      <c r="F131" s="154" t="s">
        <v>153</v>
      </c>
      <c r="G131" s="154" t="s">
        <v>153</v>
      </c>
      <c r="H131" s="154" t="s">
        <v>153</v>
      </c>
      <c r="I131" s="154" t="s">
        <v>153</v>
      </c>
      <c r="J131" s="132">
        <v>0.9</v>
      </c>
      <c r="K131" s="133">
        <v>0.981132075471698</v>
      </c>
      <c r="L131" s="133">
        <v>1</v>
      </c>
      <c r="M131" s="134">
        <v>0.983050847457627</v>
      </c>
      <c r="N131" s="133">
        <v>0.987730061349693</v>
      </c>
      <c r="O131" s="135">
        <v>0.9</v>
      </c>
      <c r="P131" s="133" t="s">
        <v>35</v>
      </c>
      <c r="Q131" s="133" t="s">
        <v>35</v>
      </c>
      <c r="R131" s="133" t="s">
        <v>35</v>
      </c>
      <c r="S131" s="133">
        <v>1</v>
      </c>
      <c r="T131" s="135">
        <v>0.9</v>
      </c>
      <c r="U131" s="133" t="s">
        <v>35</v>
      </c>
      <c r="V131" s="133" t="s">
        <v>35</v>
      </c>
      <c r="W131" s="133" t="s">
        <v>35</v>
      </c>
      <c r="X131" s="133">
        <v>1</v>
      </c>
      <c r="Y131" s="135">
        <v>0.92</v>
      </c>
      <c r="Z131" s="135" t="s">
        <v>35</v>
      </c>
      <c r="AA131" s="135" t="s">
        <v>35</v>
      </c>
      <c r="AB131" s="135" t="s">
        <v>35</v>
      </c>
      <c r="AC131" s="135" t="s">
        <v>35</v>
      </c>
      <c r="AD131" s="135">
        <v>0.92</v>
      </c>
      <c r="AE131" s="133">
        <v>0.995215311004785</v>
      </c>
      <c r="AF131" s="133">
        <v>0.989637305699482</v>
      </c>
      <c r="AG131" s="133">
        <v>0.963157894736842</v>
      </c>
      <c r="AH131" s="133">
        <v>0.984432609586235</v>
      </c>
      <c r="AI131" s="135">
        <v>0.92</v>
      </c>
      <c r="AJ131" s="133">
        <v>0.957499437823252</v>
      </c>
      <c r="AK131" s="133">
        <v>0.958686831427518</v>
      </c>
      <c r="AL131" s="133">
        <v>0.962115962115962</v>
      </c>
      <c r="AM131" s="133">
        <v>0.969779662163686</v>
      </c>
      <c r="AN131" s="132">
        <v>0.99</v>
      </c>
      <c r="AO131" s="137">
        <v>1</v>
      </c>
      <c r="AP131" s="137">
        <v>1</v>
      </c>
      <c r="AQ131" s="137">
        <v>1</v>
      </c>
      <c r="AR131" s="137">
        <v>1</v>
      </c>
      <c r="AS131" s="139">
        <v>0.105261498981944</v>
      </c>
      <c r="AT131" s="141">
        <v>0</v>
      </c>
      <c r="AU131" s="141">
        <v>0</v>
      </c>
      <c r="AV131" s="141">
        <v>0</v>
      </c>
      <c r="AW131" s="141">
        <v>0.0941176470588235</v>
      </c>
      <c r="AX131" s="95"/>
      <c r="AY131" s="93"/>
    </row>
    <row r="132" ht="14.5" spans="1:51">
      <c r="A132" s="91"/>
      <c r="B132" s="95"/>
      <c r="C132" s="152" t="s">
        <v>99</v>
      </c>
      <c r="D132" s="153" t="s">
        <v>25</v>
      </c>
      <c r="E132" s="130" t="s">
        <v>100</v>
      </c>
      <c r="F132" s="154" t="s">
        <v>154</v>
      </c>
      <c r="G132" s="154" t="s">
        <v>154</v>
      </c>
      <c r="H132" s="154" t="s">
        <v>154</v>
      </c>
      <c r="I132" s="154" t="s">
        <v>154</v>
      </c>
      <c r="J132" s="132">
        <v>0.9</v>
      </c>
      <c r="K132" s="133">
        <v>0.9375</v>
      </c>
      <c r="L132" s="133">
        <v>1</v>
      </c>
      <c r="M132" s="134">
        <v>0.96969696969697</v>
      </c>
      <c r="N132" s="133">
        <v>0.965454545454545</v>
      </c>
      <c r="O132" s="135">
        <v>0.9</v>
      </c>
      <c r="P132" s="133" t="s">
        <v>35</v>
      </c>
      <c r="Q132" s="133" t="s">
        <v>35</v>
      </c>
      <c r="R132" s="133" t="s">
        <v>35</v>
      </c>
      <c r="S132" s="133" t="s">
        <v>35</v>
      </c>
      <c r="T132" s="135">
        <v>0.9</v>
      </c>
      <c r="U132" s="133" t="s">
        <v>35</v>
      </c>
      <c r="V132" s="133" t="s">
        <v>35</v>
      </c>
      <c r="W132" s="133" t="s">
        <v>35</v>
      </c>
      <c r="X132" s="133" t="s">
        <v>35</v>
      </c>
      <c r="Y132" s="135">
        <v>0.92</v>
      </c>
      <c r="Z132" s="135" t="s">
        <v>35</v>
      </c>
      <c r="AA132" s="135" t="s">
        <v>35</v>
      </c>
      <c r="AB132" s="135" t="s">
        <v>35</v>
      </c>
      <c r="AC132" s="135" t="s">
        <v>35</v>
      </c>
      <c r="AD132" s="135">
        <v>0.92</v>
      </c>
      <c r="AE132" s="133">
        <v>1</v>
      </c>
      <c r="AF132" s="133">
        <v>0.78125</v>
      </c>
      <c r="AG132" s="133">
        <v>1</v>
      </c>
      <c r="AH132" s="133">
        <v>0.972826086956522</v>
      </c>
      <c r="AI132" s="135">
        <v>0.92</v>
      </c>
      <c r="AJ132" s="133">
        <v>0.96617008069522</v>
      </c>
      <c r="AK132" s="133">
        <v>0.98055327307587</v>
      </c>
      <c r="AL132" s="133">
        <v>0.989839901477833</v>
      </c>
      <c r="AM132" s="133">
        <v>0.983135913242746</v>
      </c>
      <c r="AN132" s="132">
        <v>0.99</v>
      </c>
      <c r="AO132" s="137">
        <v>1</v>
      </c>
      <c r="AP132" s="137">
        <v>1</v>
      </c>
      <c r="AQ132" s="137">
        <v>1</v>
      </c>
      <c r="AR132" s="137">
        <v>1</v>
      </c>
      <c r="AS132" s="139">
        <v>0.105261498981944</v>
      </c>
      <c r="AT132" s="141">
        <v>0</v>
      </c>
      <c r="AU132" s="141">
        <v>0</v>
      </c>
      <c r="AV132" s="141">
        <v>0</v>
      </c>
      <c r="AW132" s="141">
        <v>0.0263157894736842</v>
      </c>
      <c r="AX132" s="95"/>
      <c r="AY132" s="93"/>
    </row>
    <row r="133" ht="14.5" spans="1:51">
      <c r="A133" s="91"/>
      <c r="B133" s="95"/>
      <c r="C133" s="152" t="s">
        <v>99</v>
      </c>
      <c r="D133" s="153" t="s">
        <v>25</v>
      </c>
      <c r="E133" s="130" t="s">
        <v>100</v>
      </c>
      <c r="F133" s="154" t="s">
        <v>155</v>
      </c>
      <c r="G133" s="154" t="s">
        <v>155</v>
      </c>
      <c r="H133" s="154" t="s">
        <v>155</v>
      </c>
      <c r="I133" s="154" t="s">
        <v>155</v>
      </c>
      <c r="J133" s="132">
        <v>0.9</v>
      </c>
      <c r="K133" s="133">
        <v>0.952380952380952</v>
      </c>
      <c r="L133" s="133">
        <v>1</v>
      </c>
      <c r="M133" s="134">
        <v>1</v>
      </c>
      <c r="N133" s="133">
        <v>0.979768786127168</v>
      </c>
      <c r="O133" s="135">
        <v>0.9</v>
      </c>
      <c r="P133" s="133" t="s">
        <v>35</v>
      </c>
      <c r="Q133" s="133" t="s">
        <v>35</v>
      </c>
      <c r="R133" s="133" t="s">
        <v>35</v>
      </c>
      <c r="S133" s="133" t="s">
        <v>35</v>
      </c>
      <c r="T133" s="135">
        <v>0.9</v>
      </c>
      <c r="U133" s="133" t="s">
        <v>35</v>
      </c>
      <c r="V133" s="133" t="s">
        <v>35</v>
      </c>
      <c r="W133" s="133" t="s">
        <v>35</v>
      </c>
      <c r="X133" s="133" t="s">
        <v>35</v>
      </c>
      <c r="Y133" s="135">
        <v>0.92</v>
      </c>
      <c r="Z133" s="135">
        <v>0</v>
      </c>
      <c r="AA133" s="135" t="s">
        <v>35</v>
      </c>
      <c r="AB133" s="135" t="s">
        <v>35</v>
      </c>
      <c r="AC133" s="135">
        <v>0</v>
      </c>
      <c r="AD133" s="135">
        <v>0.92</v>
      </c>
      <c r="AE133" s="133">
        <v>1</v>
      </c>
      <c r="AF133" s="133">
        <v>0.964912280701754</v>
      </c>
      <c r="AG133" s="133">
        <v>1</v>
      </c>
      <c r="AH133" s="133">
        <v>0.982295482295482</v>
      </c>
      <c r="AI133" s="135">
        <v>0.92</v>
      </c>
      <c r="AJ133" s="133">
        <v>0.975333004440059</v>
      </c>
      <c r="AK133" s="133">
        <v>0.987961809879618</v>
      </c>
      <c r="AL133" s="133">
        <v>0.992179863147605</v>
      </c>
      <c r="AM133" s="133">
        <v>0.991246215943491</v>
      </c>
      <c r="AN133" s="132">
        <v>0.99</v>
      </c>
      <c r="AO133" s="137">
        <v>1</v>
      </c>
      <c r="AP133" s="137">
        <v>1</v>
      </c>
      <c r="AQ133" s="137">
        <v>1</v>
      </c>
      <c r="AR133" s="137">
        <v>1</v>
      </c>
      <c r="AS133" s="139">
        <v>0.105261498981944</v>
      </c>
      <c r="AT133" s="141">
        <v>0</v>
      </c>
      <c r="AU133" s="141">
        <v>0</v>
      </c>
      <c r="AV133" s="141">
        <v>0</v>
      </c>
      <c r="AW133" s="141">
        <v>0.024390243902439</v>
      </c>
      <c r="AX133" s="95"/>
      <c r="AY133" s="93"/>
    </row>
    <row r="134" ht="14.5" spans="1:51">
      <c r="A134" s="91"/>
      <c r="B134" s="95"/>
      <c r="C134" s="152" t="s">
        <v>99</v>
      </c>
      <c r="D134" s="153" t="s">
        <v>25</v>
      </c>
      <c r="E134" s="130" t="s">
        <v>100</v>
      </c>
      <c r="F134" s="154" t="s">
        <v>156</v>
      </c>
      <c r="G134" s="154" t="s">
        <v>156</v>
      </c>
      <c r="H134" s="154" t="s">
        <v>156</v>
      </c>
      <c r="I134" s="154" t="s">
        <v>156</v>
      </c>
      <c r="J134" s="132">
        <v>0.9</v>
      </c>
      <c r="K134" s="133">
        <v>1</v>
      </c>
      <c r="L134" s="133">
        <v>0.957142857142857</v>
      </c>
      <c r="M134" s="134">
        <v>0.986666666666667</v>
      </c>
      <c r="N134" s="133">
        <v>0.983253588516746</v>
      </c>
      <c r="O134" s="135">
        <v>0.9</v>
      </c>
      <c r="P134" s="133">
        <v>1</v>
      </c>
      <c r="Q134" s="133" t="s">
        <v>35</v>
      </c>
      <c r="R134" s="133" t="s">
        <v>35</v>
      </c>
      <c r="S134" s="133">
        <v>0.5</v>
      </c>
      <c r="T134" s="135">
        <v>0.9</v>
      </c>
      <c r="U134" s="133">
        <v>1</v>
      </c>
      <c r="V134" s="133" t="s">
        <v>35</v>
      </c>
      <c r="W134" s="133" t="s">
        <v>35</v>
      </c>
      <c r="X134" s="133">
        <v>0.75</v>
      </c>
      <c r="Y134" s="135">
        <v>0.92</v>
      </c>
      <c r="Z134" s="135">
        <v>0</v>
      </c>
      <c r="AA134" s="135" t="s">
        <v>35</v>
      </c>
      <c r="AB134" s="135" t="s">
        <v>35</v>
      </c>
      <c r="AC134" s="135">
        <v>0</v>
      </c>
      <c r="AD134" s="135">
        <v>0.92</v>
      </c>
      <c r="AE134" s="133">
        <v>1</v>
      </c>
      <c r="AF134" s="133">
        <v>0.99813258636788</v>
      </c>
      <c r="AG134" s="133">
        <v>0.998387096774194</v>
      </c>
      <c r="AH134" s="133">
        <v>0.996165644171779</v>
      </c>
      <c r="AI134" s="135">
        <v>0.92</v>
      </c>
      <c r="AJ134" s="133">
        <v>0.962178761920155</v>
      </c>
      <c r="AK134" s="133">
        <v>0.970258680315396</v>
      </c>
      <c r="AL134" s="133">
        <v>0.983487129674599</v>
      </c>
      <c r="AM134" s="133">
        <v>0.986290731048455</v>
      </c>
      <c r="AN134" s="132">
        <v>0.99</v>
      </c>
      <c r="AO134" s="137">
        <v>1</v>
      </c>
      <c r="AP134" s="137">
        <v>1</v>
      </c>
      <c r="AQ134" s="137">
        <v>1</v>
      </c>
      <c r="AR134" s="137">
        <v>1</v>
      </c>
      <c r="AS134" s="139">
        <v>0.105261498981944</v>
      </c>
      <c r="AT134" s="141">
        <v>0.181818181818182</v>
      </c>
      <c r="AU134" s="141">
        <v>0</v>
      </c>
      <c r="AV134" s="141">
        <v>0</v>
      </c>
      <c r="AW134" s="141">
        <v>0.0373831775700935</v>
      </c>
      <c r="AX134" s="95"/>
      <c r="AY134" s="93"/>
    </row>
    <row r="135" ht="14.5" spans="1:51">
      <c r="A135" s="91"/>
      <c r="B135" s="95"/>
      <c r="C135" s="152" t="s">
        <v>99</v>
      </c>
      <c r="D135" s="153" t="s">
        <v>25</v>
      </c>
      <c r="E135" s="130" t="s">
        <v>100</v>
      </c>
      <c r="F135" s="154" t="s">
        <v>157</v>
      </c>
      <c r="G135" s="154" t="s">
        <v>157</v>
      </c>
      <c r="H135" s="154" t="s">
        <v>157</v>
      </c>
      <c r="I135" s="154" t="s">
        <v>157</v>
      </c>
      <c r="J135" s="132">
        <v>0.9</v>
      </c>
      <c r="K135" s="133">
        <v>0.950819672131147</v>
      </c>
      <c r="L135" s="133">
        <v>0.967213114754098</v>
      </c>
      <c r="M135" s="134">
        <v>0.957746478873239</v>
      </c>
      <c r="N135" s="133">
        <v>0.968670618120237</v>
      </c>
      <c r="O135" s="135">
        <v>0.9</v>
      </c>
      <c r="P135" s="133">
        <v>0</v>
      </c>
      <c r="Q135" s="133">
        <v>0</v>
      </c>
      <c r="R135" s="133" t="s">
        <v>35</v>
      </c>
      <c r="S135" s="133">
        <v>0</v>
      </c>
      <c r="T135" s="135">
        <v>0.9</v>
      </c>
      <c r="U135" s="133">
        <v>0</v>
      </c>
      <c r="V135" s="133">
        <v>1</v>
      </c>
      <c r="W135" s="133" t="s">
        <v>35</v>
      </c>
      <c r="X135" s="133">
        <v>0.5</v>
      </c>
      <c r="Y135" s="135">
        <v>0.92</v>
      </c>
      <c r="Z135" s="135" t="s">
        <v>35</v>
      </c>
      <c r="AA135" s="135" t="s">
        <v>35</v>
      </c>
      <c r="AB135" s="135" t="s">
        <v>35</v>
      </c>
      <c r="AC135" s="135" t="s">
        <v>35</v>
      </c>
      <c r="AD135" s="135">
        <v>0.92</v>
      </c>
      <c r="AE135" s="133">
        <v>0.995535714285714</v>
      </c>
      <c r="AF135" s="133">
        <v>0.990430622009569</v>
      </c>
      <c r="AG135" s="133">
        <v>0.986817325800377</v>
      </c>
      <c r="AH135" s="133">
        <v>0.99361067726821</v>
      </c>
      <c r="AI135" s="135">
        <v>0.92</v>
      </c>
      <c r="AJ135" s="133">
        <v>0.965023559260602</v>
      </c>
      <c r="AK135" s="133">
        <v>0.980170410534469</v>
      </c>
      <c r="AL135" s="133">
        <v>0.984489213763594</v>
      </c>
      <c r="AM135" s="133">
        <v>0.988115465941701</v>
      </c>
      <c r="AN135" s="132">
        <v>0.99</v>
      </c>
      <c r="AO135" s="137">
        <v>1</v>
      </c>
      <c r="AP135" s="137">
        <v>1</v>
      </c>
      <c r="AQ135" s="137">
        <v>1</v>
      </c>
      <c r="AR135" s="137">
        <v>1</v>
      </c>
      <c r="AS135" s="139">
        <v>0.105261498981944</v>
      </c>
      <c r="AT135" s="141">
        <v>0</v>
      </c>
      <c r="AU135" s="141">
        <v>0.0625</v>
      </c>
      <c r="AV135" s="141">
        <v>0</v>
      </c>
      <c r="AW135" s="141">
        <v>0.0323325635103926</v>
      </c>
      <c r="AX135" s="95"/>
      <c r="AY135" s="93"/>
    </row>
    <row r="136" ht="14.5" spans="1:51">
      <c r="A136" s="91"/>
      <c r="B136" s="95"/>
      <c r="C136" s="152" t="s">
        <v>99</v>
      </c>
      <c r="D136" s="153" t="s">
        <v>25</v>
      </c>
      <c r="E136" s="130" t="s">
        <v>100</v>
      </c>
      <c r="F136" s="154" t="s">
        <v>158</v>
      </c>
      <c r="G136" s="154" t="s">
        <v>158</v>
      </c>
      <c r="H136" s="154" t="s">
        <v>158</v>
      </c>
      <c r="I136" s="154" t="s">
        <v>158</v>
      </c>
      <c r="J136" s="132">
        <v>0.9</v>
      </c>
      <c r="K136" s="133">
        <v>0.974358974358974</v>
      </c>
      <c r="L136" s="133">
        <v>0.977272727272727</v>
      </c>
      <c r="M136" s="134">
        <v>0.979591836734694</v>
      </c>
      <c r="N136" s="133">
        <v>0.985897435897436</v>
      </c>
      <c r="O136" s="135">
        <v>0.9</v>
      </c>
      <c r="P136" s="133" t="s">
        <v>35</v>
      </c>
      <c r="Q136" s="133" t="s">
        <v>35</v>
      </c>
      <c r="R136" s="133" t="s">
        <v>35</v>
      </c>
      <c r="S136" s="133" t="s">
        <v>35</v>
      </c>
      <c r="T136" s="135">
        <v>0.9</v>
      </c>
      <c r="U136" s="133" t="s">
        <v>35</v>
      </c>
      <c r="V136" s="133" t="s">
        <v>35</v>
      </c>
      <c r="W136" s="133" t="s">
        <v>35</v>
      </c>
      <c r="X136" s="133" t="s">
        <v>35</v>
      </c>
      <c r="Y136" s="135">
        <v>0.92</v>
      </c>
      <c r="Z136" s="135" t="s">
        <v>35</v>
      </c>
      <c r="AA136" s="135">
        <v>1</v>
      </c>
      <c r="AB136" s="135" t="s">
        <v>35</v>
      </c>
      <c r="AC136" s="135">
        <v>1</v>
      </c>
      <c r="AD136" s="135">
        <v>0.92</v>
      </c>
      <c r="AE136" s="133">
        <v>1</v>
      </c>
      <c r="AF136" s="133">
        <v>0.986013986013986</v>
      </c>
      <c r="AG136" s="133">
        <v>0.99601593625498</v>
      </c>
      <c r="AH136" s="133">
        <v>0.995707277187244</v>
      </c>
      <c r="AI136" s="135">
        <v>0.92</v>
      </c>
      <c r="AJ136" s="133">
        <v>0.977777777777778</v>
      </c>
      <c r="AK136" s="133">
        <v>0.991858237547893</v>
      </c>
      <c r="AL136" s="133">
        <v>0.994452149791956</v>
      </c>
      <c r="AM136" s="133">
        <v>0.99221427727219</v>
      </c>
      <c r="AN136" s="132">
        <v>0.99</v>
      </c>
      <c r="AO136" s="137">
        <v>1</v>
      </c>
      <c r="AP136" s="137">
        <v>1</v>
      </c>
      <c r="AQ136" s="137">
        <v>1</v>
      </c>
      <c r="AR136" s="137">
        <v>1</v>
      </c>
      <c r="AS136" s="139">
        <v>0.105261498981944</v>
      </c>
      <c r="AT136" s="141">
        <v>0</v>
      </c>
      <c r="AU136" s="141">
        <v>0</v>
      </c>
      <c r="AV136" s="141">
        <v>0</v>
      </c>
      <c r="AW136" s="141">
        <v>0.0810810810810811</v>
      </c>
      <c r="AX136" s="95"/>
      <c r="AY136" s="93"/>
    </row>
    <row r="137" ht="14.5" spans="1:51">
      <c r="A137" s="91"/>
      <c r="B137" s="95"/>
      <c r="C137" s="152" t="s">
        <v>99</v>
      </c>
      <c r="D137" s="153" t="s">
        <v>25</v>
      </c>
      <c r="E137" s="130" t="s">
        <v>100</v>
      </c>
      <c r="F137" s="154" t="s">
        <v>159</v>
      </c>
      <c r="G137" s="154" t="s">
        <v>159</v>
      </c>
      <c r="H137" s="154" t="s">
        <v>159</v>
      </c>
      <c r="I137" s="154" t="s">
        <v>159</v>
      </c>
      <c r="J137" s="132">
        <v>0.9</v>
      </c>
      <c r="K137" s="133">
        <v>1</v>
      </c>
      <c r="L137" s="133">
        <v>0.962962962962963</v>
      </c>
      <c r="M137" s="134">
        <v>1</v>
      </c>
      <c r="N137" s="133">
        <v>0.992307692307692</v>
      </c>
      <c r="O137" s="135">
        <v>0.9</v>
      </c>
      <c r="P137" s="133" t="s">
        <v>35</v>
      </c>
      <c r="Q137" s="133" t="s">
        <v>35</v>
      </c>
      <c r="R137" s="133" t="s">
        <v>35</v>
      </c>
      <c r="S137" s="133">
        <v>0</v>
      </c>
      <c r="T137" s="135">
        <v>0.9</v>
      </c>
      <c r="U137" s="133" t="s">
        <v>35</v>
      </c>
      <c r="V137" s="133" t="s">
        <v>35</v>
      </c>
      <c r="W137" s="133" t="s">
        <v>35</v>
      </c>
      <c r="X137" s="133">
        <v>0</v>
      </c>
      <c r="Y137" s="135">
        <v>0.92</v>
      </c>
      <c r="Z137" s="135" t="s">
        <v>35</v>
      </c>
      <c r="AA137" s="135" t="s">
        <v>35</v>
      </c>
      <c r="AB137" s="135" t="s">
        <v>35</v>
      </c>
      <c r="AC137" s="135" t="s">
        <v>35</v>
      </c>
      <c r="AD137" s="135">
        <v>0.92</v>
      </c>
      <c r="AE137" s="133">
        <v>1</v>
      </c>
      <c r="AF137" s="133">
        <v>0.986301369863014</v>
      </c>
      <c r="AG137" s="133">
        <v>0.986394557823129</v>
      </c>
      <c r="AH137" s="133">
        <v>0.98186889818689</v>
      </c>
      <c r="AI137" s="135">
        <v>0.92</v>
      </c>
      <c r="AJ137" s="133">
        <v>0.967797783933518</v>
      </c>
      <c r="AK137" s="133">
        <v>0.98827566485559</v>
      </c>
      <c r="AL137" s="133">
        <v>0.989051094890511</v>
      </c>
      <c r="AM137" s="133">
        <v>0.990764636484294</v>
      </c>
      <c r="AN137" s="132">
        <v>0.99</v>
      </c>
      <c r="AO137" s="137">
        <v>1</v>
      </c>
      <c r="AP137" s="137">
        <v>1</v>
      </c>
      <c r="AQ137" s="137">
        <v>1</v>
      </c>
      <c r="AR137" s="137">
        <v>1</v>
      </c>
      <c r="AS137" s="139">
        <v>0.105261498981944</v>
      </c>
      <c r="AT137" s="141" t="s">
        <v>35</v>
      </c>
      <c r="AU137" s="141">
        <v>0</v>
      </c>
      <c r="AV137" s="141">
        <v>0.2</v>
      </c>
      <c r="AW137" s="141">
        <v>0.159090909090909</v>
      </c>
      <c r="AX137" s="95"/>
      <c r="AY137" s="93"/>
    </row>
    <row r="138" ht="14.5" spans="1:51">
      <c r="A138" s="91"/>
      <c r="B138" s="95"/>
      <c r="C138" s="152" t="s">
        <v>99</v>
      </c>
      <c r="D138" s="153" t="s">
        <v>25</v>
      </c>
      <c r="E138" s="130" t="s">
        <v>100</v>
      </c>
      <c r="F138" s="154" t="s">
        <v>160</v>
      </c>
      <c r="G138" s="154" t="s">
        <v>160</v>
      </c>
      <c r="H138" s="154" t="s">
        <v>160</v>
      </c>
      <c r="I138" s="154" t="s">
        <v>160</v>
      </c>
      <c r="J138" s="132">
        <v>0.9</v>
      </c>
      <c r="K138" s="133">
        <v>0.985507246376812</v>
      </c>
      <c r="L138" s="133">
        <v>0.985714285714286</v>
      </c>
      <c r="M138" s="134">
        <v>0.985507246376812</v>
      </c>
      <c r="N138" s="133">
        <v>0.983794089609152</v>
      </c>
      <c r="O138" s="135">
        <v>0.9</v>
      </c>
      <c r="P138" s="133">
        <v>0</v>
      </c>
      <c r="Q138" s="133">
        <v>0</v>
      </c>
      <c r="R138" s="133" t="s">
        <v>35</v>
      </c>
      <c r="S138" s="133">
        <v>0.2</v>
      </c>
      <c r="T138" s="135">
        <v>0.9</v>
      </c>
      <c r="U138" s="133">
        <v>0</v>
      </c>
      <c r="V138" s="133">
        <v>0</v>
      </c>
      <c r="W138" s="133" t="s">
        <v>35</v>
      </c>
      <c r="X138" s="133">
        <v>0</v>
      </c>
      <c r="Y138" s="135">
        <v>0.92</v>
      </c>
      <c r="Z138" s="135" t="s">
        <v>35</v>
      </c>
      <c r="AA138" s="135">
        <v>0</v>
      </c>
      <c r="AB138" s="135" t="s">
        <v>35</v>
      </c>
      <c r="AC138" s="135">
        <v>0</v>
      </c>
      <c r="AD138" s="135">
        <v>0.92</v>
      </c>
      <c r="AE138" s="133">
        <v>0.996545768566494</v>
      </c>
      <c r="AF138" s="133">
        <v>0.99496644295302</v>
      </c>
      <c r="AG138" s="133">
        <v>0.996019900497512</v>
      </c>
      <c r="AH138" s="133">
        <v>0.997367827329473</v>
      </c>
      <c r="AI138" s="135">
        <v>0.92</v>
      </c>
      <c r="AJ138" s="133">
        <v>0.964076690211907</v>
      </c>
      <c r="AK138" s="133">
        <v>0.983631977946244</v>
      </c>
      <c r="AL138" s="133">
        <v>0.986914741361685</v>
      </c>
      <c r="AM138" s="133">
        <v>0.985856330701775</v>
      </c>
      <c r="AN138" s="132">
        <v>0.99</v>
      </c>
      <c r="AO138" s="137">
        <v>1</v>
      </c>
      <c r="AP138" s="137">
        <v>1</v>
      </c>
      <c r="AQ138" s="137">
        <v>1</v>
      </c>
      <c r="AR138" s="137">
        <v>1</v>
      </c>
      <c r="AS138" s="139">
        <v>0.105261498981944</v>
      </c>
      <c r="AT138" s="141">
        <v>0</v>
      </c>
      <c r="AU138" s="141">
        <v>0</v>
      </c>
      <c r="AV138" s="141">
        <v>0</v>
      </c>
      <c r="AW138" s="141">
        <v>0.06</v>
      </c>
      <c r="AX138" s="95"/>
      <c r="AY138" s="93"/>
    </row>
    <row r="139" ht="14.5" spans="1:51">
      <c r="A139" s="91"/>
      <c r="B139" s="95"/>
      <c r="C139" s="152" t="s">
        <v>99</v>
      </c>
      <c r="D139" s="153" t="s">
        <v>25</v>
      </c>
      <c r="E139" s="130" t="s">
        <v>100</v>
      </c>
      <c r="F139" s="154" t="s">
        <v>161</v>
      </c>
      <c r="G139" s="154" t="s">
        <v>161</v>
      </c>
      <c r="H139" s="154" t="s">
        <v>161</v>
      </c>
      <c r="I139" s="154" t="s">
        <v>161</v>
      </c>
      <c r="J139" s="132">
        <v>0.9</v>
      </c>
      <c r="K139" s="133">
        <v>0.977272727272727</v>
      </c>
      <c r="L139" s="133">
        <v>0.954022988505747</v>
      </c>
      <c r="M139" s="134">
        <v>0.969387755102041</v>
      </c>
      <c r="N139" s="133">
        <v>0.960883280757098</v>
      </c>
      <c r="O139" s="135">
        <v>0.9</v>
      </c>
      <c r="P139" s="133">
        <v>0.941018766756032</v>
      </c>
      <c r="Q139" s="133">
        <v>0.924065802374986</v>
      </c>
      <c r="R139" s="133">
        <v>0.947179427777134</v>
      </c>
      <c r="S139" s="133">
        <v>0.943435754189944</v>
      </c>
      <c r="T139" s="135">
        <v>0.9</v>
      </c>
      <c r="U139" s="133">
        <v>0.899542658886611</v>
      </c>
      <c r="V139" s="133">
        <v>0.920688528162109</v>
      </c>
      <c r="W139" s="133">
        <v>0.94034518707286</v>
      </c>
      <c r="X139" s="133">
        <v>0.924228518222932</v>
      </c>
      <c r="Y139" s="135">
        <v>0.92</v>
      </c>
      <c r="Z139" s="135">
        <v>0.905558553696708</v>
      </c>
      <c r="AA139" s="135">
        <v>0.953597375205062</v>
      </c>
      <c r="AB139" s="135">
        <v>0.966310599835661</v>
      </c>
      <c r="AC139" s="135">
        <v>0.964321110009911</v>
      </c>
      <c r="AD139" s="135">
        <v>0.92</v>
      </c>
      <c r="AE139" s="133">
        <v>0.992750996737949</v>
      </c>
      <c r="AF139" s="133">
        <v>0.993514765489288</v>
      </c>
      <c r="AG139" s="133">
        <v>0.987480859164839</v>
      </c>
      <c r="AH139" s="133">
        <v>0.983686665544409</v>
      </c>
      <c r="AI139" s="135">
        <v>0.92</v>
      </c>
      <c r="AJ139" s="133">
        <v>0.952892360263607</v>
      </c>
      <c r="AK139" s="133">
        <v>0.970922882427307</v>
      </c>
      <c r="AL139" s="133">
        <v>0.98178317535545</v>
      </c>
      <c r="AM139" s="133">
        <v>0.978792935613962</v>
      </c>
      <c r="AN139" s="132">
        <v>0.99</v>
      </c>
      <c r="AO139" s="137">
        <v>1</v>
      </c>
      <c r="AP139" s="137">
        <v>1</v>
      </c>
      <c r="AQ139" s="137">
        <v>1</v>
      </c>
      <c r="AR139" s="137">
        <v>1</v>
      </c>
      <c r="AS139" s="139">
        <v>0.105261498981944</v>
      </c>
      <c r="AT139" s="141">
        <v>0.0714285714285714</v>
      </c>
      <c r="AU139" s="141">
        <v>0.1</v>
      </c>
      <c r="AV139" s="141">
        <v>0</v>
      </c>
      <c r="AW139" s="141">
        <v>0.0757575757575758</v>
      </c>
      <c r="AX139" s="95"/>
      <c r="AY139" s="93"/>
    </row>
    <row r="140" ht="14.5" spans="1:51">
      <c r="A140" s="91"/>
      <c r="B140" s="95"/>
      <c r="C140" s="152" t="s">
        <v>99</v>
      </c>
      <c r="D140" s="153" t="s">
        <v>25</v>
      </c>
      <c r="E140" s="130" t="s">
        <v>100</v>
      </c>
      <c r="F140" s="154" t="s">
        <v>162</v>
      </c>
      <c r="G140" s="154" t="s">
        <v>162</v>
      </c>
      <c r="H140" s="154" t="s">
        <v>162</v>
      </c>
      <c r="I140" s="154" t="s">
        <v>162</v>
      </c>
      <c r="J140" s="132">
        <v>0.9</v>
      </c>
      <c r="K140" s="133">
        <v>1</v>
      </c>
      <c r="L140" s="133">
        <v>0.972602739726027</v>
      </c>
      <c r="M140" s="134">
        <v>0.98780487804878</v>
      </c>
      <c r="N140" s="133">
        <v>0.978046934140802</v>
      </c>
      <c r="O140" s="135">
        <v>0.9</v>
      </c>
      <c r="P140" s="133">
        <v>0.971310670072706</v>
      </c>
      <c r="Q140" s="133">
        <v>0.979194812212915</v>
      </c>
      <c r="R140" s="133">
        <v>0.974427361154691</v>
      </c>
      <c r="S140" s="133">
        <v>0.971879244621654</v>
      </c>
      <c r="T140" s="135">
        <v>0.9</v>
      </c>
      <c r="U140" s="133">
        <v>0.927883670662213</v>
      </c>
      <c r="V140" s="133">
        <v>0.936233450418806</v>
      </c>
      <c r="W140" s="133">
        <v>0.94524631314716</v>
      </c>
      <c r="X140" s="133">
        <v>0.938737238750383</v>
      </c>
      <c r="Y140" s="135">
        <v>0.92</v>
      </c>
      <c r="Z140" s="135">
        <v>0.925706771860618</v>
      </c>
      <c r="AA140" s="135">
        <v>0.950489178772606</v>
      </c>
      <c r="AB140" s="135">
        <v>0.973379940844313</v>
      </c>
      <c r="AC140" s="135">
        <v>0.963804768041237</v>
      </c>
      <c r="AD140" s="135">
        <v>0.92</v>
      </c>
      <c r="AE140" s="133">
        <v>0.983490358369288</v>
      </c>
      <c r="AF140" s="133">
        <v>0.999221789883268</v>
      </c>
      <c r="AG140" s="133">
        <v>0.982475022812888</v>
      </c>
      <c r="AH140" s="133">
        <v>0.984344318244312</v>
      </c>
      <c r="AI140" s="135">
        <v>0.92</v>
      </c>
      <c r="AJ140" s="133">
        <v>0.965052950075643</v>
      </c>
      <c r="AK140" s="133">
        <v>0.973828306264501</v>
      </c>
      <c r="AL140" s="133">
        <v>0.985043581616482</v>
      </c>
      <c r="AM140" s="133">
        <v>0.980563295557081</v>
      </c>
      <c r="AN140" s="132">
        <v>0.99</v>
      </c>
      <c r="AO140" s="137">
        <v>1</v>
      </c>
      <c r="AP140" s="137">
        <v>1</v>
      </c>
      <c r="AQ140" s="137">
        <v>1</v>
      </c>
      <c r="AR140" s="137">
        <v>1</v>
      </c>
      <c r="AS140" s="139">
        <v>0.105261498981944</v>
      </c>
      <c r="AT140" s="141">
        <v>0.0666666666666667</v>
      </c>
      <c r="AU140" s="141">
        <v>0</v>
      </c>
      <c r="AV140" s="141">
        <v>0</v>
      </c>
      <c r="AW140" s="141">
        <v>0.0945945945945946</v>
      </c>
      <c r="AX140" s="95"/>
      <c r="AY140" s="93"/>
    </row>
    <row r="141" ht="14.5" spans="1:51">
      <c r="A141" s="91"/>
      <c r="B141" s="95"/>
      <c r="C141" s="152" t="s">
        <v>99</v>
      </c>
      <c r="D141" s="153" t="s">
        <v>25</v>
      </c>
      <c r="E141" s="130" t="s">
        <v>100</v>
      </c>
      <c r="F141" s="154" t="s">
        <v>163</v>
      </c>
      <c r="G141" s="154" t="s">
        <v>163</v>
      </c>
      <c r="H141" s="154" t="s">
        <v>163</v>
      </c>
      <c r="I141" s="154" t="s">
        <v>163</v>
      </c>
      <c r="J141" s="132">
        <v>0.9</v>
      </c>
      <c r="K141" s="133">
        <v>0.931818181818182</v>
      </c>
      <c r="L141" s="133">
        <v>0.978723404255319</v>
      </c>
      <c r="M141" s="134">
        <v>0.980769230769231</v>
      </c>
      <c r="N141" s="133">
        <v>0.962275101567034</v>
      </c>
      <c r="O141" s="135">
        <v>0.9</v>
      </c>
      <c r="P141" s="133">
        <v>0.888433218380091</v>
      </c>
      <c r="Q141" s="133">
        <v>0.886621631032802</v>
      </c>
      <c r="R141" s="133">
        <v>0.925844034356663</v>
      </c>
      <c r="S141" s="133">
        <v>0.911664211629284</v>
      </c>
      <c r="T141" s="135">
        <v>0.9</v>
      </c>
      <c r="U141" s="133">
        <v>0.884611799794948</v>
      </c>
      <c r="V141" s="133">
        <v>0.902151960442928</v>
      </c>
      <c r="W141" s="133">
        <v>0.907475125435836</v>
      </c>
      <c r="X141" s="133">
        <v>0.903767596543712</v>
      </c>
      <c r="Y141" s="135">
        <v>0.92</v>
      </c>
      <c r="Z141" s="135">
        <v>0.849050731403673</v>
      </c>
      <c r="AA141" s="135">
        <v>0.890220928241137</v>
      </c>
      <c r="AB141" s="135">
        <v>0.905236106649534</v>
      </c>
      <c r="AC141" s="135">
        <v>0.904939710569475</v>
      </c>
      <c r="AD141" s="135">
        <v>0.92</v>
      </c>
      <c r="AE141" s="133">
        <v>0.966458640114064</v>
      </c>
      <c r="AF141" s="133">
        <v>0.983148169929748</v>
      </c>
      <c r="AG141" s="133">
        <v>0.989823918591349</v>
      </c>
      <c r="AH141" s="133">
        <v>0.987640074085016</v>
      </c>
      <c r="AI141" s="135">
        <v>0.92</v>
      </c>
      <c r="AJ141" s="133">
        <v>0.915395085607852</v>
      </c>
      <c r="AK141" s="133">
        <v>0.941418039681362</v>
      </c>
      <c r="AL141" s="133">
        <v>0.947543898644143</v>
      </c>
      <c r="AM141" s="133">
        <v>0.944556639796351</v>
      </c>
      <c r="AN141" s="132">
        <v>0.99</v>
      </c>
      <c r="AO141" s="137">
        <v>1</v>
      </c>
      <c r="AP141" s="137">
        <v>1</v>
      </c>
      <c r="AQ141" s="137">
        <v>1</v>
      </c>
      <c r="AR141" s="137">
        <v>1</v>
      </c>
      <c r="AS141" s="139">
        <v>0.105261498981944</v>
      </c>
      <c r="AT141" s="141">
        <v>0.166666666666667</v>
      </c>
      <c r="AU141" s="141">
        <v>0</v>
      </c>
      <c r="AV141" s="141">
        <v>0.12</v>
      </c>
      <c r="AW141" s="141">
        <v>0.117493472584856</v>
      </c>
      <c r="AX141" s="95"/>
      <c r="AY141" s="93"/>
    </row>
    <row r="142" ht="14.5" spans="1:51">
      <c r="A142" s="91"/>
      <c r="B142" s="95"/>
      <c r="C142" s="152" t="s">
        <v>99</v>
      </c>
      <c r="D142" s="153" t="s">
        <v>81</v>
      </c>
      <c r="E142" s="130" t="s">
        <v>100</v>
      </c>
      <c r="F142" s="154" t="s">
        <v>164</v>
      </c>
      <c r="G142" s="154" t="s">
        <v>164</v>
      </c>
      <c r="H142" s="154" t="s">
        <v>164</v>
      </c>
      <c r="I142" s="154" t="s">
        <v>164</v>
      </c>
      <c r="J142" s="132">
        <v>0.9</v>
      </c>
      <c r="K142" s="133">
        <v>0.988888888888889</v>
      </c>
      <c r="L142" s="133">
        <v>0.976470588235294</v>
      </c>
      <c r="M142" s="134">
        <v>0.965909090909091</v>
      </c>
      <c r="N142" s="133">
        <v>0.911184210526316</v>
      </c>
      <c r="O142" s="135">
        <v>0.9</v>
      </c>
      <c r="P142" s="133">
        <v>0.908160587772238</v>
      </c>
      <c r="Q142" s="133">
        <v>0.925212248402175</v>
      </c>
      <c r="R142" s="133">
        <v>0.955662909286098</v>
      </c>
      <c r="S142" s="133">
        <v>0.947436556555564</v>
      </c>
      <c r="T142" s="135">
        <v>0.9</v>
      </c>
      <c r="U142" s="133">
        <v>0.885725531356599</v>
      </c>
      <c r="V142" s="133">
        <v>0.936277783077363</v>
      </c>
      <c r="W142" s="133">
        <v>0.925925925925926</v>
      </c>
      <c r="X142" s="133">
        <v>0.932799811698246</v>
      </c>
      <c r="Y142" s="135">
        <v>0.92</v>
      </c>
      <c r="Z142" s="135">
        <v>0.371811500216169</v>
      </c>
      <c r="AA142" s="135">
        <v>0.933966244725738</v>
      </c>
      <c r="AB142" s="135">
        <v>0.937394247038917</v>
      </c>
      <c r="AC142" s="135">
        <v>0.932419242389031</v>
      </c>
      <c r="AD142" s="135">
        <v>0.92</v>
      </c>
      <c r="AE142" s="133">
        <v>0.995195305336512</v>
      </c>
      <c r="AF142" s="133">
        <v>0.989113940753447</v>
      </c>
      <c r="AG142" s="133">
        <v>0.98616259251755</v>
      </c>
      <c r="AH142" s="133">
        <v>0.961214701256411</v>
      </c>
      <c r="AI142" s="135">
        <v>0.92</v>
      </c>
      <c r="AJ142" s="133">
        <v>0.796518063801952</v>
      </c>
      <c r="AK142" s="133">
        <v>0.963091876272411</v>
      </c>
      <c r="AL142" s="133">
        <v>0.966728154676505</v>
      </c>
      <c r="AM142" s="133">
        <v>0.966328212087433</v>
      </c>
      <c r="AN142" s="132">
        <v>0.99</v>
      </c>
      <c r="AO142" s="137">
        <v>1</v>
      </c>
      <c r="AP142" s="137">
        <v>1</v>
      </c>
      <c r="AQ142" s="137">
        <v>1</v>
      </c>
      <c r="AR142" s="137">
        <v>1</v>
      </c>
      <c r="AS142" s="139">
        <v>0.105261498981944</v>
      </c>
      <c r="AT142" s="141">
        <v>0</v>
      </c>
      <c r="AU142" s="141">
        <v>0</v>
      </c>
      <c r="AV142" s="141">
        <v>0.130434782608696</v>
      </c>
      <c r="AW142" s="141">
        <v>0.109154929577465</v>
      </c>
      <c r="AX142" s="95"/>
      <c r="AY142" s="93"/>
    </row>
    <row r="143" ht="14.5" spans="1:51">
      <c r="A143" s="91"/>
      <c r="B143" s="95"/>
      <c r="C143" s="152" t="s">
        <v>99</v>
      </c>
      <c r="D143" s="153" t="s">
        <v>25</v>
      </c>
      <c r="E143" s="130" t="s">
        <v>100</v>
      </c>
      <c r="F143" s="154" t="s">
        <v>165</v>
      </c>
      <c r="G143" s="154" t="s">
        <v>165</v>
      </c>
      <c r="H143" s="154" t="s">
        <v>165</v>
      </c>
      <c r="I143" s="154" t="s">
        <v>165</v>
      </c>
      <c r="J143" s="132">
        <v>0.9</v>
      </c>
      <c r="K143" s="133">
        <v>1</v>
      </c>
      <c r="L143" s="133">
        <v>1</v>
      </c>
      <c r="M143" s="134">
        <v>1</v>
      </c>
      <c r="N143" s="133">
        <v>0.998219584569733</v>
      </c>
      <c r="O143" s="135">
        <v>0.9</v>
      </c>
      <c r="P143" s="133">
        <v>0.973944703606781</v>
      </c>
      <c r="Q143" s="133">
        <v>0.98277768999842</v>
      </c>
      <c r="R143" s="133">
        <v>0.984903934126258</v>
      </c>
      <c r="S143" s="133">
        <v>0.973813032170017</v>
      </c>
      <c r="T143" s="135">
        <v>0.9</v>
      </c>
      <c r="U143" s="133">
        <v>0.958243258618728</v>
      </c>
      <c r="V143" s="133">
        <v>0.97614157054827</v>
      </c>
      <c r="W143" s="133">
        <v>0.98252516010979</v>
      </c>
      <c r="X143" s="133">
        <v>0.967098171461347</v>
      </c>
      <c r="Y143" s="135">
        <v>0.92</v>
      </c>
      <c r="Z143" s="135">
        <v>0.907475943745374</v>
      </c>
      <c r="AA143" s="135">
        <v>0.957668711656442</v>
      </c>
      <c r="AB143" s="135">
        <v>0.954394998161089</v>
      </c>
      <c r="AC143" s="135">
        <v>0.949001426533523</v>
      </c>
      <c r="AD143" s="135">
        <v>0.92</v>
      </c>
      <c r="AE143" s="133">
        <v>0.995647271087055</v>
      </c>
      <c r="AF143" s="133">
        <v>0.989602379116643</v>
      </c>
      <c r="AG143" s="133">
        <v>0.976542656506798</v>
      </c>
      <c r="AH143" s="133">
        <v>0.978588633252606</v>
      </c>
      <c r="AI143" s="135">
        <v>0.92</v>
      </c>
      <c r="AJ143" s="133">
        <v>0.964518653795982</v>
      </c>
      <c r="AK143" s="133">
        <v>0.979661596308323</v>
      </c>
      <c r="AL143" s="133">
        <v>0.98082208514017</v>
      </c>
      <c r="AM143" s="133">
        <v>0.977650452680648</v>
      </c>
      <c r="AN143" s="132">
        <v>0.99</v>
      </c>
      <c r="AO143" s="137">
        <v>1</v>
      </c>
      <c r="AP143" s="137">
        <v>1</v>
      </c>
      <c r="AQ143" s="137">
        <v>1</v>
      </c>
      <c r="AR143" s="137">
        <v>1</v>
      </c>
      <c r="AS143" s="139">
        <v>0.105261498981944</v>
      </c>
      <c r="AT143" s="141">
        <v>0</v>
      </c>
      <c r="AU143" s="141">
        <v>0</v>
      </c>
      <c r="AV143" s="141">
        <v>0</v>
      </c>
      <c r="AW143" s="141">
        <v>0.047887323943662</v>
      </c>
      <c r="AX143" s="95"/>
      <c r="AY143" s="93"/>
    </row>
    <row r="144" ht="14.5" spans="1:51">
      <c r="A144" s="91"/>
      <c r="B144" s="95"/>
      <c r="C144" s="152" t="s">
        <v>99</v>
      </c>
      <c r="D144" s="153" t="s">
        <v>25</v>
      </c>
      <c r="E144" s="130" t="s">
        <v>100</v>
      </c>
      <c r="F144" s="154" t="s">
        <v>166</v>
      </c>
      <c r="G144" s="154" t="s">
        <v>166</v>
      </c>
      <c r="H144" s="154" t="s">
        <v>166</v>
      </c>
      <c r="I144" s="154" t="s">
        <v>166</v>
      </c>
      <c r="J144" s="132">
        <v>0.9</v>
      </c>
      <c r="K144" s="133">
        <v>1</v>
      </c>
      <c r="L144" s="133">
        <v>1</v>
      </c>
      <c r="M144" s="134">
        <v>1</v>
      </c>
      <c r="N144" s="133">
        <v>0.998766954377312</v>
      </c>
      <c r="O144" s="135">
        <v>0.9</v>
      </c>
      <c r="P144" s="133">
        <v>0.980424593327819</v>
      </c>
      <c r="Q144" s="133">
        <v>0.968180946904351</v>
      </c>
      <c r="R144" s="133">
        <v>0.978191731031349</v>
      </c>
      <c r="S144" s="133">
        <v>0.970840760344523</v>
      </c>
      <c r="T144" s="135">
        <v>0.9</v>
      </c>
      <c r="U144" s="133">
        <v>0.920595533498759</v>
      </c>
      <c r="V144" s="133">
        <v>0.949204523672609</v>
      </c>
      <c r="W144" s="133">
        <v>0.968196274420718</v>
      </c>
      <c r="X144" s="133">
        <v>0.962091627774074</v>
      </c>
      <c r="Y144" s="135">
        <v>0.92</v>
      </c>
      <c r="Z144" s="135">
        <v>0.95233892321271</v>
      </c>
      <c r="AA144" s="135">
        <v>0.959982014388489</v>
      </c>
      <c r="AB144" s="135">
        <v>0.966251506629168</v>
      </c>
      <c r="AC144" s="135">
        <v>0.964193247721624</v>
      </c>
      <c r="AD144" s="135">
        <v>0.92</v>
      </c>
      <c r="AE144" s="133">
        <v>0.997069413045299</v>
      </c>
      <c r="AF144" s="133">
        <v>0.993955978584176</v>
      </c>
      <c r="AG144" s="133">
        <v>0.988971627863135</v>
      </c>
      <c r="AH144" s="133">
        <v>0.979520893254287</v>
      </c>
      <c r="AI144" s="135">
        <v>0.92</v>
      </c>
      <c r="AJ144" s="133">
        <v>0.966834592779177</v>
      </c>
      <c r="AK144" s="133">
        <v>0.98186215235792</v>
      </c>
      <c r="AL144" s="133">
        <v>0.982743619489559</v>
      </c>
      <c r="AM144" s="133">
        <v>0.982623968047358</v>
      </c>
      <c r="AN144" s="132">
        <v>0.99</v>
      </c>
      <c r="AO144" s="137">
        <v>1</v>
      </c>
      <c r="AP144" s="137">
        <v>1</v>
      </c>
      <c r="AQ144" s="137">
        <v>1</v>
      </c>
      <c r="AR144" s="137">
        <v>1</v>
      </c>
      <c r="AS144" s="139">
        <v>0.105261498981944</v>
      </c>
      <c r="AT144" s="141">
        <v>0</v>
      </c>
      <c r="AU144" s="141">
        <v>0.1</v>
      </c>
      <c r="AV144" s="141">
        <v>0</v>
      </c>
      <c r="AW144" s="141">
        <v>0.115942028985507</v>
      </c>
      <c r="AX144" s="95"/>
      <c r="AY144" s="93"/>
    </row>
    <row r="145" ht="14.5" spans="1:51">
      <c r="A145" s="91"/>
      <c r="B145" s="95"/>
      <c r="C145" s="152" t="s">
        <v>99</v>
      </c>
      <c r="D145" s="153" t="s">
        <v>25</v>
      </c>
      <c r="E145" s="130" t="s">
        <v>100</v>
      </c>
      <c r="F145" s="154" t="s">
        <v>167</v>
      </c>
      <c r="G145" s="154" t="s">
        <v>167</v>
      </c>
      <c r="H145" s="154" t="s">
        <v>167</v>
      </c>
      <c r="I145" s="154" t="s">
        <v>167</v>
      </c>
      <c r="J145" s="132">
        <v>0.9</v>
      </c>
      <c r="K145" s="133">
        <v>0.898148148148148</v>
      </c>
      <c r="L145" s="133">
        <v>0.933333333333333</v>
      </c>
      <c r="M145" s="134">
        <v>0.913461538461538</v>
      </c>
      <c r="N145" s="133">
        <v>0.923076923076923</v>
      </c>
      <c r="O145" s="135">
        <v>0.9</v>
      </c>
      <c r="P145" s="133">
        <v>0.960042577581266</v>
      </c>
      <c r="Q145" s="133">
        <v>0.941938255692629</v>
      </c>
      <c r="R145" s="133">
        <v>0.948460362524569</v>
      </c>
      <c r="S145" s="133">
        <v>0.896560478368687</v>
      </c>
      <c r="T145" s="135">
        <v>0.9</v>
      </c>
      <c r="U145" s="133">
        <v>0.898468844673708</v>
      </c>
      <c r="V145" s="133">
        <v>0.921377278585896</v>
      </c>
      <c r="W145" s="133">
        <v>0.919123534978525</v>
      </c>
      <c r="X145" s="133">
        <v>0.886455438542408</v>
      </c>
      <c r="Y145" s="135">
        <v>0.92</v>
      </c>
      <c r="Z145" s="135">
        <v>0.508716776221778</v>
      </c>
      <c r="AA145" s="135">
        <v>0.933100929614874</v>
      </c>
      <c r="AB145" s="135">
        <v>0.948059791635211</v>
      </c>
      <c r="AC145" s="135">
        <v>0.927387553295834</v>
      </c>
      <c r="AD145" s="135">
        <v>0.92</v>
      </c>
      <c r="AE145" s="133">
        <v>0.934010152284264</v>
      </c>
      <c r="AF145" s="133">
        <v>0.996628070456182</v>
      </c>
      <c r="AG145" s="133">
        <v>0.997442519791027</v>
      </c>
      <c r="AH145" s="133">
        <v>0.98505266787871</v>
      </c>
      <c r="AI145" s="135">
        <v>0.92</v>
      </c>
      <c r="AJ145" s="133">
        <v>0.838732259912175</v>
      </c>
      <c r="AK145" s="133">
        <v>0.963250123246538</v>
      </c>
      <c r="AL145" s="133">
        <v>0.973238399214338</v>
      </c>
      <c r="AM145" s="133">
        <v>0.958078041354181</v>
      </c>
      <c r="AN145" s="132">
        <v>0.99</v>
      </c>
      <c r="AO145" s="137">
        <v>1</v>
      </c>
      <c r="AP145" s="137">
        <v>1</v>
      </c>
      <c r="AQ145" s="137">
        <v>1</v>
      </c>
      <c r="AR145" s="137">
        <v>1</v>
      </c>
      <c r="AS145" s="139">
        <v>0.105261498981944</v>
      </c>
      <c r="AT145" s="141">
        <v>0.0714285714285714</v>
      </c>
      <c r="AU145" s="141">
        <v>0.129032258064516</v>
      </c>
      <c r="AV145" s="141">
        <v>0</v>
      </c>
      <c r="AW145" s="141">
        <v>0.0741573033707865</v>
      </c>
      <c r="AX145" s="95"/>
      <c r="AY145" s="93"/>
    </row>
    <row r="146" ht="14.5" spans="1:51">
      <c r="A146" s="91"/>
      <c r="B146" s="95"/>
      <c r="C146" s="152" t="s">
        <v>99</v>
      </c>
      <c r="D146" s="153" t="s">
        <v>25</v>
      </c>
      <c r="E146" s="130" t="s">
        <v>100</v>
      </c>
      <c r="F146" s="154" t="s">
        <v>168</v>
      </c>
      <c r="G146" s="154" t="s">
        <v>168</v>
      </c>
      <c r="H146" s="154" t="s">
        <v>168</v>
      </c>
      <c r="I146" s="154" t="s">
        <v>168</v>
      </c>
      <c r="J146" s="132">
        <v>0.9</v>
      </c>
      <c r="K146" s="133">
        <v>0.900990099009901</v>
      </c>
      <c r="L146" s="133">
        <v>0.89</v>
      </c>
      <c r="M146" s="134">
        <v>0.925925925925926</v>
      </c>
      <c r="N146" s="133">
        <v>0.930066079295154</v>
      </c>
      <c r="O146" s="135">
        <v>0.9</v>
      </c>
      <c r="P146" s="133">
        <v>0.973219068023567</v>
      </c>
      <c r="Q146" s="133">
        <v>0.965341614906832</v>
      </c>
      <c r="R146" s="133">
        <v>0.976513865308432</v>
      </c>
      <c r="S146" s="133">
        <v>0.976019556866245</v>
      </c>
      <c r="T146" s="135">
        <v>0.9</v>
      </c>
      <c r="U146" s="133">
        <v>0.903053026245313</v>
      </c>
      <c r="V146" s="133">
        <v>0.926708074534161</v>
      </c>
      <c r="W146" s="133">
        <v>0.943972835314092</v>
      </c>
      <c r="X146" s="133">
        <v>0.938698537115362</v>
      </c>
      <c r="Y146" s="135">
        <v>0.92</v>
      </c>
      <c r="Z146" s="135">
        <v>0.120496894409938</v>
      </c>
      <c r="AA146" s="135">
        <v>0.930262815508717</v>
      </c>
      <c r="AB146" s="135">
        <v>0.946251129177958</v>
      </c>
      <c r="AC146" s="135">
        <v>0.931810140707073</v>
      </c>
      <c r="AD146" s="135">
        <v>0.92</v>
      </c>
      <c r="AE146" s="133">
        <v>0.988449988449988</v>
      </c>
      <c r="AF146" s="133">
        <v>0.944774754173336</v>
      </c>
      <c r="AG146" s="133">
        <v>0.992003998000999</v>
      </c>
      <c r="AH146" s="133">
        <v>0.977732441792189</v>
      </c>
      <c r="AI146" s="135">
        <v>0.92</v>
      </c>
      <c r="AJ146" s="133">
        <v>0.737943458980044</v>
      </c>
      <c r="AK146" s="133">
        <v>0.961745417857743</v>
      </c>
      <c r="AL146" s="133">
        <v>0.971470818474385</v>
      </c>
      <c r="AM146" s="133">
        <v>0.965435283188552</v>
      </c>
      <c r="AN146" s="132">
        <v>0.99</v>
      </c>
      <c r="AO146" s="137">
        <v>1</v>
      </c>
      <c r="AP146" s="137">
        <v>1</v>
      </c>
      <c r="AQ146" s="137">
        <v>1</v>
      </c>
      <c r="AR146" s="137">
        <v>1</v>
      </c>
      <c r="AS146" s="139">
        <v>0.105261498981944</v>
      </c>
      <c r="AT146" s="141">
        <v>0</v>
      </c>
      <c r="AU146" s="141">
        <v>0.25</v>
      </c>
      <c r="AV146" s="141">
        <v>0.210526315789474</v>
      </c>
      <c r="AW146" s="141">
        <v>0.143410852713178</v>
      </c>
      <c r="AX146" s="95"/>
      <c r="AY146" s="93"/>
    </row>
    <row r="147" ht="14.5" spans="1:51">
      <c r="A147" s="91"/>
      <c r="B147" s="95"/>
      <c r="C147" s="152" t="s">
        <v>99</v>
      </c>
      <c r="D147" s="153" t="s">
        <v>25</v>
      </c>
      <c r="E147" s="130" t="s">
        <v>100</v>
      </c>
      <c r="F147" s="154" t="s">
        <v>169</v>
      </c>
      <c r="G147" s="154" t="s">
        <v>169</v>
      </c>
      <c r="H147" s="154" t="s">
        <v>169</v>
      </c>
      <c r="I147" s="154" t="s">
        <v>169</v>
      </c>
      <c r="J147" s="132">
        <v>0.9</v>
      </c>
      <c r="K147" s="133">
        <v>0.976470588235294</v>
      </c>
      <c r="L147" s="133">
        <v>0.901234567901235</v>
      </c>
      <c r="M147" s="134">
        <v>0.928571428571429</v>
      </c>
      <c r="N147" s="133">
        <v>0.95850622406639</v>
      </c>
      <c r="O147" s="135">
        <v>0.9</v>
      </c>
      <c r="P147" s="133">
        <v>0.988297110102699</v>
      </c>
      <c r="Q147" s="133">
        <v>0.981386072793751</v>
      </c>
      <c r="R147" s="133">
        <v>0.988151213090088</v>
      </c>
      <c r="S147" s="133">
        <v>0.977784402820898</v>
      </c>
      <c r="T147" s="135">
        <v>0.9</v>
      </c>
      <c r="U147" s="133">
        <v>0.871984714592787</v>
      </c>
      <c r="V147" s="133">
        <v>0.942994847930863</v>
      </c>
      <c r="W147" s="133">
        <v>0.948655256723716</v>
      </c>
      <c r="X147" s="133">
        <v>0.945905380677262</v>
      </c>
      <c r="Y147" s="135">
        <v>0.92</v>
      </c>
      <c r="Z147" s="135">
        <v>0.919354838709677</v>
      </c>
      <c r="AA147" s="135">
        <v>0.936805335026993</v>
      </c>
      <c r="AB147" s="135">
        <v>0.936221419975933</v>
      </c>
      <c r="AC147" s="135">
        <v>0.949557230679157</v>
      </c>
      <c r="AD147" s="135">
        <v>0.92</v>
      </c>
      <c r="AE147" s="133">
        <v>0.972965199884958</v>
      </c>
      <c r="AF147" s="133">
        <v>0.991816123977015</v>
      </c>
      <c r="AG147" s="133">
        <v>0.983258830747655</v>
      </c>
      <c r="AH147" s="133">
        <v>0.954917344816261</v>
      </c>
      <c r="AI147" s="135">
        <v>0.92</v>
      </c>
      <c r="AJ147" s="133">
        <v>0.908395176252319</v>
      </c>
      <c r="AK147" s="133">
        <v>0.969022687609075</v>
      </c>
      <c r="AL147" s="133">
        <v>0.967252950705855</v>
      </c>
      <c r="AM147" s="133">
        <v>0.973736336775051</v>
      </c>
      <c r="AN147" s="132">
        <v>0.99</v>
      </c>
      <c r="AO147" s="137">
        <v>1</v>
      </c>
      <c r="AP147" s="137">
        <v>1</v>
      </c>
      <c r="AQ147" s="137">
        <v>1</v>
      </c>
      <c r="AR147" s="137">
        <v>1</v>
      </c>
      <c r="AS147" s="139">
        <v>0.105261498981944</v>
      </c>
      <c r="AT147" s="141">
        <v>0.2</v>
      </c>
      <c r="AU147" s="141">
        <v>0.0476190476190476</v>
      </c>
      <c r="AV147" s="141">
        <v>0.0952380952380952</v>
      </c>
      <c r="AW147" s="141">
        <v>0.133333333333333</v>
      </c>
      <c r="AX147" s="95"/>
      <c r="AY147" s="93"/>
    </row>
    <row r="148" ht="14.5" spans="1:51">
      <c r="A148" s="91"/>
      <c r="B148" s="95"/>
      <c r="C148" s="152" t="s">
        <v>99</v>
      </c>
      <c r="D148" s="153" t="s">
        <v>25</v>
      </c>
      <c r="E148" s="130" t="s">
        <v>100</v>
      </c>
      <c r="F148" s="154" t="s">
        <v>170</v>
      </c>
      <c r="G148" s="154" t="s">
        <v>170</v>
      </c>
      <c r="H148" s="154" t="s">
        <v>170</v>
      </c>
      <c r="I148" s="154" t="s">
        <v>170</v>
      </c>
      <c r="J148" s="132">
        <v>0.9</v>
      </c>
      <c r="K148" s="133">
        <v>1</v>
      </c>
      <c r="L148" s="133">
        <v>1</v>
      </c>
      <c r="M148" s="134">
        <v>1</v>
      </c>
      <c r="N148" s="133">
        <v>0.995956873315364</v>
      </c>
      <c r="O148" s="135">
        <v>0.9</v>
      </c>
      <c r="P148" s="133">
        <v>0.9519549370444</v>
      </c>
      <c r="Q148" s="133">
        <v>0.950364298724954</v>
      </c>
      <c r="R148" s="133">
        <v>0.955773955773956</v>
      </c>
      <c r="S148" s="133">
        <v>0.948184131390238</v>
      </c>
      <c r="T148" s="135">
        <v>0.9</v>
      </c>
      <c r="U148" s="133">
        <v>0.89297548045063</v>
      </c>
      <c r="V148" s="133">
        <v>0.913251366120219</v>
      </c>
      <c r="W148" s="133">
        <v>0.956019656019656</v>
      </c>
      <c r="X148" s="133">
        <v>0.920793022274836</v>
      </c>
      <c r="Y148" s="135">
        <v>0.92</v>
      </c>
      <c r="Z148" s="135">
        <v>1</v>
      </c>
      <c r="AA148" s="135">
        <v>0.934210526315789</v>
      </c>
      <c r="AB148" s="135">
        <v>0.949829931972789</v>
      </c>
      <c r="AC148" s="135">
        <v>0.954255319148936</v>
      </c>
      <c r="AD148" s="135">
        <v>0.92</v>
      </c>
      <c r="AE148" s="133">
        <v>0.992387543252595</v>
      </c>
      <c r="AF148" s="133">
        <v>0.989408840376094</v>
      </c>
      <c r="AG148" s="133">
        <v>0.982452539763982</v>
      </c>
      <c r="AH148" s="133">
        <v>0.962387641046346</v>
      </c>
      <c r="AI148" s="135">
        <v>0.92</v>
      </c>
      <c r="AJ148" s="133">
        <v>0.929434202161475</v>
      </c>
      <c r="AK148" s="133">
        <v>0.96104903786468</v>
      </c>
      <c r="AL148" s="133">
        <v>0.974466760080959</v>
      </c>
      <c r="AM148" s="133">
        <v>0.974924765445212</v>
      </c>
      <c r="AN148" s="132">
        <v>0.99</v>
      </c>
      <c r="AO148" s="137">
        <v>1</v>
      </c>
      <c r="AP148" s="137">
        <v>1</v>
      </c>
      <c r="AQ148" s="137">
        <v>1</v>
      </c>
      <c r="AR148" s="137">
        <v>1</v>
      </c>
      <c r="AS148" s="139">
        <v>0.105261498981944</v>
      </c>
      <c r="AT148" s="141">
        <v>0</v>
      </c>
      <c r="AU148" s="141">
        <v>0.214285714285714</v>
      </c>
      <c r="AV148" s="141">
        <v>0</v>
      </c>
      <c r="AW148" s="141">
        <v>0.0922330097087379</v>
      </c>
      <c r="AX148" s="95"/>
      <c r="AY148" s="93"/>
    </row>
    <row r="149" ht="14.5" spans="1:51">
      <c r="A149" s="91"/>
      <c r="B149" s="95"/>
      <c r="C149" s="152" t="s">
        <v>99</v>
      </c>
      <c r="D149" s="153" t="s">
        <v>25</v>
      </c>
      <c r="E149" s="130" t="s">
        <v>100</v>
      </c>
      <c r="F149" s="154" t="s">
        <v>171</v>
      </c>
      <c r="G149" s="154" t="s">
        <v>171</v>
      </c>
      <c r="H149" s="154" t="s">
        <v>171</v>
      </c>
      <c r="I149" s="154" t="s">
        <v>171</v>
      </c>
      <c r="J149" s="132">
        <v>0.9</v>
      </c>
      <c r="K149" s="133">
        <v>0.968253968253968</v>
      </c>
      <c r="L149" s="133">
        <v>0.930555555555556</v>
      </c>
      <c r="M149" s="134">
        <v>0.98780487804878</v>
      </c>
      <c r="N149" s="133">
        <v>0.972673559822747</v>
      </c>
      <c r="O149" s="135">
        <v>0.9</v>
      </c>
      <c r="P149" s="133">
        <v>0.903900709219858</v>
      </c>
      <c r="Q149" s="133">
        <v>0.899480519480519</v>
      </c>
      <c r="R149" s="133">
        <v>0.931053502482074</v>
      </c>
      <c r="S149" s="133">
        <v>0.921362543759175</v>
      </c>
      <c r="T149" s="135">
        <v>0.9</v>
      </c>
      <c r="U149" s="133">
        <v>0.855141843971631</v>
      </c>
      <c r="V149" s="133">
        <v>0.858181818181818</v>
      </c>
      <c r="W149" s="133">
        <v>0.918367346938776</v>
      </c>
      <c r="X149" s="133">
        <v>0.88917837611112</v>
      </c>
      <c r="Y149" s="135">
        <v>0.92</v>
      </c>
      <c r="Z149" s="135">
        <v>0.878172588832487</v>
      </c>
      <c r="AA149" s="135">
        <v>0.829642248722317</v>
      </c>
      <c r="AB149" s="135">
        <v>0.919566898685228</v>
      </c>
      <c r="AC149" s="135">
        <v>0.912044654252456</v>
      </c>
      <c r="AD149" s="135">
        <v>0.92</v>
      </c>
      <c r="AE149" s="133">
        <v>0.997759321223709</v>
      </c>
      <c r="AF149" s="133">
        <v>0.989288154668596</v>
      </c>
      <c r="AG149" s="133">
        <v>0.967012112303943</v>
      </c>
      <c r="AH149" s="133">
        <v>0.988054403913264</v>
      </c>
      <c r="AI149" s="135">
        <v>0.92</v>
      </c>
      <c r="AJ149" s="133">
        <v>0.91566265060241</v>
      </c>
      <c r="AK149" s="133">
        <v>0.89365871036694</v>
      </c>
      <c r="AL149" s="133">
        <v>0.954022988505747</v>
      </c>
      <c r="AM149" s="133">
        <v>0.949510444382144</v>
      </c>
      <c r="AN149" s="132">
        <v>0.99</v>
      </c>
      <c r="AO149" s="137">
        <v>1</v>
      </c>
      <c r="AP149" s="137">
        <v>1</v>
      </c>
      <c r="AQ149" s="137">
        <v>1</v>
      </c>
      <c r="AR149" s="137">
        <v>1</v>
      </c>
      <c r="AS149" s="139">
        <v>0.105261498981944</v>
      </c>
      <c r="AT149" s="141">
        <v>0.117647058823529</v>
      </c>
      <c r="AU149" s="141">
        <v>0.0714285714285714</v>
      </c>
      <c r="AV149" s="141">
        <v>0.0625</v>
      </c>
      <c r="AW149" s="141">
        <v>0.0921052631578947</v>
      </c>
      <c r="AX149" s="95"/>
      <c r="AY149" s="93"/>
    </row>
    <row r="150" ht="14.5" spans="1:51">
      <c r="A150" s="91"/>
      <c r="B150" s="95"/>
      <c r="C150" s="152" t="s">
        <v>99</v>
      </c>
      <c r="D150" s="153" t="s">
        <v>25</v>
      </c>
      <c r="E150" s="130" t="s">
        <v>100</v>
      </c>
      <c r="F150" s="154" t="s">
        <v>172</v>
      </c>
      <c r="G150" s="154" t="s">
        <v>172</v>
      </c>
      <c r="H150" s="154" t="s">
        <v>172</v>
      </c>
      <c r="I150" s="154" t="s">
        <v>172</v>
      </c>
      <c r="J150" s="132">
        <v>0.9</v>
      </c>
      <c r="K150" s="133">
        <v>0.888888888888889</v>
      </c>
      <c r="L150" s="133">
        <v>0.6</v>
      </c>
      <c r="M150" s="134">
        <v>1</v>
      </c>
      <c r="N150" s="133">
        <v>0.76056338028169</v>
      </c>
      <c r="O150" s="135">
        <v>0.9</v>
      </c>
      <c r="P150" s="133">
        <v>0.92289156626506</v>
      </c>
      <c r="Q150" s="133">
        <v>0.725134408602151</v>
      </c>
      <c r="R150" s="133">
        <v>0.928517682468021</v>
      </c>
      <c r="S150" s="133">
        <v>0.829393939393939</v>
      </c>
      <c r="T150" s="135">
        <v>0.9</v>
      </c>
      <c r="U150" s="133">
        <v>0.79855421686747</v>
      </c>
      <c r="V150" s="133">
        <v>0.757728494623656</v>
      </c>
      <c r="W150" s="133">
        <v>0.826185101580135</v>
      </c>
      <c r="X150" s="133">
        <v>0.778484848484848</v>
      </c>
      <c r="Y150" s="135">
        <v>0.92</v>
      </c>
      <c r="Z150" s="135">
        <v>0.903430749682338</v>
      </c>
      <c r="AA150" s="135">
        <v>0.893830703012912</v>
      </c>
      <c r="AB150" s="135">
        <v>0.953090096798213</v>
      </c>
      <c r="AC150" s="135">
        <v>0.938869430642665</v>
      </c>
      <c r="AD150" s="135">
        <v>0.92</v>
      </c>
      <c r="AE150" s="133">
        <v>0.981739988719684</v>
      </c>
      <c r="AF150" s="133">
        <v>0.985878451775199</v>
      </c>
      <c r="AG150" s="133">
        <v>0.992033443760846</v>
      </c>
      <c r="AH150" s="133">
        <v>0.980582611046684</v>
      </c>
      <c r="AI150" s="135">
        <v>0.92</v>
      </c>
      <c r="AJ150" s="133">
        <v>0.922808243101642</v>
      </c>
      <c r="AK150" s="133">
        <v>0.917372396429389</v>
      </c>
      <c r="AL150" s="133">
        <v>0.959040959040959</v>
      </c>
      <c r="AM150" s="133">
        <v>0.952009496354078</v>
      </c>
      <c r="AN150" s="132">
        <v>0.99</v>
      </c>
      <c r="AO150" s="137">
        <v>1</v>
      </c>
      <c r="AP150" s="137">
        <v>1</v>
      </c>
      <c r="AQ150" s="137">
        <v>1</v>
      </c>
      <c r="AR150" s="137">
        <v>1</v>
      </c>
      <c r="AS150" s="139">
        <v>0.105261498981944</v>
      </c>
      <c r="AT150" s="141">
        <v>0.1</v>
      </c>
      <c r="AU150" s="141">
        <v>0</v>
      </c>
      <c r="AV150" s="141">
        <v>0</v>
      </c>
      <c r="AW150" s="141">
        <v>0.0765765765765766</v>
      </c>
      <c r="AX150" s="95"/>
      <c r="AY150" s="93"/>
    </row>
    <row r="151" ht="14.5" spans="1:51">
      <c r="A151" s="91"/>
      <c r="B151" s="95"/>
      <c r="C151" s="152" t="s">
        <v>99</v>
      </c>
      <c r="D151" s="153" t="s">
        <v>25</v>
      </c>
      <c r="E151" s="130" t="s">
        <v>100</v>
      </c>
      <c r="F151" s="154" t="s">
        <v>173</v>
      </c>
      <c r="G151" s="154" t="s">
        <v>173</v>
      </c>
      <c r="H151" s="154" t="s">
        <v>173</v>
      </c>
      <c r="I151" s="154" t="s">
        <v>173</v>
      </c>
      <c r="J151" s="132">
        <v>0.9</v>
      </c>
      <c r="K151" s="133">
        <v>1</v>
      </c>
      <c r="L151" s="133">
        <v>0.982456140350877</v>
      </c>
      <c r="M151" s="134">
        <v>1</v>
      </c>
      <c r="N151" s="133">
        <v>0.995446265938069</v>
      </c>
      <c r="O151" s="135">
        <v>0.9</v>
      </c>
      <c r="P151" s="133">
        <v>0.857729382363442</v>
      </c>
      <c r="Q151" s="133">
        <v>0.98814025438295</v>
      </c>
      <c r="R151" s="133">
        <v>0.967052537845058</v>
      </c>
      <c r="S151" s="133">
        <v>0.961950209075422</v>
      </c>
      <c r="T151" s="135">
        <v>0.9</v>
      </c>
      <c r="U151" s="133">
        <v>0.887361656551232</v>
      </c>
      <c r="V151" s="133">
        <v>0.983671364730148</v>
      </c>
      <c r="W151" s="133">
        <v>0.945681211041852</v>
      </c>
      <c r="X151" s="133">
        <v>0.930608254607403</v>
      </c>
      <c r="Y151" s="135">
        <v>0.92</v>
      </c>
      <c r="Z151" s="135">
        <v>0.462251655629139</v>
      </c>
      <c r="AA151" s="135">
        <v>0.976612599019238</v>
      </c>
      <c r="AB151" s="135">
        <v>0.902727571475518</v>
      </c>
      <c r="AC151" s="135">
        <v>0.91718890741486</v>
      </c>
      <c r="AD151" s="135">
        <v>0.92</v>
      </c>
      <c r="AE151" s="133">
        <v>0.936115326251897</v>
      </c>
      <c r="AF151" s="133">
        <v>0.993087725255269</v>
      </c>
      <c r="AG151" s="133">
        <v>0.994745336486131</v>
      </c>
      <c r="AH151" s="133">
        <v>0.988822768545577</v>
      </c>
      <c r="AI151" s="135">
        <v>0.92</v>
      </c>
      <c r="AJ151" s="133">
        <v>0.807789651293588</v>
      </c>
      <c r="AK151" s="133">
        <v>0.991736512808405</v>
      </c>
      <c r="AL151" s="133">
        <v>0.957274826789838</v>
      </c>
      <c r="AM151" s="133">
        <v>0.95775010126859</v>
      </c>
      <c r="AN151" s="132">
        <v>0.99</v>
      </c>
      <c r="AO151" s="137">
        <v>1</v>
      </c>
      <c r="AP151" s="137">
        <v>1</v>
      </c>
      <c r="AQ151" s="137">
        <v>1</v>
      </c>
      <c r="AR151" s="137">
        <v>1</v>
      </c>
      <c r="AS151" s="139">
        <v>0.105261498981944</v>
      </c>
      <c r="AT151" s="141">
        <v>0.0526315789473684</v>
      </c>
      <c r="AU151" s="141">
        <v>0.0384615384615385</v>
      </c>
      <c r="AV151" s="141">
        <v>0.05</v>
      </c>
      <c r="AW151" s="141">
        <v>0.0437405731523379</v>
      </c>
      <c r="AX151" s="95"/>
      <c r="AY151" s="93"/>
    </row>
    <row r="152" ht="14.5" spans="1:51">
      <c r="A152" s="91"/>
      <c r="B152" s="95"/>
      <c r="C152" s="152" t="s">
        <v>99</v>
      </c>
      <c r="D152" s="153" t="s">
        <v>25</v>
      </c>
      <c r="E152" s="130" t="s">
        <v>100</v>
      </c>
      <c r="F152" s="154" t="s">
        <v>174</v>
      </c>
      <c r="G152" s="154" t="s">
        <v>174</v>
      </c>
      <c r="H152" s="154" t="s">
        <v>174</v>
      </c>
      <c r="I152" s="154" t="s">
        <v>174</v>
      </c>
      <c r="J152" s="132">
        <v>0.9</v>
      </c>
      <c r="K152" s="133" t="s">
        <v>35</v>
      </c>
      <c r="L152" s="133" t="s">
        <v>35</v>
      </c>
      <c r="M152" s="134" t="s">
        <v>35</v>
      </c>
      <c r="N152" s="133" t="s">
        <v>35</v>
      </c>
      <c r="O152" s="135">
        <v>0.9</v>
      </c>
      <c r="P152" s="133" t="s">
        <v>35</v>
      </c>
      <c r="Q152" s="133" t="s">
        <v>35</v>
      </c>
      <c r="R152" s="133" t="s">
        <v>35</v>
      </c>
      <c r="S152" s="133" t="s">
        <v>35</v>
      </c>
      <c r="T152" s="135">
        <v>0.9</v>
      </c>
      <c r="U152" s="133" t="s">
        <v>35</v>
      </c>
      <c r="V152" s="133" t="s">
        <v>35</v>
      </c>
      <c r="W152" s="133" t="s">
        <v>35</v>
      </c>
      <c r="X152" s="133" t="s">
        <v>35</v>
      </c>
      <c r="Y152" s="135">
        <v>0.92</v>
      </c>
      <c r="Z152" s="135" t="s">
        <v>35</v>
      </c>
      <c r="AA152" s="135" t="s">
        <v>35</v>
      </c>
      <c r="AB152" s="135" t="s">
        <v>35</v>
      </c>
      <c r="AC152" s="135" t="s">
        <v>35</v>
      </c>
      <c r="AD152" s="135">
        <v>0.92</v>
      </c>
      <c r="AE152" s="133" t="s">
        <v>35</v>
      </c>
      <c r="AF152" s="133" t="s">
        <v>35</v>
      </c>
      <c r="AG152" s="133" t="s">
        <v>35</v>
      </c>
      <c r="AH152" s="133" t="s">
        <v>35</v>
      </c>
      <c r="AI152" s="135">
        <v>0.92</v>
      </c>
      <c r="AJ152" s="133" t="s">
        <v>35</v>
      </c>
      <c r="AK152" s="133" t="s">
        <v>35</v>
      </c>
      <c r="AL152" s="133" t="s">
        <v>35</v>
      </c>
      <c r="AM152" s="133" t="s">
        <v>35</v>
      </c>
      <c r="AN152" s="132">
        <v>0.99</v>
      </c>
      <c r="AO152" s="137" t="s">
        <v>35</v>
      </c>
      <c r="AP152" s="137" t="s">
        <v>35</v>
      </c>
      <c r="AQ152" s="137" t="s">
        <v>35</v>
      </c>
      <c r="AR152" s="137" t="s">
        <v>35</v>
      </c>
      <c r="AS152" s="139">
        <v>0.105261498981944</v>
      </c>
      <c r="AT152" s="141" t="s">
        <v>35</v>
      </c>
      <c r="AU152" s="141" t="s">
        <v>35</v>
      </c>
      <c r="AV152" s="141" t="s">
        <v>35</v>
      </c>
      <c r="AW152" s="141" t="s">
        <v>35</v>
      </c>
      <c r="AX152" s="95"/>
      <c r="AY152" s="93"/>
    </row>
    <row r="153" ht="14.5" spans="1:51">
      <c r="A153" s="91"/>
      <c r="B153" s="95"/>
      <c r="C153" s="152" t="s">
        <v>99</v>
      </c>
      <c r="D153" s="153" t="s">
        <v>25</v>
      </c>
      <c r="E153" s="130" t="s">
        <v>100</v>
      </c>
      <c r="F153" s="154" t="s">
        <v>175</v>
      </c>
      <c r="G153" s="154" t="s">
        <v>175</v>
      </c>
      <c r="H153" s="154" t="s">
        <v>175</v>
      </c>
      <c r="I153" s="154" t="s">
        <v>175</v>
      </c>
      <c r="J153" s="132">
        <v>0.9</v>
      </c>
      <c r="K153" s="133">
        <v>0.971428571428571</v>
      </c>
      <c r="L153" s="133">
        <v>1</v>
      </c>
      <c r="M153" s="134">
        <v>1</v>
      </c>
      <c r="N153" s="133">
        <v>0.967994310099573</v>
      </c>
      <c r="O153" s="135">
        <v>0.9</v>
      </c>
      <c r="P153" s="133">
        <v>0.961165048543689</v>
      </c>
      <c r="Q153" s="133">
        <v>0.953097688871626</v>
      </c>
      <c r="R153" s="133">
        <v>0.961303462321792</v>
      </c>
      <c r="S153" s="133">
        <v>0.933047917009715</v>
      </c>
      <c r="T153" s="135">
        <v>0.9</v>
      </c>
      <c r="U153" s="133">
        <v>0.946533570354164</v>
      </c>
      <c r="V153" s="133">
        <v>0.954360069916489</v>
      </c>
      <c r="W153" s="133">
        <v>0.958361620276081</v>
      </c>
      <c r="X153" s="133">
        <v>0.932027004775235</v>
      </c>
      <c r="Y153" s="135">
        <v>0.92</v>
      </c>
      <c r="Z153" s="135">
        <v>0.948425376540392</v>
      </c>
      <c r="AA153" s="135">
        <v>0.962616822429907</v>
      </c>
      <c r="AB153" s="135">
        <v>0.964300892477688</v>
      </c>
      <c r="AC153" s="135">
        <v>0.966907564535384</v>
      </c>
      <c r="AD153" s="135">
        <v>0.92</v>
      </c>
      <c r="AE153" s="133">
        <v>0.994034044632676</v>
      </c>
      <c r="AF153" s="133">
        <v>0.979652366507776</v>
      </c>
      <c r="AG153" s="133">
        <v>0.98962347216042</v>
      </c>
      <c r="AH153" s="133">
        <v>0.98702383194899</v>
      </c>
      <c r="AI153" s="135">
        <v>0.92</v>
      </c>
      <c r="AJ153" s="133">
        <v>0.969814892721918</v>
      </c>
      <c r="AK153" s="133">
        <v>0.982435836340118</v>
      </c>
      <c r="AL153" s="133">
        <v>0.981776597314446</v>
      </c>
      <c r="AM153" s="133">
        <v>0.980802701197438</v>
      </c>
      <c r="AN153" s="132">
        <v>0.99</v>
      </c>
      <c r="AO153" s="137">
        <v>1</v>
      </c>
      <c r="AP153" s="137">
        <v>1</v>
      </c>
      <c r="AQ153" s="137">
        <v>1</v>
      </c>
      <c r="AR153" s="137">
        <v>1</v>
      </c>
      <c r="AS153" s="139">
        <v>0.105261498981944</v>
      </c>
      <c r="AT153" s="141">
        <v>0.0833333333333333</v>
      </c>
      <c r="AU153" s="141">
        <v>0</v>
      </c>
      <c r="AV153" s="141">
        <v>0.129032258064516</v>
      </c>
      <c r="AW153" s="141">
        <v>0.050125313283208</v>
      </c>
      <c r="AX153" s="95"/>
      <c r="AY153" s="93"/>
    </row>
    <row r="154" ht="14.5" spans="1:51">
      <c r="A154" s="91"/>
      <c r="B154" s="95"/>
      <c r="C154" s="152" t="s">
        <v>99</v>
      </c>
      <c r="D154" s="153" t="s">
        <v>25</v>
      </c>
      <c r="E154" s="130" t="s">
        <v>100</v>
      </c>
      <c r="F154" s="154" t="s">
        <v>176</v>
      </c>
      <c r="G154" s="154" t="s">
        <v>176</v>
      </c>
      <c r="H154" s="154" t="s">
        <v>176</v>
      </c>
      <c r="I154" s="154" t="s">
        <v>176</v>
      </c>
      <c r="J154" s="132">
        <v>0.9</v>
      </c>
      <c r="K154" s="133">
        <v>0.981818181818182</v>
      </c>
      <c r="L154" s="133">
        <v>0.984</v>
      </c>
      <c r="M154" s="134">
        <v>0.975206611570248</v>
      </c>
      <c r="N154" s="133">
        <v>0.972262773722628</v>
      </c>
      <c r="O154" s="135">
        <v>0.9</v>
      </c>
      <c r="P154" s="133">
        <v>0.874952453404336</v>
      </c>
      <c r="Q154" s="133">
        <v>0.922184300341297</v>
      </c>
      <c r="R154" s="133">
        <v>0.944656340001557</v>
      </c>
      <c r="S154" s="133">
        <v>0.919355058352512</v>
      </c>
      <c r="T154" s="135">
        <v>0.9</v>
      </c>
      <c r="U154" s="133">
        <v>0.943514644351464</v>
      </c>
      <c r="V154" s="133">
        <v>0.959180887372014</v>
      </c>
      <c r="W154" s="133">
        <v>0.955242469058924</v>
      </c>
      <c r="X154" s="133">
        <v>0.941356973930885</v>
      </c>
      <c r="Y154" s="135">
        <v>0.92</v>
      </c>
      <c r="Z154" s="135">
        <v>0.90391345847916</v>
      </c>
      <c r="AA154" s="135">
        <v>0.94825107810254</v>
      </c>
      <c r="AB154" s="135">
        <v>0.953067571388182</v>
      </c>
      <c r="AC154" s="135">
        <v>0.947353722805279</v>
      </c>
      <c r="AD154" s="135">
        <v>0.92</v>
      </c>
      <c r="AE154" s="133">
        <v>0.948391705602966</v>
      </c>
      <c r="AF154" s="133">
        <v>0.894010941232154</v>
      </c>
      <c r="AG154" s="133">
        <v>0.952536780369299</v>
      </c>
      <c r="AH154" s="133">
        <v>0.929212248149845</v>
      </c>
      <c r="AI154" s="135">
        <v>0.92</v>
      </c>
      <c r="AJ154" s="133">
        <v>0.954429083461341</v>
      </c>
      <c r="AK154" s="133">
        <v>0.974662969691175</v>
      </c>
      <c r="AL154" s="133">
        <v>0.972445292110018</v>
      </c>
      <c r="AM154" s="133">
        <v>0.972651888688389</v>
      </c>
      <c r="AN154" s="132">
        <v>0.99</v>
      </c>
      <c r="AO154" s="137">
        <v>1</v>
      </c>
      <c r="AP154" s="137">
        <v>1</v>
      </c>
      <c r="AQ154" s="137">
        <v>1</v>
      </c>
      <c r="AR154" s="137">
        <v>1</v>
      </c>
      <c r="AS154" s="139">
        <v>0.105261498981944</v>
      </c>
      <c r="AT154" s="141">
        <v>0.0158730158730159</v>
      </c>
      <c r="AU154" s="141">
        <v>0.00699300699300699</v>
      </c>
      <c r="AV154" s="141">
        <v>0.0192307692307692</v>
      </c>
      <c r="AW154" s="141">
        <v>0.0177514792899408</v>
      </c>
      <c r="AX154" s="95"/>
      <c r="AY154" s="93"/>
    </row>
    <row r="155" ht="14.5" spans="1:51">
      <c r="A155" s="91"/>
      <c r="B155" s="95"/>
      <c r="C155" s="152" t="s">
        <v>99</v>
      </c>
      <c r="D155" s="153" t="s">
        <v>25</v>
      </c>
      <c r="E155" s="130" t="s">
        <v>100</v>
      </c>
      <c r="F155" s="154" t="s">
        <v>177</v>
      </c>
      <c r="G155" s="154" t="s">
        <v>177</v>
      </c>
      <c r="H155" s="154" t="s">
        <v>177</v>
      </c>
      <c r="I155" s="154" t="s">
        <v>177</v>
      </c>
      <c r="J155" s="132">
        <v>0.9</v>
      </c>
      <c r="K155" s="133">
        <v>0.949152542372881</v>
      </c>
      <c r="L155" s="133">
        <v>0.953125</v>
      </c>
      <c r="M155" s="134">
        <v>0.966101694915254</v>
      </c>
      <c r="N155" s="133">
        <v>0.953180212014134</v>
      </c>
      <c r="O155" s="135">
        <v>0.9</v>
      </c>
      <c r="P155" s="133">
        <v>0.887722132471729</v>
      </c>
      <c r="Q155" s="133">
        <v>0.868430792005922</v>
      </c>
      <c r="R155" s="133">
        <v>0.906268656716418</v>
      </c>
      <c r="S155" s="133">
        <v>0.891201852241633</v>
      </c>
      <c r="T155" s="135">
        <v>0.9</v>
      </c>
      <c r="U155" s="133">
        <v>0.860527732902531</v>
      </c>
      <c r="V155" s="133">
        <v>0.859548482605477</v>
      </c>
      <c r="W155" s="133">
        <v>0.887562189054726</v>
      </c>
      <c r="X155" s="133">
        <v>0.869848452957272</v>
      </c>
      <c r="Y155" s="135">
        <v>0.92</v>
      </c>
      <c r="Z155" s="135">
        <v>0.938894277400582</v>
      </c>
      <c r="AA155" s="135">
        <v>0.910533910533911</v>
      </c>
      <c r="AB155" s="135">
        <v>0.938058551617874</v>
      </c>
      <c r="AC155" s="135">
        <v>0.939388329383886</v>
      </c>
      <c r="AD155" s="135">
        <v>0.92</v>
      </c>
      <c r="AE155" s="133">
        <v>0.988304093567251</v>
      </c>
      <c r="AF155" s="133">
        <v>0.99609035621199</v>
      </c>
      <c r="AG155" s="133">
        <v>0.991969407265774</v>
      </c>
      <c r="AH155" s="133">
        <v>0.992538180803831</v>
      </c>
      <c r="AI155" s="135">
        <v>0.92</v>
      </c>
      <c r="AJ155" s="133">
        <v>0.937210282343026</v>
      </c>
      <c r="AK155" s="133">
        <v>0.922108094888726</v>
      </c>
      <c r="AL155" s="133">
        <v>0.964570737605804</v>
      </c>
      <c r="AM155" s="133">
        <v>0.960637634098396</v>
      </c>
      <c r="AN155" s="132">
        <v>0.99</v>
      </c>
      <c r="AO155" s="137">
        <v>1</v>
      </c>
      <c r="AP155" s="137">
        <v>1</v>
      </c>
      <c r="AQ155" s="137">
        <v>1</v>
      </c>
      <c r="AR155" s="137">
        <v>1</v>
      </c>
      <c r="AS155" s="139">
        <v>0.105261498981944</v>
      </c>
      <c r="AT155" s="141">
        <v>0.1</v>
      </c>
      <c r="AU155" s="141">
        <v>0.1</v>
      </c>
      <c r="AV155" s="141">
        <v>0.0476190476190476</v>
      </c>
      <c r="AW155" s="141">
        <v>0.0816326530612245</v>
      </c>
      <c r="AX155" s="95"/>
      <c r="AY155" s="93"/>
    </row>
    <row r="156" ht="14.5" spans="1:51">
      <c r="A156" s="91"/>
      <c r="B156" s="95"/>
      <c r="C156" s="152" t="s">
        <v>99</v>
      </c>
      <c r="D156" s="153" t="s">
        <v>25</v>
      </c>
      <c r="E156" s="130" t="s">
        <v>100</v>
      </c>
      <c r="F156" s="154" t="s">
        <v>178</v>
      </c>
      <c r="G156" s="154" t="s">
        <v>178</v>
      </c>
      <c r="H156" s="154" t="s">
        <v>178</v>
      </c>
      <c r="I156" s="154" t="s">
        <v>178</v>
      </c>
      <c r="J156" s="132">
        <v>0.9</v>
      </c>
      <c r="K156" s="133">
        <v>0.979591836734694</v>
      </c>
      <c r="L156" s="133">
        <v>0.962264150943396</v>
      </c>
      <c r="M156" s="134">
        <v>0.963636363636364</v>
      </c>
      <c r="N156" s="133">
        <v>0.96950578338591</v>
      </c>
      <c r="O156" s="135">
        <v>0.9</v>
      </c>
      <c r="P156" s="133">
        <v>0.955359603196473</v>
      </c>
      <c r="Q156" s="133">
        <v>0.951439539347409</v>
      </c>
      <c r="R156" s="133">
        <v>0.949082297217288</v>
      </c>
      <c r="S156" s="133">
        <v>0.940918190163354</v>
      </c>
      <c r="T156" s="135">
        <v>0.9</v>
      </c>
      <c r="U156" s="133">
        <v>0.912096996417746</v>
      </c>
      <c r="V156" s="133">
        <v>0.939347408829175</v>
      </c>
      <c r="W156" s="133">
        <v>0.945924610223012</v>
      </c>
      <c r="X156" s="133">
        <v>0.93608502825796</v>
      </c>
      <c r="Y156" s="135">
        <v>0.92</v>
      </c>
      <c r="Z156" s="135">
        <v>0.946246524559778</v>
      </c>
      <c r="AA156" s="135">
        <v>0.953173374613003</v>
      </c>
      <c r="AB156" s="135">
        <v>0.973830552829571</v>
      </c>
      <c r="AC156" s="135">
        <v>0.968902718768077</v>
      </c>
      <c r="AD156" s="135">
        <v>0.92</v>
      </c>
      <c r="AE156" s="133">
        <v>0.997099156118143</v>
      </c>
      <c r="AF156" s="133">
        <v>0.992531287848203</v>
      </c>
      <c r="AG156" s="133">
        <v>0.991844058396542</v>
      </c>
      <c r="AH156" s="133">
        <v>0.988432027732791</v>
      </c>
      <c r="AI156" s="135">
        <v>0.92</v>
      </c>
      <c r="AJ156" s="133">
        <v>0.963474198343597</v>
      </c>
      <c r="AK156" s="133">
        <v>0.972546504169339</v>
      </c>
      <c r="AL156" s="133">
        <v>0.981909918779227</v>
      </c>
      <c r="AM156" s="133">
        <v>0.980266901889369</v>
      </c>
      <c r="AN156" s="132">
        <v>0.99</v>
      </c>
      <c r="AO156" s="137">
        <v>1</v>
      </c>
      <c r="AP156" s="137">
        <v>1</v>
      </c>
      <c r="AQ156" s="137">
        <v>1</v>
      </c>
      <c r="AR156" s="137">
        <v>1</v>
      </c>
      <c r="AS156" s="139">
        <v>0.105261498981944</v>
      </c>
      <c r="AT156" s="141">
        <v>0</v>
      </c>
      <c r="AU156" s="141">
        <v>0</v>
      </c>
      <c r="AV156" s="141">
        <v>0</v>
      </c>
      <c r="AW156" s="141">
        <v>0.0583941605839416</v>
      </c>
      <c r="AX156" s="95"/>
      <c r="AY156" s="93"/>
    </row>
    <row r="157" ht="14.5" spans="1:51">
      <c r="A157" s="91"/>
      <c r="B157" s="95"/>
      <c r="C157" s="152" t="s">
        <v>99</v>
      </c>
      <c r="D157" s="153" t="s">
        <v>25</v>
      </c>
      <c r="E157" s="130" t="s">
        <v>100</v>
      </c>
      <c r="F157" s="154" t="s">
        <v>179</v>
      </c>
      <c r="G157" s="154" t="s">
        <v>179</v>
      </c>
      <c r="H157" s="154" t="s">
        <v>179</v>
      </c>
      <c r="I157" s="154" t="s">
        <v>179</v>
      </c>
      <c r="J157" s="132">
        <v>0.9</v>
      </c>
      <c r="K157" s="133">
        <v>0.955555555555556</v>
      </c>
      <c r="L157" s="133">
        <v>0.98876404494382</v>
      </c>
      <c r="M157" s="134">
        <v>0.93</v>
      </c>
      <c r="N157" s="133">
        <v>0.961366181410974</v>
      </c>
      <c r="O157" s="135">
        <v>0.9</v>
      </c>
      <c r="P157" s="133">
        <v>0.945303210463734</v>
      </c>
      <c r="Q157" s="133">
        <v>0.959274715786444</v>
      </c>
      <c r="R157" s="133">
        <v>0.961517317207257</v>
      </c>
      <c r="S157" s="133">
        <v>0.959041422644627</v>
      </c>
      <c r="T157" s="135">
        <v>0.9</v>
      </c>
      <c r="U157" s="133">
        <v>0.844629409433214</v>
      </c>
      <c r="V157" s="133">
        <v>0.886026766441215</v>
      </c>
      <c r="W157" s="133">
        <v>0.903243540406817</v>
      </c>
      <c r="X157" s="133">
        <v>0.890155276908941</v>
      </c>
      <c r="Y157" s="135">
        <v>0.92</v>
      </c>
      <c r="Z157" s="135">
        <v>0.883381924198251</v>
      </c>
      <c r="AA157" s="135">
        <v>0.918432725480532</v>
      </c>
      <c r="AB157" s="135">
        <v>0.948158253751705</v>
      </c>
      <c r="AC157" s="135">
        <v>0.947985514953531</v>
      </c>
      <c r="AD157" s="135">
        <v>0.92</v>
      </c>
      <c r="AE157" s="133">
        <v>0.961382113821138</v>
      </c>
      <c r="AF157" s="133">
        <v>0.964367816091954</v>
      </c>
      <c r="AG157" s="133">
        <v>0.983552631578947</v>
      </c>
      <c r="AH157" s="133">
        <v>0.97569627896445</v>
      </c>
      <c r="AI157" s="135">
        <v>0.92</v>
      </c>
      <c r="AJ157" s="133">
        <v>0.921064301552106</v>
      </c>
      <c r="AK157" s="133">
        <v>0.947765261627907</v>
      </c>
      <c r="AL157" s="133">
        <v>0.965709903593339</v>
      </c>
      <c r="AM157" s="133">
        <v>0.967403702493855</v>
      </c>
      <c r="AN157" s="132">
        <v>0.99</v>
      </c>
      <c r="AO157" s="137">
        <v>1</v>
      </c>
      <c r="AP157" s="137">
        <v>1</v>
      </c>
      <c r="AQ157" s="137">
        <v>1</v>
      </c>
      <c r="AR157" s="137">
        <v>1</v>
      </c>
      <c r="AS157" s="139">
        <v>0.105261498981944</v>
      </c>
      <c r="AT157" s="141">
        <v>0.166666666666667</v>
      </c>
      <c r="AU157" s="141">
        <v>0.0555555555555556</v>
      </c>
      <c r="AV157" s="141">
        <v>0.333333333333333</v>
      </c>
      <c r="AW157" s="141">
        <v>0.125461254612546</v>
      </c>
      <c r="AX157" s="95"/>
      <c r="AY157" s="93"/>
    </row>
    <row r="158" ht="14.5" spans="1:51">
      <c r="A158" s="91"/>
      <c r="B158" s="95"/>
      <c r="C158" s="152" t="s">
        <v>99</v>
      </c>
      <c r="D158" s="153" t="s">
        <v>25</v>
      </c>
      <c r="E158" s="130" t="s">
        <v>100</v>
      </c>
      <c r="F158" s="154" t="s">
        <v>180</v>
      </c>
      <c r="G158" s="154" t="s">
        <v>180</v>
      </c>
      <c r="H158" s="154" t="s">
        <v>180</v>
      </c>
      <c r="I158" s="154" t="s">
        <v>180</v>
      </c>
      <c r="J158" s="132">
        <v>0.9</v>
      </c>
      <c r="K158" s="133">
        <v>0.962025316455696</v>
      </c>
      <c r="L158" s="133">
        <v>0.987179487179487</v>
      </c>
      <c r="M158" s="134">
        <v>0.988505747126437</v>
      </c>
      <c r="N158" s="133">
        <v>0.974881194840462</v>
      </c>
      <c r="O158" s="135">
        <v>0.9</v>
      </c>
      <c r="P158" s="133">
        <v>0.954954954954955</v>
      </c>
      <c r="Q158" s="133">
        <v>0.950264861683343</v>
      </c>
      <c r="R158" s="133">
        <v>0.976569650375252</v>
      </c>
      <c r="S158" s="133">
        <v>0.942224889498552</v>
      </c>
      <c r="T158" s="135">
        <v>0.9</v>
      </c>
      <c r="U158" s="133">
        <v>0.932841932841933</v>
      </c>
      <c r="V158" s="133">
        <v>0.929517363154797</v>
      </c>
      <c r="W158" s="133">
        <v>0.950393556653853</v>
      </c>
      <c r="X158" s="133">
        <v>0.947626124066453</v>
      </c>
      <c r="Y158" s="135">
        <v>0.92</v>
      </c>
      <c r="Z158" s="135">
        <v>0.916815210932858</v>
      </c>
      <c r="AA158" s="135">
        <v>0.946308724832215</v>
      </c>
      <c r="AB158" s="135">
        <v>0.959640032724298</v>
      </c>
      <c r="AC158" s="135">
        <v>0.963634897597162</v>
      </c>
      <c r="AD158" s="135">
        <v>0.92</v>
      </c>
      <c r="AE158" s="133">
        <v>0.991763703493326</v>
      </c>
      <c r="AF158" s="133">
        <v>0.990517731841457</v>
      </c>
      <c r="AG158" s="133">
        <v>0.993591113010041</v>
      </c>
      <c r="AH158" s="133">
        <v>0.861433637239903</v>
      </c>
      <c r="AI158" s="135">
        <v>0.92</v>
      </c>
      <c r="AJ158" s="133">
        <v>0.95693197382438</v>
      </c>
      <c r="AK158" s="133">
        <v>0.965877768272978</v>
      </c>
      <c r="AL158" s="133">
        <v>0.976125287482204</v>
      </c>
      <c r="AM158" s="133">
        <v>0.977304015829223</v>
      </c>
      <c r="AN158" s="132">
        <v>0.99</v>
      </c>
      <c r="AO158" s="137">
        <v>1</v>
      </c>
      <c r="AP158" s="137">
        <v>1</v>
      </c>
      <c r="AQ158" s="137">
        <v>1</v>
      </c>
      <c r="AR158" s="137">
        <v>1</v>
      </c>
      <c r="AS158" s="139">
        <v>0.105261498981944</v>
      </c>
      <c r="AT158" s="141">
        <v>0</v>
      </c>
      <c r="AU158" s="141">
        <v>0</v>
      </c>
      <c r="AV158" s="141">
        <v>0</v>
      </c>
      <c r="AW158" s="141">
        <v>0.0371517027863777</v>
      </c>
      <c r="AX158" s="95"/>
      <c r="AY158" s="93"/>
    </row>
    <row r="159" ht="14.5" spans="1:51">
      <c r="A159" s="91"/>
      <c r="B159" s="95"/>
      <c r="C159" s="152" t="s">
        <v>99</v>
      </c>
      <c r="D159" s="153" t="s">
        <v>25</v>
      </c>
      <c r="E159" s="130" t="s">
        <v>100</v>
      </c>
      <c r="F159" s="154" t="s">
        <v>181</v>
      </c>
      <c r="G159" s="154" t="s">
        <v>181</v>
      </c>
      <c r="H159" s="154" t="s">
        <v>181</v>
      </c>
      <c r="I159" s="154" t="s">
        <v>181</v>
      </c>
      <c r="J159" s="132">
        <v>0.9</v>
      </c>
      <c r="K159" s="133">
        <v>0.967741935483871</v>
      </c>
      <c r="L159" s="133">
        <v>0.955882352941177</v>
      </c>
      <c r="M159" s="134">
        <v>0.957142857142857</v>
      </c>
      <c r="N159" s="133">
        <v>0.970161977834612</v>
      </c>
      <c r="O159" s="135">
        <v>0.9</v>
      </c>
      <c r="P159" s="133">
        <v>0</v>
      </c>
      <c r="Q159" s="133">
        <v>0</v>
      </c>
      <c r="R159" s="133" t="s">
        <v>35</v>
      </c>
      <c r="S159" s="133">
        <v>0.0909090909090909</v>
      </c>
      <c r="T159" s="135">
        <v>0.9</v>
      </c>
      <c r="U159" s="133">
        <v>0</v>
      </c>
      <c r="V159" s="133">
        <v>0</v>
      </c>
      <c r="W159" s="133" t="s">
        <v>35</v>
      </c>
      <c r="X159" s="133">
        <v>0.272727272727273</v>
      </c>
      <c r="Y159" s="135">
        <v>0.92</v>
      </c>
      <c r="Z159" s="135" t="s">
        <v>35</v>
      </c>
      <c r="AA159" s="135">
        <v>1</v>
      </c>
      <c r="AB159" s="135">
        <v>0</v>
      </c>
      <c r="AC159" s="135">
        <v>0.333333333333333</v>
      </c>
      <c r="AD159" s="135">
        <v>0.92</v>
      </c>
      <c r="AE159" s="133">
        <v>0.984496124031008</v>
      </c>
      <c r="AF159" s="133">
        <v>0.994505494505495</v>
      </c>
      <c r="AG159" s="133">
        <v>1</v>
      </c>
      <c r="AH159" s="133">
        <v>0.986483949690257</v>
      </c>
      <c r="AI159" s="135">
        <v>0.92</v>
      </c>
      <c r="AJ159" s="133">
        <v>0.974027901454438</v>
      </c>
      <c r="AK159" s="133">
        <v>0.98976023976024</v>
      </c>
      <c r="AL159" s="133">
        <v>0.992755722978847</v>
      </c>
      <c r="AM159" s="133">
        <v>0.991672639411248</v>
      </c>
      <c r="AN159" s="132">
        <v>0.99</v>
      </c>
      <c r="AO159" s="137">
        <v>1</v>
      </c>
      <c r="AP159" s="137">
        <v>1</v>
      </c>
      <c r="AQ159" s="137">
        <v>1</v>
      </c>
      <c r="AR159" s="137">
        <v>1</v>
      </c>
      <c r="AS159" s="139">
        <v>0.105261498981944</v>
      </c>
      <c r="AT159" s="141">
        <v>0</v>
      </c>
      <c r="AU159" s="141">
        <v>0.125</v>
      </c>
      <c r="AV159" s="141">
        <v>0.1</v>
      </c>
      <c r="AW159" s="141">
        <v>0.0802469135802469</v>
      </c>
      <c r="AX159" s="95"/>
      <c r="AY159" s="93"/>
    </row>
    <row r="160" ht="14.5" spans="1:51">
      <c r="A160" s="91"/>
      <c r="B160" s="95"/>
      <c r="C160" s="152" t="s">
        <v>99</v>
      </c>
      <c r="D160" s="153" t="s">
        <v>25</v>
      </c>
      <c r="E160" s="130" t="s">
        <v>100</v>
      </c>
      <c r="F160" s="154" t="s">
        <v>182</v>
      </c>
      <c r="G160" s="154" t="s">
        <v>182</v>
      </c>
      <c r="H160" s="154" t="s">
        <v>182</v>
      </c>
      <c r="I160" s="154" t="s">
        <v>182</v>
      </c>
      <c r="J160" s="132">
        <v>0.9</v>
      </c>
      <c r="K160" s="133">
        <v>0.970588235294118</v>
      </c>
      <c r="L160" s="133">
        <v>0.9375</v>
      </c>
      <c r="M160" s="134">
        <v>0.942857142857143</v>
      </c>
      <c r="N160" s="133">
        <v>0.960069444444444</v>
      </c>
      <c r="O160" s="135">
        <v>0.9</v>
      </c>
      <c r="P160" s="133">
        <v>0.968058968058968</v>
      </c>
      <c r="Q160" s="133">
        <v>0.929060862555421</v>
      </c>
      <c r="R160" s="133">
        <v>0.97063829787234</v>
      </c>
      <c r="S160" s="133">
        <v>0.963459770385912</v>
      </c>
      <c r="T160" s="135">
        <v>0.9</v>
      </c>
      <c r="U160" s="133">
        <v>0.937346437346437</v>
      </c>
      <c r="V160" s="133">
        <v>0.916968964127368</v>
      </c>
      <c r="W160" s="133">
        <v>0.95531914893617</v>
      </c>
      <c r="X160" s="133">
        <v>0.945590419387539</v>
      </c>
      <c r="Y160" s="135">
        <v>0.92</v>
      </c>
      <c r="Z160" s="135">
        <v>0.95959595959596</v>
      </c>
      <c r="AA160" s="135">
        <v>0.960142348754448</v>
      </c>
      <c r="AB160" s="135">
        <v>0.972327044025157</v>
      </c>
      <c r="AC160" s="135">
        <v>0.978492935635793</v>
      </c>
      <c r="AD160" s="135">
        <v>0.92</v>
      </c>
      <c r="AE160" s="133">
        <v>1</v>
      </c>
      <c r="AF160" s="133">
        <v>0.988416988416988</v>
      </c>
      <c r="AG160" s="133">
        <v>0.997032640949555</v>
      </c>
      <c r="AH160" s="133">
        <v>0.9869418023537</v>
      </c>
      <c r="AI160" s="135">
        <v>0.92</v>
      </c>
      <c r="AJ160" s="133">
        <v>0.976459510357815</v>
      </c>
      <c r="AK160" s="133">
        <v>0.976839938239835</v>
      </c>
      <c r="AL160" s="133">
        <v>0.984010152284264</v>
      </c>
      <c r="AM160" s="133">
        <v>0.98737924128181</v>
      </c>
      <c r="AN160" s="132">
        <v>0.99</v>
      </c>
      <c r="AO160" s="137">
        <v>1</v>
      </c>
      <c r="AP160" s="137">
        <v>1</v>
      </c>
      <c r="AQ160" s="137">
        <v>1</v>
      </c>
      <c r="AR160" s="137">
        <v>1</v>
      </c>
      <c r="AS160" s="139">
        <v>0.105261498981944</v>
      </c>
      <c r="AT160" s="141">
        <v>0</v>
      </c>
      <c r="AU160" s="141">
        <v>0</v>
      </c>
      <c r="AV160" s="141">
        <v>0.142857142857143</v>
      </c>
      <c r="AW160" s="141">
        <v>0.0892857142857143</v>
      </c>
      <c r="AX160" s="95"/>
      <c r="AY160" s="93"/>
    </row>
    <row r="161" ht="14.5" spans="1:51">
      <c r="A161" s="91"/>
      <c r="B161" s="95"/>
      <c r="C161" s="152" t="s">
        <v>99</v>
      </c>
      <c r="D161" s="153" t="s">
        <v>25</v>
      </c>
      <c r="E161" s="130" t="s">
        <v>100</v>
      </c>
      <c r="F161" s="154" t="s">
        <v>183</v>
      </c>
      <c r="G161" s="154" t="s">
        <v>183</v>
      </c>
      <c r="H161" s="154" t="s">
        <v>183</v>
      </c>
      <c r="I161" s="154" t="s">
        <v>183</v>
      </c>
      <c r="J161" s="132">
        <v>0.9</v>
      </c>
      <c r="K161" s="133">
        <v>0.966666666666667</v>
      </c>
      <c r="L161" s="133">
        <v>0.94949494949495</v>
      </c>
      <c r="M161" s="134">
        <v>0.906542056074766</v>
      </c>
      <c r="N161" s="133">
        <v>0.925070422535211</v>
      </c>
      <c r="O161" s="135">
        <v>0.9</v>
      </c>
      <c r="P161" s="133">
        <v>0.571428571428571</v>
      </c>
      <c r="Q161" s="133">
        <v>0.111111111111111</v>
      </c>
      <c r="R161" s="133">
        <v>0.25</v>
      </c>
      <c r="S161" s="133">
        <v>0.196078431372549</v>
      </c>
      <c r="T161" s="135">
        <v>0.9</v>
      </c>
      <c r="U161" s="133">
        <v>0.285714285714286</v>
      </c>
      <c r="V161" s="133">
        <v>0.111111111111111</v>
      </c>
      <c r="W161" s="133">
        <v>0.25</v>
      </c>
      <c r="X161" s="133">
        <v>0.450980392156863</v>
      </c>
      <c r="Y161" s="135">
        <v>0.92</v>
      </c>
      <c r="Z161" s="135">
        <v>0.5</v>
      </c>
      <c r="AA161" s="135">
        <v>0.166666666666667</v>
      </c>
      <c r="AB161" s="135">
        <v>0.2</v>
      </c>
      <c r="AC161" s="135">
        <v>0.646153846153846</v>
      </c>
      <c r="AD161" s="135">
        <v>0.92</v>
      </c>
      <c r="AE161" s="133">
        <v>0.968796433878158</v>
      </c>
      <c r="AF161" s="133">
        <v>0.988023952095808</v>
      </c>
      <c r="AG161" s="133">
        <v>0.981651376146789</v>
      </c>
      <c r="AH161" s="133">
        <v>0.969797965915338</v>
      </c>
      <c r="AI161" s="135">
        <v>0.92</v>
      </c>
      <c r="AJ161" s="133">
        <v>0.9465495608532</v>
      </c>
      <c r="AK161" s="133">
        <v>0.958135781297286</v>
      </c>
      <c r="AL161" s="133">
        <v>0.963489805595069</v>
      </c>
      <c r="AM161" s="133">
        <v>0.971420997487976</v>
      </c>
      <c r="AN161" s="132">
        <v>0.99</v>
      </c>
      <c r="AO161" s="137">
        <v>1</v>
      </c>
      <c r="AP161" s="137">
        <v>1</v>
      </c>
      <c r="AQ161" s="137">
        <v>1</v>
      </c>
      <c r="AR161" s="137">
        <v>1</v>
      </c>
      <c r="AS161" s="139">
        <v>0.105261498981944</v>
      </c>
      <c r="AT161" s="141">
        <v>0</v>
      </c>
      <c r="AU161" s="141">
        <v>0</v>
      </c>
      <c r="AV161" s="141">
        <v>0.1</v>
      </c>
      <c r="AW161" s="141">
        <v>0.0747663551401869</v>
      </c>
      <c r="AX161" s="95"/>
      <c r="AY161" s="93"/>
    </row>
    <row r="162" ht="14.5" spans="1:51">
      <c r="A162" s="91"/>
      <c r="B162" s="95"/>
      <c r="C162" s="152" t="s">
        <v>99</v>
      </c>
      <c r="D162" s="153" t="s">
        <v>25</v>
      </c>
      <c r="E162" s="130" t="s">
        <v>100</v>
      </c>
      <c r="F162" s="154" t="s">
        <v>184</v>
      </c>
      <c r="G162" s="154" t="s">
        <v>184</v>
      </c>
      <c r="H162" s="154" t="s">
        <v>184</v>
      </c>
      <c r="I162" s="154" t="s">
        <v>184</v>
      </c>
      <c r="J162" s="132">
        <v>0.9</v>
      </c>
      <c r="K162" s="133">
        <v>0.84</v>
      </c>
      <c r="L162" s="133">
        <v>0.896551724137931</v>
      </c>
      <c r="M162" s="134">
        <v>0.949152542372881</v>
      </c>
      <c r="N162" s="133">
        <v>0.897</v>
      </c>
      <c r="O162" s="135">
        <v>0.9</v>
      </c>
      <c r="P162" s="133">
        <v>0.982230997038499</v>
      </c>
      <c r="Q162" s="133">
        <v>0.971903249450281</v>
      </c>
      <c r="R162" s="133">
        <v>0.974709907765546</v>
      </c>
      <c r="S162" s="133">
        <v>0.975691416469416</v>
      </c>
      <c r="T162" s="135">
        <v>0.9</v>
      </c>
      <c r="U162" s="133">
        <v>0.839091806515301</v>
      </c>
      <c r="V162" s="133">
        <v>0.862448082091375</v>
      </c>
      <c r="W162" s="133">
        <v>0.902409997024695</v>
      </c>
      <c r="X162" s="133">
        <v>0.896380964245671</v>
      </c>
      <c r="Y162" s="135">
        <v>0.92</v>
      </c>
      <c r="Z162" s="135">
        <v>0.868471953578337</v>
      </c>
      <c r="AA162" s="135">
        <v>0.935925762262483</v>
      </c>
      <c r="AB162" s="135">
        <v>0.958011996572408</v>
      </c>
      <c r="AC162" s="135">
        <v>0.952643195405747</v>
      </c>
      <c r="AD162" s="135">
        <v>0.92</v>
      </c>
      <c r="AE162" s="133">
        <v>0.930970149253731</v>
      </c>
      <c r="AF162" s="133">
        <v>0.905882352941176</v>
      </c>
      <c r="AG162" s="133">
        <v>0.961805555555556</v>
      </c>
      <c r="AH162" s="133">
        <v>0.96724800472953</v>
      </c>
      <c r="AI162" s="135">
        <v>0.92</v>
      </c>
      <c r="AJ162" s="133">
        <v>0.935246504782929</v>
      </c>
      <c r="AK162" s="133">
        <v>0.959723096286973</v>
      </c>
      <c r="AL162" s="133">
        <v>0.97313904494382</v>
      </c>
      <c r="AM162" s="133">
        <v>0.971224513720433</v>
      </c>
      <c r="AN162" s="132">
        <v>0.99</v>
      </c>
      <c r="AO162" s="137">
        <v>1</v>
      </c>
      <c r="AP162" s="137">
        <v>1</v>
      </c>
      <c r="AQ162" s="137">
        <v>1</v>
      </c>
      <c r="AR162" s="137">
        <v>1</v>
      </c>
      <c r="AS162" s="139">
        <v>0.105261498981944</v>
      </c>
      <c r="AT162" s="141">
        <v>0</v>
      </c>
      <c r="AU162" s="141">
        <v>0.25</v>
      </c>
      <c r="AV162" s="141">
        <v>0</v>
      </c>
      <c r="AW162" s="141">
        <v>0.0927152317880795</v>
      </c>
      <c r="AX162" s="95"/>
      <c r="AY162" s="93"/>
    </row>
    <row r="163" ht="14.5" spans="1:51">
      <c r="A163" s="91"/>
      <c r="B163" s="95"/>
      <c r="C163" s="152" t="s">
        <v>99</v>
      </c>
      <c r="D163" s="153" t="s">
        <v>25</v>
      </c>
      <c r="E163" s="130" t="s">
        <v>100</v>
      </c>
      <c r="F163" s="154" t="s">
        <v>185</v>
      </c>
      <c r="G163" s="154" t="s">
        <v>185</v>
      </c>
      <c r="H163" s="154" t="s">
        <v>185</v>
      </c>
      <c r="I163" s="154" t="s">
        <v>185</v>
      </c>
      <c r="J163" s="132">
        <v>0.9</v>
      </c>
      <c r="K163" s="133">
        <v>0.904761904761905</v>
      </c>
      <c r="L163" s="133">
        <v>0.976744186046512</v>
      </c>
      <c r="M163" s="134">
        <v>0.980392156862745</v>
      </c>
      <c r="N163" s="133">
        <v>0.969211822660099</v>
      </c>
      <c r="O163" s="135">
        <v>0.9</v>
      </c>
      <c r="P163" s="133">
        <v>0.932947583390061</v>
      </c>
      <c r="Q163" s="133">
        <v>0.947075208913649</v>
      </c>
      <c r="R163" s="133">
        <v>0.95605493133583</v>
      </c>
      <c r="S163" s="133">
        <v>0.928383352403535</v>
      </c>
      <c r="T163" s="135">
        <v>0.9</v>
      </c>
      <c r="U163" s="133">
        <v>0.888019060585432</v>
      </c>
      <c r="V163" s="133">
        <v>0.881383472609099</v>
      </c>
      <c r="W163" s="133">
        <v>0.939825218476904</v>
      </c>
      <c r="X163" s="133">
        <v>0.908504390741532</v>
      </c>
      <c r="Y163" s="135">
        <v>0.92</v>
      </c>
      <c r="Z163" s="135">
        <v>0.891231964483907</v>
      </c>
      <c r="AA163" s="135">
        <v>0.946043165467626</v>
      </c>
      <c r="AB163" s="135">
        <v>0.967156439066551</v>
      </c>
      <c r="AC163" s="135">
        <v>0.961648114634207</v>
      </c>
      <c r="AD163" s="135">
        <v>0.92</v>
      </c>
      <c r="AE163" s="133">
        <v>0.994870698867279</v>
      </c>
      <c r="AF163" s="133">
        <v>0.996102355532961</v>
      </c>
      <c r="AG163" s="133">
        <v>0.996425542227069</v>
      </c>
      <c r="AH163" s="133">
        <v>0.986394968431981</v>
      </c>
      <c r="AI163" s="135">
        <v>0.92</v>
      </c>
      <c r="AJ163" s="133">
        <v>0.93022650351471</v>
      </c>
      <c r="AK163" s="133">
        <v>0.959545890629997</v>
      </c>
      <c r="AL163" s="133">
        <v>0.977844595663871</v>
      </c>
      <c r="AM163" s="133">
        <v>0.974621312782355</v>
      </c>
      <c r="AN163" s="132">
        <v>0.99</v>
      </c>
      <c r="AO163" s="137">
        <v>1</v>
      </c>
      <c r="AP163" s="137">
        <v>1</v>
      </c>
      <c r="AQ163" s="137">
        <v>1</v>
      </c>
      <c r="AR163" s="137">
        <v>1</v>
      </c>
      <c r="AS163" s="139">
        <v>0.105261498981944</v>
      </c>
      <c r="AT163" s="141">
        <v>0</v>
      </c>
      <c r="AU163" s="141">
        <v>0</v>
      </c>
      <c r="AV163" s="141">
        <v>0</v>
      </c>
      <c r="AW163" s="141">
        <v>0.0707964601769911</v>
      </c>
      <c r="AX163" s="95"/>
      <c r="AY163" s="93"/>
    </row>
    <row r="164" ht="14.5" spans="1:51">
      <c r="A164" s="91"/>
      <c r="B164" s="95"/>
      <c r="C164" s="152" t="s">
        <v>99</v>
      </c>
      <c r="D164" s="153" t="s">
        <v>25</v>
      </c>
      <c r="E164" s="130" t="s">
        <v>100</v>
      </c>
      <c r="F164" s="154" t="s">
        <v>186</v>
      </c>
      <c r="G164" s="154" t="s">
        <v>186</v>
      </c>
      <c r="H164" s="154" t="s">
        <v>186</v>
      </c>
      <c r="I164" s="154" t="s">
        <v>186</v>
      </c>
      <c r="J164" s="132">
        <v>0.9</v>
      </c>
      <c r="K164" s="133">
        <v>1</v>
      </c>
      <c r="L164" s="133">
        <v>0.978723404255319</v>
      </c>
      <c r="M164" s="134">
        <v>1</v>
      </c>
      <c r="N164" s="133">
        <v>0.986363636363636</v>
      </c>
      <c r="O164" s="135">
        <v>0.9</v>
      </c>
      <c r="P164" s="133">
        <v>0.975737215378873</v>
      </c>
      <c r="Q164" s="133">
        <v>0.977671851480181</v>
      </c>
      <c r="R164" s="133">
        <v>0.975542731519648</v>
      </c>
      <c r="S164" s="133">
        <v>0.980352137589463</v>
      </c>
      <c r="T164" s="135">
        <v>0.9</v>
      </c>
      <c r="U164" s="133">
        <v>0.948861515490855</v>
      </c>
      <c r="V164" s="133">
        <v>0.945308580030105</v>
      </c>
      <c r="W164" s="133">
        <v>0.968397911514152</v>
      </c>
      <c r="X164" s="133">
        <v>0.955629030941301</v>
      </c>
      <c r="Y164" s="135">
        <v>0.92</v>
      </c>
      <c r="Z164" s="135">
        <v>0.950344827586207</v>
      </c>
      <c r="AA164" s="135">
        <v>0.956877729257642</v>
      </c>
      <c r="AB164" s="135">
        <v>0.981464318813716</v>
      </c>
      <c r="AC164" s="135">
        <v>0.976239541177347</v>
      </c>
      <c r="AD164" s="135">
        <v>0.92</v>
      </c>
      <c r="AE164" s="133">
        <v>0.994094488188976</v>
      </c>
      <c r="AF164" s="133">
        <v>0.98273572377158</v>
      </c>
      <c r="AG164" s="133">
        <v>0.997835497835498</v>
      </c>
      <c r="AH164" s="133">
        <v>0.975058360978007</v>
      </c>
      <c r="AI164" s="135">
        <v>0.92</v>
      </c>
      <c r="AJ164" s="133">
        <v>0.961244862008221</v>
      </c>
      <c r="AK164" s="133">
        <v>0.97267571747723</v>
      </c>
      <c r="AL164" s="133">
        <v>0.98533724340176</v>
      </c>
      <c r="AM164" s="133">
        <v>0.984418255160959</v>
      </c>
      <c r="AN164" s="132">
        <v>0.99</v>
      </c>
      <c r="AO164" s="137">
        <v>1</v>
      </c>
      <c r="AP164" s="137">
        <v>1</v>
      </c>
      <c r="AQ164" s="137">
        <v>1</v>
      </c>
      <c r="AR164" s="137">
        <v>1</v>
      </c>
      <c r="AS164" s="139">
        <v>0.105261498981944</v>
      </c>
      <c r="AT164" s="141">
        <v>0</v>
      </c>
      <c r="AU164" s="141">
        <v>0</v>
      </c>
      <c r="AV164" s="141">
        <v>0</v>
      </c>
      <c r="AW164" s="141">
        <v>0.0432692307692308</v>
      </c>
      <c r="AX164" s="95"/>
      <c r="AY164" s="93"/>
    </row>
    <row r="165" ht="14.5" spans="1:51">
      <c r="A165" s="91"/>
      <c r="B165" s="95"/>
      <c r="C165" s="152" t="s">
        <v>99</v>
      </c>
      <c r="D165" s="153" t="s">
        <v>25</v>
      </c>
      <c r="E165" s="130" t="s">
        <v>100</v>
      </c>
      <c r="F165" s="154" t="s">
        <v>187</v>
      </c>
      <c r="G165" s="154" t="s">
        <v>187</v>
      </c>
      <c r="H165" s="154" t="s">
        <v>187</v>
      </c>
      <c r="I165" s="154" t="s">
        <v>187</v>
      </c>
      <c r="J165" s="132">
        <v>0.9</v>
      </c>
      <c r="K165" s="133">
        <v>0.973684210526316</v>
      </c>
      <c r="L165" s="133">
        <v>0.978494623655914</v>
      </c>
      <c r="M165" s="134">
        <v>0.961904761904762</v>
      </c>
      <c r="N165" s="133">
        <v>0.967798594847775</v>
      </c>
      <c r="O165" s="135">
        <v>0.9</v>
      </c>
      <c r="P165" s="133">
        <v>0.970349563046192</v>
      </c>
      <c r="Q165" s="133">
        <v>0.973985319516408</v>
      </c>
      <c r="R165" s="133">
        <v>0.982799808886765</v>
      </c>
      <c r="S165" s="133">
        <v>0.971984362106516</v>
      </c>
      <c r="T165" s="135">
        <v>0.9</v>
      </c>
      <c r="U165" s="133">
        <v>0.910112359550562</v>
      </c>
      <c r="V165" s="133">
        <v>0.940738341968912</v>
      </c>
      <c r="W165" s="133">
        <v>0.969063545150502</v>
      </c>
      <c r="X165" s="133">
        <v>0.939869864588829</v>
      </c>
      <c r="Y165" s="135">
        <v>0.92</v>
      </c>
      <c r="Z165" s="135">
        <v>0.864424592748292</v>
      </c>
      <c r="AA165" s="135">
        <v>0.929862101759391</v>
      </c>
      <c r="AB165" s="135">
        <v>0.955606029320669</v>
      </c>
      <c r="AC165" s="135">
        <v>0.952083462708812</v>
      </c>
      <c r="AD165" s="135">
        <v>0.92</v>
      </c>
      <c r="AE165" s="133">
        <v>0.984345896246978</v>
      </c>
      <c r="AF165" s="133">
        <v>0.990851637424316</v>
      </c>
      <c r="AG165" s="133">
        <v>0.996024996655646</v>
      </c>
      <c r="AH165" s="133">
        <v>0.993499422642599</v>
      </c>
      <c r="AI165" s="135">
        <v>0.92</v>
      </c>
      <c r="AJ165" s="133">
        <v>0.934591799927859</v>
      </c>
      <c r="AK165" s="133">
        <v>0.964235363953402</v>
      </c>
      <c r="AL165" s="133">
        <v>0.978209881213589</v>
      </c>
      <c r="AM165" s="133">
        <v>0.974194988706204</v>
      </c>
      <c r="AN165" s="132">
        <v>0.99</v>
      </c>
      <c r="AO165" s="137">
        <v>1</v>
      </c>
      <c r="AP165" s="137">
        <v>1</v>
      </c>
      <c r="AQ165" s="137">
        <v>1</v>
      </c>
      <c r="AR165" s="137">
        <v>1</v>
      </c>
      <c r="AS165" s="139">
        <v>0.105261498981944</v>
      </c>
      <c r="AT165" s="141">
        <v>0.176470588235294</v>
      </c>
      <c r="AU165" s="141">
        <v>0.0476190476190476</v>
      </c>
      <c r="AV165" s="141">
        <v>0.0294117647058824</v>
      </c>
      <c r="AW165" s="141">
        <v>0.0787589498806683</v>
      </c>
      <c r="AX165" s="95"/>
      <c r="AY165" s="93"/>
    </row>
    <row r="166" ht="14.5" spans="1:51">
      <c r="A166" s="91"/>
      <c r="B166" s="95"/>
      <c r="C166" s="152" t="s">
        <v>99</v>
      </c>
      <c r="D166" s="153" t="s">
        <v>25</v>
      </c>
      <c r="E166" s="130" t="s">
        <v>100</v>
      </c>
      <c r="F166" s="154" t="s">
        <v>188</v>
      </c>
      <c r="G166" s="154" t="s">
        <v>188</v>
      </c>
      <c r="H166" s="154" t="s">
        <v>188</v>
      </c>
      <c r="I166" s="154" t="s">
        <v>188</v>
      </c>
      <c r="J166" s="132">
        <v>0.9</v>
      </c>
      <c r="K166" s="133">
        <v>0.906976744186046</v>
      </c>
      <c r="L166" s="133">
        <v>0.956521739130435</v>
      </c>
      <c r="M166" s="134">
        <v>1</v>
      </c>
      <c r="N166" s="133">
        <v>0.978947368421053</v>
      </c>
      <c r="O166" s="135">
        <v>0.9</v>
      </c>
      <c r="P166" s="133">
        <v>0</v>
      </c>
      <c r="Q166" s="133" t="s">
        <v>35</v>
      </c>
      <c r="R166" s="133">
        <v>0</v>
      </c>
      <c r="S166" s="133">
        <v>0.5</v>
      </c>
      <c r="T166" s="135">
        <v>0.9</v>
      </c>
      <c r="U166" s="133">
        <v>0</v>
      </c>
      <c r="V166" s="133" t="s">
        <v>35</v>
      </c>
      <c r="W166" s="133">
        <v>0</v>
      </c>
      <c r="X166" s="133">
        <v>0.25</v>
      </c>
      <c r="Y166" s="135">
        <v>0.92</v>
      </c>
      <c r="Z166" s="135" t="s">
        <v>35</v>
      </c>
      <c r="AA166" s="135" t="s">
        <v>35</v>
      </c>
      <c r="AB166" s="135" t="s">
        <v>35</v>
      </c>
      <c r="AC166" s="135">
        <v>1</v>
      </c>
      <c r="AD166" s="135">
        <v>0.92</v>
      </c>
      <c r="AE166" s="133">
        <v>0.976119402985075</v>
      </c>
      <c r="AF166" s="133">
        <v>0.990706319702602</v>
      </c>
      <c r="AG166" s="133">
        <v>0.987951807228916</v>
      </c>
      <c r="AH166" s="133">
        <v>0.990192498304554</v>
      </c>
      <c r="AI166" s="135">
        <v>0.92</v>
      </c>
      <c r="AJ166" s="133">
        <v>0.975</v>
      </c>
      <c r="AK166" s="133">
        <v>0.982049901274457</v>
      </c>
      <c r="AL166" s="133">
        <v>0.989587948604342</v>
      </c>
      <c r="AM166" s="133">
        <v>0.990255688908047</v>
      </c>
      <c r="AN166" s="132">
        <v>0.99</v>
      </c>
      <c r="AO166" s="137">
        <v>1</v>
      </c>
      <c r="AP166" s="137">
        <v>1</v>
      </c>
      <c r="AQ166" s="137">
        <v>1</v>
      </c>
      <c r="AR166" s="137">
        <v>1</v>
      </c>
      <c r="AS166" s="139">
        <v>0.105261498981944</v>
      </c>
      <c r="AT166" s="141">
        <v>0.125</v>
      </c>
      <c r="AU166" s="141">
        <v>0.285714285714286</v>
      </c>
      <c r="AV166" s="141">
        <v>0.2</v>
      </c>
      <c r="AW166" s="141">
        <v>0.126126126126126</v>
      </c>
      <c r="AX166" s="95"/>
      <c r="AY166" s="93"/>
    </row>
    <row r="167" ht="14.5" spans="1:51">
      <c r="A167" s="91"/>
      <c r="B167" s="95"/>
      <c r="C167" s="152" t="s">
        <v>99</v>
      </c>
      <c r="D167" s="153" t="s">
        <v>25</v>
      </c>
      <c r="E167" s="130" t="s">
        <v>100</v>
      </c>
      <c r="F167" s="154" t="s">
        <v>189</v>
      </c>
      <c r="G167" s="154" t="s">
        <v>189</v>
      </c>
      <c r="H167" s="154" t="s">
        <v>189</v>
      </c>
      <c r="I167" s="154" t="s">
        <v>189</v>
      </c>
      <c r="J167" s="132">
        <v>0.9</v>
      </c>
      <c r="K167" s="133">
        <v>1</v>
      </c>
      <c r="L167" s="133">
        <v>1</v>
      </c>
      <c r="M167" s="134">
        <v>1</v>
      </c>
      <c r="N167" s="133">
        <v>0.981481481481482</v>
      </c>
      <c r="O167" s="135">
        <v>0.9</v>
      </c>
      <c r="P167" s="133">
        <v>0.96286559316464</v>
      </c>
      <c r="Q167" s="133">
        <v>0.956958073148974</v>
      </c>
      <c r="R167" s="133">
        <v>0.983634175691937</v>
      </c>
      <c r="S167" s="133">
        <v>0.958277590927845</v>
      </c>
      <c r="T167" s="135">
        <v>0.9</v>
      </c>
      <c r="U167" s="133">
        <v>0.93854748603352</v>
      </c>
      <c r="V167" s="133">
        <v>0.91971454058876</v>
      </c>
      <c r="W167" s="133">
        <v>0.961492178098676</v>
      </c>
      <c r="X167" s="133">
        <v>0.943386554306648</v>
      </c>
      <c r="Y167" s="135">
        <v>0.92</v>
      </c>
      <c r="Z167" s="135">
        <v>0.938325991189427</v>
      </c>
      <c r="AA167" s="135">
        <v>0.95518453427065</v>
      </c>
      <c r="AB167" s="135">
        <v>0.965617082880927</v>
      </c>
      <c r="AC167" s="135">
        <v>0.970591371478535</v>
      </c>
      <c r="AD167" s="135">
        <v>0.92</v>
      </c>
      <c r="AE167" s="133">
        <v>0.994609164420485</v>
      </c>
      <c r="AF167" s="133">
        <v>0.997718631178707</v>
      </c>
      <c r="AG167" s="133">
        <v>0.99667994687915</v>
      </c>
      <c r="AH167" s="133">
        <v>0.987334426410715</v>
      </c>
      <c r="AI167" s="135">
        <v>0.92</v>
      </c>
      <c r="AJ167" s="133">
        <v>0.962541128828145</v>
      </c>
      <c r="AK167" s="133">
        <v>0.976331360946746</v>
      </c>
      <c r="AL167" s="133">
        <v>0.981642093090489</v>
      </c>
      <c r="AM167" s="133">
        <v>0.983599192963652</v>
      </c>
      <c r="AN167" s="132">
        <v>0.99</v>
      </c>
      <c r="AO167" s="137">
        <v>1</v>
      </c>
      <c r="AP167" s="137">
        <v>1</v>
      </c>
      <c r="AQ167" s="137">
        <v>1</v>
      </c>
      <c r="AR167" s="137">
        <v>1</v>
      </c>
      <c r="AS167" s="139">
        <v>0.105261498981944</v>
      </c>
      <c r="AT167" s="141">
        <v>0.2</v>
      </c>
      <c r="AU167" s="141">
        <v>0</v>
      </c>
      <c r="AV167" s="141">
        <v>0.142857142857143</v>
      </c>
      <c r="AW167" s="141">
        <v>0.0867052023121387</v>
      </c>
      <c r="AX167" s="95"/>
      <c r="AY167" s="93"/>
    </row>
    <row r="168" ht="14.5" spans="1:51">
      <c r="A168" s="91"/>
      <c r="B168" s="95"/>
      <c r="C168" s="152" t="s">
        <v>99</v>
      </c>
      <c r="D168" s="153" t="s">
        <v>25</v>
      </c>
      <c r="E168" s="130" t="s">
        <v>100</v>
      </c>
      <c r="F168" s="154" t="s">
        <v>190</v>
      </c>
      <c r="G168" s="154" t="s">
        <v>190</v>
      </c>
      <c r="H168" s="154" t="s">
        <v>190</v>
      </c>
      <c r="I168" s="154" t="s">
        <v>190</v>
      </c>
      <c r="J168" s="132">
        <v>0.9</v>
      </c>
      <c r="K168" s="133">
        <v>0.918918918918919</v>
      </c>
      <c r="L168" s="133">
        <v>0.926829268292683</v>
      </c>
      <c r="M168" s="134">
        <v>0.930232558139535</v>
      </c>
      <c r="N168" s="133">
        <v>0.950069348127601</v>
      </c>
      <c r="O168" s="135">
        <v>0.9</v>
      </c>
      <c r="P168" s="133">
        <v>0.938442211055276</v>
      </c>
      <c r="Q168" s="133">
        <v>0.921361166714327</v>
      </c>
      <c r="R168" s="133">
        <v>0.957498482088646</v>
      </c>
      <c r="S168" s="133">
        <v>0.947556242599658</v>
      </c>
      <c r="T168" s="135">
        <v>0.9</v>
      </c>
      <c r="U168" s="133">
        <v>0.905778894472362</v>
      </c>
      <c r="V168" s="133">
        <v>0.904775521875894</v>
      </c>
      <c r="W168" s="133">
        <v>0.937765634486946</v>
      </c>
      <c r="X168" s="133">
        <v>0.921622154979608</v>
      </c>
      <c r="Y168" s="135">
        <v>0.92</v>
      </c>
      <c r="Z168" s="135">
        <v>0.898491083676269</v>
      </c>
      <c r="AA168" s="135">
        <v>0.938511326860841</v>
      </c>
      <c r="AB168" s="135">
        <v>0.952857142857143</v>
      </c>
      <c r="AC168" s="135">
        <v>0.954373054061704</v>
      </c>
      <c r="AD168" s="135">
        <v>0.92</v>
      </c>
      <c r="AE168" s="133">
        <v>0.978339350180505</v>
      </c>
      <c r="AF168" s="133">
        <v>0.972222222222222</v>
      </c>
      <c r="AG168" s="133">
        <v>0.981900452488688</v>
      </c>
      <c r="AH168" s="133">
        <v>0.950125733445096</v>
      </c>
      <c r="AI168" s="135">
        <v>0.92</v>
      </c>
      <c r="AJ168" s="133">
        <v>0.947706127686878</v>
      </c>
      <c r="AK168" s="133">
        <v>0.959259951410951</v>
      </c>
      <c r="AL168" s="133">
        <v>0.969595847237671</v>
      </c>
      <c r="AM168" s="133">
        <v>0.970628614219745</v>
      </c>
      <c r="AN168" s="132">
        <v>0.99</v>
      </c>
      <c r="AO168" s="137">
        <v>1</v>
      </c>
      <c r="AP168" s="137">
        <v>1</v>
      </c>
      <c r="AQ168" s="137">
        <v>1</v>
      </c>
      <c r="AR168" s="137">
        <v>1</v>
      </c>
      <c r="AS168" s="139">
        <v>0.105261498981944</v>
      </c>
      <c r="AT168" s="141">
        <v>0</v>
      </c>
      <c r="AU168" s="141">
        <v>0.25</v>
      </c>
      <c r="AV168" s="141">
        <v>0</v>
      </c>
      <c r="AW168" s="141">
        <v>0.0588235294117647</v>
      </c>
      <c r="AX168" s="95"/>
      <c r="AY168" s="93"/>
    </row>
    <row r="169" ht="14.5" spans="1:51">
      <c r="A169" s="91"/>
      <c r="B169" s="95"/>
      <c r="C169" s="152" t="s">
        <v>99</v>
      </c>
      <c r="D169" s="153" t="s">
        <v>25</v>
      </c>
      <c r="E169" s="130" t="s">
        <v>100</v>
      </c>
      <c r="F169" s="154" t="s">
        <v>191</v>
      </c>
      <c r="G169" s="154" t="s">
        <v>191</v>
      </c>
      <c r="H169" s="154" t="s">
        <v>191</v>
      </c>
      <c r="I169" s="154" t="s">
        <v>191</v>
      </c>
      <c r="J169" s="132">
        <v>0.9</v>
      </c>
      <c r="K169" s="133">
        <v>0.96875</v>
      </c>
      <c r="L169" s="133">
        <v>0.938461538461538</v>
      </c>
      <c r="M169" s="134">
        <v>0.971014492753623</v>
      </c>
      <c r="N169" s="133">
        <v>0.96196111580727</v>
      </c>
      <c r="O169" s="135">
        <v>0.9</v>
      </c>
      <c r="P169" s="133">
        <v>0.903606965174129</v>
      </c>
      <c r="Q169" s="133">
        <v>0.952099886492622</v>
      </c>
      <c r="R169" s="133">
        <v>0.94807868252516</v>
      </c>
      <c r="S169" s="133">
        <v>0.93514141063542</v>
      </c>
      <c r="T169" s="135">
        <v>0.9</v>
      </c>
      <c r="U169" s="133">
        <v>0.838930348258706</v>
      </c>
      <c r="V169" s="133">
        <v>0.880817253121453</v>
      </c>
      <c r="W169" s="133">
        <v>0.895242451967063</v>
      </c>
      <c r="X169" s="133">
        <v>0.895453076564015</v>
      </c>
      <c r="Y169" s="135">
        <v>0.92</v>
      </c>
      <c r="Z169" s="135">
        <v>0.90249187432286</v>
      </c>
      <c r="AA169" s="135">
        <v>0.902822580645161</v>
      </c>
      <c r="AB169" s="135">
        <v>0.919806042521447</v>
      </c>
      <c r="AC169" s="135">
        <v>0.93305168684684</v>
      </c>
      <c r="AD169" s="135">
        <v>0.92</v>
      </c>
      <c r="AE169" s="133">
        <v>0.986377708978328</v>
      </c>
      <c r="AF169" s="133">
        <v>0.981322375793799</v>
      </c>
      <c r="AG169" s="133">
        <v>0.992973580663294</v>
      </c>
      <c r="AH169" s="133">
        <v>0.98351549314238</v>
      </c>
      <c r="AI169" s="135">
        <v>0.92</v>
      </c>
      <c r="AJ169" s="133">
        <v>0.908695652173913</v>
      </c>
      <c r="AK169" s="133">
        <v>0.947276688453159</v>
      </c>
      <c r="AL169" s="133">
        <v>0.956053303090445</v>
      </c>
      <c r="AM169" s="133">
        <v>0.961685046117764</v>
      </c>
      <c r="AN169" s="132">
        <v>0.99</v>
      </c>
      <c r="AO169" s="137">
        <v>1</v>
      </c>
      <c r="AP169" s="137">
        <v>1</v>
      </c>
      <c r="AQ169" s="137">
        <v>1</v>
      </c>
      <c r="AR169" s="137">
        <v>1</v>
      </c>
      <c r="AS169" s="139">
        <v>0.105261498981944</v>
      </c>
      <c r="AT169" s="141">
        <v>0.15</v>
      </c>
      <c r="AU169" s="141">
        <v>0.0612244897959184</v>
      </c>
      <c r="AV169" s="141">
        <v>0.142857142857143</v>
      </c>
      <c r="AW169" s="141">
        <v>0.0860927152317881</v>
      </c>
      <c r="AX169" s="95"/>
      <c r="AY169" s="93"/>
    </row>
    <row r="170" ht="14.5" spans="1:51">
      <c r="A170" s="91"/>
      <c r="B170" s="95"/>
      <c r="C170" s="152" t="s">
        <v>99</v>
      </c>
      <c r="D170" s="153" t="s">
        <v>25</v>
      </c>
      <c r="E170" s="130" t="s">
        <v>100</v>
      </c>
      <c r="F170" s="154" t="s">
        <v>192</v>
      </c>
      <c r="G170" s="154" t="s">
        <v>192</v>
      </c>
      <c r="H170" s="154" t="s">
        <v>192</v>
      </c>
      <c r="I170" s="154" t="s">
        <v>192</v>
      </c>
      <c r="J170" s="132">
        <v>0.9</v>
      </c>
      <c r="K170" s="133">
        <v>0.859154929577465</v>
      </c>
      <c r="L170" s="133">
        <v>0.930555555555556</v>
      </c>
      <c r="M170" s="134">
        <v>0.975</v>
      </c>
      <c r="N170" s="133">
        <v>0.930416068866571</v>
      </c>
      <c r="O170" s="135">
        <v>0.9</v>
      </c>
      <c r="P170" s="133">
        <v>0.956484397366161</v>
      </c>
      <c r="Q170" s="133">
        <v>0.950871011939714</v>
      </c>
      <c r="R170" s="133">
        <v>0.959722823733218</v>
      </c>
      <c r="S170" s="133">
        <v>0.943997591294249</v>
      </c>
      <c r="T170" s="135">
        <v>0.9</v>
      </c>
      <c r="U170" s="133">
        <v>0.899799599198397</v>
      </c>
      <c r="V170" s="133">
        <v>0.900176159718144</v>
      </c>
      <c r="W170" s="133">
        <v>0.928323949761802</v>
      </c>
      <c r="X170" s="133">
        <v>0.906802443115833</v>
      </c>
      <c r="Y170" s="135">
        <v>0.92</v>
      </c>
      <c r="Z170" s="135">
        <v>0.887573964497041</v>
      </c>
      <c r="AA170" s="135">
        <v>0.924121127741037</v>
      </c>
      <c r="AB170" s="135">
        <v>0.934005201560468</v>
      </c>
      <c r="AC170" s="135">
        <v>0.940039483129935</v>
      </c>
      <c r="AD170" s="135">
        <v>0.92</v>
      </c>
      <c r="AE170" s="133">
        <v>0.99662589624631</v>
      </c>
      <c r="AF170" s="133">
        <v>0.9959872930948</v>
      </c>
      <c r="AG170" s="133">
        <v>0.996196362771901</v>
      </c>
      <c r="AH170" s="133">
        <v>0.96536427230848</v>
      </c>
      <c r="AI170" s="135">
        <v>0.92</v>
      </c>
      <c r="AJ170" s="133">
        <v>0.939478186484174</v>
      </c>
      <c r="AK170" s="133">
        <v>0.952148315169736</v>
      </c>
      <c r="AL170" s="133">
        <v>0.958804418453541</v>
      </c>
      <c r="AM170" s="133">
        <v>0.964348141773786</v>
      </c>
      <c r="AN170" s="132">
        <v>0.99</v>
      </c>
      <c r="AO170" s="137">
        <v>1</v>
      </c>
      <c r="AP170" s="137">
        <v>1</v>
      </c>
      <c r="AQ170" s="137">
        <v>1</v>
      </c>
      <c r="AR170" s="137">
        <v>1</v>
      </c>
      <c r="AS170" s="139">
        <v>0.105261498981944</v>
      </c>
      <c r="AT170" s="141">
        <v>0.0681818181818182</v>
      </c>
      <c r="AU170" s="141">
        <v>0.0327868852459016</v>
      </c>
      <c r="AV170" s="141">
        <v>0.111111111111111</v>
      </c>
      <c r="AW170" s="141">
        <v>0.0477356181150551</v>
      </c>
      <c r="AX170" s="95"/>
      <c r="AY170" s="93"/>
    </row>
    <row r="171" ht="14.5" spans="1:51">
      <c r="A171" s="91"/>
      <c r="B171" s="95"/>
      <c r="C171" s="152" t="s">
        <v>99</v>
      </c>
      <c r="D171" s="153" t="s">
        <v>25</v>
      </c>
      <c r="E171" s="130" t="s">
        <v>100</v>
      </c>
      <c r="F171" s="154" t="s">
        <v>193</v>
      </c>
      <c r="G171" s="154" t="s">
        <v>193</v>
      </c>
      <c r="H171" s="154" t="s">
        <v>193</v>
      </c>
      <c r="I171" s="154" t="s">
        <v>193</v>
      </c>
      <c r="J171" s="132">
        <v>0.9</v>
      </c>
      <c r="K171" s="133">
        <v>1</v>
      </c>
      <c r="L171" s="133">
        <v>0.954545454545455</v>
      </c>
      <c r="M171" s="134">
        <v>0.927536231884058</v>
      </c>
      <c r="N171" s="133">
        <v>0.947916666666667</v>
      </c>
      <c r="O171" s="135">
        <v>0.9</v>
      </c>
      <c r="P171" s="133">
        <v>0.948293428425879</v>
      </c>
      <c r="Q171" s="133">
        <v>0.937739797697942</v>
      </c>
      <c r="R171" s="133">
        <v>0.936578171091445</v>
      </c>
      <c r="S171" s="133">
        <v>0.936065880591428</v>
      </c>
      <c r="T171" s="135">
        <v>0.9</v>
      </c>
      <c r="U171" s="133">
        <v>0.912633723892002</v>
      </c>
      <c r="V171" s="133">
        <v>0.878444366934077</v>
      </c>
      <c r="W171" s="133">
        <v>0.889749262536873</v>
      </c>
      <c r="X171" s="133">
        <v>0.884634100692495</v>
      </c>
      <c r="Y171" s="135">
        <v>0.92</v>
      </c>
      <c r="Z171" s="135">
        <v>0.883850437549722</v>
      </c>
      <c r="AA171" s="135">
        <v>0.901345291479821</v>
      </c>
      <c r="AB171" s="135">
        <v>0.901148137776533</v>
      </c>
      <c r="AC171" s="135">
        <v>0.926069128950281</v>
      </c>
      <c r="AD171" s="135">
        <v>0.92</v>
      </c>
      <c r="AE171" s="133">
        <v>0.988271068635969</v>
      </c>
      <c r="AF171" s="133">
        <v>0.99055817828381</v>
      </c>
      <c r="AG171" s="133">
        <v>0.98541150564272</v>
      </c>
      <c r="AH171" s="133">
        <v>0.989479260163918</v>
      </c>
      <c r="AI171" s="135">
        <v>0.92</v>
      </c>
      <c r="AJ171" s="133">
        <v>0.939803202778314</v>
      </c>
      <c r="AK171" s="133">
        <v>0.935636856368564</v>
      </c>
      <c r="AL171" s="133">
        <v>0.93763201778766</v>
      </c>
      <c r="AM171" s="133">
        <v>0.953506186700348</v>
      </c>
      <c r="AN171" s="132">
        <v>0.99</v>
      </c>
      <c r="AO171" s="137">
        <v>1</v>
      </c>
      <c r="AP171" s="137">
        <v>1</v>
      </c>
      <c r="AQ171" s="137">
        <v>1</v>
      </c>
      <c r="AR171" s="137">
        <v>1</v>
      </c>
      <c r="AS171" s="139">
        <v>0.105261498981944</v>
      </c>
      <c r="AT171" s="141">
        <v>0.0909090909090909</v>
      </c>
      <c r="AU171" s="141">
        <v>0.166666666666667</v>
      </c>
      <c r="AV171" s="141">
        <v>0.03125</v>
      </c>
      <c r="AW171" s="141">
        <v>0.0890840652446675</v>
      </c>
      <c r="AX171" s="95"/>
      <c r="AY171" s="93"/>
    </row>
    <row r="172" ht="14.5" spans="1:51">
      <c r="A172" s="91"/>
      <c r="B172" s="95"/>
      <c r="C172" s="152" t="s">
        <v>99</v>
      </c>
      <c r="D172" s="153" t="s">
        <v>25</v>
      </c>
      <c r="E172" s="130" t="s">
        <v>100</v>
      </c>
      <c r="F172" s="154" t="s">
        <v>194</v>
      </c>
      <c r="G172" s="154" t="s">
        <v>194</v>
      </c>
      <c r="H172" s="154" t="s">
        <v>194</v>
      </c>
      <c r="I172" s="154" t="s">
        <v>194</v>
      </c>
      <c r="J172" s="132">
        <v>0.9</v>
      </c>
      <c r="K172" s="133">
        <v>0.926829268292683</v>
      </c>
      <c r="L172" s="133">
        <v>1</v>
      </c>
      <c r="M172" s="134">
        <v>0.980769230769231</v>
      </c>
      <c r="N172" s="133">
        <v>0.962795941375423</v>
      </c>
      <c r="O172" s="135">
        <v>0.9</v>
      </c>
      <c r="P172" s="133">
        <v>0.92226148409894</v>
      </c>
      <c r="Q172" s="133">
        <v>0.96001221001221</v>
      </c>
      <c r="R172" s="133">
        <v>0.960485268630849</v>
      </c>
      <c r="S172" s="133">
        <v>0.955333648201876</v>
      </c>
      <c r="T172" s="135">
        <v>0.9</v>
      </c>
      <c r="U172" s="133">
        <v>0.892667844522968</v>
      </c>
      <c r="V172" s="133">
        <v>0.907509157509158</v>
      </c>
      <c r="W172" s="133">
        <v>0.936568457538995</v>
      </c>
      <c r="X172" s="133">
        <v>0.913804736522502</v>
      </c>
      <c r="Y172" s="135">
        <v>0.92</v>
      </c>
      <c r="Z172" s="135">
        <v>0.936974789915966</v>
      </c>
      <c r="AA172" s="135">
        <v>0.953906689151209</v>
      </c>
      <c r="AB172" s="135">
        <v>0.947162426614481</v>
      </c>
      <c r="AC172" s="135">
        <v>0.958394139697256</v>
      </c>
      <c r="AD172" s="135">
        <v>0.92</v>
      </c>
      <c r="AE172" s="133">
        <v>0.961690885072655</v>
      </c>
      <c r="AF172" s="133">
        <v>0.9921875</v>
      </c>
      <c r="AG172" s="133">
        <v>0.996160794941283</v>
      </c>
      <c r="AH172" s="133">
        <v>0.962563964449232</v>
      </c>
      <c r="AI172" s="135">
        <v>0.92</v>
      </c>
      <c r="AJ172" s="133">
        <v>0.946272666218939</v>
      </c>
      <c r="AK172" s="133">
        <v>0.966172106824926</v>
      </c>
      <c r="AL172" s="133">
        <v>0.96895922093731</v>
      </c>
      <c r="AM172" s="133">
        <v>0.974266734581264</v>
      </c>
      <c r="AN172" s="132">
        <v>0.99</v>
      </c>
      <c r="AO172" s="137">
        <v>1</v>
      </c>
      <c r="AP172" s="137">
        <v>1</v>
      </c>
      <c r="AQ172" s="137">
        <v>1</v>
      </c>
      <c r="AR172" s="137">
        <v>1</v>
      </c>
      <c r="AS172" s="139">
        <v>0.105261498981944</v>
      </c>
      <c r="AT172" s="141">
        <v>0</v>
      </c>
      <c r="AU172" s="141">
        <v>0.0769230769230769</v>
      </c>
      <c r="AV172" s="141">
        <v>0</v>
      </c>
      <c r="AW172" s="141">
        <v>0.0710526315789474</v>
      </c>
      <c r="AX172" s="95"/>
      <c r="AY172" s="93"/>
    </row>
    <row r="173" ht="14.5" spans="1:51">
      <c r="A173" s="91"/>
      <c r="B173" s="95"/>
      <c r="C173" s="152" t="s">
        <v>99</v>
      </c>
      <c r="D173" s="153" t="s">
        <v>25</v>
      </c>
      <c r="E173" s="130" t="s">
        <v>100</v>
      </c>
      <c r="F173" s="154" t="s">
        <v>195</v>
      </c>
      <c r="G173" s="154" t="s">
        <v>195</v>
      </c>
      <c r="H173" s="154" t="s">
        <v>195</v>
      </c>
      <c r="I173" s="154" t="s">
        <v>195</v>
      </c>
      <c r="J173" s="132">
        <v>0.9</v>
      </c>
      <c r="K173" s="133">
        <v>0.931034482758621</v>
      </c>
      <c r="L173" s="133">
        <v>0.907692307692308</v>
      </c>
      <c r="M173" s="134">
        <v>0.985915492957746</v>
      </c>
      <c r="N173" s="133">
        <v>0.936708860759494</v>
      </c>
      <c r="O173" s="135">
        <v>0.9</v>
      </c>
      <c r="P173" s="133">
        <v>0.969637610186092</v>
      </c>
      <c r="Q173" s="133">
        <v>0.975293835452147</v>
      </c>
      <c r="R173" s="133">
        <v>0.978382317221278</v>
      </c>
      <c r="S173" s="133">
        <v>0.970472000596525</v>
      </c>
      <c r="T173" s="135">
        <v>0.9</v>
      </c>
      <c r="U173" s="133">
        <v>0.855370551746654</v>
      </c>
      <c r="V173" s="133">
        <v>0.881266490765171</v>
      </c>
      <c r="W173" s="133">
        <v>0.903570561088171</v>
      </c>
      <c r="X173" s="133">
        <v>0.90373573931847</v>
      </c>
      <c r="Y173" s="135">
        <v>0.92</v>
      </c>
      <c r="Z173" s="135">
        <v>0.858575727181545</v>
      </c>
      <c r="AA173" s="135">
        <v>0.894536213468869</v>
      </c>
      <c r="AB173" s="135">
        <v>0.922381930184805</v>
      </c>
      <c r="AC173" s="135">
        <v>0.935922573109174</v>
      </c>
      <c r="AD173" s="135">
        <v>0.92</v>
      </c>
      <c r="AE173" s="133">
        <v>0.988812231959724</v>
      </c>
      <c r="AF173" s="133">
        <v>0.848830409356725</v>
      </c>
      <c r="AG173" s="133">
        <v>0.982275132275132</v>
      </c>
      <c r="AH173" s="133">
        <v>0.772707509472246</v>
      </c>
      <c r="AI173" s="135">
        <v>0.92</v>
      </c>
      <c r="AJ173" s="133">
        <v>0.905665024630542</v>
      </c>
      <c r="AK173" s="133">
        <v>0.932629000153116</v>
      </c>
      <c r="AL173" s="133">
        <v>0.9549824507859</v>
      </c>
      <c r="AM173" s="133">
        <v>0.96050889951259</v>
      </c>
      <c r="AN173" s="132">
        <v>0.99</v>
      </c>
      <c r="AO173" s="137">
        <v>1</v>
      </c>
      <c r="AP173" s="137">
        <v>1</v>
      </c>
      <c r="AQ173" s="137">
        <v>1</v>
      </c>
      <c r="AR173" s="137">
        <v>1</v>
      </c>
      <c r="AS173" s="139">
        <v>0.105261498981944</v>
      </c>
      <c r="AT173" s="141">
        <v>0.285714285714286</v>
      </c>
      <c r="AU173" s="141">
        <v>0</v>
      </c>
      <c r="AV173" s="141">
        <v>0.2</v>
      </c>
      <c r="AW173" s="141">
        <v>0.0969072164948454</v>
      </c>
      <c r="AX173" s="95"/>
      <c r="AY173" s="93"/>
    </row>
    <row r="174" ht="14.5" spans="1:51">
      <c r="A174" s="91"/>
      <c r="B174" s="95"/>
      <c r="C174" s="152" t="s">
        <v>99</v>
      </c>
      <c r="D174" s="153" t="s">
        <v>25</v>
      </c>
      <c r="E174" s="130" t="s">
        <v>100</v>
      </c>
      <c r="F174" s="154" t="s">
        <v>196</v>
      </c>
      <c r="G174" s="154" t="s">
        <v>196</v>
      </c>
      <c r="H174" s="154" t="s">
        <v>196</v>
      </c>
      <c r="I174" s="154" t="s">
        <v>196</v>
      </c>
      <c r="J174" s="132">
        <v>0.9</v>
      </c>
      <c r="K174" s="133">
        <v>0.936507936507937</v>
      </c>
      <c r="L174" s="133">
        <v>0.918032786885246</v>
      </c>
      <c r="M174" s="134">
        <v>0.970149253731343</v>
      </c>
      <c r="N174" s="133">
        <v>0.920800696257615</v>
      </c>
      <c r="O174" s="135">
        <v>0.9</v>
      </c>
      <c r="P174" s="133">
        <v>0.93304535637149</v>
      </c>
      <c r="Q174" s="133">
        <v>0.930595170184446</v>
      </c>
      <c r="R174" s="133">
        <v>0.944614711033275</v>
      </c>
      <c r="S174" s="133">
        <v>0.908009168375684</v>
      </c>
      <c r="T174" s="135">
        <v>0.9</v>
      </c>
      <c r="U174" s="133">
        <v>0.841522678185745</v>
      </c>
      <c r="V174" s="133">
        <v>0.832667807567979</v>
      </c>
      <c r="W174" s="133">
        <v>0.899956217162872</v>
      </c>
      <c r="X174" s="133">
        <v>0.864799359529737</v>
      </c>
      <c r="Y174" s="135">
        <v>0.92</v>
      </c>
      <c r="Z174" s="135">
        <v>0.829335161069225</v>
      </c>
      <c r="AA174" s="135">
        <v>0.874679369732503</v>
      </c>
      <c r="AB174" s="135">
        <v>0.912665274878218</v>
      </c>
      <c r="AC174" s="135">
        <v>0.902224541466149</v>
      </c>
      <c r="AD174" s="135">
        <v>0.92</v>
      </c>
      <c r="AE174" s="133">
        <v>0.998475702701055</v>
      </c>
      <c r="AF174" s="133">
        <v>0.967752707150694</v>
      </c>
      <c r="AG174" s="133">
        <v>0.974225827237236</v>
      </c>
      <c r="AH174" s="133">
        <v>0.976881582884176</v>
      </c>
      <c r="AI174" s="135">
        <v>0.92</v>
      </c>
      <c r="AJ174" s="133">
        <v>0.875460003873717</v>
      </c>
      <c r="AK174" s="133">
        <v>0.905483224837256</v>
      </c>
      <c r="AL174" s="133">
        <v>0.943160440741736</v>
      </c>
      <c r="AM174" s="133">
        <v>0.9380085211174</v>
      </c>
      <c r="AN174" s="132">
        <v>0.99</v>
      </c>
      <c r="AO174" s="137">
        <v>1</v>
      </c>
      <c r="AP174" s="137">
        <v>1</v>
      </c>
      <c r="AQ174" s="137">
        <v>1</v>
      </c>
      <c r="AR174" s="137">
        <v>1</v>
      </c>
      <c r="AS174" s="139">
        <v>0.105261498981944</v>
      </c>
      <c r="AT174" s="141">
        <v>0.0384615384615385</v>
      </c>
      <c r="AU174" s="141">
        <v>0.0333333333333333</v>
      </c>
      <c r="AV174" s="141">
        <v>0.114285714285714</v>
      </c>
      <c r="AW174" s="141">
        <v>0.0722222222222222</v>
      </c>
      <c r="AX174" s="95"/>
      <c r="AY174" s="93"/>
    </row>
    <row r="175" ht="14.5" spans="1:51">
      <c r="A175" s="91"/>
      <c r="B175" s="95"/>
      <c r="C175" s="152" t="s">
        <v>99</v>
      </c>
      <c r="D175" s="153" t="s">
        <v>25</v>
      </c>
      <c r="E175" s="130" t="s">
        <v>100</v>
      </c>
      <c r="F175" s="154" t="s">
        <v>197</v>
      </c>
      <c r="G175" s="154" t="s">
        <v>197</v>
      </c>
      <c r="H175" s="154" t="s">
        <v>197</v>
      </c>
      <c r="I175" s="154" t="s">
        <v>197</v>
      </c>
      <c r="J175" s="132">
        <v>0.9</v>
      </c>
      <c r="K175" s="133">
        <v>0.946666666666667</v>
      </c>
      <c r="L175" s="133">
        <v>0.936708860759494</v>
      </c>
      <c r="M175" s="134">
        <v>0.950617283950617</v>
      </c>
      <c r="N175" s="133">
        <v>0.941726618705036</v>
      </c>
      <c r="O175" s="135">
        <v>0.9</v>
      </c>
      <c r="P175" s="133">
        <v>0.904948554630083</v>
      </c>
      <c r="Q175" s="133">
        <v>0.920817843866171</v>
      </c>
      <c r="R175" s="133">
        <v>0.900960972739753</v>
      </c>
      <c r="S175" s="133">
        <v>0.925654530188535</v>
      </c>
      <c r="T175" s="135">
        <v>0.9</v>
      </c>
      <c r="U175" s="133">
        <v>0.872366487016169</v>
      </c>
      <c r="V175" s="133">
        <v>0.927695167286245</v>
      </c>
      <c r="W175" s="133">
        <v>0.907236713080996</v>
      </c>
      <c r="X175" s="133">
        <v>0.899942207246993</v>
      </c>
      <c r="Y175" s="135">
        <v>0.92</v>
      </c>
      <c r="Z175" s="135">
        <v>0.928251121076233</v>
      </c>
      <c r="AA175" s="135">
        <v>0.949736522091609</v>
      </c>
      <c r="AB175" s="135">
        <v>0.961191961191961</v>
      </c>
      <c r="AC175" s="135">
        <v>0.952753565768621</v>
      </c>
      <c r="AD175" s="135">
        <v>0.92</v>
      </c>
      <c r="AE175" s="133">
        <v>0.996071498723237</v>
      </c>
      <c r="AF175" s="133">
        <v>0.972187776793623</v>
      </c>
      <c r="AG175" s="133">
        <v>0.974268502581756</v>
      </c>
      <c r="AH175" s="133">
        <v>0.958097158502294</v>
      </c>
      <c r="AI175" s="135">
        <v>0.92</v>
      </c>
      <c r="AJ175" s="133">
        <v>0.956826568265683</v>
      </c>
      <c r="AK175" s="133">
        <v>0.970693170234455</v>
      </c>
      <c r="AL175" s="133">
        <v>0.980087664370695</v>
      </c>
      <c r="AM175" s="133">
        <v>0.972884025765801</v>
      </c>
      <c r="AN175" s="132">
        <v>0.99</v>
      </c>
      <c r="AO175" s="137">
        <v>1</v>
      </c>
      <c r="AP175" s="137">
        <v>1</v>
      </c>
      <c r="AQ175" s="137">
        <v>1</v>
      </c>
      <c r="AR175" s="137">
        <v>0.999705795822301</v>
      </c>
      <c r="AS175" s="139">
        <v>0.105261498981944</v>
      </c>
      <c r="AT175" s="141">
        <v>0.0833333333333333</v>
      </c>
      <c r="AU175" s="141">
        <v>0.037037037037037</v>
      </c>
      <c r="AV175" s="141">
        <v>0.0869565217391304</v>
      </c>
      <c r="AW175" s="141">
        <v>0.0930693069306931</v>
      </c>
      <c r="AX175" s="95"/>
      <c r="AY175" s="93"/>
    </row>
    <row r="176" ht="14.5" spans="1:51">
      <c r="A176" s="91"/>
      <c r="B176" s="95"/>
      <c r="C176" s="152" t="s">
        <v>99</v>
      </c>
      <c r="D176" s="153" t="s">
        <v>25</v>
      </c>
      <c r="E176" s="130" t="s">
        <v>100</v>
      </c>
      <c r="F176" s="154" t="s">
        <v>198</v>
      </c>
      <c r="G176" s="154" t="s">
        <v>198</v>
      </c>
      <c r="H176" s="154" t="s">
        <v>198</v>
      </c>
      <c r="I176" s="154" t="s">
        <v>198</v>
      </c>
      <c r="J176" s="132">
        <v>0.9</v>
      </c>
      <c r="K176" s="133">
        <v>0.861111111111111</v>
      </c>
      <c r="L176" s="133">
        <v>0.9</v>
      </c>
      <c r="M176" s="134">
        <v>0.936170212765957</v>
      </c>
      <c r="N176" s="133">
        <v>0.944300518134715</v>
      </c>
      <c r="O176" s="135">
        <v>0.9</v>
      </c>
      <c r="P176" s="133">
        <v>0.940116279069767</v>
      </c>
      <c r="Q176" s="133">
        <v>0.956099456099456</v>
      </c>
      <c r="R176" s="133">
        <v>0.976131687242798</v>
      </c>
      <c r="S176" s="133">
        <v>0.958463006763766</v>
      </c>
      <c r="T176" s="135">
        <v>0.9</v>
      </c>
      <c r="U176" s="133">
        <v>0.854651162790698</v>
      </c>
      <c r="V176" s="133">
        <v>0.905205905205905</v>
      </c>
      <c r="W176" s="133">
        <v>0.917695473251029</v>
      </c>
      <c r="X176" s="133">
        <v>0.913357400722022</v>
      </c>
      <c r="Y176" s="135">
        <v>0.92</v>
      </c>
      <c r="Z176" s="135">
        <v>0.880877742946709</v>
      </c>
      <c r="AA176" s="135">
        <v>0.93970893970894</v>
      </c>
      <c r="AB176" s="135">
        <v>0.966236955187231</v>
      </c>
      <c r="AC176" s="135">
        <v>0.960113086722529</v>
      </c>
      <c r="AD176" s="135">
        <v>0.92</v>
      </c>
      <c r="AE176" s="133">
        <v>0.991408934707904</v>
      </c>
      <c r="AF176" s="133">
        <v>0.985289702791954</v>
      </c>
      <c r="AG176" s="133">
        <v>0.98809980806142</v>
      </c>
      <c r="AH176" s="133">
        <v>0.974336592178771</v>
      </c>
      <c r="AI176" s="135">
        <v>0.92</v>
      </c>
      <c r="AJ176" s="133">
        <v>0.916878710771841</v>
      </c>
      <c r="AK176" s="133">
        <v>0.959173512571571</v>
      </c>
      <c r="AL176" s="133">
        <v>0.977093596059113</v>
      </c>
      <c r="AM176" s="133">
        <v>0.975271076958781</v>
      </c>
      <c r="AN176" s="132">
        <v>0.99</v>
      </c>
      <c r="AO176" s="137">
        <v>1</v>
      </c>
      <c r="AP176" s="137">
        <v>1</v>
      </c>
      <c r="AQ176" s="137">
        <v>1</v>
      </c>
      <c r="AR176" s="137">
        <v>1</v>
      </c>
      <c r="AS176" s="139">
        <v>0.105261498981944</v>
      </c>
      <c r="AT176" s="141">
        <v>0.230769230769231</v>
      </c>
      <c r="AU176" s="141">
        <v>0.0454545454545455</v>
      </c>
      <c r="AV176" s="141">
        <v>0.1875</v>
      </c>
      <c r="AW176" s="141">
        <v>0.0967741935483871</v>
      </c>
      <c r="AX176" s="95"/>
      <c r="AY176" s="93"/>
    </row>
    <row r="177" ht="14.5" spans="1:51">
      <c r="A177" s="91"/>
      <c r="B177" s="95"/>
      <c r="C177" s="152" t="s">
        <v>99</v>
      </c>
      <c r="D177" s="153" t="s">
        <v>25</v>
      </c>
      <c r="E177" s="130" t="s">
        <v>100</v>
      </c>
      <c r="F177" s="154" t="s">
        <v>199</v>
      </c>
      <c r="G177" s="154" t="s">
        <v>199</v>
      </c>
      <c r="H177" s="154" t="s">
        <v>199</v>
      </c>
      <c r="I177" s="154" t="s">
        <v>199</v>
      </c>
      <c r="J177" s="132">
        <v>0.9</v>
      </c>
      <c r="K177" s="133">
        <v>1</v>
      </c>
      <c r="L177" s="133">
        <v>1</v>
      </c>
      <c r="M177" s="134">
        <v>0.974025974025974</v>
      </c>
      <c r="N177" s="133">
        <v>0.97624703087886</v>
      </c>
      <c r="O177" s="135">
        <v>0.9</v>
      </c>
      <c r="P177" s="133">
        <v>0.888432745713596</v>
      </c>
      <c r="Q177" s="133">
        <v>0.88397982257784</v>
      </c>
      <c r="R177" s="133">
        <v>0.919038966283061</v>
      </c>
      <c r="S177" s="133">
        <v>0.918538130093963</v>
      </c>
      <c r="T177" s="135">
        <v>0.9</v>
      </c>
      <c r="U177" s="133">
        <v>0.92055059164453</v>
      </c>
      <c r="V177" s="133">
        <v>0.903461471560271</v>
      </c>
      <c r="W177" s="133">
        <v>0.942862911366848</v>
      </c>
      <c r="X177" s="133">
        <v>0.926439287753725</v>
      </c>
      <c r="Y177" s="135">
        <v>0.92</v>
      </c>
      <c r="Z177" s="135">
        <v>0.904247104247104</v>
      </c>
      <c r="AA177" s="135">
        <v>0.982419127988748</v>
      </c>
      <c r="AB177" s="135">
        <v>0.986451612903226</v>
      </c>
      <c r="AC177" s="135">
        <v>0.985777218376337</v>
      </c>
      <c r="AD177" s="135">
        <v>0.92</v>
      </c>
      <c r="AE177" s="133">
        <v>0.993502155826805</v>
      </c>
      <c r="AF177" s="133">
        <v>0.990208806664503</v>
      </c>
      <c r="AG177" s="133">
        <v>0.948816466552316</v>
      </c>
      <c r="AH177" s="133">
        <v>0.940967173267558</v>
      </c>
      <c r="AI177" s="135">
        <v>0.92</v>
      </c>
      <c r="AJ177" s="133">
        <v>0.958425312729948</v>
      </c>
      <c r="AK177" s="133">
        <v>0.987898533860833</v>
      </c>
      <c r="AL177" s="133">
        <v>0.990189991307587</v>
      </c>
      <c r="AM177" s="133">
        <v>0.99156434653296</v>
      </c>
      <c r="AN177" s="132">
        <v>0.99</v>
      </c>
      <c r="AO177" s="137">
        <v>1</v>
      </c>
      <c r="AP177" s="137">
        <v>1</v>
      </c>
      <c r="AQ177" s="137">
        <v>1</v>
      </c>
      <c r="AR177" s="137">
        <v>1</v>
      </c>
      <c r="AS177" s="139">
        <v>0.105261498981944</v>
      </c>
      <c r="AT177" s="141">
        <v>0.12</v>
      </c>
      <c r="AU177" s="141">
        <v>0.166666666666667</v>
      </c>
      <c r="AV177" s="141">
        <v>0.133333333333333</v>
      </c>
      <c r="AW177" s="141">
        <v>0.144602851323829</v>
      </c>
      <c r="AX177" s="95"/>
      <c r="AY177" s="93"/>
    </row>
    <row r="178" ht="14.5" spans="1:51">
      <c r="A178" s="91"/>
      <c r="B178" s="95"/>
      <c r="C178" s="152" t="s">
        <v>99</v>
      </c>
      <c r="D178" s="153" t="s">
        <v>25</v>
      </c>
      <c r="E178" s="130" t="s">
        <v>100</v>
      </c>
      <c r="F178" s="154" t="s">
        <v>200</v>
      </c>
      <c r="G178" s="154" t="s">
        <v>200</v>
      </c>
      <c r="H178" s="154" t="s">
        <v>200</v>
      </c>
      <c r="I178" s="154" t="s">
        <v>200</v>
      </c>
      <c r="J178" s="132">
        <v>0.9</v>
      </c>
      <c r="K178" s="133">
        <v>0.86</v>
      </c>
      <c r="L178" s="133">
        <v>0.944444444444444</v>
      </c>
      <c r="M178" s="134">
        <v>0.983333333333333</v>
      </c>
      <c r="N178" s="133">
        <v>0.942827442827443</v>
      </c>
      <c r="O178" s="135">
        <v>0.9</v>
      </c>
      <c r="P178" s="133">
        <v>0.924612736660929</v>
      </c>
      <c r="Q178" s="133">
        <v>0.962487411883182</v>
      </c>
      <c r="R178" s="133">
        <v>0.951933404940924</v>
      </c>
      <c r="S178" s="133">
        <v>0.94722555220261</v>
      </c>
      <c r="T178" s="135">
        <v>0.9</v>
      </c>
      <c r="U178" s="133">
        <v>0.892943201376936</v>
      </c>
      <c r="V178" s="133">
        <v>0.915659617321249</v>
      </c>
      <c r="W178" s="133">
        <v>0.949785177228786</v>
      </c>
      <c r="X178" s="133">
        <v>0.931214087883924</v>
      </c>
      <c r="Y178" s="135">
        <v>0.92</v>
      </c>
      <c r="Z178" s="135">
        <v>0.921472392638037</v>
      </c>
      <c r="AA178" s="135">
        <v>0.948717948717949</v>
      </c>
      <c r="AB178" s="135">
        <v>0.96027563842724</v>
      </c>
      <c r="AC178" s="135">
        <v>0.959185661406585</v>
      </c>
      <c r="AD178" s="135">
        <v>0.92</v>
      </c>
      <c r="AE178" s="133">
        <v>0.99205298013245</v>
      </c>
      <c r="AF178" s="133">
        <v>0.953761467889908</v>
      </c>
      <c r="AG178" s="133">
        <v>0.978648727698157</v>
      </c>
      <c r="AH178" s="133">
        <v>0.973839629765893</v>
      </c>
      <c r="AI178" s="135">
        <v>0.92</v>
      </c>
      <c r="AJ178" s="133">
        <v>0.940322580645161</v>
      </c>
      <c r="AK178" s="133">
        <v>0.97299110887435</v>
      </c>
      <c r="AL178" s="133">
        <v>0.976909413854352</v>
      </c>
      <c r="AM178" s="133">
        <v>0.975478421538868</v>
      </c>
      <c r="AN178" s="132">
        <v>0.99</v>
      </c>
      <c r="AO178" s="137">
        <v>1</v>
      </c>
      <c r="AP178" s="137">
        <v>1</v>
      </c>
      <c r="AQ178" s="137">
        <v>1</v>
      </c>
      <c r="AR178" s="137">
        <v>1</v>
      </c>
      <c r="AS178" s="139">
        <v>0.105261498981944</v>
      </c>
      <c r="AT178" s="141">
        <v>0.166666666666667</v>
      </c>
      <c r="AU178" s="141">
        <v>0.0909090909090909</v>
      </c>
      <c r="AV178" s="141">
        <v>0.333333333333333</v>
      </c>
      <c r="AW178" s="141">
        <v>0.105022831050228</v>
      </c>
      <c r="AX178" s="95"/>
      <c r="AY178" s="93"/>
    </row>
    <row r="179" ht="14.5" spans="1:51">
      <c r="A179" s="91"/>
      <c r="B179" s="95"/>
      <c r="C179" s="152" t="s">
        <v>99</v>
      </c>
      <c r="D179" s="153" t="s">
        <v>25</v>
      </c>
      <c r="E179" s="130" t="s">
        <v>100</v>
      </c>
      <c r="F179" s="154" t="s">
        <v>201</v>
      </c>
      <c r="G179" s="154" t="s">
        <v>201</v>
      </c>
      <c r="H179" s="154" t="s">
        <v>201</v>
      </c>
      <c r="I179" s="154" t="s">
        <v>201</v>
      </c>
      <c r="J179" s="132">
        <v>0.9</v>
      </c>
      <c r="K179" s="133">
        <v>0.893939393939394</v>
      </c>
      <c r="L179" s="133">
        <v>0.881578947368421</v>
      </c>
      <c r="M179" s="134">
        <v>0.935897435897436</v>
      </c>
      <c r="N179" s="133">
        <v>0.923076923076923</v>
      </c>
      <c r="O179" s="135">
        <v>0.9</v>
      </c>
      <c r="P179" s="133">
        <v>0.927083333333333</v>
      </c>
      <c r="Q179" s="133">
        <v>0.970277732662011</v>
      </c>
      <c r="R179" s="133">
        <v>0.954520844612886</v>
      </c>
      <c r="S179" s="133">
        <v>0.932715945129389</v>
      </c>
      <c r="T179" s="135">
        <v>0.9</v>
      </c>
      <c r="U179" s="133">
        <v>0.886385658914729</v>
      </c>
      <c r="V179" s="133">
        <v>0.931784960207893</v>
      </c>
      <c r="W179" s="133">
        <v>0.916260602779282</v>
      </c>
      <c r="X179" s="133">
        <v>0.905890521495994</v>
      </c>
      <c r="Y179" s="135">
        <v>0.92</v>
      </c>
      <c r="Z179" s="135">
        <v>0.847328244274809</v>
      </c>
      <c r="AA179" s="135">
        <v>0.921902733404331</v>
      </c>
      <c r="AB179" s="135">
        <v>0.930999663412992</v>
      </c>
      <c r="AC179" s="135">
        <v>0.923056569825898</v>
      </c>
      <c r="AD179" s="135">
        <v>0.92</v>
      </c>
      <c r="AE179" s="133">
        <v>0.997773026901835</v>
      </c>
      <c r="AF179" s="133">
        <v>0.995561384041158</v>
      </c>
      <c r="AG179" s="133">
        <v>0.996119235095613</v>
      </c>
      <c r="AH179" s="133">
        <v>0.982770943701176</v>
      </c>
      <c r="AI179" s="135">
        <v>0.92</v>
      </c>
      <c r="AJ179" s="133">
        <v>0.92388306674021</v>
      </c>
      <c r="AK179" s="133">
        <v>0.957878315132605</v>
      </c>
      <c r="AL179" s="133">
        <v>0.962880300716551</v>
      </c>
      <c r="AM179" s="133">
        <v>0.959740832373907</v>
      </c>
      <c r="AN179" s="132">
        <v>0.99</v>
      </c>
      <c r="AO179" s="137">
        <v>1</v>
      </c>
      <c r="AP179" s="137">
        <v>1</v>
      </c>
      <c r="AQ179" s="137">
        <v>1</v>
      </c>
      <c r="AR179" s="137">
        <v>1</v>
      </c>
      <c r="AS179" s="139">
        <v>0.105261498981944</v>
      </c>
      <c r="AT179" s="141">
        <v>0</v>
      </c>
      <c r="AU179" s="141">
        <v>0.0869565217391304</v>
      </c>
      <c r="AV179" s="141">
        <v>0.0434782608695652</v>
      </c>
      <c r="AW179" s="141">
        <v>0.120833333333333</v>
      </c>
      <c r="AX179" s="95"/>
      <c r="AY179" s="93"/>
    </row>
    <row r="180" ht="14.5" spans="1:51">
      <c r="A180" s="91"/>
      <c r="B180" s="95"/>
      <c r="C180" s="152" t="s">
        <v>99</v>
      </c>
      <c r="D180" s="153" t="s">
        <v>25</v>
      </c>
      <c r="E180" s="130" t="s">
        <v>100</v>
      </c>
      <c r="F180" s="154" t="s">
        <v>202</v>
      </c>
      <c r="G180" s="154" t="s">
        <v>202</v>
      </c>
      <c r="H180" s="154" t="s">
        <v>202</v>
      </c>
      <c r="I180" s="154" t="s">
        <v>202</v>
      </c>
      <c r="J180" s="132">
        <v>0.9</v>
      </c>
      <c r="K180" s="133" t="s">
        <v>35</v>
      </c>
      <c r="L180" s="133" t="s">
        <v>35</v>
      </c>
      <c r="M180" s="134" t="s">
        <v>35</v>
      </c>
      <c r="N180" s="133">
        <v>0.833040421792619</v>
      </c>
      <c r="O180" s="135">
        <v>0.9</v>
      </c>
      <c r="P180" s="133">
        <v>0.0615384615384615</v>
      </c>
      <c r="Q180" s="133">
        <v>0.00952380952380952</v>
      </c>
      <c r="R180" s="133">
        <v>0.0246913580246914</v>
      </c>
      <c r="S180" s="133">
        <v>0.764121746064898</v>
      </c>
      <c r="T180" s="135">
        <v>0.9</v>
      </c>
      <c r="U180" s="133">
        <v>1</v>
      </c>
      <c r="V180" s="133">
        <v>0.961904761904762</v>
      </c>
      <c r="W180" s="133">
        <v>0.962962962962963</v>
      </c>
      <c r="X180" s="133">
        <v>0.83754533199157</v>
      </c>
      <c r="Y180" s="135">
        <v>0.92</v>
      </c>
      <c r="Z180" s="135">
        <v>0.916666666666667</v>
      </c>
      <c r="AA180" s="135">
        <v>1</v>
      </c>
      <c r="AB180" s="135">
        <v>0.863636363636364</v>
      </c>
      <c r="AC180" s="135">
        <v>0.948529411764706</v>
      </c>
      <c r="AD180" s="135">
        <v>0.92</v>
      </c>
      <c r="AE180" s="133" t="s">
        <v>35</v>
      </c>
      <c r="AF180" s="133" t="s">
        <v>35</v>
      </c>
      <c r="AG180" s="133">
        <v>1</v>
      </c>
      <c r="AH180" s="133">
        <v>0.913131459131315</v>
      </c>
      <c r="AI180" s="135">
        <v>0.92</v>
      </c>
      <c r="AJ180" s="133">
        <v>0.97752808988764</v>
      </c>
      <c r="AK180" s="133">
        <v>0.969230769230769</v>
      </c>
      <c r="AL180" s="133">
        <v>0.951456310679612</v>
      </c>
      <c r="AM180" s="133">
        <v>0.964190494247017</v>
      </c>
      <c r="AN180" s="132">
        <v>0.99</v>
      </c>
      <c r="AO180" s="137" t="s">
        <v>35</v>
      </c>
      <c r="AP180" s="137" t="s">
        <v>35</v>
      </c>
      <c r="AQ180" s="137" t="s">
        <v>35</v>
      </c>
      <c r="AR180" s="137">
        <v>1</v>
      </c>
      <c r="AS180" s="139">
        <v>0.105261498981944</v>
      </c>
      <c r="AT180" s="141">
        <v>0</v>
      </c>
      <c r="AU180" s="141" t="s">
        <v>35</v>
      </c>
      <c r="AV180" s="141" t="s">
        <v>35</v>
      </c>
      <c r="AW180" s="141">
        <v>0.0864661654135338</v>
      </c>
      <c r="AX180" s="95"/>
      <c r="AY180" s="93"/>
    </row>
    <row r="181" ht="14.5" spans="1:51">
      <c r="A181" s="91"/>
      <c r="B181" s="95"/>
      <c r="C181" s="152" t="s">
        <v>99</v>
      </c>
      <c r="D181" s="153" t="s">
        <v>25</v>
      </c>
      <c r="E181" s="130" t="s">
        <v>100</v>
      </c>
      <c r="F181" s="154" t="s">
        <v>203</v>
      </c>
      <c r="G181" s="154" t="s">
        <v>203</v>
      </c>
      <c r="H181" s="154" t="s">
        <v>203</v>
      </c>
      <c r="I181" s="154" t="s">
        <v>203</v>
      </c>
      <c r="J181" s="132">
        <v>0.9</v>
      </c>
      <c r="K181" s="133">
        <v>1</v>
      </c>
      <c r="L181" s="133">
        <v>1</v>
      </c>
      <c r="M181" s="134">
        <v>0.966101694915254</v>
      </c>
      <c r="N181" s="133">
        <v>0.95625</v>
      </c>
      <c r="O181" s="135">
        <v>0.9</v>
      </c>
      <c r="P181" s="133">
        <v>0.908173769816759</v>
      </c>
      <c r="Q181" s="133">
        <v>0.933150183150183</v>
      </c>
      <c r="R181" s="133">
        <v>0.95090938355062</v>
      </c>
      <c r="S181" s="133">
        <v>0.848412462356397</v>
      </c>
      <c r="T181" s="135">
        <v>0.9</v>
      </c>
      <c r="U181" s="133">
        <v>0.911262095943998</v>
      </c>
      <c r="V181" s="133">
        <v>0.904761904761905</v>
      </c>
      <c r="W181" s="133">
        <v>0.938516014807661</v>
      </c>
      <c r="X181" s="133">
        <v>0.90348365988772</v>
      </c>
      <c r="Y181" s="135">
        <v>0.92</v>
      </c>
      <c r="Z181" s="135">
        <v>0.883254716981132</v>
      </c>
      <c r="AA181" s="135">
        <v>0.926243567753002</v>
      </c>
      <c r="AB181" s="135">
        <v>0.949107142857143</v>
      </c>
      <c r="AC181" s="135">
        <v>0.940909725129064</v>
      </c>
      <c r="AD181" s="135">
        <v>0.92</v>
      </c>
      <c r="AE181" s="133">
        <v>0.99757308740619</v>
      </c>
      <c r="AF181" s="133">
        <v>0.986007858212963</v>
      </c>
      <c r="AG181" s="133">
        <v>0.994699003897791</v>
      </c>
      <c r="AH181" s="133">
        <v>0.976001556382384</v>
      </c>
      <c r="AI181" s="135">
        <v>0.92</v>
      </c>
      <c r="AJ181" s="133">
        <v>0.927405825834986</v>
      </c>
      <c r="AK181" s="133">
        <v>0.949451245251161</v>
      </c>
      <c r="AL181" s="133">
        <v>0.967839615746058</v>
      </c>
      <c r="AM181" s="133">
        <v>0.963675809325269</v>
      </c>
      <c r="AN181" s="132">
        <v>0.99</v>
      </c>
      <c r="AO181" s="137">
        <v>1</v>
      </c>
      <c r="AP181" s="137">
        <v>1</v>
      </c>
      <c r="AQ181" s="137">
        <v>1</v>
      </c>
      <c r="AR181" s="137">
        <v>1</v>
      </c>
      <c r="AS181" s="139">
        <v>0.105261498981944</v>
      </c>
      <c r="AT181" s="141">
        <v>0.0555555555555556</v>
      </c>
      <c r="AU181" s="141">
        <v>0.025</v>
      </c>
      <c r="AV181" s="141">
        <v>0.0689655172413793</v>
      </c>
      <c r="AW181" s="141">
        <v>0.065</v>
      </c>
      <c r="AX181" s="95"/>
      <c r="AY181" s="93"/>
    </row>
    <row r="182" ht="14.5" spans="1:51">
      <c r="A182" s="91"/>
      <c r="B182" s="95"/>
      <c r="C182" s="152" t="s">
        <v>99</v>
      </c>
      <c r="D182" s="153" t="s">
        <v>25</v>
      </c>
      <c r="E182" s="130" t="s">
        <v>100</v>
      </c>
      <c r="F182" s="154" t="s">
        <v>204</v>
      </c>
      <c r="G182" s="154" t="s">
        <v>204</v>
      </c>
      <c r="H182" s="154" t="s">
        <v>204</v>
      </c>
      <c r="I182" s="154" t="s">
        <v>204</v>
      </c>
      <c r="J182" s="132">
        <v>0.9</v>
      </c>
      <c r="K182" s="133">
        <v>0.930232558139535</v>
      </c>
      <c r="L182" s="133">
        <v>0.938775510204082</v>
      </c>
      <c r="M182" s="134">
        <v>0.909090909090909</v>
      </c>
      <c r="N182" s="133">
        <v>0.927380952380952</v>
      </c>
      <c r="O182" s="135">
        <v>0.9</v>
      </c>
      <c r="P182" s="133">
        <v>0.864246250986582</v>
      </c>
      <c r="Q182" s="133">
        <v>0.946900982615268</v>
      </c>
      <c r="R182" s="133">
        <v>0.863070539419087</v>
      </c>
      <c r="S182" s="133">
        <v>0.924001211308429</v>
      </c>
      <c r="T182" s="135">
        <v>0.9</v>
      </c>
      <c r="U182" s="133">
        <v>0.822941331228624</v>
      </c>
      <c r="V182" s="133">
        <v>0.914965986394558</v>
      </c>
      <c r="W182" s="133">
        <v>0.862477771191464</v>
      </c>
      <c r="X182" s="133">
        <v>0.917728364084705</v>
      </c>
      <c r="Y182" s="135">
        <v>0.92</v>
      </c>
      <c r="Z182" s="135">
        <v>0.768077601410935</v>
      </c>
      <c r="AA182" s="135">
        <v>0.919728434504792</v>
      </c>
      <c r="AB182" s="135">
        <v>0.917073170731707</v>
      </c>
      <c r="AC182" s="135">
        <v>0.945395812251888</v>
      </c>
      <c r="AD182" s="135">
        <v>0.92</v>
      </c>
      <c r="AE182" s="133">
        <v>0.986266431234059</v>
      </c>
      <c r="AF182" s="133">
        <v>0.986886160714286</v>
      </c>
      <c r="AG182" s="133">
        <v>0.985355412864707</v>
      </c>
      <c r="AH182" s="133">
        <v>0.97192094186543</v>
      </c>
      <c r="AI182" s="135">
        <v>0.92</v>
      </c>
      <c r="AJ182" s="133">
        <v>0.85531914893617</v>
      </c>
      <c r="AK182" s="133">
        <v>0.948826471719892</v>
      </c>
      <c r="AL182" s="133">
        <v>0.952218860312658</v>
      </c>
      <c r="AM182" s="133">
        <v>0.96576794489508</v>
      </c>
      <c r="AN182" s="132">
        <v>0.99</v>
      </c>
      <c r="AO182" s="137">
        <v>1</v>
      </c>
      <c r="AP182" s="137">
        <v>1</v>
      </c>
      <c r="AQ182" s="137">
        <v>1</v>
      </c>
      <c r="AR182" s="137">
        <v>1</v>
      </c>
      <c r="AS182" s="139">
        <v>0.105261498981944</v>
      </c>
      <c r="AT182" s="141">
        <v>0.0625</v>
      </c>
      <c r="AU182" s="141">
        <v>0.05</v>
      </c>
      <c r="AV182" s="141">
        <v>0.0666666666666667</v>
      </c>
      <c r="AW182" s="141">
        <v>0.0701219512195122</v>
      </c>
      <c r="AX182" s="95"/>
      <c r="AY182" s="93"/>
    </row>
    <row r="183" ht="14.5" spans="1:51">
      <c r="A183" s="91"/>
      <c r="B183" s="95"/>
      <c r="C183" s="152" t="s">
        <v>99</v>
      </c>
      <c r="D183" s="153" t="s">
        <v>25</v>
      </c>
      <c r="E183" s="130" t="s">
        <v>100</v>
      </c>
      <c r="F183" s="154" t="s">
        <v>205</v>
      </c>
      <c r="G183" s="154" t="s">
        <v>205</v>
      </c>
      <c r="H183" s="154" t="s">
        <v>205</v>
      </c>
      <c r="I183" s="154" t="s">
        <v>205</v>
      </c>
      <c r="J183" s="132">
        <v>0.9</v>
      </c>
      <c r="K183" s="133">
        <v>0.921052631578947</v>
      </c>
      <c r="L183" s="133">
        <v>0.926829268292683</v>
      </c>
      <c r="M183" s="134">
        <v>0.976190476190476</v>
      </c>
      <c r="N183" s="133">
        <v>0.974219810040706</v>
      </c>
      <c r="O183" s="135">
        <v>0.9</v>
      </c>
      <c r="P183" s="133">
        <v>0.899170812603648</v>
      </c>
      <c r="Q183" s="133">
        <v>0.878054247926474</v>
      </c>
      <c r="R183" s="133">
        <v>0.93817542096004</v>
      </c>
      <c r="S183" s="133">
        <v>0.912269070416789</v>
      </c>
      <c r="T183" s="135">
        <v>0.9</v>
      </c>
      <c r="U183" s="133">
        <v>0.893864013266998</v>
      </c>
      <c r="V183" s="133">
        <v>0.887469177314503</v>
      </c>
      <c r="W183" s="133">
        <v>0.941693892937924</v>
      </c>
      <c r="X183" s="133">
        <v>0.917789705863603</v>
      </c>
      <c r="Y183" s="135">
        <v>0.92</v>
      </c>
      <c r="Z183" s="135">
        <v>0.839544513457557</v>
      </c>
      <c r="AA183" s="135">
        <v>0.921157684630739</v>
      </c>
      <c r="AB183" s="135">
        <v>0.954930662557781</v>
      </c>
      <c r="AC183" s="135">
        <v>0.954959798055348</v>
      </c>
      <c r="AD183" s="135">
        <v>0.92</v>
      </c>
      <c r="AE183" s="133">
        <v>0.98342175066313</v>
      </c>
      <c r="AF183" s="133">
        <v>0.979522570426519</v>
      </c>
      <c r="AG183" s="133">
        <v>0.985705534000408</v>
      </c>
      <c r="AH183" s="133">
        <v>0.972116466544384</v>
      </c>
      <c r="AI183" s="135">
        <v>0.92</v>
      </c>
      <c r="AJ183" s="133">
        <v>0.915892543309064</v>
      </c>
      <c r="AK183" s="133">
        <v>0.94199535962877</v>
      </c>
      <c r="AL183" s="133">
        <v>0.972015209125475</v>
      </c>
      <c r="AM183" s="133">
        <v>0.970792503876736</v>
      </c>
      <c r="AN183" s="132">
        <v>0.99</v>
      </c>
      <c r="AO183" s="137">
        <v>1</v>
      </c>
      <c r="AP183" s="137">
        <v>1</v>
      </c>
      <c r="AQ183" s="137">
        <v>1</v>
      </c>
      <c r="AR183" s="137">
        <v>1</v>
      </c>
      <c r="AS183" s="139">
        <v>0.105261498981944</v>
      </c>
      <c r="AT183" s="141">
        <v>0.0588235294117647</v>
      </c>
      <c r="AU183" s="141">
        <v>0.0526315789473684</v>
      </c>
      <c r="AV183" s="141">
        <v>0.0625</v>
      </c>
      <c r="AW183" s="141">
        <v>0.0792682926829268</v>
      </c>
      <c r="AX183" s="95"/>
      <c r="AY183" s="93"/>
    </row>
    <row r="184" ht="14.5" spans="1:51">
      <c r="A184" s="91"/>
      <c r="B184" s="95"/>
      <c r="C184" s="152" t="s">
        <v>99</v>
      </c>
      <c r="D184" s="153" t="s">
        <v>25</v>
      </c>
      <c r="E184" s="130" t="s">
        <v>100</v>
      </c>
      <c r="F184" s="154" t="s">
        <v>206</v>
      </c>
      <c r="G184" s="154" t="s">
        <v>206</v>
      </c>
      <c r="H184" s="154" t="s">
        <v>206</v>
      </c>
      <c r="I184" s="154" t="s">
        <v>206</v>
      </c>
      <c r="J184" s="132">
        <v>0.9</v>
      </c>
      <c r="K184" s="133">
        <v>0.898305084745763</v>
      </c>
      <c r="L184" s="133">
        <v>0.984615384615385</v>
      </c>
      <c r="M184" s="134">
        <v>0.931506849315068</v>
      </c>
      <c r="N184" s="133">
        <v>0.935222672064777</v>
      </c>
      <c r="O184" s="135">
        <v>0.9</v>
      </c>
      <c r="P184" s="133">
        <v>0.878743608473338</v>
      </c>
      <c r="Q184" s="133">
        <v>0.895476876164662</v>
      </c>
      <c r="R184" s="133">
        <v>0.935200260501465</v>
      </c>
      <c r="S184" s="133">
        <v>0.899321890039639</v>
      </c>
      <c r="T184" s="135">
        <v>0.9</v>
      </c>
      <c r="U184" s="133">
        <v>0.855855855855856</v>
      </c>
      <c r="V184" s="133">
        <v>0.877858715907166</v>
      </c>
      <c r="W184" s="133">
        <v>0.931943992184956</v>
      </c>
      <c r="X184" s="133">
        <v>0.894698823465675</v>
      </c>
      <c r="Y184" s="135">
        <v>0.92</v>
      </c>
      <c r="Z184" s="135">
        <v>0.777092511013216</v>
      </c>
      <c r="AA184" s="135">
        <v>0.894624421502314</v>
      </c>
      <c r="AB184" s="135">
        <v>0.903299203640501</v>
      </c>
      <c r="AC184" s="135">
        <v>0.92446144420711</v>
      </c>
      <c r="AD184" s="135">
        <v>0.92</v>
      </c>
      <c r="AE184" s="133">
        <v>0.978406552494415</v>
      </c>
      <c r="AF184" s="133">
        <v>0.955270150575731</v>
      </c>
      <c r="AG184" s="133">
        <v>0.985453034081463</v>
      </c>
      <c r="AH184" s="133">
        <v>0.964714391836415</v>
      </c>
      <c r="AI184" s="135">
        <v>0.92</v>
      </c>
      <c r="AJ184" s="133">
        <v>0.876978828914743</v>
      </c>
      <c r="AK184" s="133">
        <v>0.932392102846648</v>
      </c>
      <c r="AL184" s="133">
        <v>0.950310559006211</v>
      </c>
      <c r="AM184" s="133">
        <v>0.952657778193248</v>
      </c>
      <c r="AN184" s="132">
        <v>0.99</v>
      </c>
      <c r="AO184" s="137">
        <v>1</v>
      </c>
      <c r="AP184" s="137">
        <v>1</v>
      </c>
      <c r="AQ184" s="137">
        <v>1</v>
      </c>
      <c r="AR184" s="137">
        <v>1</v>
      </c>
      <c r="AS184" s="139">
        <v>0.105261498981944</v>
      </c>
      <c r="AT184" s="141">
        <v>0.0555555555555556</v>
      </c>
      <c r="AU184" s="141">
        <v>0.25</v>
      </c>
      <c r="AV184" s="141">
        <v>0</v>
      </c>
      <c r="AW184" s="141">
        <v>0.110849056603774</v>
      </c>
      <c r="AX184" s="95"/>
      <c r="AY184" s="93"/>
    </row>
    <row r="185" ht="14.5" spans="1:51">
      <c r="A185" s="91"/>
      <c r="B185" s="95"/>
      <c r="C185" s="152" t="s">
        <v>99</v>
      </c>
      <c r="D185" s="153" t="s">
        <v>25</v>
      </c>
      <c r="E185" s="130" t="s">
        <v>100</v>
      </c>
      <c r="F185" s="154" t="s">
        <v>207</v>
      </c>
      <c r="G185" s="154" t="s">
        <v>207</v>
      </c>
      <c r="H185" s="154" t="s">
        <v>207</v>
      </c>
      <c r="I185" s="154" t="s">
        <v>207</v>
      </c>
      <c r="J185" s="132">
        <v>0.9</v>
      </c>
      <c r="K185" s="133">
        <v>0.855421686746988</v>
      </c>
      <c r="L185" s="133">
        <v>0.914893617021277</v>
      </c>
      <c r="M185" s="134">
        <v>0.99009900990099</v>
      </c>
      <c r="N185" s="133">
        <v>0.947035118019574</v>
      </c>
      <c r="O185" s="135">
        <v>0.9</v>
      </c>
      <c r="P185" s="133">
        <v>0.872068636796949</v>
      </c>
      <c r="Q185" s="133">
        <v>0.890238907849829</v>
      </c>
      <c r="R185" s="133">
        <v>0.921978798586572</v>
      </c>
      <c r="S185" s="133">
        <v>0.917830511582422</v>
      </c>
      <c r="T185" s="135">
        <v>0.9</v>
      </c>
      <c r="U185" s="133">
        <v>0.797521448999047</v>
      </c>
      <c r="V185" s="133">
        <v>0.886279863481229</v>
      </c>
      <c r="W185" s="133">
        <v>0.915053003533569</v>
      </c>
      <c r="X185" s="133">
        <v>0.907821954648249</v>
      </c>
      <c r="Y185" s="135">
        <v>0.92</v>
      </c>
      <c r="Z185" s="135">
        <v>0.856697819314642</v>
      </c>
      <c r="AA185" s="135">
        <v>0.926739926739927</v>
      </c>
      <c r="AB185" s="135">
        <v>0.937255753365176</v>
      </c>
      <c r="AC185" s="135">
        <v>0.943140637327663</v>
      </c>
      <c r="AD185" s="135">
        <v>0.92</v>
      </c>
      <c r="AE185" s="133">
        <v>0.996301775147929</v>
      </c>
      <c r="AF185" s="133">
        <v>0.995604395604396</v>
      </c>
      <c r="AG185" s="133">
        <v>0.994627507163324</v>
      </c>
      <c r="AH185" s="133">
        <v>0.991248473570972</v>
      </c>
      <c r="AI185" s="135">
        <v>0.92</v>
      </c>
      <c r="AJ185" s="133">
        <v>0.896234676007005</v>
      </c>
      <c r="AK185" s="133">
        <v>0.946622409616937</v>
      </c>
      <c r="AL185" s="133">
        <v>0.962931255885626</v>
      </c>
      <c r="AM185" s="133">
        <v>0.964076485144905</v>
      </c>
      <c r="AN185" s="132">
        <v>0.99</v>
      </c>
      <c r="AO185" s="137">
        <v>1</v>
      </c>
      <c r="AP185" s="137">
        <v>1</v>
      </c>
      <c r="AQ185" s="137">
        <v>1</v>
      </c>
      <c r="AR185" s="137">
        <v>1</v>
      </c>
      <c r="AS185" s="139">
        <v>0.105261498981944</v>
      </c>
      <c r="AT185" s="141">
        <v>0.0769230769230769</v>
      </c>
      <c r="AU185" s="141">
        <v>0.0526315789473684</v>
      </c>
      <c r="AV185" s="141">
        <v>0.05</v>
      </c>
      <c r="AW185" s="141">
        <v>0.0795180722891566</v>
      </c>
      <c r="AX185" s="95"/>
      <c r="AY185" s="93"/>
    </row>
    <row r="186" ht="14.5" spans="1:51">
      <c r="A186" s="91"/>
      <c r="B186" s="95"/>
      <c r="C186" s="152" t="s">
        <v>99</v>
      </c>
      <c r="D186" s="153" t="s">
        <v>25</v>
      </c>
      <c r="E186" s="130" t="s">
        <v>100</v>
      </c>
      <c r="F186" s="154" t="s">
        <v>208</v>
      </c>
      <c r="G186" s="154" t="s">
        <v>208</v>
      </c>
      <c r="H186" s="154" t="s">
        <v>208</v>
      </c>
      <c r="I186" s="154" t="s">
        <v>208</v>
      </c>
      <c r="J186" s="132">
        <v>0.9</v>
      </c>
      <c r="K186" s="133" t="s">
        <v>35</v>
      </c>
      <c r="L186" s="133" t="s">
        <v>35</v>
      </c>
      <c r="M186" s="134" t="s">
        <v>35</v>
      </c>
      <c r="N186" s="133">
        <v>0.862745098039216</v>
      </c>
      <c r="O186" s="135">
        <v>0.9</v>
      </c>
      <c r="P186" s="133" t="s">
        <v>35</v>
      </c>
      <c r="Q186" s="133">
        <v>0</v>
      </c>
      <c r="R186" s="133">
        <v>0</v>
      </c>
      <c r="S186" s="133">
        <v>0.664538714991763</v>
      </c>
      <c r="T186" s="135">
        <v>0.9</v>
      </c>
      <c r="U186" s="133" t="s">
        <v>35</v>
      </c>
      <c r="V186" s="133">
        <v>1</v>
      </c>
      <c r="W186" s="133">
        <v>1</v>
      </c>
      <c r="X186" s="133">
        <v>0.855230642504119</v>
      </c>
      <c r="Y186" s="135">
        <v>0.92</v>
      </c>
      <c r="Z186" s="135">
        <v>1</v>
      </c>
      <c r="AA186" s="135">
        <v>1</v>
      </c>
      <c r="AB186" s="135">
        <v>1</v>
      </c>
      <c r="AC186" s="135">
        <v>0.972232239451857</v>
      </c>
      <c r="AD186" s="135">
        <v>0.92</v>
      </c>
      <c r="AE186" s="133" t="s">
        <v>35</v>
      </c>
      <c r="AF186" s="133" t="s">
        <v>35</v>
      </c>
      <c r="AG186" s="133" t="s">
        <v>35</v>
      </c>
      <c r="AH186" s="133">
        <v>0.960739030023095</v>
      </c>
      <c r="AI186" s="135">
        <v>0.92</v>
      </c>
      <c r="AJ186" s="133">
        <v>1</v>
      </c>
      <c r="AK186" s="133">
        <v>1</v>
      </c>
      <c r="AL186" s="133">
        <v>1</v>
      </c>
      <c r="AM186" s="133">
        <v>0.984182548943342</v>
      </c>
      <c r="AN186" s="132">
        <v>0.99</v>
      </c>
      <c r="AO186" s="137" t="s">
        <v>35</v>
      </c>
      <c r="AP186" s="137" t="s">
        <v>35</v>
      </c>
      <c r="AQ186" s="137" t="s">
        <v>35</v>
      </c>
      <c r="AR186" s="137">
        <v>1</v>
      </c>
      <c r="AS186" s="139">
        <v>0.105261498981944</v>
      </c>
      <c r="AT186" s="141" t="s">
        <v>35</v>
      </c>
      <c r="AU186" s="141" t="s">
        <v>35</v>
      </c>
      <c r="AV186" s="141" t="s">
        <v>35</v>
      </c>
      <c r="AW186" s="141">
        <v>0.391304347826087</v>
      </c>
      <c r="AX186" s="95"/>
      <c r="AY186" s="93"/>
    </row>
    <row r="187" ht="14.5" spans="1:51">
      <c r="A187" s="91"/>
      <c r="B187" s="95"/>
      <c r="C187" s="152" t="s">
        <v>99</v>
      </c>
      <c r="D187" s="153" t="s">
        <v>25</v>
      </c>
      <c r="E187" s="130" t="s">
        <v>100</v>
      </c>
      <c r="F187" s="154" t="s">
        <v>209</v>
      </c>
      <c r="G187" s="154" t="s">
        <v>209</v>
      </c>
      <c r="H187" s="154" t="s">
        <v>209</v>
      </c>
      <c r="I187" s="154" t="s">
        <v>209</v>
      </c>
      <c r="J187" s="132">
        <v>0.9</v>
      </c>
      <c r="K187" s="133" t="s">
        <v>35</v>
      </c>
      <c r="L187" s="133" t="s">
        <v>35</v>
      </c>
      <c r="M187" s="134" t="s">
        <v>35</v>
      </c>
      <c r="N187" s="133" t="s">
        <v>35</v>
      </c>
      <c r="O187" s="135">
        <v>0.9</v>
      </c>
      <c r="P187" s="133" t="s">
        <v>35</v>
      </c>
      <c r="Q187" s="133" t="s">
        <v>35</v>
      </c>
      <c r="R187" s="133" t="s">
        <v>35</v>
      </c>
      <c r="S187" s="133" t="s">
        <v>35</v>
      </c>
      <c r="T187" s="135">
        <v>0.9</v>
      </c>
      <c r="U187" s="133" t="s">
        <v>35</v>
      </c>
      <c r="V187" s="133" t="s">
        <v>35</v>
      </c>
      <c r="W187" s="133" t="s">
        <v>35</v>
      </c>
      <c r="X187" s="133" t="s">
        <v>35</v>
      </c>
      <c r="Y187" s="135">
        <v>0.92</v>
      </c>
      <c r="Z187" s="135" t="s">
        <v>35</v>
      </c>
      <c r="AA187" s="135" t="s">
        <v>35</v>
      </c>
      <c r="AB187" s="135" t="s">
        <v>35</v>
      </c>
      <c r="AC187" s="135" t="s">
        <v>35</v>
      </c>
      <c r="AD187" s="135">
        <v>0.92</v>
      </c>
      <c r="AE187" s="133">
        <v>1</v>
      </c>
      <c r="AF187" s="133">
        <v>0.5</v>
      </c>
      <c r="AG187" s="133">
        <v>0.878787878787879</v>
      </c>
      <c r="AH187" s="133">
        <v>0.722627737226277</v>
      </c>
      <c r="AI187" s="135">
        <v>0.92</v>
      </c>
      <c r="AJ187" s="133" t="s">
        <v>35</v>
      </c>
      <c r="AK187" s="133" t="s">
        <v>35</v>
      </c>
      <c r="AL187" s="133" t="s">
        <v>35</v>
      </c>
      <c r="AM187" s="133" t="s">
        <v>35</v>
      </c>
      <c r="AN187" s="132">
        <v>0.99</v>
      </c>
      <c r="AO187" s="137" t="s">
        <v>35</v>
      </c>
      <c r="AP187" s="137" t="s">
        <v>35</v>
      </c>
      <c r="AQ187" s="137" t="s">
        <v>35</v>
      </c>
      <c r="AR187" s="137" t="s">
        <v>35</v>
      </c>
      <c r="AS187" s="139">
        <v>0.105261498981944</v>
      </c>
      <c r="AT187" s="141" t="s">
        <v>35</v>
      </c>
      <c r="AU187" s="141" t="s">
        <v>35</v>
      </c>
      <c r="AV187" s="141" t="s">
        <v>35</v>
      </c>
      <c r="AW187" s="141" t="s">
        <v>35</v>
      </c>
      <c r="AX187" s="95"/>
      <c r="AY187" s="93"/>
    </row>
    <row r="188" ht="14.5" spans="1:51">
      <c r="A188" s="91"/>
      <c r="B188" s="95"/>
      <c r="C188" s="155"/>
      <c r="D188" s="153"/>
      <c r="E188" s="156"/>
      <c r="F188" s="156"/>
      <c r="G188" s="156"/>
      <c r="H188" s="156"/>
      <c r="I188" s="156"/>
      <c r="J188" s="146"/>
      <c r="K188" s="147"/>
      <c r="L188" s="147"/>
      <c r="M188" s="134"/>
      <c r="N188" s="147"/>
      <c r="O188" s="150"/>
      <c r="P188" s="147"/>
      <c r="Q188" s="147"/>
      <c r="R188" s="133"/>
      <c r="S188" s="147"/>
      <c r="T188" s="150"/>
      <c r="U188" s="147"/>
      <c r="V188" s="147"/>
      <c r="W188" s="133"/>
      <c r="X188" s="147"/>
      <c r="Y188" s="150"/>
      <c r="Z188" s="150"/>
      <c r="AA188" s="150"/>
      <c r="AB188" s="135"/>
      <c r="AC188" s="150"/>
      <c r="AD188" s="150"/>
      <c r="AE188" s="147"/>
      <c r="AF188" s="147"/>
      <c r="AG188" s="133"/>
      <c r="AH188" s="147"/>
      <c r="AI188" s="150"/>
      <c r="AJ188" s="147"/>
      <c r="AK188" s="147"/>
      <c r="AL188" s="133"/>
      <c r="AM188" s="147"/>
      <c r="AN188" s="146"/>
      <c r="AO188" s="146"/>
      <c r="AP188" s="146"/>
      <c r="AQ188" s="137"/>
      <c r="AR188" s="146"/>
      <c r="AS188" s="147"/>
      <c r="AT188" s="146"/>
      <c r="AU188" s="146"/>
      <c r="AV188" s="141"/>
      <c r="AW188" s="146"/>
      <c r="AX188" s="95"/>
      <c r="AY188" s="93"/>
    </row>
    <row r="189" ht="14.5" spans="1:51">
      <c r="A189" s="91"/>
      <c r="B189" s="95"/>
      <c r="C189" s="152" t="s">
        <v>210</v>
      </c>
      <c r="D189" s="153" t="s">
        <v>125</v>
      </c>
      <c r="E189" s="130" t="s">
        <v>211</v>
      </c>
      <c r="F189" s="157" t="s">
        <v>212</v>
      </c>
      <c r="G189" s="157" t="s">
        <v>212</v>
      </c>
      <c r="H189" s="157" t="s">
        <v>212</v>
      </c>
      <c r="I189" s="157" t="s">
        <v>212</v>
      </c>
      <c r="J189" s="132">
        <v>0.9</v>
      </c>
      <c r="K189" s="133" t="s">
        <v>35</v>
      </c>
      <c r="L189" s="133" t="s">
        <v>35</v>
      </c>
      <c r="M189" s="134" t="s">
        <v>35</v>
      </c>
      <c r="N189" s="133" t="s">
        <v>35</v>
      </c>
      <c r="O189" s="135">
        <v>0.9</v>
      </c>
      <c r="P189" s="133" t="s">
        <v>35</v>
      </c>
      <c r="Q189" s="133" t="s">
        <v>35</v>
      </c>
      <c r="R189" s="133" t="s">
        <v>35</v>
      </c>
      <c r="S189" s="133">
        <v>0</v>
      </c>
      <c r="T189" s="135">
        <v>0.9</v>
      </c>
      <c r="U189" s="133" t="s">
        <v>35</v>
      </c>
      <c r="V189" s="133" t="s">
        <v>35</v>
      </c>
      <c r="W189" s="133" t="s">
        <v>35</v>
      </c>
      <c r="X189" s="133">
        <v>1</v>
      </c>
      <c r="Y189" s="135">
        <v>0.92</v>
      </c>
      <c r="Z189" s="135" t="s">
        <v>35</v>
      </c>
      <c r="AA189" s="135" t="s">
        <v>35</v>
      </c>
      <c r="AB189" s="135">
        <v>0</v>
      </c>
      <c r="AC189" s="135">
        <v>0.333333333333333</v>
      </c>
      <c r="AD189" s="135">
        <v>0.92</v>
      </c>
      <c r="AE189" s="133">
        <v>1</v>
      </c>
      <c r="AF189" s="133">
        <v>0.997389033942559</v>
      </c>
      <c r="AG189" s="133">
        <v>1</v>
      </c>
      <c r="AH189" s="133">
        <v>0.996058188643829</v>
      </c>
      <c r="AI189" s="135">
        <v>0.92</v>
      </c>
      <c r="AJ189" s="133" t="s">
        <v>35</v>
      </c>
      <c r="AK189" s="133" t="s">
        <v>35</v>
      </c>
      <c r="AL189" s="133">
        <v>0</v>
      </c>
      <c r="AM189" s="133">
        <v>0.714285714285714</v>
      </c>
      <c r="AN189" s="132">
        <v>0.99</v>
      </c>
      <c r="AO189" s="137">
        <v>1</v>
      </c>
      <c r="AP189" s="137">
        <v>1</v>
      </c>
      <c r="AQ189" s="137">
        <v>1</v>
      </c>
      <c r="AR189" s="137">
        <v>1</v>
      </c>
      <c r="AS189" s="158">
        <v>0.0719793575775068</v>
      </c>
      <c r="AT189" s="141" t="s">
        <v>35</v>
      </c>
      <c r="AU189" s="141" t="s">
        <v>35</v>
      </c>
      <c r="AV189" s="141" t="s">
        <v>35</v>
      </c>
      <c r="AW189" s="141" t="s">
        <v>35</v>
      </c>
      <c r="AX189" s="95"/>
      <c r="AY189" s="93"/>
    </row>
    <row r="190" ht="14.5" spans="1:51">
      <c r="A190" s="91"/>
      <c r="B190" s="95"/>
      <c r="C190" s="152" t="s">
        <v>210</v>
      </c>
      <c r="D190" s="153" t="s">
        <v>25</v>
      </c>
      <c r="E190" s="130" t="s">
        <v>211</v>
      </c>
      <c r="F190" s="157" t="s">
        <v>213</v>
      </c>
      <c r="G190" s="157" t="s">
        <v>213</v>
      </c>
      <c r="H190" s="157" t="s">
        <v>213</v>
      </c>
      <c r="I190" s="157" t="s">
        <v>213</v>
      </c>
      <c r="J190" s="132">
        <v>0.9</v>
      </c>
      <c r="K190" s="133">
        <v>1</v>
      </c>
      <c r="L190" s="133">
        <v>0.981132075471698</v>
      </c>
      <c r="M190" s="134">
        <v>0.953125</v>
      </c>
      <c r="N190" s="133">
        <v>0.963725490196078</v>
      </c>
      <c r="O190" s="135">
        <v>0.9</v>
      </c>
      <c r="P190" s="133">
        <v>0.950455806579469</v>
      </c>
      <c r="Q190" s="133">
        <v>0.963567156063078</v>
      </c>
      <c r="R190" s="133">
        <v>0.962354939145202</v>
      </c>
      <c r="S190" s="133">
        <v>0.959267540943978</v>
      </c>
      <c r="T190" s="135">
        <v>0.9</v>
      </c>
      <c r="U190" s="133">
        <v>0.885850178359096</v>
      </c>
      <c r="V190" s="133">
        <v>0.913539967373573</v>
      </c>
      <c r="W190" s="133">
        <v>0.931219926408152</v>
      </c>
      <c r="X190" s="133">
        <v>0.913639934731371</v>
      </c>
      <c r="Y190" s="135">
        <v>0.92</v>
      </c>
      <c r="Z190" s="135">
        <v>0.892561983471074</v>
      </c>
      <c r="AA190" s="135">
        <v>0.937991266375546</v>
      </c>
      <c r="AB190" s="135">
        <v>0.95272588638963</v>
      </c>
      <c r="AC190" s="135">
        <v>0.95016476227158</v>
      </c>
      <c r="AD190" s="135">
        <v>0.92</v>
      </c>
      <c r="AE190" s="133">
        <v>0.996940024479804</v>
      </c>
      <c r="AF190" s="133">
        <v>0.995721684305337</v>
      </c>
      <c r="AG190" s="133">
        <v>0.982374392220421</v>
      </c>
      <c r="AH190" s="133">
        <v>0.994694176441116</v>
      </c>
      <c r="AI190" s="135">
        <v>0.92</v>
      </c>
      <c r="AJ190" s="133">
        <v>0.933019651259341</v>
      </c>
      <c r="AK190" s="133">
        <v>0.958947721179625</v>
      </c>
      <c r="AL190" s="133">
        <v>0.972059779077323</v>
      </c>
      <c r="AM190" s="133">
        <v>0.967555697233734</v>
      </c>
      <c r="AN190" s="132">
        <v>0.99</v>
      </c>
      <c r="AO190" s="137">
        <v>1</v>
      </c>
      <c r="AP190" s="137">
        <v>1</v>
      </c>
      <c r="AQ190" s="137">
        <v>1</v>
      </c>
      <c r="AR190" s="137">
        <v>1</v>
      </c>
      <c r="AS190" s="158">
        <v>0.0719793575775068</v>
      </c>
      <c r="AT190" s="141">
        <v>0.0769230769230769</v>
      </c>
      <c r="AU190" s="141">
        <v>0.0277777777777778</v>
      </c>
      <c r="AV190" s="141">
        <v>0.032258064516129</v>
      </c>
      <c r="AW190" s="141">
        <v>0.0721500721500721</v>
      </c>
      <c r="AX190" s="95"/>
      <c r="AY190" s="93"/>
    </row>
    <row r="191" ht="14.5" spans="1:51">
      <c r="A191" s="91"/>
      <c r="B191" s="95"/>
      <c r="C191" s="152" t="s">
        <v>210</v>
      </c>
      <c r="D191" s="153" t="s">
        <v>25</v>
      </c>
      <c r="E191" s="130" t="s">
        <v>211</v>
      </c>
      <c r="F191" s="157" t="s">
        <v>214</v>
      </c>
      <c r="G191" s="157" t="s">
        <v>214</v>
      </c>
      <c r="H191" s="157" t="s">
        <v>214</v>
      </c>
      <c r="I191" s="157" t="s">
        <v>214</v>
      </c>
      <c r="J191" s="132">
        <v>0.9</v>
      </c>
      <c r="K191" s="133">
        <v>0.983333333333333</v>
      </c>
      <c r="L191" s="133">
        <v>0.985294117647059</v>
      </c>
      <c r="M191" s="134">
        <v>0.972222222222222</v>
      </c>
      <c r="N191" s="133">
        <v>0.985037406483791</v>
      </c>
      <c r="O191" s="135">
        <v>0.9</v>
      </c>
      <c r="P191" s="133">
        <v>0.958115183246073</v>
      </c>
      <c r="Q191" s="133">
        <v>0.960375391032325</v>
      </c>
      <c r="R191" s="133">
        <v>0.957395498392283</v>
      </c>
      <c r="S191" s="133">
        <v>0.956921842134396</v>
      </c>
      <c r="T191" s="135">
        <v>0.9</v>
      </c>
      <c r="U191" s="133">
        <v>0.911742707554226</v>
      </c>
      <c r="V191" s="133">
        <v>0.929614181438999</v>
      </c>
      <c r="W191" s="133">
        <v>0.934351554126474</v>
      </c>
      <c r="X191" s="133">
        <v>0.932442156537142</v>
      </c>
      <c r="Y191" s="135">
        <v>0.92</v>
      </c>
      <c r="Z191" s="135">
        <v>0.897716894977169</v>
      </c>
      <c r="AA191" s="135">
        <v>0.960487599831862</v>
      </c>
      <c r="AB191" s="135">
        <v>0.952941176470588</v>
      </c>
      <c r="AC191" s="135">
        <v>0.962280443528604</v>
      </c>
      <c r="AD191" s="135">
        <v>0.92</v>
      </c>
      <c r="AE191" s="133">
        <v>0.998310810810811</v>
      </c>
      <c r="AF191" s="133">
        <v>0.996732026143791</v>
      </c>
      <c r="AG191" s="133">
        <v>0.996619718309859</v>
      </c>
      <c r="AH191" s="133">
        <v>0.998383938838301</v>
      </c>
      <c r="AI191" s="135">
        <v>0.92</v>
      </c>
      <c r="AJ191" s="133">
        <v>0.94351630867144</v>
      </c>
      <c r="AK191" s="133">
        <v>0.972164119066774</v>
      </c>
      <c r="AL191" s="133">
        <v>0.971025720483421</v>
      </c>
      <c r="AM191" s="133">
        <v>0.976703047023979</v>
      </c>
      <c r="AN191" s="132">
        <v>0.99</v>
      </c>
      <c r="AO191" s="137">
        <v>1</v>
      </c>
      <c r="AP191" s="137">
        <v>1</v>
      </c>
      <c r="AQ191" s="137">
        <v>1</v>
      </c>
      <c r="AR191" s="137">
        <v>1</v>
      </c>
      <c r="AS191" s="158">
        <v>0.0719793575775068</v>
      </c>
      <c r="AT191" s="141">
        <v>0</v>
      </c>
      <c r="AU191" s="141">
        <v>0.0188679245283019</v>
      </c>
      <c r="AV191" s="141">
        <v>0.0483870967741935</v>
      </c>
      <c r="AW191" s="141">
        <v>0.0520628683693517</v>
      </c>
      <c r="AX191" s="95"/>
      <c r="AY191" s="93"/>
    </row>
    <row r="192" ht="14.5" spans="1:51">
      <c r="A192" s="91"/>
      <c r="B192" s="95"/>
      <c r="C192" s="152" t="s">
        <v>210</v>
      </c>
      <c r="D192" s="153" t="s">
        <v>125</v>
      </c>
      <c r="E192" s="130" t="s">
        <v>211</v>
      </c>
      <c r="F192" s="157" t="s">
        <v>215</v>
      </c>
      <c r="G192" s="157" t="s">
        <v>215</v>
      </c>
      <c r="H192" s="157" t="s">
        <v>215</v>
      </c>
      <c r="I192" s="157" t="s">
        <v>215</v>
      </c>
      <c r="J192" s="132">
        <v>0.9</v>
      </c>
      <c r="K192" s="133" t="s">
        <v>35</v>
      </c>
      <c r="L192" s="133" t="s">
        <v>35</v>
      </c>
      <c r="M192" s="134" t="s">
        <v>35</v>
      </c>
      <c r="N192" s="133" t="s">
        <v>35</v>
      </c>
      <c r="O192" s="135">
        <v>0.9</v>
      </c>
      <c r="P192" s="133">
        <v>0</v>
      </c>
      <c r="Q192" s="133">
        <v>0</v>
      </c>
      <c r="R192" s="133">
        <v>0</v>
      </c>
      <c r="S192" s="133">
        <v>0</v>
      </c>
      <c r="T192" s="135">
        <v>0.9</v>
      </c>
      <c r="U192" s="133">
        <v>0.5</v>
      </c>
      <c r="V192" s="133">
        <v>1</v>
      </c>
      <c r="W192" s="133">
        <v>0.636363636363636</v>
      </c>
      <c r="X192" s="133">
        <v>0.857558139534884</v>
      </c>
      <c r="Y192" s="135">
        <v>0.92</v>
      </c>
      <c r="Z192" s="135">
        <v>0</v>
      </c>
      <c r="AA192" s="135" t="s">
        <v>35</v>
      </c>
      <c r="AB192" s="135">
        <v>0.5</v>
      </c>
      <c r="AC192" s="135">
        <v>0.619047619047619</v>
      </c>
      <c r="AD192" s="135">
        <v>0.92</v>
      </c>
      <c r="AE192" s="133">
        <v>0.998915224819656</v>
      </c>
      <c r="AF192" s="133">
        <v>0.996927855237838</v>
      </c>
      <c r="AG192" s="133">
        <v>0.997808256321034</v>
      </c>
      <c r="AH192" s="133">
        <v>0.995755729076233</v>
      </c>
      <c r="AI192" s="135">
        <v>0.92</v>
      </c>
      <c r="AJ192" s="133">
        <v>0.3125</v>
      </c>
      <c r="AK192" s="133">
        <v>1</v>
      </c>
      <c r="AL192" s="133">
        <v>0.9</v>
      </c>
      <c r="AM192" s="133">
        <v>0.900473933649289</v>
      </c>
      <c r="AN192" s="132">
        <v>0.99</v>
      </c>
      <c r="AO192" s="137">
        <v>1</v>
      </c>
      <c r="AP192" s="137">
        <v>1</v>
      </c>
      <c r="AQ192" s="137">
        <v>1</v>
      </c>
      <c r="AR192" s="137">
        <v>1</v>
      </c>
      <c r="AS192" s="158">
        <v>0.0719793575775068</v>
      </c>
      <c r="AT192" s="141" t="s">
        <v>35</v>
      </c>
      <c r="AU192" s="141" t="s">
        <v>35</v>
      </c>
      <c r="AV192" s="141" t="s">
        <v>35</v>
      </c>
      <c r="AW192" s="141" t="s">
        <v>35</v>
      </c>
      <c r="AX192" s="95"/>
      <c r="AY192" s="93"/>
    </row>
    <row r="193" s="85" customFormat="1" ht="14.5" spans="1:51">
      <c r="A193" s="91"/>
      <c r="C193" s="152" t="s">
        <v>210</v>
      </c>
      <c r="D193" s="153" t="s">
        <v>25</v>
      </c>
      <c r="E193" s="130" t="s">
        <v>211</v>
      </c>
      <c r="F193" s="157" t="s">
        <v>216</v>
      </c>
      <c r="G193" s="157" t="s">
        <v>216</v>
      </c>
      <c r="H193" s="157" t="s">
        <v>216</v>
      </c>
      <c r="I193" s="157" t="s">
        <v>216</v>
      </c>
      <c r="J193" s="132">
        <v>0.9</v>
      </c>
      <c r="K193" s="133">
        <v>0.944444444444444</v>
      </c>
      <c r="L193" s="133">
        <v>0.941747572815534</v>
      </c>
      <c r="M193" s="134">
        <v>0.935185185185185</v>
      </c>
      <c r="N193" s="133">
        <v>0.938509640437728</v>
      </c>
      <c r="O193" s="135">
        <v>0.9</v>
      </c>
      <c r="P193" s="133">
        <v>0.989105384454222</v>
      </c>
      <c r="Q193" s="133">
        <v>0.986853386681909</v>
      </c>
      <c r="R193" s="133">
        <v>0.991767629698664</v>
      </c>
      <c r="S193" s="133">
        <v>0.989314560228129</v>
      </c>
      <c r="T193" s="135">
        <v>0.9</v>
      </c>
      <c r="U193" s="133">
        <v>0.905510161324115</v>
      </c>
      <c r="V193" s="133">
        <v>0.9156901971992</v>
      </c>
      <c r="W193" s="133">
        <v>0.940664802733768</v>
      </c>
      <c r="X193" s="133">
        <v>0.928499096719837</v>
      </c>
      <c r="Y193" s="135">
        <v>0.92</v>
      </c>
      <c r="Z193" s="135">
        <v>0.928608380755303</v>
      </c>
      <c r="AA193" s="135">
        <v>0.951697425381636</v>
      </c>
      <c r="AB193" s="135">
        <v>0.972382276971985</v>
      </c>
      <c r="AC193" s="135">
        <v>0.967391659141107</v>
      </c>
      <c r="AD193" s="135">
        <v>0.92</v>
      </c>
      <c r="AE193" s="133">
        <v>0.993295019157088</v>
      </c>
      <c r="AF193" s="133">
        <v>0.981774323237738</v>
      </c>
      <c r="AG193" s="133">
        <v>0.997541319491873</v>
      </c>
      <c r="AH193" s="133">
        <v>0.976284681317789</v>
      </c>
      <c r="AI193" s="135">
        <v>0.92</v>
      </c>
      <c r="AJ193" s="133">
        <v>0.954091518855269</v>
      </c>
      <c r="AK193" s="133">
        <v>0.967509659290481</v>
      </c>
      <c r="AL193" s="133">
        <v>0.981954493941243</v>
      </c>
      <c r="AM193" s="133">
        <v>0.979277618620891</v>
      </c>
      <c r="AN193" s="132">
        <v>0.99</v>
      </c>
      <c r="AO193" s="137">
        <v>1</v>
      </c>
      <c r="AP193" s="137">
        <v>1</v>
      </c>
      <c r="AQ193" s="137">
        <v>1</v>
      </c>
      <c r="AR193" s="137">
        <v>1</v>
      </c>
      <c r="AS193" s="158">
        <v>0.0719793575775068</v>
      </c>
      <c r="AT193" s="141">
        <v>0.0294117647058824</v>
      </c>
      <c r="AU193" s="141">
        <v>0.0222222222222222</v>
      </c>
      <c r="AV193" s="141">
        <v>0.0517241379310345</v>
      </c>
      <c r="AW193" s="141">
        <v>0.0639097744360902</v>
      </c>
      <c r="AX193" s="88"/>
      <c r="AY193" s="93"/>
    </row>
    <row r="194" ht="14.5" spans="1:51">
      <c r="A194" s="91"/>
      <c r="B194" s="95"/>
      <c r="C194" s="152" t="s">
        <v>210</v>
      </c>
      <c r="D194" s="153" t="s">
        <v>25</v>
      </c>
      <c r="E194" s="130" t="s">
        <v>211</v>
      </c>
      <c r="F194" s="157" t="s">
        <v>217</v>
      </c>
      <c r="G194" s="157" t="s">
        <v>217</v>
      </c>
      <c r="H194" s="157" t="s">
        <v>217</v>
      </c>
      <c r="I194" s="157" t="s">
        <v>217</v>
      </c>
      <c r="J194" s="132">
        <v>0.9</v>
      </c>
      <c r="K194" s="133">
        <v>0.969230769230769</v>
      </c>
      <c r="L194" s="133">
        <v>0.925373134328358</v>
      </c>
      <c r="M194" s="134">
        <v>0.949367088607595</v>
      </c>
      <c r="N194" s="133">
        <v>0.904205607476635</v>
      </c>
      <c r="O194" s="135">
        <v>0.9</v>
      </c>
      <c r="P194" s="133">
        <v>0.967818428184282</v>
      </c>
      <c r="Q194" s="133">
        <v>0.901440658586783</v>
      </c>
      <c r="R194" s="133">
        <v>0.981613891726251</v>
      </c>
      <c r="S194" s="133">
        <v>0.932736362408028</v>
      </c>
      <c r="T194" s="135">
        <v>0.9</v>
      </c>
      <c r="U194" s="133">
        <v>0.860094850948509</v>
      </c>
      <c r="V194" s="133">
        <v>0.824834209924537</v>
      </c>
      <c r="W194" s="133">
        <v>0.939223697650664</v>
      </c>
      <c r="X194" s="133">
        <v>0.914163933620764</v>
      </c>
      <c r="Y194" s="135">
        <v>0.92</v>
      </c>
      <c r="Z194" s="135">
        <v>0.839723926380368</v>
      </c>
      <c r="AA194" s="135">
        <v>0.873194221508828</v>
      </c>
      <c r="AB194" s="135">
        <v>0.939124243503026</v>
      </c>
      <c r="AC194" s="135">
        <v>0.927848585963569</v>
      </c>
      <c r="AD194" s="135">
        <v>0.92</v>
      </c>
      <c r="AE194" s="133">
        <v>0.971496437054632</v>
      </c>
      <c r="AF194" s="133">
        <v>0.984158415841584</v>
      </c>
      <c r="AG194" s="133">
        <v>0.958466453674121</v>
      </c>
      <c r="AH194" s="133">
        <v>0.97908202956176</v>
      </c>
      <c r="AI194" s="135">
        <v>0.92</v>
      </c>
      <c r="AJ194" s="133">
        <v>0.901362141850634</v>
      </c>
      <c r="AK194" s="133">
        <v>0.919300801165331</v>
      </c>
      <c r="AL194" s="133">
        <v>0.962676579925651</v>
      </c>
      <c r="AM194" s="133">
        <v>0.955175248047907</v>
      </c>
      <c r="AN194" s="132">
        <v>0.99</v>
      </c>
      <c r="AO194" s="137">
        <v>1</v>
      </c>
      <c r="AP194" s="137">
        <v>1</v>
      </c>
      <c r="AQ194" s="137">
        <v>1</v>
      </c>
      <c r="AR194" s="137">
        <v>1</v>
      </c>
      <c r="AS194" s="158">
        <v>0.0719793575775068</v>
      </c>
      <c r="AT194" s="141">
        <v>0.0833333333333333</v>
      </c>
      <c r="AU194" s="141">
        <v>0</v>
      </c>
      <c r="AV194" s="141">
        <v>0.0784313725490196</v>
      </c>
      <c r="AW194" s="141">
        <v>0.0747767857142857</v>
      </c>
      <c r="AX194" s="95"/>
      <c r="AY194" s="93"/>
    </row>
    <row r="195" ht="14.5" spans="1:51">
      <c r="A195" s="91"/>
      <c r="B195" s="95"/>
      <c r="C195" s="152" t="s">
        <v>210</v>
      </c>
      <c r="D195" s="153" t="s">
        <v>25</v>
      </c>
      <c r="E195" s="130" t="s">
        <v>211</v>
      </c>
      <c r="F195" s="157" t="s">
        <v>218</v>
      </c>
      <c r="G195" s="157" t="s">
        <v>218</v>
      </c>
      <c r="H195" s="157" t="s">
        <v>218</v>
      </c>
      <c r="I195" s="157" t="s">
        <v>218</v>
      </c>
      <c r="J195" s="132">
        <v>0.9</v>
      </c>
      <c r="K195" s="133">
        <v>0.966666666666667</v>
      </c>
      <c r="L195" s="133">
        <v>1</v>
      </c>
      <c r="M195" s="134">
        <v>0.942857142857143</v>
      </c>
      <c r="N195" s="133">
        <v>0.947784810126582</v>
      </c>
      <c r="O195" s="135">
        <v>0.9</v>
      </c>
      <c r="P195" s="133">
        <v>0.949622166246851</v>
      </c>
      <c r="Q195" s="133">
        <v>0.957288401253918</v>
      </c>
      <c r="R195" s="133">
        <v>0.962809917355372</v>
      </c>
      <c r="S195" s="133">
        <v>0.955360769641903</v>
      </c>
      <c r="T195" s="135">
        <v>0.9</v>
      </c>
      <c r="U195" s="133">
        <v>0.855163727959698</v>
      </c>
      <c r="V195" s="133">
        <v>0.903605015673981</v>
      </c>
      <c r="W195" s="133">
        <v>0.897933884297521</v>
      </c>
      <c r="X195" s="133">
        <v>0.923976483164083</v>
      </c>
      <c r="Y195" s="135">
        <v>0.92</v>
      </c>
      <c r="Z195" s="135">
        <v>0.852848101265823</v>
      </c>
      <c r="AA195" s="135">
        <v>0.918396564065855</v>
      </c>
      <c r="AB195" s="135">
        <v>0.94983498349835</v>
      </c>
      <c r="AC195" s="135">
        <v>0.94674835061263</v>
      </c>
      <c r="AD195" s="135">
        <v>0.92</v>
      </c>
      <c r="AE195" s="133">
        <v>0.991489361702128</v>
      </c>
      <c r="AF195" s="133">
        <v>0.980237154150198</v>
      </c>
      <c r="AG195" s="133">
        <v>0.822341857335128</v>
      </c>
      <c r="AH195" s="133">
        <v>0.871389116966485</v>
      </c>
      <c r="AI195" s="135">
        <v>0.92</v>
      </c>
      <c r="AJ195" s="133">
        <v>0.907657657657658</v>
      </c>
      <c r="AK195" s="133">
        <v>0.948088123575589</v>
      </c>
      <c r="AL195" s="133">
        <v>0.970020325203252</v>
      </c>
      <c r="AM195" s="133">
        <v>0.967368283435743</v>
      </c>
      <c r="AN195" s="132">
        <v>0.99</v>
      </c>
      <c r="AO195" s="137">
        <v>1</v>
      </c>
      <c r="AP195" s="137">
        <v>1</v>
      </c>
      <c r="AQ195" s="137">
        <v>1</v>
      </c>
      <c r="AR195" s="137">
        <v>1</v>
      </c>
      <c r="AS195" s="158">
        <v>0.0719793575775068</v>
      </c>
      <c r="AT195" s="141">
        <v>0.214285714285714</v>
      </c>
      <c r="AU195" s="141">
        <v>0.0740740740740741</v>
      </c>
      <c r="AV195" s="141">
        <v>0.0384615384615385</v>
      </c>
      <c r="AW195" s="141">
        <v>0.0870535714285714</v>
      </c>
      <c r="AX195" s="95"/>
      <c r="AY195" s="93"/>
    </row>
    <row r="196" ht="14.5" spans="1:51">
      <c r="A196" s="91"/>
      <c r="B196" s="95"/>
      <c r="C196" s="152" t="s">
        <v>210</v>
      </c>
      <c r="D196" s="153" t="s">
        <v>125</v>
      </c>
      <c r="E196" s="130" t="s">
        <v>211</v>
      </c>
      <c r="F196" s="157" t="s">
        <v>219</v>
      </c>
      <c r="G196" s="157" t="s">
        <v>219</v>
      </c>
      <c r="H196" s="157" t="s">
        <v>219</v>
      </c>
      <c r="I196" s="157" t="s">
        <v>219</v>
      </c>
      <c r="J196" s="132">
        <v>0.9</v>
      </c>
      <c r="K196" s="133" t="s">
        <v>35</v>
      </c>
      <c r="L196" s="133" t="s">
        <v>35</v>
      </c>
      <c r="M196" s="134" t="s">
        <v>35</v>
      </c>
      <c r="N196" s="133" t="s">
        <v>35</v>
      </c>
      <c r="O196" s="135">
        <v>0.9</v>
      </c>
      <c r="P196" s="133">
        <v>0</v>
      </c>
      <c r="Q196" s="133">
        <v>0</v>
      </c>
      <c r="R196" s="133">
        <v>0</v>
      </c>
      <c r="S196" s="133">
        <v>0</v>
      </c>
      <c r="T196" s="135">
        <v>0.9</v>
      </c>
      <c r="U196" s="133">
        <v>0.857142857142857</v>
      </c>
      <c r="V196" s="133">
        <v>0.933333333333333</v>
      </c>
      <c r="W196" s="133">
        <v>1</v>
      </c>
      <c r="X196" s="133">
        <v>0.962162162162162</v>
      </c>
      <c r="Y196" s="135">
        <v>0.92</v>
      </c>
      <c r="Z196" s="135">
        <v>0.6</v>
      </c>
      <c r="AA196" s="135">
        <v>0.916666666666667</v>
      </c>
      <c r="AB196" s="135">
        <v>1</v>
      </c>
      <c r="AC196" s="135">
        <v>0.929203539823009</v>
      </c>
      <c r="AD196" s="135">
        <v>0.92</v>
      </c>
      <c r="AE196" s="133">
        <v>0.99933110367893</v>
      </c>
      <c r="AF196" s="133">
        <v>0.980195666811898</v>
      </c>
      <c r="AG196" s="133">
        <v>0.996311719214753</v>
      </c>
      <c r="AH196" s="133">
        <v>0.97978233617593</v>
      </c>
      <c r="AI196" s="135">
        <v>0.92</v>
      </c>
      <c r="AJ196" s="133">
        <v>0.75</v>
      </c>
      <c r="AK196" s="133">
        <v>0.928571428571429</v>
      </c>
      <c r="AL196" s="133">
        <v>1</v>
      </c>
      <c r="AM196" s="133">
        <v>0.941368078175896</v>
      </c>
      <c r="AN196" s="132">
        <v>0.99</v>
      </c>
      <c r="AO196" s="137">
        <v>1</v>
      </c>
      <c r="AP196" s="137">
        <v>1</v>
      </c>
      <c r="AQ196" s="137">
        <v>1</v>
      </c>
      <c r="AR196" s="137">
        <v>1</v>
      </c>
      <c r="AS196" s="158">
        <v>0.0719793575775068</v>
      </c>
      <c r="AT196" s="141" t="s">
        <v>35</v>
      </c>
      <c r="AU196" s="141" t="s">
        <v>35</v>
      </c>
      <c r="AV196" s="141" t="s">
        <v>35</v>
      </c>
      <c r="AW196" s="141" t="s">
        <v>35</v>
      </c>
      <c r="AX196" s="95"/>
      <c r="AY196" s="93"/>
    </row>
    <row r="197" ht="14.5" spans="1:51">
      <c r="A197" s="91"/>
      <c r="B197" s="95"/>
      <c r="C197" s="152" t="s">
        <v>210</v>
      </c>
      <c r="D197" s="153" t="s">
        <v>25</v>
      </c>
      <c r="E197" s="130" t="s">
        <v>211</v>
      </c>
      <c r="F197" s="157" t="s">
        <v>220</v>
      </c>
      <c r="G197" s="157" t="s">
        <v>220</v>
      </c>
      <c r="H197" s="157" t="s">
        <v>220</v>
      </c>
      <c r="I197" s="157" t="s">
        <v>220</v>
      </c>
      <c r="J197" s="132">
        <v>0.9</v>
      </c>
      <c r="K197" s="133">
        <v>0.844827586206897</v>
      </c>
      <c r="L197" s="133">
        <v>0.952380952380952</v>
      </c>
      <c r="M197" s="134">
        <v>0.89041095890411</v>
      </c>
      <c r="N197" s="133">
        <v>0.922575387123064</v>
      </c>
      <c r="O197" s="135">
        <v>0.9</v>
      </c>
      <c r="P197" s="133">
        <v>0.934552454282964</v>
      </c>
      <c r="Q197" s="133">
        <v>0.907566732848003</v>
      </c>
      <c r="R197" s="133">
        <v>0.96777416937297</v>
      </c>
      <c r="S197" s="133">
        <v>0.941995947315096</v>
      </c>
      <c r="T197" s="135">
        <v>0.9</v>
      </c>
      <c r="U197" s="133">
        <v>0.835097850497273</v>
      </c>
      <c r="V197" s="133">
        <v>0.845576880652989</v>
      </c>
      <c r="W197" s="133">
        <v>0.918061453909568</v>
      </c>
      <c r="X197" s="133">
        <v>0.90766210739615</v>
      </c>
      <c r="Y197" s="135">
        <v>0.92</v>
      </c>
      <c r="Z197" s="135">
        <v>0.844051446945338</v>
      </c>
      <c r="AA197" s="135">
        <v>0.884574278589241</v>
      </c>
      <c r="AB197" s="135">
        <v>0.929419313442413</v>
      </c>
      <c r="AC197" s="135">
        <v>0.935638261109959</v>
      </c>
      <c r="AD197" s="135">
        <v>0.92</v>
      </c>
      <c r="AE197" s="133">
        <v>0.992586490939044</v>
      </c>
      <c r="AF197" s="133">
        <v>0.997083697871099</v>
      </c>
      <c r="AG197" s="133">
        <v>0.992449799196787</v>
      </c>
      <c r="AH197" s="133">
        <v>0.986468312019253</v>
      </c>
      <c r="AI197" s="135">
        <v>0.92</v>
      </c>
      <c r="AJ197" s="133">
        <v>0.893143774363678</v>
      </c>
      <c r="AK197" s="133">
        <v>0.907629427792916</v>
      </c>
      <c r="AL197" s="133">
        <v>0.9528156157843</v>
      </c>
      <c r="AM197" s="133">
        <v>0.955236313681934</v>
      </c>
      <c r="AN197" s="132">
        <v>0.99</v>
      </c>
      <c r="AO197" s="137">
        <v>1</v>
      </c>
      <c r="AP197" s="137">
        <v>1</v>
      </c>
      <c r="AQ197" s="137">
        <v>1</v>
      </c>
      <c r="AR197" s="137">
        <v>1</v>
      </c>
      <c r="AS197" s="158">
        <v>0.0719793575775068</v>
      </c>
      <c r="AT197" s="141">
        <v>0.0333333333333333</v>
      </c>
      <c r="AU197" s="141">
        <v>0.0317460317460317</v>
      </c>
      <c r="AV197" s="141">
        <v>0.0545454545454545</v>
      </c>
      <c r="AW197" s="141">
        <v>0.0676691729323308</v>
      </c>
      <c r="AX197" s="95"/>
      <c r="AY197" s="93"/>
    </row>
    <row r="198" s="86" customFormat="1" ht="14.5" spans="1:51">
      <c r="A198" s="91"/>
      <c r="C198" s="152" t="s">
        <v>210</v>
      </c>
      <c r="D198" s="153" t="s">
        <v>25</v>
      </c>
      <c r="E198" s="130" t="s">
        <v>211</v>
      </c>
      <c r="F198" s="157" t="s">
        <v>221</v>
      </c>
      <c r="G198" s="157" t="s">
        <v>221</v>
      </c>
      <c r="H198" s="157" t="s">
        <v>221</v>
      </c>
      <c r="I198" s="157" t="s">
        <v>221</v>
      </c>
      <c r="J198" s="132">
        <v>0.9</v>
      </c>
      <c r="K198" s="133">
        <v>0.888888888888889</v>
      </c>
      <c r="L198" s="133">
        <v>0.916666666666667</v>
      </c>
      <c r="M198" s="134">
        <v>0.951219512195122</v>
      </c>
      <c r="N198" s="133">
        <v>0.955290611028316</v>
      </c>
      <c r="O198" s="135">
        <v>0.9</v>
      </c>
      <c r="P198" s="133">
        <v>0.969394128669582</v>
      </c>
      <c r="Q198" s="133">
        <v>0.973082099596231</v>
      </c>
      <c r="R198" s="133">
        <v>0.984453360080241</v>
      </c>
      <c r="S198" s="133">
        <v>0.974307764380995</v>
      </c>
      <c r="T198" s="135">
        <v>0.9</v>
      </c>
      <c r="U198" s="133">
        <v>0.861961274203623</v>
      </c>
      <c r="V198" s="133">
        <v>0.882907133243607</v>
      </c>
      <c r="W198" s="133">
        <v>0.933801404212638</v>
      </c>
      <c r="X198" s="133">
        <v>0.912912690780876</v>
      </c>
      <c r="Y198" s="135">
        <v>0.92</v>
      </c>
      <c r="Z198" s="135">
        <v>0.824707846410685</v>
      </c>
      <c r="AA198" s="135">
        <v>0.892253521126761</v>
      </c>
      <c r="AB198" s="135">
        <v>0.939181286549708</v>
      </c>
      <c r="AC198" s="135">
        <v>0.930724004703511</v>
      </c>
      <c r="AD198" s="135">
        <v>0.92</v>
      </c>
      <c r="AE198" s="133">
        <v>0.95</v>
      </c>
      <c r="AF198" s="133">
        <v>0.934210526315789</v>
      </c>
      <c r="AG198" s="133">
        <v>0.78125</v>
      </c>
      <c r="AH198" s="133">
        <v>0.838896952104499</v>
      </c>
      <c r="AI198" s="135">
        <v>0.92</v>
      </c>
      <c r="AJ198" s="133">
        <v>0.891363636363636</v>
      </c>
      <c r="AK198" s="133">
        <v>0.919155933132365</v>
      </c>
      <c r="AL198" s="133">
        <v>0.954913606911447</v>
      </c>
      <c r="AM198" s="133">
        <v>0.953686455741202</v>
      </c>
      <c r="AN198" s="132">
        <v>0.99</v>
      </c>
      <c r="AO198" s="137">
        <v>1</v>
      </c>
      <c r="AP198" s="137">
        <v>1</v>
      </c>
      <c r="AQ198" s="137">
        <v>1</v>
      </c>
      <c r="AR198" s="137">
        <v>1</v>
      </c>
      <c r="AS198" s="158">
        <v>0.0719793575775068</v>
      </c>
      <c r="AT198" s="141">
        <v>0</v>
      </c>
      <c r="AU198" s="141">
        <v>0</v>
      </c>
      <c r="AV198" s="141">
        <v>0.027027027027027</v>
      </c>
      <c r="AW198" s="141">
        <v>0.0549242424242424</v>
      </c>
      <c r="AX198" s="88"/>
      <c r="AY198" s="93"/>
    </row>
    <row r="199" ht="14.5" spans="1:51">
      <c r="A199" s="91"/>
      <c r="B199" s="95"/>
      <c r="C199" s="152" t="s">
        <v>210</v>
      </c>
      <c r="D199" s="153" t="s">
        <v>25</v>
      </c>
      <c r="E199" s="130" t="s">
        <v>211</v>
      </c>
      <c r="F199" s="157" t="s">
        <v>222</v>
      </c>
      <c r="G199" s="157" t="s">
        <v>222</v>
      </c>
      <c r="H199" s="157" t="s">
        <v>222</v>
      </c>
      <c r="I199" s="157" t="s">
        <v>222</v>
      </c>
      <c r="J199" s="132">
        <v>0.9</v>
      </c>
      <c r="K199" s="133">
        <v>0.96969696969697</v>
      </c>
      <c r="L199" s="133">
        <v>0.985294117647059</v>
      </c>
      <c r="M199" s="134">
        <v>0.971830985915493</v>
      </c>
      <c r="N199" s="133">
        <v>0.971653543307087</v>
      </c>
      <c r="O199" s="135">
        <v>0.9</v>
      </c>
      <c r="P199" s="133">
        <v>0.981392726247533</v>
      </c>
      <c r="Q199" s="133">
        <v>0.940837495197849</v>
      </c>
      <c r="R199" s="133">
        <v>0.953109072375127</v>
      </c>
      <c r="S199" s="133">
        <v>0.959386070981565</v>
      </c>
      <c r="T199" s="135">
        <v>0.9</v>
      </c>
      <c r="U199" s="133">
        <v>0.916831124894277</v>
      </c>
      <c r="V199" s="133">
        <v>0.932769880906646</v>
      </c>
      <c r="W199" s="133">
        <v>0.91539245667686</v>
      </c>
      <c r="X199" s="133">
        <v>0.922887630200047</v>
      </c>
      <c r="Y199" s="135">
        <v>0.92</v>
      </c>
      <c r="Z199" s="135">
        <v>0.921223958333333</v>
      </c>
      <c r="AA199" s="135">
        <v>0.948372615039282</v>
      </c>
      <c r="AB199" s="135">
        <v>0.960920108830077</v>
      </c>
      <c r="AC199" s="135">
        <v>0.954514507554358</v>
      </c>
      <c r="AD199" s="135">
        <v>0.92</v>
      </c>
      <c r="AE199" s="133">
        <v>0.997321428571429</v>
      </c>
      <c r="AF199" s="133">
        <v>0.998600279944011</v>
      </c>
      <c r="AG199" s="133">
        <v>0.996847083552286</v>
      </c>
      <c r="AH199" s="133">
        <v>0.992069855673329</v>
      </c>
      <c r="AI199" s="135">
        <v>0.92</v>
      </c>
      <c r="AJ199" s="133">
        <v>0.951631930790405</v>
      </c>
      <c r="AK199" s="133">
        <v>0.967160775370582</v>
      </c>
      <c r="AL199" s="133">
        <v>0.97597496927031</v>
      </c>
      <c r="AM199" s="133">
        <v>0.971113696197882</v>
      </c>
      <c r="AN199" s="132">
        <v>0.99</v>
      </c>
      <c r="AO199" s="137">
        <v>1</v>
      </c>
      <c r="AP199" s="137">
        <v>1</v>
      </c>
      <c r="AQ199" s="137">
        <v>1</v>
      </c>
      <c r="AR199" s="137">
        <v>1</v>
      </c>
      <c r="AS199" s="158">
        <v>0.0719793575775068</v>
      </c>
      <c r="AT199" s="141">
        <v>0</v>
      </c>
      <c r="AU199" s="141">
        <v>0.05</v>
      </c>
      <c r="AV199" s="141">
        <v>0</v>
      </c>
      <c r="AW199" s="141">
        <v>0.042713567839196</v>
      </c>
      <c r="AX199" s="95"/>
      <c r="AY199" s="93"/>
    </row>
    <row r="200" ht="14.5" spans="1:51">
      <c r="A200" s="91"/>
      <c r="B200" s="95"/>
      <c r="C200" s="152" t="s">
        <v>210</v>
      </c>
      <c r="D200" s="153" t="s">
        <v>25</v>
      </c>
      <c r="E200" s="130" t="s">
        <v>211</v>
      </c>
      <c r="F200" s="157" t="s">
        <v>223</v>
      </c>
      <c r="G200" s="157" t="s">
        <v>223</v>
      </c>
      <c r="H200" s="157" t="s">
        <v>223</v>
      </c>
      <c r="I200" s="157" t="s">
        <v>223</v>
      </c>
      <c r="J200" s="132">
        <v>0.9</v>
      </c>
      <c r="K200" s="133">
        <v>0.961038961038961</v>
      </c>
      <c r="L200" s="133">
        <v>0.96969696969697</v>
      </c>
      <c r="M200" s="134">
        <v>0.965116279069767</v>
      </c>
      <c r="N200" s="133">
        <v>0.972055888223553</v>
      </c>
      <c r="O200" s="135">
        <v>0.9</v>
      </c>
      <c r="P200" s="133">
        <v>0.976774193548387</v>
      </c>
      <c r="Q200" s="133">
        <v>0.982005141388175</v>
      </c>
      <c r="R200" s="133">
        <v>0.984683794466403</v>
      </c>
      <c r="S200" s="133">
        <v>0.983358262421599</v>
      </c>
      <c r="T200" s="135">
        <v>0.9</v>
      </c>
      <c r="U200" s="133">
        <v>0.942903225806452</v>
      </c>
      <c r="V200" s="133">
        <v>0.959102594064034</v>
      </c>
      <c r="W200" s="133">
        <v>0.965415019762846</v>
      </c>
      <c r="X200" s="133">
        <v>0.964768285172011</v>
      </c>
      <c r="Y200" s="135">
        <v>0.92</v>
      </c>
      <c r="Z200" s="135">
        <v>0.942335766423358</v>
      </c>
      <c r="AA200" s="135">
        <v>0.966397849462366</v>
      </c>
      <c r="AB200" s="135">
        <v>0.971723122238586</v>
      </c>
      <c r="AC200" s="135">
        <v>0.973432244983345</v>
      </c>
      <c r="AD200" s="135">
        <v>0.92</v>
      </c>
      <c r="AE200" s="133">
        <v>0.978614351360905</v>
      </c>
      <c r="AF200" s="133">
        <v>0.995531439514842</v>
      </c>
      <c r="AG200" s="133">
        <v>0.991124515295131</v>
      </c>
      <c r="AH200" s="133">
        <v>0.99382488649027</v>
      </c>
      <c r="AI200" s="135">
        <v>0.92</v>
      </c>
      <c r="AJ200" s="133">
        <v>0.959507829977629</v>
      </c>
      <c r="AK200" s="133">
        <v>0.978221915920055</v>
      </c>
      <c r="AL200" s="133">
        <v>0.982804943578721</v>
      </c>
      <c r="AM200" s="133">
        <v>0.983284411955632</v>
      </c>
      <c r="AN200" s="132">
        <v>0.99</v>
      </c>
      <c r="AO200" s="137">
        <v>1</v>
      </c>
      <c r="AP200" s="137">
        <v>1</v>
      </c>
      <c r="AQ200" s="137">
        <v>1</v>
      </c>
      <c r="AR200" s="137">
        <v>1</v>
      </c>
      <c r="AS200" s="158">
        <v>0.0719793575775068</v>
      </c>
      <c r="AT200" s="141">
        <v>0.09375</v>
      </c>
      <c r="AU200" s="141">
        <v>0.0888888888888889</v>
      </c>
      <c r="AV200" s="141">
        <v>0.0227272727272727</v>
      </c>
      <c r="AW200" s="141">
        <v>0.0567375886524823</v>
      </c>
      <c r="AX200" s="95"/>
      <c r="AY200" s="93"/>
    </row>
    <row r="201" ht="14.5" spans="1:51">
      <c r="A201" s="91"/>
      <c r="B201" s="95"/>
      <c r="C201" s="152" t="s">
        <v>210</v>
      </c>
      <c r="D201" s="153" t="s">
        <v>125</v>
      </c>
      <c r="E201" s="130" t="s">
        <v>211</v>
      </c>
      <c r="F201" s="157" t="s">
        <v>224</v>
      </c>
      <c r="G201" s="157" t="s">
        <v>224</v>
      </c>
      <c r="H201" s="157" t="s">
        <v>224</v>
      </c>
      <c r="I201" s="157" t="s">
        <v>224</v>
      </c>
      <c r="J201" s="132">
        <v>0.9</v>
      </c>
      <c r="K201" s="133" t="s">
        <v>35</v>
      </c>
      <c r="L201" s="133" t="s">
        <v>35</v>
      </c>
      <c r="M201" s="134" t="s">
        <v>35</v>
      </c>
      <c r="N201" s="133" t="s">
        <v>35</v>
      </c>
      <c r="O201" s="135">
        <v>0.9</v>
      </c>
      <c r="P201" s="133" t="s">
        <v>35</v>
      </c>
      <c r="Q201" s="133">
        <v>0</v>
      </c>
      <c r="R201" s="133" t="s">
        <v>35</v>
      </c>
      <c r="S201" s="133">
        <v>0</v>
      </c>
      <c r="T201" s="135">
        <v>0.9</v>
      </c>
      <c r="U201" s="133" t="s">
        <v>35</v>
      </c>
      <c r="V201" s="133">
        <v>0</v>
      </c>
      <c r="W201" s="133" t="s">
        <v>35</v>
      </c>
      <c r="X201" s="133">
        <v>0</v>
      </c>
      <c r="Y201" s="135">
        <v>0.92</v>
      </c>
      <c r="Z201" s="135" t="s">
        <v>35</v>
      </c>
      <c r="AA201" s="135" t="s">
        <v>35</v>
      </c>
      <c r="AB201" s="135">
        <v>0</v>
      </c>
      <c r="AC201" s="135">
        <v>0</v>
      </c>
      <c r="AD201" s="135">
        <v>0.92</v>
      </c>
      <c r="AE201" s="133">
        <v>1</v>
      </c>
      <c r="AF201" s="133">
        <v>1</v>
      </c>
      <c r="AG201" s="133">
        <v>0.995884773662551</v>
      </c>
      <c r="AH201" s="133">
        <v>0.998550257731959</v>
      </c>
      <c r="AI201" s="135">
        <v>0.92</v>
      </c>
      <c r="AJ201" s="133" t="s">
        <v>35</v>
      </c>
      <c r="AK201" s="133">
        <v>0</v>
      </c>
      <c r="AL201" s="133">
        <v>0</v>
      </c>
      <c r="AM201" s="133">
        <v>0</v>
      </c>
      <c r="AN201" s="132">
        <v>0.99</v>
      </c>
      <c r="AO201" s="137">
        <v>1</v>
      </c>
      <c r="AP201" s="137">
        <v>1</v>
      </c>
      <c r="AQ201" s="137">
        <v>1</v>
      </c>
      <c r="AR201" s="137">
        <v>1</v>
      </c>
      <c r="AS201" s="158">
        <v>0.0719793575775068</v>
      </c>
      <c r="AT201" s="141" t="s">
        <v>35</v>
      </c>
      <c r="AU201" s="141" t="s">
        <v>35</v>
      </c>
      <c r="AV201" s="141" t="s">
        <v>35</v>
      </c>
      <c r="AW201" s="141" t="s">
        <v>35</v>
      </c>
      <c r="AX201" s="95"/>
      <c r="AY201" s="93"/>
    </row>
    <row r="202" ht="14.5" spans="1:51">
      <c r="A202" s="91"/>
      <c r="B202" s="95"/>
      <c r="C202" s="152" t="s">
        <v>210</v>
      </c>
      <c r="D202" s="153" t="s">
        <v>25</v>
      </c>
      <c r="E202" s="130" t="s">
        <v>211</v>
      </c>
      <c r="F202" s="157" t="s">
        <v>225</v>
      </c>
      <c r="G202" s="157" t="s">
        <v>225</v>
      </c>
      <c r="H202" s="157" t="s">
        <v>225</v>
      </c>
      <c r="I202" s="157" t="s">
        <v>225</v>
      </c>
      <c r="J202" s="132">
        <v>0.9</v>
      </c>
      <c r="K202" s="133">
        <v>0.988636363636364</v>
      </c>
      <c r="L202" s="133">
        <v>0.991666666666667</v>
      </c>
      <c r="M202" s="134">
        <v>0.947761194029851</v>
      </c>
      <c r="N202" s="133">
        <v>0.9767549976755</v>
      </c>
      <c r="O202" s="135">
        <v>0.9</v>
      </c>
      <c r="P202" s="133">
        <v>0.897123088128186</v>
      </c>
      <c r="Q202" s="133">
        <v>0.957009822681465</v>
      </c>
      <c r="R202" s="133">
        <v>0.962207312063535</v>
      </c>
      <c r="S202" s="133">
        <v>0.952667783440853</v>
      </c>
      <c r="T202" s="135">
        <v>0.9</v>
      </c>
      <c r="U202" s="133">
        <v>0.788783685360524</v>
      </c>
      <c r="V202" s="133">
        <v>0.843092231151933</v>
      </c>
      <c r="W202" s="133">
        <v>0.884157195673011</v>
      </c>
      <c r="X202" s="133">
        <v>0.855451402502049</v>
      </c>
      <c r="Y202" s="135">
        <v>0.92</v>
      </c>
      <c r="Z202" s="135">
        <v>0.82150926344329</v>
      </c>
      <c r="AA202" s="135">
        <v>0.904909761304095</v>
      </c>
      <c r="AB202" s="135">
        <v>0.918261161463578</v>
      </c>
      <c r="AC202" s="135">
        <v>0.935171497539342</v>
      </c>
      <c r="AD202" s="135">
        <v>0.92</v>
      </c>
      <c r="AE202" s="133">
        <v>0.97986770204199</v>
      </c>
      <c r="AF202" s="133">
        <v>0.99272558427488</v>
      </c>
      <c r="AG202" s="133">
        <v>0.995719427959918</v>
      </c>
      <c r="AH202" s="133">
        <v>0.989624682692472</v>
      </c>
      <c r="AI202" s="135">
        <v>0.92</v>
      </c>
      <c r="AJ202" s="133">
        <v>0.870230988839865</v>
      </c>
      <c r="AK202" s="133">
        <v>0.934749153585719</v>
      </c>
      <c r="AL202" s="133">
        <v>0.94744778707683</v>
      </c>
      <c r="AM202" s="133">
        <v>0.954811515761967</v>
      </c>
      <c r="AN202" s="132">
        <v>0.99</v>
      </c>
      <c r="AO202" s="137">
        <v>1</v>
      </c>
      <c r="AP202" s="137">
        <v>1</v>
      </c>
      <c r="AQ202" s="137">
        <v>1</v>
      </c>
      <c r="AR202" s="137">
        <v>1</v>
      </c>
      <c r="AS202" s="158">
        <v>0.0719793575775068</v>
      </c>
      <c r="AT202" s="141">
        <v>0.0277777777777778</v>
      </c>
      <c r="AU202" s="141">
        <v>0.0188679245283019</v>
      </c>
      <c r="AV202" s="141">
        <v>0.0612244897959184</v>
      </c>
      <c r="AW202" s="141">
        <v>0.0520231213872832</v>
      </c>
      <c r="AX202" s="95"/>
      <c r="AY202" s="93"/>
    </row>
    <row r="203" ht="14.5" spans="1:51">
      <c r="A203" s="91"/>
      <c r="B203" s="95"/>
      <c r="C203" s="152" t="s">
        <v>210</v>
      </c>
      <c r="D203" s="153" t="s">
        <v>125</v>
      </c>
      <c r="E203" s="130" t="s">
        <v>211</v>
      </c>
      <c r="F203" s="157" t="s">
        <v>226</v>
      </c>
      <c r="G203" s="157" t="s">
        <v>226</v>
      </c>
      <c r="H203" s="157" t="s">
        <v>226</v>
      </c>
      <c r="I203" s="157" t="s">
        <v>226</v>
      </c>
      <c r="J203" s="132">
        <v>0.9</v>
      </c>
      <c r="K203" s="133" t="s">
        <v>35</v>
      </c>
      <c r="L203" s="133" t="s">
        <v>35</v>
      </c>
      <c r="M203" s="134" t="s">
        <v>35</v>
      </c>
      <c r="N203" s="133" t="s">
        <v>35</v>
      </c>
      <c r="O203" s="135">
        <v>0.9</v>
      </c>
      <c r="P203" s="133" t="s">
        <v>35</v>
      </c>
      <c r="Q203" s="133" t="s">
        <v>35</v>
      </c>
      <c r="R203" s="133">
        <v>0</v>
      </c>
      <c r="S203" s="133">
        <v>0</v>
      </c>
      <c r="T203" s="135">
        <v>0.9</v>
      </c>
      <c r="U203" s="133" t="s">
        <v>35</v>
      </c>
      <c r="V203" s="133" t="s">
        <v>35</v>
      </c>
      <c r="W203" s="133">
        <v>1</v>
      </c>
      <c r="X203" s="133">
        <v>0.933333333333333</v>
      </c>
      <c r="Y203" s="135">
        <v>0.92</v>
      </c>
      <c r="Z203" s="135" t="s">
        <v>35</v>
      </c>
      <c r="AA203" s="135">
        <v>0</v>
      </c>
      <c r="AB203" s="135" t="s">
        <v>35</v>
      </c>
      <c r="AC203" s="135">
        <v>0</v>
      </c>
      <c r="AD203" s="135">
        <v>0.92</v>
      </c>
      <c r="AE203" s="133">
        <v>1</v>
      </c>
      <c r="AF203" s="133">
        <v>0.997813566552901</v>
      </c>
      <c r="AG203" s="133">
        <v>0.993972785090963</v>
      </c>
      <c r="AH203" s="133">
        <v>0.997644410164474</v>
      </c>
      <c r="AI203" s="135">
        <v>0.92</v>
      </c>
      <c r="AJ203" s="133">
        <v>0</v>
      </c>
      <c r="AK203" s="133">
        <v>0</v>
      </c>
      <c r="AL203" s="133">
        <v>1</v>
      </c>
      <c r="AM203" s="133">
        <v>0.727272727272727</v>
      </c>
      <c r="AN203" s="132">
        <v>0.99</v>
      </c>
      <c r="AO203" s="137">
        <v>1</v>
      </c>
      <c r="AP203" s="137">
        <v>1</v>
      </c>
      <c r="AQ203" s="137">
        <v>1</v>
      </c>
      <c r="AR203" s="137">
        <v>1</v>
      </c>
      <c r="AS203" s="158">
        <v>0.0719793575775068</v>
      </c>
      <c r="AT203" s="141" t="s">
        <v>35</v>
      </c>
      <c r="AU203" s="141" t="s">
        <v>35</v>
      </c>
      <c r="AV203" s="141" t="s">
        <v>35</v>
      </c>
      <c r="AW203" s="141" t="s">
        <v>35</v>
      </c>
      <c r="AX203" s="95"/>
      <c r="AY203" s="93"/>
    </row>
    <row r="204" ht="14.5" spans="1:51">
      <c r="A204" s="91"/>
      <c r="B204" s="95"/>
      <c r="C204" s="152" t="s">
        <v>210</v>
      </c>
      <c r="D204" s="153" t="s">
        <v>25</v>
      </c>
      <c r="E204" s="130" t="s">
        <v>211</v>
      </c>
      <c r="F204" s="157" t="s">
        <v>227</v>
      </c>
      <c r="G204" s="157" t="s">
        <v>227</v>
      </c>
      <c r="H204" s="157" t="s">
        <v>227</v>
      </c>
      <c r="I204" s="157" t="s">
        <v>227</v>
      </c>
      <c r="J204" s="132">
        <v>0.9</v>
      </c>
      <c r="K204" s="133">
        <v>0.888888888888889</v>
      </c>
      <c r="L204" s="133">
        <v>0.871428571428571</v>
      </c>
      <c r="M204" s="134">
        <v>0.876543209876543</v>
      </c>
      <c r="N204" s="133">
        <v>0.904458598726115</v>
      </c>
      <c r="O204" s="135">
        <v>0.9</v>
      </c>
      <c r="P204" s="133">
        <v>0.941487486781812</v>
      </c>
      <c r="Q204" s="133">
        <v>0.95062656641604</v>
      </c>
      <c r="R204" s="133">
        <v>0.955112219451372</v>
      </c>
      <c r="S204" s="133">
        <v>0.951488334674175</v>
      </c>
      <c r="T204" s="135">
        <v>0.9</v>
      </c>
      <c r="U204" s="133">
        <v>0.894606979203384</v>
      </c>
      <c r="V204" s="133">
        <v>0.890726817042606</v>
      </c>
      <c r="W204" s="133">
        <v>0.929177057356608</v>
      </c>
      <c r="X204" s="133">
        <v>0.917323679270582</v>
      </c>
      <c r="Y204" s="135">
        <v>0.92</v>
      </c>
      <c r="Z204" s="135">
        <v>0.902313624678663</v>
      </c>
      <c r="AA204" s="135">
        <v>0.930039668229354</v>
      </c>
      <c r="AB204" s="135">
        <v>0.94515931372549</v>
      </c>
      <c r="AC204" s="135">
        <v>0.950570801885978</v>
      </c>
      <c r="AD204" s="135">
        <v>0.92</v>
      </c>
      <c r="AE204" s="133">
        <v>0.995921696574225</v>
      </c>
      <c r="AF204" s="133">
        <v>0.994088221919054</v>
      </c>
      <c r="AG204" s="133">
        <v>0.998465375023978</v>
      </c>
      <c r="AH204" s="133">
        <v>0.997421870768564</v>
      </c>
      <c r="AI204" s="135">
        <v>0.92</v>
      </c>
      <c r="AJ204" s="133">
        <v>0.946107784431138</v>
      </c>
      <c r="AK204" s="133">
        <v>0.954458080733402</v>
      </c>
      <c r="AL204" s="133">
        <v>0.966735395189003</v>
      </c>
      <c r="AM204" s="133">
        <v>0.969342470716097</v>
      </c>
      <c r="AN204" s="132">
        <v>0.99</v>
      </c>
      <c r="AO204" s="137">
        <v>1</v>
      </c>
      <c r="AP204" s="137">
        <v>1</v>
      </c>
      <c r="AQ204" s="137">
        <v>1</v>
      </c>
      <c r="AR204" s="137">
        <v>1</v>
      </c>
      <c r="AS204" s="158">
        <v>0.0719793575775068</v>
      </c>
      <c r="AT204" s="141">
        <v>0</v>
      </c>
      <c r="AU204" s="141">
        <v>0.0476190476190476</v>
      </c>
      <c r="AV204" s="141">
        <v>0</v>
      </c>
      <c r="AW204" s="141">
        <v>0.0608695652173913</v>
      </c>
      <c r="AX204" s="95"/>
      <c r="AY204" s="93"/>
    </row>
    <row r="205" ht="14.5" spans="1:51">
      <c r="A205" s="91"/>
      <c r="B205" s="95"/>
      <c r="C205" s="152" t="s">
        <v>210</v>
      </c>
      <c r="D205" s="153" t="s">
        <v>125</v>
      </c>
      <c r="E205" s="130" t="s">
        <v>211</v>
      </c>
      <c r="F205" s="157" t="s">
        <v>228</v>
      </c>
      <c r="G205" s="157" t="s">
        <v>228</v>
      </c>
      <c r="H205" s="157" t="s">
        <v>228</v>
      </c>
      <c r="I205" s="157" t="s">
        <v>228</v>
      </c>
      <c r="J205" s="132">
        <v>0.9</v>
      </c>
      <c r="K205" s="133" t="s">
        <v>35</v>
      </c>
      <c r="L205" s="133" t="s">
        <v>35</v>
      </c>
      <c r="M205" s="134" t="s">
        <v>35</v>
      </c>
      <c r="N205" s="133" t="s">
        <v>35</v>
      </c>
      <c r="O205" s="135">
        <v>0.9</v>
      </c>
      <c r="P205" s="133">
        <v>0</v>
      </c>
      <c r="Q205" s="133">
        <v>0</v>
      </c>
      <c r="R205" s="133">
        <v>0</v>
      </c>
      <c r="S205" s="133">
        <v>0</v>
      </c>
      <c r="T205" s="135">
        <v>0.9</v>
      </c>
      <c r="U205" s="133">
        <v>1</v>
      </c>
      <c r="V205" s="133">
        <v>0</v>
      </c>
      <c r="W205" s="133">
        <v>1</v>
      </c>
      <c r="X205" s="133">
        <v>0.912</v>
      </c>
      <c r="Y205" s="135">
        <v>0.92</v>
      </c>
      <c r="Z205" s="135">
        <v>1</v>
      </c>
      <c r="AA205" s="135" t="s">
        <v>35</v>
      </c>
      <c r="AB205" s="135" t="s">
        <v>35</v>
      </c>
      <c r="AC205" s="135">
        <v>0.368421052631579</v>
      </c>
      <c r="AD205" s="135">
        <v>0.92</v>
      </c>
      <c r="AE205" s="133">
        <v>0.996940141518455</v>
      </c>
      <c r="AF205" s="133">
        <v>0.995913461538461</v>
      </c>
      <c r="AG205" s="133">
        <v>0.970725110377471</v>
      </c>
      <c r="AH205" s="133">
        <v>0.958787633263253</v>
      </c>
      <c r="AI205" s="135">
        <v>0.92</v>
      </c>
      <c r="AJ205" s="133">
        <v>1</v>
      </c>
      <c r="AK205" s="133">
        <v>0.5</v>
      </c>
      <c r="AL205" s="133">
        <v>1</v>
      </c>
      <c r="AM205" s="133">
        <v>0.906976744186046</v>
      </c>
      <c r="AN205" s="132">
        <v>0.99</v>
      </c>
      <c r="AO205" s="137">
        <v>1</v>
      </c>
      <c r="AP205" s="137">
        <v>1</v>
      </c>
      <c r="AQ205" s="137">
        <v>1</v>
      </c>
      <c r="AR205" s="137">
        <v>1</v>
      </c>
      <c r="AS205" s="158">
        <v>0.0719793575775068</v>
      </c>
      <c r="AT205" s="141" t="s">
        <v>35</v>
      </c>
      <c r="AU205" s="141" t="s">
        <v>35</v>
      </c>
      <c r="AV205" s="141" t="s">
        <v>35</v>
      </c>
      <c r="AW205" s="141" t="s">
        <v>35</v>
      </c>
      <c r="AX205" s="95"/>
      <c r="AY205" s="93"/>
    </row>
    <row r="206" ht="14.5" spans="1:51">
      <c r="A206" s="91"/>
      <c r="B206" s="95"/>
      <c r="C206" s="152" t="s">
        <v>210</v>
      </c>
      <c r="D206" s="153" t="s">
        <v>25</v>
      </c>
      <c r="E206" s="130" t="s">
        <v>211</v>
      </c>
      <c r="F206" s="157" t="s">
        <v>229</v>
      </c>
      <c r="G206" s="157" t="s">
        <v>229</v>
      </c>
      <c r="H206" s="157" t="s">
        <v>229</v>
      </c>
      <c r="I206" s="157" t="s">
        <v>229</v>
      </c>
      <c r="J206" s="132">
        <v>0.9</v>
      </c>
      <c r="K206" s="133">
        <v>0.976744186046512</v>
      </c>
      <c r="L206" s="133">
        <v>0.959183673469388</v>
      </c>
      <c r="M206" s="134">
        <v>1</v>
      </c>
      <c r="N206" s="133">
        <v>0.922992299229923</v>
      </c>
      <c r="O206" s="135">
        <v>0.9</v>
      </c>
      <c r="P206" s="133">
        <v>0.994318181818182</v>
      </c>
      <c r="Q206" s="133">
        <v>0.992831541218638</v>
      </c>
      <c r="R206" s="133">
        <v>0.98443579766537</v>
      </c>
      <c r="S206" s="133">
        <v>0.992026192110683</v>
      </c>
      <c r="T206" s="135">
        <v>0.9</v>
      </c>
      <c r="U206" s="133">
        <v>0.87987012987013</v>
      </c>
      <c r="V206" s="133">
        <v>0.900836320191159</v>
      </c>
      <c r="W206" s="133">
        <v>0.918612191958495</v>
      </c>
      <c r="X206" s="133">
        <v>0.91427716463361</v>
      </c>
      <c r="Y206" s="135">
        <v>0.92</v>
      </c>
      <c r="Z206" s="135">
        <v>0.909657320872274</v>
      </c>
      <c r="AA206" s="135">
        <v>0.926143516575745</v>
      </c>
      <c r="AB206" s="135">
        <v>0.95083179297597</v>
      </c>
      <c r="AC206" s="135">
        <v>0.951851107089394</v>
      </c>
      <c r="AD206" s="135">
        <v>0.92</v>
      </c>
      <c r="AE206" s="133">
        <v>1</v>
      </c>
      <c r="AF206" s="133">
        <v>0.999525166191833</v>
      </c>
      <c r="AG206" s="133">
        <v>0.995669120831529</v>
      </c>
      <c r="AH206" s="133">
        <v>0.998481108790583</v>
      </c>
      <c r="AI206" s="135">
        <v>0.92</v>
      </c>
      <c r="AJ206" s="133">
        <v>0.947782963827305</v>
      </c>
      <c r="AK206" s="133">
        <v>0.955869527298099</v>
      </c>
      <c r="AL206" s="133">
        <v>0.970461219554327</v>
      </c>
      <c r="AM206" s="133">
        <v>0.969865225395513</v>
      </c>
      <c r="AN206" s="132">
        <v>0.99</v>
      </c>
      <c r="AO206" s="137">
        <v>1</v>
      </c>
      <c r="AP206" s="137">
        <v>1</v>
      </c>
      <c r="AQ206" s="137">
        <v>1</v>
      </c>
      <c r="AR206" s="137">
        <v>1</v>
      </c>
      <c r="AS206" s="158">
        <v>0.0719793575775068</v>
      </c>
      <c r="AT206" s="141">
        <v>0</v>
      </c>
      <c r="AU206" s="141">
        <v>0.0666666666666667</v>
      </c>
      <c r="AV206" s="141">
        <v>0.0476190476190476</v>
      </c>
      <c r="AW206" s="141">
        <v>0.076271186440678</v>
      </c>
      <c r="AX206" s="95"/>
      <c r="AY206" s="93"/>
    </row>
    <row r="207" ht="14.5" spans="1:51">
      <c r="A207" s="91"/>
      <c r="B207" s="95"/>
      <c r="C207" s="152" t="s">
        <v>210</v>
      </c>
      <c r="D207" s="153" t="s">
        <v>25</v>
      </c>
      <c r="E207" s="130" t="s">
        <v>211</v>
      </c>
      <c r="F207" s="157" t="s">
        <v>230</v>
      </c>
      <c r="G207" s="157" t="s">
        <v>230</v>
      </c>
      <c r="H207" s="157" t="s">
        <v>230</v>
      </c>
      <c r="I207" s="157" t="s">
        <v>230</v>
      </c>
      <c r="J207" s="132">
        <v>0.9</v>
      </c>
      <c r="K207" s="133">
        <v>0.91358024691358</v>
      </c>
      <c r="L207" s="133">
        <v>0.958762886597938</v>
      </c>
      <c r="M207" s="134">
        <v>0.961904761904762</v>
      </c>
      <c r="N207" s="133">
        <v>0.931964809384164</v>
      </c>
      <c r="O207" s="135">
        <v>0.9</v>
      </c>
      <c r="P207" s="133">
        <v>0.965056082830026</v>
      </c>
      <c r="Q207" s="133">
        <v>0.949783410877587</v>
      </c>
      <c r="R207" s="133">
        <v>0.961292552272335</v>
      </c>
      <c r="S207" s="133">
        <v>0.951638485154851</v>
      </c>
      <c r="T207" s="135">
        <v>0.9</v>
      </c>
      <c r="U207" s="133">
        <v>0.878774805867127</v>
      </c>
      <c r="V207" s="133">
        <v>0.881116637253329</v>
      </c>
      <c r="W207" s="133">
        <v>0.920857093485398</v>
      </c>
      <c r="X207" s="133">
        <v>0.90598536354614</v>
      </c>
      <c r="Y207" s="135">
        <v>0.92</v>
      </c>
      <c r="Z207" s="135">
        <v>0.824229313142239</v>
      </c>
      <c r="AA207" s="135">
        <v>0.899742328414148</v>
      </c>
      <c r="AB207" s="135">
        <v>0.93687117774709</v>
      </c>
      <c r="AC207" s="135">
        <v>0.924407156921496</v>
      </c>
      <c r="AD207" s="135">
        <v>0.92</v>
      </c>
      <c r="AE207" s="133">
        <v>0.968362548097478</v>
      </c>
      <c r="AF207" s="133">
        <v>0.976770538243626</v>
      </c>
      <c r="AG207" s="133">
        <v>0.972200101353797</v>
      </c>
      <c r="AH207" s="133">
        <v>0.947437180588647</v>
      </c>
      <c r="AI207" s="135">
        <v>0.92</v>
      </c>
      <c r="AJ207" s="133">
        <v>0.900585696670777</v>
      </c>
      <c r="AK207" s="133">
        <v>0.936607652769846</v>
      </c>
      <c r="AL207" s="133">
        <v>0.961053310008287</v>
      </c>
      <c r="AM207" s="133">
        <v>0.95237894337155</v>
      </c>
      <c r="AN207" s="132">
        <v>0.99</v>
      </c>
      <c r="AO207" s="137">
        <v>1</v>
      </c>
      <c r="AP207" s="137">
        <v>1</v>
      </c>
      <c r="AQ207" s="137">
        <v>1</v>
      </c>
      <c r="AR207" s="137">
        <v>1</v>
      </c>
      <c r="AS207" s="158">
        <v>0.0719793575775068</v>
      </c>
      <c r="AT207" s="141">
        <v>0</v>
      </c>
      <c r="AU207" s="141">
        <v>0.0571428571428571</v>
      </c>
      <c r="AV207" s="141">
        <v>0.0256410256410256</v>
      </c>
      <c r="AW207" s="141">
        <v>0.0494186046511628</v>
      </c>
      <c r="AX207" s="95"/>
      <c r="AY207" s="93"/>
    </row>
    <row r="208" ht="14.5" spans="1:51">
      <c r="A208" s="91"/>
      <c r="B208" s="95"/>
      <c r="C208" s="152" t="s">
        <v>210</v>
      </c>
      <c r="D208" s="153" t="s">
        <v>125</v>
      </c>
      <c r="E208" s="130" t="s">
        <v>211</v>
      </c>
      <c r="F208" s="157" t="s">
        <v>231</v>
      </c>
      <c r="G208" s="157" t="s">
        <v>231</v>
      </c>
      <c r="H208" s="157" t="s">
        <v>231</v>
      </c>
      <c r="I208" s="157" t="s">
        <v>231</v>
      </c>
      <c r="J208" s="132">
        <v>0.9</v>
      </c>
      <c r="K208" s="133" t="s">
        <v>35</v>
      </c>
      <c r="L208" s="133" t="s">
        <v>35</v>
      </c>
      <c r="M208" s="134" t="s">
        <v>35</v>
      </c>
      <c r="N208" s="133" t="s">
        <v>35</v>
      </c>
      <c r="O208" s="135">
        <v>0.9</v>
      </c>
      <c r="P208" s="133">
        <v>0</v>
      </c>
      <c r="Q208" s="133">
        <v>0</v>
      </c>
      <c r="R208" s="133">
        <v>0</v>
      </c>
      <c r="S208" s="133">
        <v>0</v>
      </c>
      <c r="T208" s="135">
        <v>0.9</v>
      </c>
      <c r="U208" s="133">
        <v>0.5</v>
      </c>
      <c r="V208" s="133">
        <v>0.411764705882353</v>
      </c>
      <c r="W208" s="133">
        <v>1</v>
      </c>
      <c r="X208" s="133">
        <v>0.804123711340206</v>
      </c>
      <c r="Y208" s="135">
        <v>0.92</v>
      </c>
      <c r="Z208" s="135">
        <v>0</v>
      </c>
      <c r="AA208" s="135" t="s">
        <v>35</v>
      </c>
      <c r="AB208" s="135">
        <v>0</v>
      </c>
      <c r="AC208" s="135">
        <v>0.48</v>
      </c>
      <c r="AD208" s="135">
        <v>0.92</v>
      </c>
      <c r="AE208" s="133">
        <v>0.982213883677298</v>
      </c>
      <c r="AF208" s="133">
        <v>0.998350447441132</v>
      </c>
      <c r="AG208" s="133">
        <v>0.991886531642527</v>
      </c>
      <c r="AH208" s="133">
        <v>0.924057194379853</v>
      </c>
      <c r="AI208" s="135">
        <v>0.92</v>
      </c>
      <c r="AJ208" s="133">
        <v>0.533333333333333</v>
      </c>
      <c r="AK208" s="133">
        <v>0.454545454545455</v>
      </c>
      <c r="AL208" s="133">
        <v>0.7</v>
      </c>
      <c r="AM208" s="133">
        <v>0.782456140350877</v>
      </c>
      <c r="AN208" s="132">
        <v>0.99</v>
      </c>
      <c r="AO208" s="137">
        <v>1</v>
      </c>
      <c r="AP208" s="137">
        <v>1</v>
      </c>
      <c r="AQ208" s="137">
        <v>1</v>
      </c>
      <c r="AR208" s="137">
        <v>1</v>
      </c>
      <c r="AS208" s="158">
        <v>0.0719793575775068</v>
      </c>
      <c r="AT208" s="141" t="s">
        <v>35</v>
      </c>
      <c r="AU208" s="141" t="s">
        <v>35</v>
      </c>
      <c r="AV208" s="141" t="s">
        <v>35</v>
      </c>
      <c r="AW208" s="141" t="s">
        <v>35</v>
      </c>
      <c r="AX208" s="95"/>
      <c r="AY208" s="93"/>
    </row>
    <row r="209" ht="14.5" spans="1:51">
      <c r="A209" s="91"/>
      <c r="C209" s="152" t="s">
        <v>210</v>
      </c>
      <c r="D209" s="153" t="s">
        <v>25</v>
      </c>
      <c r="E209" s="130" t="s">
        <v>211</v>
      </c>
      <c r="F209" s="157" t="s">
        <v>232</v>
      </c>
      <c r="G209" s="157" t="s">
        <v>232</v>
      </c>
      <c r="H209" s="157" t="s">
        <v>232</v>
      </c>
      <c r="I209" s="157" t="s">
        <v>232</v>
      </c>
      <c r="J209" s="132">
        <v>0.9</v>
      </c>
      <c r="K209" s="133">
        <v>0.952054794520548</v>
      </c>
      <c r="L209" s="133">
        <v>0.949720670391061</v>
      </c>
      <c r="M209" s="134">
        <v>0.942105263157895</v>
      </c>
      <c r="N209" s="133">
        <v>0.94227615611676</v>
      </c>
      <c r="O209" s="135">
        <v>0.9</v>
      </c>
      <c r="P209" s="133">
        <v>0.950217901441502</v>
      </c>
      <c r="Q209" s="133">
        <v>0.944588846880907</v>
      </c>
      <c r="R209" s="133">
        <v>0.913995595791534</v>
      </c>
      <c r="S209" s="133">
        <v>0.95086364534154</v>
      </c>
      <c r="T209" s="135">
        <v>0.9</v>
      </c>
      <c r="U209" s="133">
        <v>0.87981897418706</v>
      </c>
      <c r="V209" s="133">
        <v>0.899692816635161</v>
      </c>
      <c r="W209" s="133">
        <v>0.927697577685344</v>
      </c>
      <c r="X209" s="133">
        <v>0.920510222935821</v>
      </c>
      <c r="Y209" s="135">
        <v>0.92</v>
      </c>
      <c r="Z209" s="135">
        <v>0.857378400659522</v>
      </c>
      <c r="AA209" s="135">
        <v>0.90809208231601</v>
      </c>
      <c r="AB209" s="135">
        <v>0.927144535840188</v>
      </c>
      <c r="AC209" s="135">
        <v>0.940996199563354</v>
      </c>
      <c r="AD209" s="135">
        <v>0.92</v>
      </c>
      <c r="AE209" s="133">
        <v>0.993343573988735</v>
      </c>
      <c r="AF209" s="133">
        <v>0.995642701525055</v>
      </c>
      <c r="AG209" s="133">
        <v>0.998261776464453</v>
      </c>
      <c r="AH209" s="133">
        <v>0.996449590583419</v>
      </c>
      <c r="AI209" s="135">
        <v>0.92</v>
      </c>
      <c r="AJ209" s="133">
        <v>0.911267270128633</v>
      </c>
      <c r="AK209" s="133">
        <v>0.939146358642062</v>
      </c>
      <c r="AL209" s="133">
        <v>0.95407822720598</v>
      </c>
      <c r="AM209" s="133">
        <v>0.961158441206757</v>
      </c>
      <c r="AN209" s="132">
        <v>0.99</v>
      </c>
      <c r="AO209" s="137">
        <v>1</v>
      </c>
      <c r="AP209" s="137">
        <v>1</v>
      </c>
      <c r="AQ209" s="137">
        <v>1</v>
      </c>
      <c r="AR209" s="137">
        <v>1</v>
      </c>
      <c r="AS209" s="158">
        <v>0.0719793575775068</v>
      </c>
      <c r="AT209" s="141">
        <v>0.072463768115942</v>
      </c>
      <c r="AU209" s="141">
        <v>0.0275229357798165</v>
      </c>
      <c r="AV209" s="141">
        <v>0.0099009900990099</v>
      </c>
      <c r="AW209" s="141">
        <v>0.058160237388724</v>
      </c>
      <c r="AX209" s="95"/>
      <c r="AY209" s="93"/>
    </row>
    <row r="210" ht="14.5" spans="1:51">
      <c r="A210" s="91"/>
      <c r="C210" s="152" t="s">
        <v>210</v>
      </c>
      <c r="D210" s="153" t="s">
        <v>25</v>
      </c>
      <c r="E210" s="130" t="s">
        <v>211</v>
      </c>
      <c r="F210" s="157" t="s">
        <v>233</v>
      </c>
      <c r="G210" s="157" t="s">
        <v>233</v>
      </c>
      <c r="H210" s="157" t="s">
        <v>233</v>
      </c>
      <c r="I210" s="157" t="s">
        <v>233</v>
      </c>
      <c r="J210" s="132">
        <v>0.9</v>
      </c>
      <c r="K210" s="133">
        <v>0.934579439252336</v>
      </c>
      <c r="L210" s="133">
        <v>0.884297520661157</v>
      </c>
      <c r="M210" s="134">
        <v>0.921875</v>
      </c>
      <c r="N210" s="133">
        <v>0.930747922437673</v>
      </c>
      <c r="O210" s="135">
        <v>0.9</v>
      </c>
      <c r="P210" s="133">
        <v>0.960314091680815</v>
      </c>
      <c r="Q210" s="133">
        <v>0.956720468504499</v>
      </c>
      <c r="R210" s="133">
        <v>0.959914921465969</v>
      </c>
      <c r="S210" s="133">
        <v>0.952829968853643</v>
      </c>
      <c r="T210" s="135">
        <v>0.9</v>
      </c>
      <c r="U210" s="133">
        <v>0.885398981324278</v>
      </c>
      <c r="V210" s="133">
        <v>0.87644622196829</v>
      </c>
      <c r="W210" s="133">
        <v>0.915575916230366</v>
      </c>
      <c r="X210" s="133">
        <v>0.899368528975432</v>
      </c>
      <c r="Y210" s="135">
        <v>0.92</v>
      </c>
      <c r="Z210" s="135">
        <v>0.876784769962983</v>
      </c>
      <c r="AA210" s="135">
        <v>0.89282999746643</v>
      </c>
      <c r="AB210" s="135">
        <v>0.934072460898832</v>
      </c>
      <c r="AC210" s="135">
        <v>0.929427553334259</v>
      </c>
      <c r="AD210" s="135">
        <v>0.92</v>
      </c>
      <c r="AE210" s="133">
        <v>0.998984513835999</v>
      </c>
      <c r="AF210" s="133">
        <v>0.977749683944374</v>
      </c>
      <c r="AG210" s="133">
        <v>0.994356005788712</v>
      </c>
      <c r="AH210" s="133">
        <v>0.988436332123707</v>
      </c>
      <c r="AI210" s="135">
        <v>0.92</v>
      </c>
      <c r="AJ210" s="133">
        <v>0.918697956093868</v>
      </c>
      <c r="AK210" s="133">
        <v>0.92648401826484</v>
      </c>
      <c r="AL210" s="133">
        <v>0.953600859906843</v>
      </c>
      <c r="AM210" s="133">
        <v>0.95430045072255</v>
      </c>
      <c r="AN210" s="132">
        <v>0.99</v>
      </c>
      <c r="AO210" s="137">
        <v>1</v>
      </c>
      <c r="AP210" s="137">
        <v>1</v>
      </c>
      <c r="AQ210" s="137">
        <v>1</v>
      </c>
      <c r="AR210" s="137">
        <v>1</v>
      </c>
      <c r="AS210" s="158">
        <v>0.0719793575775068</v>
      </c>
      <c r="AT210" s="141">
        <v>0.0289855072463768</v>
      </c>
      <c r="AU210" s="141">
        <v>0.0891089108910891</v>
      </c>
      <c r="AV210" s="141">
        <v>0.0357142857142857</v>
      </c>
      <c r="AW210" s="141">
        <v>0.0538243626062323</v>
      </c>
      <c r="AX210" s="95"/>
      <c r="AY210" s="93"/>
    </row>
    <row r="211" ht="14.5" spans="1:51">
      <c r="A211" s="91"/>
      <c r="C211" s="152" t="s">
        <v>210</v>
      </c>
      <c r="D211" s="153" t="s">
        <v>25</v>
      </c>
      <c r="E211" s="130" t="s">
        <v>211</v>
      </c>
      <c r="F211" s="157" t="s">
        <v>234</v>
      </c>
      <c r="G211" s="157" t="s">
        <v>234</v>
      </c>
      <c r="H211" s="157" t="s">
        <v>234</v>
      </c>
      <c r="I211" s="157" t="s">
        <v>234</v>
      </c>
      <c r="J211" s="132">
        <v>0.9</v>
      </c>
      <c r="K211" s="133">
        <v>0.911504424778761</v>
      </c>
      <c r="L211" s="133">
        <v>0.912</v>
      </c>
      <c r="M211" s="134">
        <v>0.90625</v>
      </c>
      <c r="N211" s="133">
        <v>0.923279263480929</v>
      </c>
      <c r="O211" s="135">
        <v>0.9</v>
      </c>
      <c r="P211" s="133">
        <v>0.948086940901742</v>
      </c>
      <c r="Q211" s="133">
        <v>0.942136854741897</v>
      </c>
      <c r="R211" s="133">
        <v>0.947085789129011</v>
      </c>
      <c r="S211" s="133">
        <v>0.942351929409955</v>
      </c>
      <c r="T211" s="135">
        <v>0.9</v>
      </c>
      <c r="U211" s="133">
        <v>0.912520208370756</v>
      </c>
      <c r="V211" s="133">
        <v>0.907442977190876</v>
      </c>
      <c r="W211" s="133">
        <v>0.919973804846103</v>
      </c>
      <c r="X211" s="133">
        <v>0.919572376470917</v>
      </c>
      <c r="Y211" s="135">
        <v>0.92</v>
      </c>
      <c r="Z211" s="135">
        <v>0.865177502991623</v>
      </c>
      <c r="AA211" s="135">
        <v>0.931805047197072</v>
      </c>
      <c r="AB211" s="135">
        <v>0.936626966622556</v>
      </c>
      <c r="AC211" s="135">
        <v>0.945619649043317</v>
      </c>
      <c r="AD211" s="135">
        <v>0.92</v>
      </c>
      <c r="AE211" s="133">
        <v>0.980785653287788</v>
      </c>
      <c r="AF211" s="133">
        <v>0.987535834475882</v>
      </c>
      <c r="AG211" s="133">
        <v>0.985849056603774</v>
      </c>
      <c r="AH211" s="133">
        <v>0.987240131971221</v>
      </c>
      <c r="AI211" s="135">
        <v>0.92</v>
      </c>
      <c r="AJ211" s="133">
        <v>0.934373452204061</v>
      </c>
      <c r="AK211" s="133">
        <v>0.957775641499667</v>
      </c>
      <c r="AL211" s="133">
        <v>0.956711455880316</v>
      </c>
      <c r="AM211" s="133">
        <v>0.965898913632804</v>
      </c>
      <c r="AN211" s="132">
        <v>0.99</v>
      </c>
      <c r="AO211" s="137">
        <v>1</v>
      </c>
      <c r="AP211" s="137">
        <v>1</v>
      </c>
      <c r="AQ211" s="137">
        <v>1</v>
      </c>
      <c r="AR211" s="137">
        <v>1</v>
      </c>
      <c r="AS211" s="158">
        <v>0.0719793575775068</v>
      </c>
      <c r="AT211" s="141">
        <v>0.107142857142857</v>
      </c>
      <c r="AU211" s="141">
        <v>0.0377358490566038</v>
      </c>
      <c r="AV211" s="141">
        <v>0.0566037735849057</v>
      </c>
      <c r="AW211" s="141">
        <v>0.0663856691253951</v>
      </c>
      <c r="AX211" s="95"/>
      <c r="AY211" s="93"/>
    </row>
    <row r="212" ht="14.5" spans="1:51">
      <c r="A212" s="91"/>
      <c r="C212" s="152" t="s">
        <v>210</v>
      </c>
      <c r="D212" s="153" t="s">
        <v>25</v>
      </c>
      <c r="E212" s="130" t="s">
        <v>211</v>
      </c>
      <c r="F212" s="157" t="s">
        <v>235</v>
      </c>
      <c r="G212" s="157" t="s">
        <v>235</v>
      </c>
      <c r="H212" s="157" t="s">
        <v>235</v>
      </c>
      <c r="I212" s="157" t="s">
        <v>235</v>
      </c>
      <c r="J212" s="132">
        <v>0.9</v>
      </c>
      <c r="K212" s="133">
        <v>0.962264150943396</v>
      </c>
      <c r="L212" s="133">
        <v>0.952380952380952</v>
      </c>
      <c r="M212" s="134">
        <v>0.925373134328358</v>
      </c>
      <c r="N212" s="133">
        <v>0.947780678851175</v>
      </c>
      <c r="O212" s="135">
        <v>0.9</v>
      </c>
      <c r="P212" s="133">
        <v>0.985749185667752</v>
      </c>
      <c r="Q212" s="133">
        <v>0.981281905842314</v>
      </c>
      <c r="R212" s="133">
        <v>0.975609756097561</v>
      </c>
      <c r="S212" s="133">
        <v>0.968170566885848</v>
      </c>
      <c r="T212" s="135">
        <v>0.9</v>
      </c>
      <c r="U212" s="133">
        <v>0.910016286644951</v>
      </c>
      <c r="V212" s="133">
        <v>0.924276800907544</v>
      </c>
      <c r="W212" s="133">
        <v>0.934469585659712</v>
      </c>
      <c r="X212" s="133">
        <v>0.929477152966546</v>
      </c>
      <c r="Y212" s="135">
        <v>0.92</v>
      </c>
      <c r="Z212" s="135">
        <v>0.916833667334669</v>
      </c>
      <c r="AA212" s="135">
        <v>0.945554445554446</v>
      </c>
      <c r="AB212" s="135">
        <v>0.97775912715065</v>
      </c>
      <c r="AC212" s="135">
        <v>0.965187314706675</v>
      </c>
      <c r="AD212" s="135">
        <v>0.92</v>
      </c>
      <c r="AE212" s="133">
        <v>0.977871939736347</v>
      </c>
      <c r="AF212" s="133">
        <v>0.997205142537731</v>
      </c>
      <c r="AG212" s="133">
        <v>0.996921354603974</v>
      </c>
      <c r="AH212" s="133">
        <v>0.993357316418947</v>
      </c>
      <c r="AI212" s="135">
        <v>0.92</v>
      </c>
      <c r="AJ212" s="133">
        <v>0.95630787037037</v>
      </c>
      <c r="AK212" s="133">
        <v>0.967438494934877</v>
      </c>
      <c r="AL212" s="133">
        <v>0.983235395782924</v>
      </c>
      <c r="AM212" s="133">
        <v>0.978864882003895</v>
      </c>
      <c r="AN212" s="132">
        <v>0.99</v>
      </c>
      <c r="AO212" s="137">
        <v>1</v>
      </c>
      <c r="AP212" s="137">
        <v>1</v>
      </c>
      <c r="AQ212" s="137">
        <v>1</v>
      </c>
      <c r="AR212" s="137">
        <v>1</v>
      </c>
      <c r="AS212" s="158">
        <v>0.0719793575775068</v>
      </c>
      <c r="AT212" s="141">
        <v>0.0476190476190476</v>
      </c>
      <c r="AU212" s="141">
        <v>0.0333333333333333</v>
      </c>
      <c r="AV212" s="141">
        <v>0.027027027027027</v>
      </c>
      <c r="AW212" s="141">
        <v>0.0514372163388805</v>
      </c>
      <c r="AX212" s="95"/>
      <c r="AY212" s="93"/>
    </row>
    <row r="213" ht="14.5" spans="1:51">
      <c r="A213" s="91"/>
      <c r="C213" s="152" t="s">
        <v>210</v>
      </c>
      <c r="D213" s="153" t="s">
        <v>25</v>
      </c>
      <c r="E213" s="130" t="s">
        <v>211</v>
      </c>
      <c r="F213" s="157" t="s">
        <v>236</v>
      </c>
      <c r="G213" s="157" t="s">
        <v>236</v>
      </c>
      <c r="H213" s="157" t="s">
        <v>236</v>
      </c>
      <c r="I213" s="157" t="s">
        <v>236</v>
      </c>
      <c r="J213" s="132">
        <v>0.9</v>
      </c>
      <c r="K213" s="133">
        <v>0.959183673469388</v>
      </c>
      <c r="L213" s="133">
        <v>0.9</v>
      </c>
      <c r="M213" s="134">
        <v>0.941176470588235</v>
      </c>
      <c r="N213" s="133">
        <v>0.96054054054054</v>
      </c>
      <c r="O213" s="135">
        <v>0.9</v>
      </c>
      <c r="P213" s="133">
        <v>0.977748344370861</v>
      </c>
      <c r="Q213" s="133">
        <v>0.959332993023651</v>
      </c>
      <c r="R213" s="133">
        <v>0.975403535741737</v>
      </c>
      <c r="S213" s="133">
        <v>0.970003763643207</v>
      </c>
      <c r="T213" s="135">
        <v>0.9</v>
      </c>
      <c r="U213" s="133">
        <v>0.896423841059603</v>
      </c>
      <c r="V213" s="133">
        <v>0.908286540752084</v>
      </c>
      <c r="W213" s="133">
        <v>0.931398923904689</v>
      </c>
      <c r="X213" s="133">
        <v>0.92502822732405</v>
      </c>
      <c r="Y213" s="135">
        <v>0.92</v>
      </c>
      <c r="Z213" s="135">
        <v>0.905850706119704</v>
      </c>
      <c r="AA213" s="135">
        <v>0.93044733044733</v>
      </c>
      <c r="AB213" s="135">
        <v>0.952302631578947</v>
      </c>
      <c r="AC213" s="135">
        <v>0.953690467765905</v>
      </c>
      <c r="AD213" s="135">
        <v>0.92</v>
      </c>
      <c r="AE213" s="133">
        <v>0.996173469387755</v>
      </c>
      <c r="AF213" s="133">
        <v>0.995939086294416</v>
      </c>
      <c r="AG213" s="133">
        <v>0.994304698623635</v>
      </c>
      <c r="AH213" s="133">
        <v>0.993622743698994</v>
      </c>
      <c r="AI213" s="135">
        <v>0.92</v>
      </c>
      <c r="AJ213" s="133">
        <v>0.939221272554606</v>
      </c>
      <c r="AK213" s="133">
        <v>0.953441078882586</v>
      </c>
      <c r="AL213" s="133">
        <v>0.96859821529425</v>
      </c>
      <c r="AM213" s="133">
        <v>0.97093496394421</v>
      </c>
      <c r="AN213" s="132">
        <v>0.99</v>
      </c>
      <c r="AO213" s="137">
        <v>1</v>
      </c>
      <c r="AP213" s="137">
        <v>1</v>
      </c>
      <c r="AQ213" s="137">
        <v>1</v>
      </c>
      <c r="AR213" s="137">
        <v>1</v>
      </c>
      <c r="AS213" s="158">
        <v>0.0719793575775068</v>
      </c>
      <c r="AT213" s="141">
        <v>0.0769230769230769</v>
      </c>
      <c r="AU213" s="141">
        <v>0.0833333333333333</v>
      </c>
      <c r="AV213" s="141">
        <v>0.0526315789473684</v>
      </c>
      <c r="AW213" s="141">
        <v>0.102956167176351</v>
      </c>
      <c r="AX213" s="95"/>
      <c r="AY213" s="93"/>
    </row>
    <row r="214" ht="14.5" spans="1:51">
      <c r="A214" s="91"/>
      <c r="C214" s="152" t="s">
        <v>210</v>
      </c>
      <c r="D214" s="153" t="s">
        <v>25</v>
      </c>
      <c r="E214" s="130" t="s">
        <v>211</v>
      </c>
      <c r="F214" s="157" t="s">
        <v>237</v>
      </c>
      <c r="G214" s="157" t="s">
        <v>237</v>
      </c>
      <c r="H214" s="157" t="s">
        <v>237</v>
      </c>
      <c r="I214" s="157" t="s">
        <v>237</v>
      </c>
      <c r="J214" s="132">
        <v>0.9</v>
      </c>
      <c r="K214" s="133">
        <v>0.898305084745763</v>
      </c>
      <c r="L214" s="133">
        <v>0.9625</v>
      </c>
      <c r="M214" s="134">
        <v>0.961038961038961</v>
      </c>
      <c r="N214" s="133">
        <v>0.954375467464473</v>
      </c>
      <c r="O214" s="135">
        <v>0.9</v>
      </c>
      <c r="P214" s="133">
        <v>0.922674418604651</v>
      </c>
      <c r="Q214" s="133">
        <v>0.918845632384273</v>
      </c>
      <c r="R214" s="133">
        <v>0.930006343835906</v>
      </c>
      <c r="S214" s="133">
        <v>0.884436863236557</v>
      </c>
      <c r="T214" s="135">
        <v>0.9</v>
      </c>
      <c r="U214" s="133">
        <v>0.84796511627907</v>
      </c>
      <c r="V214" s="133">
        <v>0.918070889018013</v>
      </c>
      <c r="W214" s="133">
        <v>0.938253330513851</v>
      </c>
      <c r="X214" s="133">
        <v>0.92852003991738</v>
      </c>
      <c r="Y214" s="135">
        <v>0.92</v>
      </c>
      <c r="Z214" s="135">
        <v>0.868852459016393</v>
      </c>
      <c r="AA214" s="135">
        <v>0.931192660550459</v>
      </c>
      <c r="AB214" s="135">
        <v>0.964093864857224</v>
      </c>
      <c r="AC214" s="135">
        <v>0.966835138387485</v>
      </c>
      <c r="AD214" s="135">
        <v>0.92</v>
      </c>
      <c r="AE214" s="133">
        <v>0.993357487922705</v>
      </c>
      <c r="AF214" s="133">
        <v>0.99677211103938</v>
      </c>
      <c r="AG214" s="133">
        <v>0.999035059504664</v>
      </c>
      <c r="AH214" s="133">
        <v>0.996008159532937</v>
      </c>
      <c r="AI214" s="135">
        <v>0.92</v>
      </c>
      <c r="AJ214" s="133">
        <v>0.891802601693165</v>
      </c>
      <c r="AK214" s="133">
        <v>0.948393378773126</v>
      </c>
      <c r="AL214" s="133">
        <v>0.972662392645458</v>
      </c>
      <c r="AM214" s="133">
        <v>0.976172361555294</v>
      </c>
      <c r="AN214" s="132">
        <v>0.99</v>
      </c>
      <c r="AO214" s="137">
        <v>1</v>
      </c>
      <c r="AP214" s="137">
        <v>1</v>
      </c>
      <c r="AQ214" s="137">
        <v>1</v>
      </c>
      <c r="AR214" s="137">
        <v>1</v>
      </c>
      <c r="AS214" s="158">
        <v>0.0719793575775068</v>
      </c>
      <c r="AT214" s="141">
        <v>0.173913043478261</v>
      </c>
      <c r="AU214" s="141">
        <v>0.121951219512195</v>
      </c>
      <c r="AV214" s="141">
        <v>0.0476190476190476</v>
      </c>
      <c r="AW214" s="141">
        <v>0.0796812749003984</v>
      </c>
      <c r="AX214" s="95"/>
      <c r="AY214" s="93"/>
    </row>
    <row r="215" s="86" customFormat="1" ht="14.5" spans="1:51">
      <c r="A215" s="91"/>
      <c r="B215" s="88"/>
      <c r="C215" s="152" t="s">
        <v>210</v>
      </c>
      <c r="D215" s="153" t="s">
        <v>25</v>
      </c>
      <c r="E215" s="130" t="s">
        <v>211</v>
      </c>
      <c r="F215" s="157" t="s">
        <v>238</v>
      </c>
      <c r="G215" s="157" t="s">
        <v>238</v>
      </c>
      <c r="H215" s="157" t="s">
        <v>238</v>
      </c>
      <c r="I215" s="157" t="s">
        <v>238</v>
      </c>
      <c r="J215" s="132">
        <v>0.9</v>
      </c>
      <c r="K215" s="133">
        <v>0.962025316455696</v>
      </c>
      <c r="L215" s="133">
        <v>0.968085106382979</v>
      </c>
      <c r="M215" s="134">
        <v>0.961165048543689</v>
      </c>
      <c r="N215" s="133">
        <v>0.955035971223022</v>
      </c>
      <c r="O215" s="135">
        <v>0.9</v>
      </c>
      <c r="P215" s="133">
        <v>0.932725998598458</v>
      </c>
      <c r="Q215" s="133">
        <v>0.944444444444444</v>
      </c>
      <c r="R215" s="133">
        <v>0.953385942374748</v>
      </c>
      <c r="S215" s="133">
        <v>0.936010903812794</v>
      </c>
      <c r="T215" s="135">
        <v>0.9</v>
      </c>
      <c r="U215" s="133">
        <v>0.848166316281243</v>
      </c>
      <c r="V215" s="133">
        <v>0.869128603822481</v>
      </c>
      <c r="W215" s="133">
        <v>0.917416039640301</v>
      </c>
      <c r="X215" s="133">
        <v>0.893378057846851</v>
      </c>
      <c r="Y215" s="135">
        <v>0.92</v>
      </c>
      <c r="Z215" s="135">
        <v>0.845679012345679</v>
      </c>
      <c r="AA215" s="135">
        <v>0.895126816756911</v>
      </c>
      <c r="AB215" s="135">
        <v>0.932364848773518</v>
      </c>
      <c r="AC215" s="135">
        <v>0.942501993281661</v>
      </c>
      <c r="AD215" s="135">
        <v>0.92</v>
      </c>
      <c r="AE215" s="133">
        <v>0.993100474342389</v>
      </c>
      <c r="AF215" s="133">
        <v>0.987302620869282</v>
      </c>
      <c r="AG215" s="133">
        <v>0.98922821969697</v>
      </c>
      <c r="AH215" s="133">
        <v>0.978143413621492</v>
      </c>
      <c r="AI215" s="135">
        <v>0.92</v>
      </c>
      <c r="AJ215" s="133">
        <v>0.892533377286962</v>
      </c>
      <c r="AK215" s="133">
        <v>0.915737298636927</v>
      </c>
      <c r="AL215" s="133">
        <v>0.956391133209033</v>
      </c>
      <c r="AM215" s="133">
        <v>0.959183888821472</v>
      </c>
      <c r="AN215" s="132">
        <v>0.99</v>
      </c>
      <c r="AO215" s="137">
        <v>1</v>
      </c>
      <c r="AP215" s="137">
        <v>1</v>
      </c>
      <c r="AQ215" s="137">
        <v>1</v>
      </c>
      <c r="AR215" s="137">
        <v>1</v>
      </c>
      <c r="AS215" s="158">
        <v>0.0719793575775068</v>
      </c>
      <c r="AT215" s="141">
        <v>0.0784313725490196</v>
      </c>
      <c r="AU215" s="141">
        <v>0.0256410256410256</v>
      </c>
      <c r="AV215" s="141">
        <v>0.0428571428571429</v>
      </c>
      <c r="AW215" s="141">
        <v>0.0510344827586207</v>
      </c>
      <c r="AX215" s="88"/>
      <c r="AY215" s="93"/>
    </row>
    <row r="216" s="86" customFormat="1" ht="14.5" spans="1:51">
      <c r="A216" s="91"/>
      <c r="B216" s="88"/>
      <c r="C216" s="152" t="s">
        <v>210</v>
      </c>
      <c r="D216" s="153" t="s">
        <v>25</v>
      </c>
      <c r="E216" s="130" t="s">
        <v>211</v>
      </c>
      <c r="F216" s="157" t="s">
        <v>239</v>
      </c>
      <c r="G216" s="157" t="s">
        <v>239</v>
      </c>
      <c r="H216" s="157" t="s">
        <v>239</v>
      </c>
      <c r="I216" s="157" t="s">
        <v>239</v>
      </c>
      <c r="J216" s="132">
        <v>0.9</v>
      </c>
      <c r="K216" s="133">
        <v>0.966101694915254</v>
      </c>
      <c r="L216" s="133">
        <v>0.96875</v>
      </c>
      <c r="M216" s="134">
        <v>0.942028985507246</v>
      </c>
      <c r="N216" s="133">
        <v>0.955669224211424</v>
      </c>
      <c r="O216" s="135">
        <v>0.9</v>
      </c>
      <c r="P216" s="133">
        <v>0.949606299212598</v>
      </c>
      <c r="Q216" s="133">
        <v>0.943221110100091</v>
      </c>
      <c r="R216" s="133">
        <v>0.96007371007371</v>
      </c>
      <c r="S216" s="133">
        <v>0.947471822975907</v>
      </c>
      <c r="T216" s="135">
        <v>0.9</v>
      </c>
      <c r="U216" s="133">
        <v>0.896587926509186</v>
      </c>
      <c r="V216" s="133">
        <v>0.911737943585077</v>
      </c>
      <c r="W216" s="133">
        <v>0.923423423423423</v>
      </c>
      <c r="X216" s="133">
        <v>0.906410919243098</v>
      </c>
      <c r="Y216" s="135">
        <v>0.92</v>
      </c>
      <c r="Z216" s="135">
        <v>0.881440099317194</v>
      </c>
      <c r="AA216" s="135">
        <v>0.918852459016393</v>
      </c>
      <c r="AB216" s="135">
        <v>0.946095369730477</v>
      </c>
      <c r="AC216" s="135">
        <v>0.941833944648216</v>
      </c>
      <c r="AD216" s="135">
        <v>0.92</v>
      </c>
      <c r="AE216" s="133">
        <v>0.9963530269876</v>
      </c>
      <c r="AF216" s="133">
        <v>1</v>
      </c>
      <c r="AG216" s="133">
        <v>0.99830220713073</v>
      </c>
      <c r="AH216" s="133">
        <v>0.997277219402333</v>
      </c>
      <c r="AI216" s="135">
        <v>0.92</v>
      </c>
      <c r="AJ216" s="133">
        <v>0.937315634218289</v>
      </c>
      <c r="AK216" s="133">
        <v>0.948552703440743</v>
      </c>
      <c r="AL216" s="133">
        <v>0.963689572946022</v>
      </c>
      <c r="AM216" s="133">
        <v>0.961202026672879</v>
      </c>
      <c r="AN216" s="132">
        <v>0.99</v>
      </c>
      <c r="AO216" s="137">
        <v>1</v>
      </c>
      <c r="AP216" s="137">
        <v>1</v>
      </c>
      <c r="AQ216" s="137">
        <v>1</v>
      </c>
      <c r="AR216" s="137">
        <v>1</v>
      </c>
      <c r="AS216" s="158">
        <v>0.0719793575775068</v>
      </c>
      <c r="AT216" s="141">
        <v>0</v>
      </c>
      <c r="AU216" s="141">
        <v>0.0333333333333333</v>
      </c>
      <c r="AV216" s="141">
        <v>0</v>
      </c>
      <c r="AW216" s="141">
        <v>0.0321543408360129</v>
      </c>
      <c r="AX216" s="88"/>
      <c r="AY216" s="93"/>
    </row>
    <row r="217" s="86" customFormat="1" ht="14.5" spans="1:51">
      <c r="A217" s="91"/>
      <c r="B217" s="88"/>
      <c r="C217" s="152" t="s">
        <v>210</v>
      </c>
      <c r="D217" s="153" t="s">
        <v>25</v>
      </c>
      <c r="E217" s="130" t="s">
        <v>211</v>
      </c>
      <c r="F217" s="157" t="s">
        <v>240</v>
      </c>
      <c r="G217" s="157" t="s">
        <v>240</v>
      </c>
      <c r="H217" s="157" t="s">
        <v>240</v>
      </c>
      <c r="I217" s="157" t="s">
        <v>240</v>
      </c>
      <c r="J217" s="132">
        <v>0.9</v>
      </c>
      <c r="K217" s="133">
        <v>0.934065934065934</v>
      </c>
      <c r="L217" s="133">
        <v>0.952380952380952</v>
      </c>
      <c r="M217" s="134">
        <v>0.955357142857143</v>
      </c>
      <c r="N217" s="133">
        <v>0.940965092402464</v>
      </c>
      <c r="O217" s="135">
        <v>0.9</v>
      </c>
      <c r="P217" s="133">
        <v>0.90464048954615</v>
      </c>
      <c r="Q217" s="133">
        <v>0.931248384595503</v>
      </c>
      <c r="R217" s="133">
        <v>0.938314742642118</v>
      </c>
      <c r="S217" s="133">
        <v>0.927869839018205</v>
      </c>
      <c r="T217" s="135">
        <v>0.9</v>
      </c>
      <c r="U217" s="133">
        <v>0.801801801801802</v>
      </c>
      <c r="V217" s="133">
        <v>0.866502972344275</v>
      </c>
      <c r="W217" s="133">
        <v>0.89934148635936</v>
      </c>
      <c r="X217" s="133">
        <v>0.875126270767511</v>
      </c>
      <c r="Y217" s="135">
        <v>0.92</v>
      </c>
      <c r="Z217" s="135">
        <v>0.802216538789429</v>
      </c>
      <c r="AA217" s="135">
        <v>0.890072202166065</v>
      </c>
      <c r="AB217" s="135">
        <v>0.923336006415397</v>
      </c>
      <c r="AC217" s="135">
        <v>0.917838491250272</v>
      </c>
      <c r="AD217" s="135">
        <v>0.92</v>
      </c>
      <c r="AE217" s="133">
        <v>0.99813258636788</v>
      </c>
      <c r="AF217" s="133">
        <v>0.99441663457836</v>
      </c>
      <c r="AG217" s="133">
        <v>0.990887713109935</v>
      </c>
      <c r="AH217" s="133">
        <v>0.984594691983032</v>
      </c>
      <c r="AI217" s="135">
        <v>0.92</v>
      </c>
      <c r="AJ217" s="133">
        <v>0.884003400947407</v>
      </c>
      <c r="AK217" s="133">
        <v>0.919295339908153</v>
      </c>
      <c r="AL217" s="133">
        <v>0.945963732085405</v>
      </c>
      <c r="AM217" s="133">
        <v>0.944564827788458</v>
      </c>
      <c r="AN217" s="132">
        <v>0.99</v>
      </c>
      <c r="AO217" s="137">
        <v>1</v>
      </c>
      <c r="AP217" s="137">
        <v>1</v>
      </c>
      <c r="AQ217" s="137">
        <v>1</v>
      </c>
      <c r="AR217" s="137">
        <v>1</v>
      </c>
      <c r="AS217" s="158">
        <v>0.0719793575775068</v>
      </c>
      <c r="AT217" s="141">
        <v>0</v>
      </c>
      <c r="AU217" s="141">
        <v>0</v>
      </c>
      <c r="AV217" s="141">
        <v>0.0172413793103448</v>
      </c>
      <c r="AW217" s="141">
        <v>0.03601108033241</v>
      </c>
      <c r="AX217" s="88"/>
      <c r="AY217" s="93"/>
    </row>
    <row r="218" s="86" customFormat="1" ht="14.5" spans="1:51">
      <c r="A218" s="91"/>
      <c r="B218" s="88"/>
      <c r="C218" s="152" t="s">
        <v>210</v>
      </c>
      <c r="D218" s="153" t="s">
        <v>25</v>
      </c>
      <c r="E218" s="130" t="s">
        <v>211</v>
      </c>
      <c r="F218" s="157" t="s">
        <v>241</v>
      </c>
      <c r="G218" s="157" t="s">
        <v>241</v>
      </c>
      <c r="H218" s="157" t="s">
        <v>241</v>
      </c>
      <c r="I218" s="157" t="s">
        <v>241</v>
      </c>
      <c r="J218" s="132">
        <v>0.9</v>
      </c>
      <c r="K218" s="133">
        <v>0.972222222222222</v>
      </c>
      <c r="L218" s="133">
        <v>0.945652173913043</v>
      </c>
      <c r="M218" s="134">
        <v>0.96875</v>
      </c>
      <c r="N218" s="133">
        <v>0.961803381340013</v>
      </c>
      <c r="O218" s="135">
        <v>0.9</v>
      </c>
      <c r="P218" s="133">
        <v>0.959320612287691</v>
      </c>
      <c r="Q218" s="133">
        <v>0.954854295636419</v>
      </c>
      <c r="R218" s="133">
        <v>0.956729239580019</v>
      </c>
      <c r="S218" s="133">
        <v>0.957313558665898</v>
      </c>
      <c r="T218" s="135">
        <v>0.9</v>
      </c>
      <c r="U218" s="133">
        <v>0.863493394841686</v>
      </c>
      <c r="V218" s="133">
        <v>0.914842216518194</v>
      </c>
      <c r="W218" s="133">
        <v>0.929366846961502</v>
      </c>
      <c r="X218" s="133">
        <v>0.920098414528187</v>
      </c>
      <c r="Y218" s="135">
        <v>0.92</v>
      </c>
      <c r="Z218" s="135">
        <v>0.897087378640777</v>
      </c>
      <c r="AA218" s="135">
        <v>0.938328912466843</v>
      </c>
      <c r="AB218" s="135">
        <v>0.947646024614182</v>
      </c>
      <c r="AC218" s="135">
        <v>0.952216128742246</v>
      </c>
      <c r="AD218" s="135">
        <v>0.92</v>
      </c>
      <c r="AE218" s="133">
        <v>0.993718795297149</v>
      </c>
      <c r="AF218" s="133">
        <v>0.983092114162045</v>
      </c>
      <c r="AG218" s="133">
        <v>0.993324432576769</v>
      </c>
      <c r="AH218" s="133">
        <v>0.989455952083853</v>
      </c>
      <c r="AI218" s="135">
        <v>0.92</v>
      </c>
      <c r="AJ218" s="133">
        <v>0.92962692026335</v>
      </c>
      <c r="AK218" s="133">
        <v>0.959644874899112</v>
      </c>
      <c r="AL218" s="133">
        <v>0.965544450289321</v>
      </c>
      <c r="AM218" s="133">
        <v>0.968104023657685</v>
      </c>
      <c r="AN218" s="132">
        <v>0.99</v>
      </c>
      <c r="AO218" s="137">
        <v>1</v>
      </c>
      <c r="AP218" s="137">
        <v>1</v>
      </c>
      <c r="AQ218" s="137">
        <v>1</v>
      </c>
      <c r="AR218" s="137">
        <v>1</v>
      </c>
      <c r="AS218" s="158">
        <v>0.0719793575775068</v>
      </c>
      <c r="AT218" s="141">
        <v>0</v>
      </c>
      <c r="AU218" s="141">
        <v>0.0571428571428571</v>
      </c>
      <c r="AV218" s="141">
        <v>0.0465116279069767</v>
      </c>
      <c r="AW218" s="141">
        <v>0.0707070707070707</v>
      </c>
      <c r="AX218" s="88"/>
      <c r="AY218" s="93"/>
    </row>
    <row r="219" s="86" customFormat="1" ht="14.5" spans="1:51">
      <c r="A219" s="91"/>
      <c r="B219" s="88"/>
      <c r="C219" s="152" t="s">
        <v>210</v>
      </c>
      <c r="D219" s="153" t="s">
        <v>25</v>
      </c>
      <c r="E219" s="130" t="s">
        <v>211</v>
      </c>
      <c r="F219" s="157" t="s">
        <v>242</v>
      </c>
      <c r="G219" s="157" t="s">
        <v>242</v>
      </c>
      <c r="H219" s="157" t="s">
        <v>242</v>
      </c>
      <c r="I219" s="157" t="s">
        <v>242</v>
      </c>
      <c r="J219" s="132">
        <v>0.9</v>
      </c>
      <c r="K219" s="133">
        <v>0.879699248120301</v>
      </c>
      <c r="L219" s="133">
        <v>0.924657534246575</v>
      </c>
      <c r="M219" s="134">
        <v>0.944444444444444</v>
      </c>
      <c r="N219" s="133">
        <v>0.935703479576399</v>
      </c>
      <c r="O219" s="135">
        <v>0.9</v>
      </c>
      <c r="P219" s="133">
        <v>0.9149904566143</v>
      </c>
      <c r="Q219" s="133">
        <v>0.933067561896769</v>
      </c>
      <c r="R219" s="133">
        <v>0.963636363636364</v>
      </c>
      <c r="S219" s="133">
        <v>0.91986534727148</v>
      </c>
      <c r="T219" s="135">
        <v>0.9</v>
      </c>
      <c r="U219" s="133">
        <v>0.85640875055058</v>
      </c>
      <c r="V219" s="133">
        <v>0.882920688208141</v>
      </c>
      <c r="W219" s="133">
        <v>0.930631152287203</v>
      </c>
      <c r="X219" s="133">
        <v>0.894545285410295</v>
      </c>
      <c r="Y219" s="135">
        <v>0.92</v>
      </c>
      <c r="Z219" s="135">
        <v>0.780313837375178</v>
      </c>
      <c r="AA219" s="135">
        <v>0.87901821060966</v>
      </c>
      <c r="AB219" s="135">
        <v>0.92650363516193</v>
      </c>
      <c r="AC219" s="135">
        <v>0.923932549387811</v>
      </c>
      <c r="AD219" s="135">
        <v>0.92</v>
      </c>
      <c r="AE219" s="133">
        <v>0.995489954899549</v>
      </c>
      <c r="AF219" s="133">
        <v>0.994042891183479</v>
      </c>
      <c r="AG219" s="133">
        <v>0.975682678891768</v>
      </c>
      <c r="AH219" s="133">
        <v>0.948280445658216</v>
      </c>
      <c r="AI219" s="135">
        <v>0.92</v>
      </c>
      <c r="AJ219" s="133">
        <v>0.888126429611146</v>
      </c>
      <c r="AK219" s="133">
        <v>0.92616899097621</v>
      </c>
      <c r="AL219" s="133">
        <v>0.954464120441784</v>
      </c>
      <c r="AM219" s="133">
        <v>0.952568078158758</v>
      </c>
      <c r="AN219" s="132">
        <v>0.99</v>
      </c>
      <c r="AO219" s="137">
        <v>1</v>
      </c>
      <c r="AP219" s="137">
        <v>1</v>
      </c>
      <c r="AQ219" s="137">
        <v>1</v>
      </c>
      <c r="AR219" s="137">
        <v>1</v>
      </c>
      <c r="AS219" s="158">
        <v>0.0719793575775068</v>
      </c>
      <c r="AT219" s="141">
        <v>0</v>
      </c>
      <c r="AU219" s="141">
        <v>0.0384615384615385</v>
      </c>
      <c r="AV219" s="141">
        <v>0.015625</v>
      </c>
      <c r="AW219" s="141">
        <v>0.0404371584699454</v>
      </c>
      <c r="AX219" s="88"/>
      <c r="AY219" s="93"/>
    </row>
    <row r="220" s="86" customFormat="1" ht="14.5" spans="1:51">
      <c r="A220" s="91"/>
      <c r="B220" s="88"/>
      <c r="C220" s="152" t="s">
        <v>210</v>
      </c>
      <c r="D220" s="153" t="s">
        <v>25</v>
      </c>
      <c r="E220" s="130" t="s">
        <v>211</v>
      </c>
      <c r="F220" s="157" t="s">
        <v>243</v>
      </c>
      <c r="G220" s="157" t="s">
        <v>243</v>
      </c>
      <c r="H220" s="157" t="s">
        <v>243</v>
      </c>
      <c r="I220" s="157" t="s">
        <v>243</v>
      </c>
      <c r="J220" s="132">
        <v>0.9</v>
      </c>
      <c r="K220" s="133">
        <v>0.875</v>
      </c>
      <c r="L220" s="133">
        <v>0.896907216494845</v>
      </c>
      <c r="M220" s="134">
        <v>0.894230769230769</v>
      </c>
      <c r="N220" s="133">
        <v>0.921137339055794</v>
      </c>
      <c r="O220" s="135">
        <v>0.9</v>
      </c>
      <c r="P220" s="133">
        <v>0.952582781456954</v>
      </c>
      <c r="Q220" s="133">
        <v>0.945668887749872</v>
      </c>
      <c r="R220" s="133">
        <v>0.964233841684822</v>
      </c>
      <c r="S220" s="133">
        <v>0.953006796344036</v>
      </c>
      <c r="T220" s="135">
        <v>0.9</v>
      </c>
      <c r="U220" s="133">
        <v>0.859337748344371</v>
      </c>
      <c r="V220" s="133">
        <v>0.865026482145908</v>
      </c>
      <c r="W220" s="133">
        <v>0.89760348583878</v>
      </c>
      <c r="X220" s="133">
        <v>0.895298804780877</v>
      </c>
      <c r="Y220" s="135">
        <v>0.92</v>
      </c>
      <c r="Z220" s="135">
        <v>0.85491216655823</v>
      </c>
      <c r="AA220" s="135">
        <v>0.918023255813953</v>
      </c>
      <c r="AB220" s="135">
        <v>0.918189038919778</v>
      </c>
      <c r="AC220" s="135">
        <v>0.935221452244652</v>
      </c>
      <c r="AD220" s="135">
        <v>0.92</v>
      </c>
      <c r="AE220" s="133">
        <v>0.996212804328224</v>
      </c>
      <c r="AF220" s="133">
        <v>0.988347205707491</v>
      </c>
      <c r="AG220" s="133">
        <v>0.989512323020451</v>
      </c>
      <c r="AH220" s="133">
        <v>0.973510611499465</v>
      </c>
      <c r="AI220" s="135">
        <v>0.92</v>
      </c>
      <c r="AJ220" s="133">
        <v>0.90502162873801</v>
      </c>
      <c r="AK220" s="133">
        <v>0.937056165267915</v>
      </c>
      <c r="AL220" s="133">
        <v>0.948093904802929</v>
      </c>
      <c r="AM220" s="133">
        <v>0.955342636487058</v>
      </c>
      <c r="AN220" s="132">
        <v>0.99</v>
      </c>
      <c r="AO220" s="137">
        <v>1</v>
      </c>
      <c r="AP220" s="137">
        <v>1</v>
      </c>
      <c r="AQ220" s="137">
        <v>1</v>
      </c>
      <c r="AR220" s="137">
        <v>1</v>
      </c>
      <c r="AS220" s="158">
        <v>0.0719793575775068</v>
      </c>
      <c r="AT220" s="141">
        <v>0.0454545454545455</v>
      </c>
      <c r="AU220" s="141">
        <v>0.0217391304347826</v>
      </c>
      <c r="AV220" s="141">
        <v>0</v>
      </c>
      <c r="AW220" s="141">
        <v>0.0463917525773196</v>
      </c>
      <c r="AX220" s="88"/>
      <c r="AY220" s="93"/>
    </row>
    <row r="221" s="86" customFormat="1" ht="14.5" spans="1:51">
      <c r="A221" s="91"/>
      <c r="B221" s="88"/>
      <c r="C221" s="152" t="s">
        <v>210</v>
      </c>
      <c r="D221" s="153" t="s">
        <v>25</v>
      </c>
      <c r="E221" s="130" t="s">
        <v>211</v>
      </c>
      <c r="F221" s="157" t="s">
        <v>244</v>
      </c>
      <c r="G221" s="157" t="s">
        <v>244</v>
      </c>
      <c r="H221" s="157" t="s">
        <v>244</v>
      </c>
      <c r="I221" s="157" t="s">
        <v>244</v>
      </c>
      <c r="J221" s="132">
        <v>0.9</v>
      </c>
      <c r="K221" s="133">
        <v>1</v>
      </c>
      <c r="L221" s="133">
        <v>0.970588235294118</v>
      </c>
      <c r="M221" s="134">
        <v>0.941176470588235</v>
      </c>
      <c r="N221" s="133">
        <v>0.973795435333897</v>
      </c>
      <c r="O221" s="135">
        <v>0.9</v>
      </c>
      <c r="P221" s="133">
        <v>0.966614173228346</v>
      </c>
      <c r="Q221" s="133">
        <v>0.969283970707893</v>
      </c>
      <c r="R221" s="133">
        <v>0.97378035675908</v>
      </c>
      <c r="S221" s="133">
        <v>0.962517536317147</v>
      </c>
      <c r="T221" s="135">
        <v>0.9</v>
      </c>
      <c r="U221" s="133">
        <v>0.887874015748031</v>
      </c>
      <c r="V221" s="133">
        <v>0.912123677786819</v>
      </c>
      <c r="W221" s="133">
        <v>0.943692241564582</v>
      </c>
      <c r="X221" s="133">
        <v>0.924989817622302</v>
      </c>
      <c r="Y221" s="135">
        <v>0.92</v>
      </c>
      <c r="Z221" s="135">
        <v>0.85672082717873</v>
      </c>
      <c r="AA221" s="135">
        <v>0.922276621787026</v>
      </c>
      <c r="AB221" s="135">
        <v>0.936020806241873</v>
      </c>
      <c r="AC221" s="135">
        <v>0.939158222915043</v>
      </c>
      <c r="AD221" s="135">
        <v>0.92</v>
      </c>
      <c r="AE221" s="133">
        <v>0.9872</v>
      </c>
      <c r="AF221" s="133">
        <v>0.994132439228835</v>
      </c>
      <c r="AG221" s="133">
        <v>0.977843426883309</v>
      </c>
      <c r="AH221" s="133">
        <v>0.986082251930843</v>
      </c>
      <c r="AI221" s="135">
        <v>0.92</v>
      </c>
      <c r="AJ221" s="133">
        <v>0.911680282623096</v>
      </c>
      <c r="AK221" s="133">
        <v>0.948069403714565</v>
      </c>
      <c r="AL221" s="133">
        <v>0.958460814309249</v>
      </c>
      <c r="AM221" s="133">
        <v>0.960195874058487</v>
      </c>
      <c r="AN221" s="132">
        <v>0.99</v>
      </c>
      <c r="AO221" s="137">
        <v>1</v>
      </c>
      <c r="AP221" s="137">
        <v>1</v>
      </c>
      <c r="AQ221" s="137">
        <v>1</v>
      </c>
      <c r="AR221" s="137">
        <v>1</v>
      </c>
      <c r="AS221" s="158">
        <v>0.0719793575775068</v>
      </c>
      <c r="AT221" s="141">
        <v>0.0526315789473684</v>
      </c>
      <c r="AU221" s="141">
        <v>0</v>
      </c>
      <c r="AV221" s="141">
        <v>0</v>
      </c>
      <c r="AW221" s="141">
        <v>0.0547945205479452</v>
      </c>
      <c r="AX221" s="88"/>
      <c r="AY221" s="93"/>
    </row>
    <row r="222" s="86" customFormat="1" ht="14.5" spans="1:51">
      <c r="A222" s="91"/>
      <c r="B222" s="88"/>
      <c r="C222" s="152" t="s">
        <v>210</v>
      </c>
      <c r="D222" s="153" t="s">
        <v>25</v>
      </c>
      <c r="E222" s="130" t="s">
        <v>211</v>
      </c>
      <c r="F222" s="157" t="s">
        <v>245</v>
      </c>
      <c r="G222" s="157" t="s">
        <v>245</v>
      </c>
      <c r="H222" s="157" t="s">
        <v>245</v>
      </c>
      <c r="I222" s="157" t="s">
        <v>245</v>
      </c>
      <c r="J222" s="132">
        <v>0.9</v>
      </c>
      <c r="K222" s="133">
        <v>1</v>
      </c>
      <c r="L222" s="133">
        <v>0.988888888888889</v>
      </c>
      <c r="M222" s="134">
        <v>0.978494623655914</v>
      </c>
      <c r="N222" s="133">
        <v>0.967577876668786</v>
      </c>
      <c r="O222" s="135">
        <v>0.9</v>
      </c>
      <c r="P222" s="133">
        <v>0.922535211267606</v>
      </c>
      <c r="Q222" s="133">
        <v>0.943216160330841</v>
      </c>
      <c r="R222" s="133">
        <v>0.956342668863262</v>
      </c>
      <c r="S222" s="133">
        <v>0.888130014400329</v>
      </c>
      <c r="T222" s="135">
        <v>0.9</v>
      </c>
      <c r="U222" s="133">
        <v>0.801276408450704</v>
      </c>
      <c r="V222" s="133">
        <v>0.866390965484333</v>
      </c>
      <c r="W222" s="133">
        <v>0.914497528830313</v>
      </c>
      <c r="X222" s="133">
        <v>0.856951244599877</v>
      </c>
      <c r="Y222" s="135">
        <v>0.92</v>
      </c>
      <c r="Z222" s="135">
        <v>0.836684948202316</v>
      </c>
      <c r="AA222" s="135">
        <v>0.911719153329892</v>
      </c>
      <c r="AB222" s="135">
        <v>0.908850143456191</v>
      </c>
      <c r="AC222" s="135">
        <v>0.932126911750736</v>
      </c>
      <c r="AD222" s="135">
        <v>0.92</v>
      </c>
      <c r="AE222" s="133">
        <v>0.976772616136919</v>
      </c>
      <c r="AF222" s="133">
        <v>0.985776805251641</v>
      </c>
      <c r="AG222" s="133">
        <v>0.958867161159811</v>
      </c>
      <c r="AH222" s="133">
        <v>0.975458468176915</v>
      </c>
      <c r="AI222" s="135">
        <v>0.92</v>
      </c>
      <c r="AJ222" s="133">
        <v>0.869382476559974</v>
      </c>
      <c r="AK222" s="133">
        <v>0.937702981989962</v>
      </c>
      <c r="AL222" s="133">
        <v>0.941709111488398</v>
      </c>
      <c r="AM222" s="133">
        <v>0.951492972531638</v>
      </c>
      <c r="AN222" s="132">
        <v>0.99</v>
      </c>
      <c r="AO222" s="137">
        <v>1</v>
      </c>
      <c r="AP222" s="137">
        <v>1</v>
      </c>
      <c r="AQ222" s="137">
        <v>1</v>
      </c>
      <c r="AR222" s="137">
        <v>1</v>
      </c>
      <c r="AS222" s="158">
        <v>0.0719793575775068</v>
      </c>
      <c r="AT222" s="141">
        <v>0.0833333333333333</v>
      </c>
      <c r="AU222" s="141">
        <v>0.0303030303030303</v>
      </c>
      <c r="AV222" s="141">
        <v>0</v>
      </c>
      <c r="AW222" s="141">
        <v>0.0446153846153846</v>
      </c>
      <c r="AX222" s="88"/>
      <c r="AY222" s="93"/>
    </row>
    <row r="223" ht="14.5" spans="1:51">
      <c r="A223" s="91"/>
      <c r="C223" s="152" t="s">
        <v>210</v>
      </c>
      <c r="D223" s="153" t="s">
        <v>25</v>
      </c>
      <c r="E223" s="130" t="s">
        <v>211</v>
      </c>
      <c r="F223" s="157" t="s">
        <v>246</v>
      </c>
      <c r="G223" s="157" t="s">
        <v>246</v>
      </c>
      <c r="H223" s="157" t="s">
        <v>246</v>
      </c>
      <c r="I223" s="157" t="s">
        <v>246</v>
      </c>
      <c r="J223" s="132">
        <v>0.9</v>
      </c>
      <c r="K223" s="133">
        <v>0.924731182795699</v>
      </c>
      <c r="L223" s="133">
        <v>0.934065934065934</v>
      </c>
      <c r="M223" s="134">
        <v>0.901098901098901</v>
      </c>
      <c r="N223" s="133">
        <v>0.915178571428571</v>
      </c>
      <c r="O223" s="135">
        <v>0.9</v>
      </c>
      <c r="P223" s="133">
        <v>0.971388888888889</v>
      </c>
      <c r="Q223" s="133">
        <v>0.965792031098154</v>
      </c>
      <c r="R223" s="133">
        <v>0.968226706741091</v>
      </c>
      <c r="S223" s="133">
        <v>0.967782839957807</v>
      </c>
      <c r="T223" s="135">
        <v>0.9</v>
      </c>
      <c r="U223" s="133">
        <v>0.932222222222222</v>
      </c>
      <c r="V223" s="133">
        <v>0.942079689018465</v>
      </c>
      <c r="W223" s="133">
        <v>0.949763847144697</v>
      </c>
      <c r="X223" s="133">
        <v>0.94394820118051</v>
      </c>
      <c r="Y223" s="135">
        <v>0.92</v>
      </c>
      <c r="Z223" s="135">
        <v>0.900976290097629</v>
      </c>
      <c r="AA223" s="135">
        <v>0.940134228187919</v>
      </c>
      <c r="AB223" s="135">
        <v>0.960656529085204</v>
      </c>
      <c r="AC223" s="135">
        <v>0.950944086316463</v>
      </c>
      <c r="AD223" s="135">
        <v>0.92</v>
      </c>
      <c r="AE223" s="133">
        <v>0.994152046783626</v>
      </c>
      <c r="AF223" s="133">
        <v>0.994301994301994</v>
      </c>
      <c r="AG223" s="133">
        <v>0.995728155339806</v>
      </c>
      <c r="AH223" s="133">
        <v>0.988152515504631</v>
      </c>
      <c r="AI223" s="135">
        <v>0.92</v>
      </c>
      <c r="AJ223" s="133">
        <v>0.953137410643368</v>
      </c>
      <c r="AK223" s="133">
        <v>0.963476496449104</v>
      </c>
      <c r="AL223" s="133">
        <v>0.973866606067492</v>
      </c>
      <c r="AM223" s="133">
        <v>0.971058226015934</v>
      </c>
      <c r="AN223" s="132">
        <v>0.99</v>
      </c>
      <c r="AO223" s="137">
        <v>1</v>
      </c>
      <c r="AP223" s="137">
        <v>1</v>
      </c>
      <c r="AQ223" s="137">
        <v>1</v>
      </c>
      <c r="AR223" s="137">
        <v>1</v>
      </c>
      <c r="AS223" s="158">
        <v>0.0719793575775068</v>
      </c>
      <c r="AT223" s="141">
        <v>0</v>
      </c>
      <c r="AU223" s="141">
        <v>0</v>
      </c>
      <c r="AV223" s="141">
        <v>0.0434782608695652</v>
      </c>
      <c r="AW223" s="141">
        <v>0.0660377358490566</v>
      </c>
      <c r="AX223" s="95"/>
      <c r="AY223" s="93"/>
    </row>
    <row r="224" ht="14.5" spans="1:51">
      <c r="A224" s="91"/>
      <c r="C224" s="152" t="s">
        <v>210</v>
      </c>
      <c r="D224" s="153" t="s">
        <v>25</v>
      </c>
      <c r="E224" s="130" t="s">
        <v>211</v>
      </c>
      <c r="F224" s="157" t="s">
        <v>247</v>
      </c>
      <c r="G224" s="157" t="s">
        <v>247</v>
      </c>
      <c r="H224" s="157" t="s">
        <v>247</v>
      </c>
      <c r="I224" s="157" t="s">
        <v>247</v>
      </c>
      <c r="J224" s="132">
        <v>0.9</v>
      </c>
      <c r="K224" s="133">
        <v>0.873417721518987</v>
      </c>
      <c r="L224" s="133">
        <v>0.855555555555556</v>
      </c>
      <c r="M224" s="134">
        <v>0.945054945054945</v>
      </c>
      <c r="N224" s="133">
        <v>0.924203821656051</v>
      </c>
      <c r="O224" s="135">
        <v>0.9</v>
      </c>
      <c r="P224" s="133">
        <v>0.96771978021978</v>
      </c>
      <c r="Q224" s="133">
        <v>0.954373199939366</v>
      </c>
      <c r="R224" s="133">
        <v>0.945448828800503</v>
      </c>
      <c r="S224" s="133">
        <v>0.950008903133903</v>
      </c>
      <c r="T224" s="135">
        <v>0.9</v>
      </c>
      <c r="U224" s="133">
        <v>0.884386446886447</v>
      </c>
      <c r="V224" s="133">
        <v>0.900864029104138</v>
      </c>
      <c r="W224" s="133">
        <v>0.905675208300582</v>
      </c>
      <c r="X224" s="133">
        <v>0.906570512820513</v>
      </c>
      <c r="Y224" s="135">
        <v>0.92</v>
      </c>
      <c r="Z224" s="135">
        <v>0.881858902575588</v>
      </c>
      <c r="AA224" s="135">
        <v>0.921829891183655</v>
      </c>
      <c r="AB224" s="135">
        <v>0.929075380616413</v>
      </c>
      <c r="AC224" s="135">
        <v>0.938344873062974</v>
      </c>
      <c r="AD224" s="135">
        <v>0.92</v>
      </c>
      <c r="AE224" s="133">
        <v>0.989090909090909</v>
      </c>
      <c r="AF224" s="133">
        <v>0.984375</v>
      </c>
      <c r="AG224" s="133">
        <v>0.992063492063492</v>
      </c>
      <c r="AH224" s="133">
        <v>0.985320372941877</v>
      </c>
      <c r="AI224" s="135">
        <v>0.92</v>
      </c>
      <c r="AJ224" s="133">
        <v>0.932597044014942</v>
      </c>
      <c r="AK224" s="133">
        <v>0.95054054054054</v>
      </c>
      <c r="AL224" s="133">
        <v>0.95275389461139</v>
      </c>
      <c r="AM224" s="133">
        <v>0.962266385213407</v>
      </c>
      <c r="AN224" s="132">
        <v>0.99</v>
      </c>
      <c r="AO224" s="137">
        <v>1</v>
      </c>
      <c r="AP224" s="137">
        <v>1</v>
      </c>
      <c r="AQ224" s="137">
        <v>1</v>
      </c>
      <c r="AR224" s="137">
        <v>1</v>
      </c>
      <c r="AS224" s="158">
        <v>0.0719793575775068</v>
      </c>
      <c r="AT224" s="141">
        <v>0.142857142857143</v>
      </c>
      <c r="AU224" s="141">
        <v>0.0344827586206897</v>
      </c>
      <c r="AV224" s="141">
        <v>0.0434782608695652</v>
      </c>
      <c r="AW224" s="141">
        <v>0.0458167330677291</v>
      </c>
      <c r="AX224" s="95"/>
      <c r="AY224" s="93"/>
    </row>
    <row r="225" ht="14.5" spans="1:51">
      <c r="A225" s="91"/>
      <c r="C225" s="152" t="s">
        <v>210</v>
      </c>
      <c r="D225" s="153" t="s">
        <v>25</v>
      </c>
      <c r="E225" s="130" t="s">
        <v>211</v>
      </c>
      <c r="F225" s="157" t="s">
        <v>248</v>
      </c>
      <c r="G225" s="157" t="s">
        <v>248</v>
      </c>
      <c r="H225" s="157" t="s">
        <v>248</v>
      </c>
      <c r="I225" s="157" t="s">
        <v>248</v>
      </c>
      <c r="J225" s="132">
        <v>0.9</v>
      </c>
      <c r="K225" s="133">
        <v>0.920792079207921</v>
      </c>
      <c r="L225" s="133">
        <v>0.933884297520661</v>
      </c>
      <c r="M225" s="134">
        <v>0.955555555555556</v>
      </c>
      <c r="N225" s="133">
        <v>0.954345917471466</v>
      </c>
      <c r="O225" s="135">
        <v>0.9</v>
      </c>
      <c r="P225" s="133">
        <v>0.943229072500452</v>
      </c>
      <c r="Q225" s="133">
        <v>0.913862543848253</v>
      </c>
      <c r="R225" s="133">
        <v>0.935250817884406</v>
      </c>
      <c r="S225" s="133">
        <v>0.926309383066688</v>
      </c>
      <c r="T225" s="135">
        <v>0.9</v>
      </c>
      <c r="U225" s="133">
        <v>0.851021515096728</v>
      </c>
      <c r="V225" s="133">
        <v>0.884630375470963</v>
      </c>
      <c r="W225" s="133">
        <v>0.88876772082879</v>
      </c>
      <c r="X225" s="133">
        <v>0.898355357505124</v>
      </c>
      <c r="Y225" s="135">
        <v>0.92</v>
      </c>
      <c r="Z225" s="135">
        <v>0.88022028453419</v>
      </c>
      <c r="AA225" s="135">
        <v>0.907003226418675</v>
      </c>
      <c r="AB225" s="135">
        <v>0.914856783128738</v>
      </c>
      <c r="AC225" s="135">
        <v>0.934570904125939</v>
      </c>
      <c r="AD225" s="135">
        <v>0.92</v>
      </c>
      <c r="AE225" s="133">
        <v>0.996124031007752</v>
      </c>
      <c r="AF225" s="133">
        <v>1</v>
      </c>
      <c r="AG225" s="133">
        <v>0.998130841121495</v>
      </c>
      <c r="AH225" s="133">
        <v>0.99617109725413</v>
      </c>
      <c r="AI225" s="135">
        <v>0.92</v>
      </c>
      <c r="AJ225" s="133">
        <v>0.925829875518672</v>
      </c>
      <c r="AK225" s="133">
        <v>0.935369427734074</v>
      </c>
      <c r="AL225" s="133">
        <v>0.939157110510554</v>
      </c>
      <c r="AM225" s="133">
        <v>0.95476881576249</v>
      </c>
      <c r="AN225" s="132">
        <v>0.99</v>
      </c>
      <c r="AO225" s="137">
        <v>1</v>
      </c>
      <c r="AP225" s="137">
        <v>1</v>
      </c>
      <c r="AQ225" s="137">
        <v>1</v>
      </c>
      <c r="AR225" s="137">
        <v>1</v>
      </c>
      <c r="AS225" s="158">
        <v>0.0719793575775068</v>
      </c>
      <c r="AT225" s="141">
        <v>0</v>
      </c>
      <c r="AU225" s="141">
        <v>0.027027027027027</v>
      </c>
      <c r="AV225" s="141">
        <v>0</v>
      </c>
      <c r="AW225" s="141">
        <v>0.0420289855072464</v>
      </c>
      <c r="AX225" s="95"/>
      <c r="AY225" s="93"/>
    </row>
    <row r="226" ht="14.5" spans="1:51">
      <c r="A226" s="91"/>
      <c r="C226" s="152" t="s">
        <v>210</v>
      </c>
      <c r="D226" s="153" t="s">
        <v>25</v>
      </c>
      <c r="E226" s="130" t="s">
        <v>211</v>
      </c>
      <c r="F226" s="157" t="s">
        <v>249</v>
      </c>
      <c r="G226" s="157" t="s">
        <v>249</v>
      </c>
      <c r="H226" s="157" t="s">
        <v>249</v>
      </c>
      <c r="I226" s="157" t="s">
        <v>249</v>
      </c>
      <c r="J226" s="132">
        <v>0.9</v>
      </c>
      <c r="K226" s="133">
        <v>1</v>
      </c>
      <c r="L226" s="133">
        <v>0.944444444444444</v>
      </c>
      <c r="M226" s="134">
        <v>1</v>
      </c>
      <c r="N226" s="133">
        <v>0.986970684039088</v>
      </c>
      <c r="O226" s="135">
        <v>0.9</v>
      </c>
      <c r="P226" s="133">
        <v>0.981681034482759</v>
      </c>
      <c r="Q226" s="133">
        <v>0.993469387755102</v>
      </c>
      <c r="R226" s="133">
        <v>0.993695823483058</v>
      </c>
      <c r="S226" s="133">
        <v>0.986288460632333</v>
      </c>
      <c r="T226" s="135">
        <v>0.9</v>
      </c>
      <c r="U226" s="133">
        <v>0.867456896551724</v>
      </c>
      <c r="V226" s="133">
        <v>0.93469387755102</v>
      </c>
      <c r="W226" s="133">
        <v>0.933018124507486</v>
      </c>
      <c r="X226" s="133">
        <v>0.936813834047967</v>
      </c>
      <c r="Y226" s="135">
        <v>0.92</v>
      </c>
      <c r="Z226" s="135">
        <v>0.950437317784257</v>
      </c>
      <c r="AA226" s="135">
        <v>0.946368715083799</v>
      </c>
      <c r="AB226" s="135">
        <v>0.961732124874119</v>
      </c>
      <c r="AC226" s="135">
        <v>0.956720245168553</v>
      </c>
      <c r="AD226" s="135">
        <v>0.92</v>
      </c>
      <c r="AE226" s="133">
        <v>0.5</v>
      </c>
      <c r="AF226" s="133">
        <v>1</v>
      </c>
      <c r="AG226" s="133">
        <v>1</v>
      </c>
      <c r="AH226" s="133">
        <v>0.984913793103448</v>
      </c>
      <c r="AI226" s="135">
        <v>0.92</v>
      </c>
      <c r="AJ226" s="133">
        <v>0.967741935483871</v>
      </c>
      <c r="AK226" s="133">
        <v>0.966509433962264</v>
      </c>
      <c r="AL226" s="133">
        <v>0.975243147656941</v>
      </c>
      <c r="AM226" s="133">
        <v>0.973988283979148</v>
      </c>
      <c r="AN226" s="132">
        <v>0.99</v>
      </c>
      <c r="AO226" s="137">
        <v>1</v>
      </c>
      <c r="AP226" s="137">
        <v>1</v>
      </c>
      <c r="AQ226" s="137">
        <v>1</v>
      </c>
      <c r="AR226" s="137">
        <v>1</v>
      </c>
      <c r="AS226" s="158">
        <v>0.0719793575775068</v>
      </c>
      <c r="AT226" s="141">
        <v>0</v>
      </c>
      <c r="AU226" s="141">
        <v>0</v>
      </c>
      <c r="AV226" s="141">
        <v>0</v>
      </c>
      <c r="AW226" s="141">
        <v>0.121621621621622</v>
      </c>
      <c r="AX226" s="95"/>
      <c r="AY226" s="93"/>
    </row>
    <row r="227" ht="14.5" spans="1:51">
      <c r="A227" s="91"/>
      <c r="C227" s="152" t="s">
        <v>210</v>
      </c>
      <c r="D227" s="153" t="s">
        <v>25</v>
      </c>
      <c r="E227" s="130" t="s">
        <v>211</v>
      </c>
      <c r="F227" s="157" t="s">
        <v>250</v>
      </c>
      <c r="G227" s="157" t="s">
        <v>250</v>
      </c>
      <c r="H227" s="157" t="s">
        <v>250</v>
      </c>
      <c r="I227" s="157" t="s">
        <v>250</v>
      </c>
      <c r="J227" s="132">
        <v>0.9</v>
      </c>
      <c r="K227" s="133">
        <v>0.938461538461538</v>
      </c>
      <c r="L227" s="133">
        <v>0.948051948051948</v>
      </c>
      <c r="M227" s="134">
        <v>0.919540229885057</v>
      </c>
      <c r="N227" s="133">
        <v>0.951321279554937</v>
      </c>
      <c r="O227" s="135">
        <v>0.9</v>
      </c>
      <c r="P227" s="133">
        <v>0.887810140237325</v>
      </c>
      <c r="Q227" s="133">
        <v>0.964128256513026</v>
      </c>
      <c r="R227" s="133">
        <v>0.964808787632221</v>
      </c>
      <c r="S227" s="133">
        <v>0.906187243955338</v>
      </c>
      <c r="T227" s="135">
        <v>0.9</v>
      </c>
      <c r="U227" s="133">
        <v>0.766181229773463</v>
      </c>
      <c r="V227" s="133">
        <v>0.901603206412826</v>
      </c>
      <c r="W227" s="133">
        <v>0.901952807160293</v>
      </c>
      <c r="X227" s="133">
        <v>0.855098803116716</v>
      </c>
      <c r="Y227" s="135">
        <v>0.92</v>
      </c>
      <c r="Z227" s="135">
        <v>0.80450070323488</v>
      </c>
      <c r="AA227" s="135">
        <v>0.943896633798028</v>
      </c>
      <c r="AB227" s="135">
        <v>0.943443304685334</v>
      </c>
      <c r="AC227" s="135">
        <v>0.947810709913396</v>
      </c>
      <c r="AD227" s="135">
        <v>0.92</v>
      </c>
      <c r="AE227" s="133">
        <v>0.998935717326522</v>
      </c>
      <c r="AF227" s="133">
        <v>0.999212133149498</v>
      </c>
      <c r="AG227" s="133">
        <v>0.999329421626153</v>
      </c>
      <c r="AH227" s="133">
        <v>0.995307524719289</v>
      </c>
      <c r="AI227" s="135">
        <v>0.92</v>
      </c>
      <c r="AJ227" s="133">
        <v>0.856947963359969</v>
      </c>
      <c r="AK227" s="133">
        <v>0.963560711133527</v>
      </c>
      <c r="AL227" s="133">
        <v>0.966350099659984</v>
      </c>
      <c r="AM227" s="133">
        <v>0.964319537692201</v>
      </c>
      <c r="AN227" s="132">
        <v>0.99</v>
      </c>
      <c r="AO227" s="137">
        <v>1</v>
      </c>
      <c r="AP227" s="137">
        <v>1</v>
      </c>
      <c r="AQ227" s="137">
        <v>1</v>
      </c>
      <c r="AR227" s="137">
        <v>1</v>
      </c>
      <c r="AS227" s="158">
        <v>0.0719793575775068</v>
      </c>
      <c r="AT227" s="141">
        <v>0</v>
      </c>
      <c r="AU227" s="141">
        <v>0.0588235294117647</v>
      </c>
      <c r="AV227" s="141">
        <v>0.03125</v>
      </c>
      <c r="AW227" s="141">
        <v>0.0480167014613779</v>
      </c>
      <c r="AX227" s="95"/>
      <c r="AY227" s="93"/>
    </row>
    <row r="228" ht="14.5" spans="1:51">
      <c r="A228" s="91"/>
      <c r="C228" s="152" t="s">
        <v>210</v>
      </c>
      <c r="D228" s="153" t="s">
        <v>125</v>
      </c>
      <c r="E228" s="130" t="s">
        <v>211</v>
      </c>
      <c r="F228" s="157" t="s">
        <v>251</v>
      </c>
      <c r="G228" s="157" t="s">
        <v>251</v>
      </c>
      <c r="H228" s="157" t="s">
        <v>251</v>
      </c>
      <c r="I228" s="157" t="s">
        <v>251</v>
      </c>
      <c r="J228" s="132">
        <v>0.9</v>
      </c>
      <c r="K228" s="133" t="s">
        <v>35</v>
      </c>
      <c r="L228" s="133" t="s">
        <v>35</v>
      </c>
      <c r="M228" s="134" t="s">
        <v>35</v>
      </c>
      <c r="N228" s="133" t="s">
        <v>35</v>
      </c>
      <c r="O228" s="135">
        <v>0.9</v>
      </c>
      <c r="P228" s="133" t="s">
        <v>35</v>
      </c>
      <c r="Q228" s="133" t="s">
        <v>35</v>
      </c>
      <c r="R228" s="133" t="s">
        <v>35</v>
      </c>
      <c r="S228" s="133" t="s">
        <v>35</v>
      </c>
      <c r="T228" s="135">
        <v>0.9</v>
      </c>
      <c r="U228" s="133" t="s">
        <v>35</v>
      </c>
      <c r="V228" s="133" t="s">
        <v>35</v>
      </c>
      <c r="W228" s="133" t="s">
        <v>35</v>
      </c>
      <c r="X228" s="133" t="s">
        <v>35</v>
      </c>
      <c r="Y228" s="135">
        <v>0.92</v>
      </c>
      <c r="Z228" s="135" t="s">
        <v>35</v>
      </c>
      <c r="AA228" s="135" t="s">
        <v>35</v>
      </c>
      <c r="AB228" s="135" t="s">
        <v>35</v>
      </c>
      <c r="AC228" s="135" t="s">
        <v>35</v>
      </c>
      <c r="AD228" s="135">
        <v>0.92</v>
      </c>
      <c r="AE228" s="133">
        <v>0</v>
      </c>
      <c r="AF228" s="133">
        <v>1</v>
      </c>
      <c r="AG228" s="133">
        <v>0.973929236499069</v>
      </c>
      <c r="AH228" s="133">
        <v>0.990972294282453</v>
      </c>
      <c r="AI228" s="135">
        <v>0.92</v>
      </c>
      <c r="AJ228" s="133" t="s">
        <v>35</v>
      </c>
      <c r="AK228" s="133" t="s">
        <v>35</v>
      </c>
      <c r="AL228" s="133" t="s">
        <v>35</v>
      </c>
      <c r="AM228" s="133" t="s">
        <v>35</v>
      </c>
      <c r="AN228" s="132">
        <v>0.99</v>
      </c>
      <c r="AO228" s="137" t="s">
        <v>35</v>
      </c>
      <c r="AP228" s="137" t="s">
        <v>35</v>
      </c>
      <c r="AQ228" s="137" t="s">
        <v>35</v>
      </c>
      <c r="AR228" s="137">
        <v>1</v>
      </c>
      <c r="AS228" s="158">
        <v>0.0719793575775068</v>
      </c>
      <c r="AT228" s="141" t="s">
        <v>35</v>
      </c>
      <c r="AU228" s="141" t="s">
        <v>35</v>
      </c>
      <c r="AV228" s="141" t="s">
        <v>35</v>
      </c>
      <c r="AW228" s="141" t="s">
        <v>35</v>
      </c>
      <c r="AX228" s="95"/>
      <c r="AY228" s="93"/>
    </row>
    <row r="229" ht="14.5" spans="1:51">
      <c r="A229" s="91"/>
      <c r="C229" s="152" t="s">
        <v>210</v>
      </c>
      <c r="D229" s="153" t="s">
        <v>25</v>
      </c>
      <c r="E229" s="130" t="s">
        <v>211</v>
      </c>
      <c r="F229" s="157" t="s">
        <v>252</v>
      </c>
      <c r="G229" s="157" t="s">
        <v>252</v>
      </c>
      <c r="H229" s="157" t="s">
        <v>252</v>
      </c>
      <c r="I229" s="157" t="s">
        <v>252</v>
      </c>
      <c r="J229" s="132">
        <v>0.9</v>
      </c>
      <c r="K229" s="133">
        <v>0.97196261682243</v>
      </c>
      <c r="L229" s="133">
        <v>0.967741935483871</v>
      </c>
      <c r="M229" s="134">
        <v>0.92741935483871</v>
      </c>
      <c r="N229" s="133">
        <v>0.96023497514686</v>
      </c>
      <c r="O229" s="135">
        <v>0.9</v>
      </c>
      <c r="P229" s="133">
        <v>0.975645975645976</v>
      </c>
      <c r="Q229" s="133">
        <v>0.956037087196583</v>
      </c>
      <c r="R229" s="133">
        <v>0.957936683639584</v>
      </c>
      <c r="S229" s="133">
        <v>0.935388617645608</v>
      </c>
      <c r="T229" s="135">
        <v>0.9</v>
      </c>
      <c r="U229" s="133">
        <v>0.907632907632908</v>
      </c>
      <c r="V229" s="133">
        <v>0.915303677466403</v>
      </c>
      <c r="W229" s="133">
        <v>0.925060881115785</v>
      </c>
      <c r="X229" s="133">
        <v>0.91372614292055</v>
      </c>
      <c r="Y229" s="135">
        <v>0.92</v>
      </c>
      <c r="Z229" s="135">
        <v>0.907804286291953</v>
      </c>
      <c r="AA229" s="135">
        <v>0.928632405668431</v>
      </c>
      <c r="AB229" s="135">
        <v>0.943544857768053</v>
      </c>
      <c r="AC229" s="135">
        <v>0.948529997609752</v>
      </c>
      <c r="AD229" s="135">
        <v>0.92</v>
      </c>
      <c r="AE229" s="133">
        <v>0.9875</v>
      </c>
      <c r="AF229" s="133">
        <v>0.997253562945368</v>
      </c>
      <c r="AG229" s="133">
        <v>0.995413128370421</v>
      </c>
      <c r="AH229" s="133">
        <v>0.991090048185621</v>
      </c>
      <c r="AI229" s="135">
        <v>0.92</v>
      </c>
      <c r="AJ229" s="133">
        <v>0.948528613313063</v>
      </c>
      <c r="AK229" s="133">
        <v>0.95917707187682</v>
      </c>
      <c r="AL229" s="133">
        <v>0.963748505255208</v>
      </c>
      <c r="AM229" s="133">
        <v>0.9680030812386</v>
      </c>
      <c r="AN229" s="132">
        <v>0.99</v>
      </c>
      <c r="AO229" s="137">
        <v>1</v>
      </c>
      <c r="AP229" s="137">
        <v>1</v>
      </c>
      <c r="AQ229" s="137">
        <v>1</v>
      </c>
      <c r="AR229" s="137">
        <v>1</v>
      </c>
      <c r="AS229" s="158">
        <v>0.0719793575775068</v>
      </c>
      <c r="AT229" s="141">
        <v>0</v>
      </c>
      <c r="AU229" s="141">
        <v>0.0303030303030303</v>
      </c>
      <c r="AV229" s="141">
        <v>0</v>
      </c>
      <c r="AW229" s="141">
        <v>0.0563847429519071</v>
      </c>
      <c r="AX229" s="95"/>
      <c r="AY229" s="93"/>
    </row>
    <row r="230" ht="14.5" spans="1:51">
      <c r="A230" s="91"/>
      <c r="C230" s="152" t="s">
        <v>210</v>
      </c>
      <c r="D230" s="153" t="s">
        <v>25</v>
      </c>
      <c r="E230" s="130" t="s">
        <v>211</v>
      </c>
      <c r="F230" s="157" t="s">
        <v>253</v>
      </c>
      <c r="G230" s="157" t="s">
        <v>253</v>
      </c>
      <c r="H230" s="157" t="s">
        <v>253</v>
      </c>
      <c r="I230" s="157" t="s">
        <v>253</v>
      </c>
      <c r="J230" s="132">
        <v>0.9</v>
      </c>
      <c r="K230" s="133">
        <v>0.936708860759494</v>
      </c>
      <c r="L230" s="133">
        <v>0.884615384615385</v>
      </c>
      <c r="M230" s="134">
        <v>0.882352941176471</v>
      </c>
      <c r="N230" s="133">
        <v>0.922951709169832</v>
      </c>
      <c r="O230" s="135">
        <v>0.9</v>
      </c>
      <c r="P230" s="133">
        <v>0.967280606717226</v>
      </c>
      <c r="Q230" s="133">
        <v>0.958486519607843</v>
      </c>
      <c r="R230" s="133">
        <v>0.965003837298542</v>
      </c>
      <c r="S230" s="133">
        <v>0.95674292312974</v>
      </c>
      <c r="T230" s="135">
        <v>0.9</v>
      </c>
      <c r="U230" s="133">
        <v>0.896424702058505</v>
      </c>
      <c r="V230" s="133">
        <v>0.912224264705882</v>
      </c>
      <c r="W230" s="133">
        <v>0.922486569455104</v>
      </c>
      <c r="X230" s="133">
        <v>0.92003994881558</v>
      </c>
      <c r="Y230" s="135">
        <v>0.92</v>
      </c>
      <c r="Z230" s="135">
        <v>0.878520154610712</v>
      </c>
      <c r="AA230" s="135">
        <v>0.918943533697632</v>
      </c>
      <c r="AB230" s="135">
        <v>0.93010752688172</v>
      </c>
      <c r="AC230" s="135">
        <v>0.940227168137891</v>
      </c>
      <c r="AD230" s="135">
        <v>0.92</v>
      </c>
      <c r="AE230" s="133">
        <v>0.999379556382814</v>
      </c>
      <c r="AF230" s="133">
        <v>0.995188452285485</v>
      </c>
      <c r="AG230" s="133">
        <v>0.98505532404081</v>
      </c>
      <c r="AH230" s="133">
        <v>0.988545703214041</v>
      </c>
      <c r="AI230" s="135">
        <v>0.92</v>
      </c>
      <c r="AJ230" s="133">
        <v>0.926749611197512</v>
      </c>
      <c r="AK230" s="133">
        <v>0.946341910081494</v>
      </c>
      <c r="AL230" s="133">
        <v>0.955049471170249</v>
      </c>
      <c r="AM230" s="133">
        <v>0.962343301852232</v>
      </c>
      <c r="AN230" s="132">
        <v>0.99</v>
      </c>
      <c r="AO230" s="137">
        <v>1</v>
      </c>
      <c r="AP230" s="137">
        <v>1</v>
      </c>
      <c r="AQ230" s="137">
        <v>1</v>
      </c>
      <c r="AR230" s="137">
        <v>1</v>
      </c>
      <c r="AS230" s="158">
        <v>0.0719793575775068</v>
      </c>
      <c r="AT230" s="141">
        <v>0</v>
      </c>
      <c r="AU230" s="141">
        <v>0.0454545454545455</v>
      </c>
      <c r="AV230" s="141">
        <v>0.0263157894736842</v>
      </c>
      <c r="AW230" s="141">
        <v>0.0569230769230769</v>
      </c>
      <c r="AX230" s="95"/>
      <c r="AY230" s="93"/>
    </row>
    <row r="231" s="86" customFormat="1" ht="14.5" spans="1:51">
      <c r="A231" s="91"/>
      <c r="B231" s="88"/>
      <c r="C231" s="152" t="s">
        <v>210</v>
      </c>
      <c r="D231" s="153" t="s">
        <v>25</v>
      </c>
      <c r="E231" s="130" t="s">
        <v>211</v>
      </c>
      <c r="F231" s="157" t="s">
        <v>254</v>
      </c>
      <c r="G231" s="157" t="s">
        <v>254</v>
      </c>
      <c r="H231" s="157" t="s">
        <v>254</v>
      </c>
      <c r="I231" s="157" t="s">
        <v>254</v>
      </c>
      <c r="J231" s="132">
        <v>0.9</v>
      </c>
      <c r="K231" s="133">
        <v>1</v>
      </c>
      <c r="L231" s="133">
        <v>0.967032967032967</v>
      </c>
      <c r="M231" s="134">
        <v>0.978021978021978</v>
      </c>
      <c r="N231" s="133">
        <v>0.988895743368291</v>
      </c>
      <c r="O231" s="135">
        <v>0.9</v>
      </c>
      <c r="P231" s="133">
        <v>0.910059786846894</v>
      </c>
      <c r="Q231" s="133">
        <v>0.930031446540881</v>
      </c>
      <c r="R231" s="133">
        <v>0.928242132691922</v>
      </c>
      <c r="S231" s="133">
        <v>0.935677258934592</v>
      </c>
      <c r="T231" s="135">
        <v>0.9</v>
      </c>
      <c r="U231" s="133">
        <v>0.847153626202236</v>
      </c>
      <c r="V231" s="133">
        <v>0.904088050314465</v>
      </c>
      <c r="W231" s="133">
        <v>0.91040288634997</v>
      </c>
      <c r="X231" s="133">
        <v>0.90600767026298</v>
      </c>
      <c r="Y231" s="135">
        <v>0.92</v>
      </c>
      <c r="Z231" s="135">
        <v>0.843851659076122</v>
      </c>
      <c r="AA231" s="135">
        <v>0.930381590445674</v>
      </c>
      <c r="AB231" s="135">
        <v>0.953007061115169</v>
      </c>
      <c r="AC231" s="135">
        <v>0.947593921776627</v>
      </c>
      <c r="AD231" s="135">
        <v>0.92</v>
      </c>
      <c r="AE231" s="133">
        <v>0.987966305655836</v>
      </c>
      <c r="AF231" s="133">
        <v>0.999083289680461</v>
      </c>
      <c r="AG231" s="133">
        <v>0.992505702183122</v>
      </c>
      <c r="AH231" s="133">
        <v>0.990736471773192</v>
      </c>
      <c r="AI231" s="135">
        <v>0.92</v>
      </c>
      <c r="AJ231" s="133">
        <v>0.894951744617669</v>
      </c>
      <c r="AK231" s="133">
        <v>0.954113366975707</v>
      </c>
      <c r="AL231" s="133">
        <v>0.966688654353562</v>
      </c>
      <c r="AM231" s="133">
        <v>0.964388255167762</v>
      </c>
      <c r="AN231" s="132">
        <v>0.99</v>
      </c>
      <c r="AO231" s="137">
        <v>1</v>
      </c>
      <c r="AP231" s="137">
        <v>1</v>
      </c>
      <c r="AQ231" s="137">
        <v>1</v>
      </c>
      <c r="AR231" s="137">
        <v>1</v>
      </c>
      <c r="AS231" s="158">
        <v>0.0719793575775068</v>
      </c>
      <c r="AT231" s="141">
        <v>0.0294117647058824</v>
      </c>
      <c r="AU231" s="141">
        <v>0.0263157894736842</v>
      </c>
      <c r="AV231" s="141">
        <v>0</v>
      </c>
      <c r="AW231" s="141">
        <v>0.0384615384615385</v>
      </c>
      <c r="AX231" s="88"/>
      <c r="AY231" s="93"/>
    </row>
    <row r="232" ht="14.5" spans="1:51">
      <c r="A232" s="91"/>
      <c r="C232" s="152" t="s">
        <v>210</v>
      </c>
      <c r="D232" s="153" t="s">
        <v>25</v>
      </c>
      <c r="E232" s="130" t="s">
        <v>211</v>
      </c>
      <c r="F232" s="157" t="s">
        <v>255</v>
      </c>
      <c r="G232" s="157" t="s">
        <v>255</v>
      </c>
      <c r="H232" s="157" t="s">
        <v>255</v>
      </c>
      <c r="I232" s="157" t="s">
        <v>255</v>
      </c>
      <c r="J232" s="132">
        <v>0.9</v>
      </c>
      <c r="K232" s="133">
        <v>0.938144329896907</v>
      </c>
      <c r="L232" s="133">
        <v>0.936</v>
      </c>
      <c r="M232" s="134">
        <v>0.929577464788732</v>
      </c>
      <c r="N232" s="133">
        <v>0.940156114483955</v>
      </c>
      <c r="O232" s="135">
        <v>0.9</v>
      </c>
      <c r="P232" s="133">
        <v>0.899947616553169</v>
      </c>
      <c r="Q232" s="133">
        <v>0.940939248081176</v>
      </c>
      <c r="R232" s="133">
        <v>0.96301465457083</v>
      </c>
      <c r="S232" s="133">
        <v>0.896309402713506</v>
      </c>
      <c r="T232" s="135">
        <v>0.9</v>
      </c>
      <c r="U232" s="133">
        <v>0.78540247948315</v>
      </c>
      <c r="V232" s="133">
        <v>0.874203200208144</v>
      </c>
      <c r="W232" s="133">
        <v>0.930355896720167</v>
      </c>
      <c r="X232" s="133">
        <v>0.884812103325262</v>
      </c>
      <c r="Y232" s="135">
        <v>0.92</v>
      </c>
      <c r="Z232" s="135">
        <v>0.747987927565392</v>
      </c>
      <c r="AA232" s="135">
        <v>0.917412712623098</v>
      </c>
      <c r="AB232" s="135">
        <v>0.912101910828025</v>
      </c>
      <c r="AC232" s="135">
        <v>0.914855478377773</v>
      </c>
      <c r="AD232" s="135">
        <v>0.92</v>
      </c>
      <c r="AE232" s="133">
        <v>0.994132985658409</v>
      </c>
      <c r="AF232" s="133">
        <v>0.997604007841429</v>
      </c>
      <c r="AG232" s="133">
        <v>0.983558362369338</v>
      </c>
      <c r="AH232" s="133">
        <v>0.952392265926894</v>
      </c>
      <c r="AI232" s="135">
        <v>0.92</v>
      </c>
      <c r="AJ232" s="133">
        <v>0.826486976804458</v>
      </c>
      <c r="AK232" s="133">
        <v>0.943073379401119</v>
      </c>
      <c r="AL232" s="133">
        <v>0.948357548957675</v>
      </c>
      <c r="AM232" s="133">
        <v>0.946299550032141</v>
      </c>
      <c r="AN232" s="132">
        <v>0.99</v>
      </c>
      <c r="AO232" s="137">
        <v>1</v>
      </c>
      <c r="AP232" s="137">
        <v>1</v>
      </c>
      <c r="AQ232" s="137">
        <v>1</v>
      </c>
      <c r="AR232" s="137">
        <v>1</v>
      </c>
      <c r="AS232" s="158">
        <v>0.0719793575775068</v>
      </c>
      <c r="AT232" s="141">
        <v>0</v>
      </c>
      <c r="AU232" s="141">
        <v>0.0487804878048781</v>
      </c>
      <c r="AV232" s="141">
        <v>0.0208333333333333</v>
      </c>
      <c r="AW232" s="141">
        <v>0.0631067961165049</v>
      </c>
      <c r="AX232" s="95"/>
      <c r="AY232" s="93"/>
    </row>
    <row r="233" ht="14.5" spans="1:51">
      <c r="A233" s="91"/>
      <c r="C233" s="152" t="s">
        <v>210</v>
      </c>
      <c r="D233" s="153" t="s">
        <v>25</v>
      </c>
      <c r="E233" s="130" t="s">
        <v>211</v>
      </c>
      <c r="F233" s="157" t="s">
        <v>256</v>
      </c>
      <c r="G233" s="157" t="s">
        <v>256</v>
      </c>
      <c r="H233" s="157" t="s">
        <v>256</v>
      </c>
      <c r="I233" s="157" t="s">
        <v>256</v>
      </c>
      <c r="J233" s="132">
        <v>0.9</v>
      </c>
      <c r="K233" s="133">
        <v>0.837209302325581</v>
      </c>
      <c r="L233" s="133">
        <v>0.944444444444444</v>
      </c>
      <c r="M233" s="134">
        <v>0.935483870967742</v>
      </c>
      <c r="N233" s="133">
        <v>0.968387776606955</v>
      </c>
      <c r="O233" s="135">
        <v>0.9</v>
      </c>
      <c r="P233" s="133">
        <v>0.908506075768406</v>
      </c>
      <c r="Q233" s="133">
        <v>0.939210526315789</v>
      </c>
      <c r="R233" s="133">
        <v>0.952310862525758</v>
      </c>
      <c r="S233" s="133">
        <v>0.943934230833881</v>
      </c>
      <c r="T233" s="135">
        <v>0.9</v>
      </c>
      <c r="U233" s="133">
        <v>0.762687634024303</v>
      </c>
      <c r="V233" s="133">
        <v>0.902368421052632</v>
      </c>
      <c r="W233" s="133">
        <v>0.928466293788637</v>
      </c>
      <c r="X233" s="133">
        <v>0.901560183982519</v>
      </c>
      <c r="Y233" s="135">
        <v>0.92</v>
      </c>
      <c r="Z233" s="135">
        <v>0.790987535953979</v>
      </c>
      <c r="AA233" s="135">
        <v>0.923387096774194</v>
      </c>
      <c r="AB233" s="135">
        <v>0.947913073473612</v>
      </c>
      <c r="AC233" s="135">
        <v>0.931339775927389</v>
      </c>
      <c r="AD233" s="135">
        <v>0.92</v>
      </c>
      <c r="AE233" s="133">
        <v>0.999438360011233</v>
      </c>
      <c r="AF233" s="133">
        <v>0.997037436035551</v>
      </c>
      <c r="AG233" s="133">
        <v>0.99744094488189</v>
      </c>
      <c r="AH233" s="133">
        <v>0.996817745503109</v>
      </c>
      <c r="AI233" s="135">
        <v>0.92</v>
      </c>
      <c r="AJ233" s="133">
        <v>0.886286755139214</v>
      </c>
      <c r="AK233" s="133">
        <v>0.952236904951441</v>
      </c>
      <c r="AL233" s="133">
        <v>0.965533672172808</v>
      </c>
      <c r="AM233" s="133">
        <v>0.955642843456601</v>
      </c>
      <c r="AN233" s="132">
        <v>0.99</v>
      </c>
      <c r="AO233" s="137">
        <v>1</v>
      </c>
      <c r="AP233" s="137">
        <v>1</v>
      </c>
      <c r="AQ233" s="137">
        <v>1</v>
      </c>
      <c r="AR233" s="137">
        <v>1</v>
      </c>
      <c r="AS233" s="158">
        <v>0.0719793575775068</v>
      </c>
      <c r="AT233" s="141">
        <v>0</v>
      </c>
      <c r="AU233" s="141">
        <v>0</v>
      </c>
      <c r="AV233" s="141">
        <v>0</v>
      </c>
      <c r="AW233" s="141">
        <v>0.0729166666666667</v>
      </c>
      <c r="AX233" s="95"/>
      <c r="AY233" s="93"/>
    </row>
    <row r="234" s="86" customFormat="1" ht="14.5" spans="1:51">
      <c r="A234" s="91"/>
      <c r="B234" s="88"/>
      <c r="C234" s="152" t="s">
        <v>210</v>
      </c>
      <c r="D234" s="153" t="s">
        <v>25</v>
      </c>
      <c r="E234" s="130" t="s">
        <v>211</v>
      </c>
      <c r="F234" s="157" t="s">
        <v>257</v>
      </c>
      <c r="G234" s="157" t="s">
        <v>257</v>
      </c>
      <c r="H234" s="157" t="s">
        <v>257</v>
      </c>
      <c r="I234" s="157" t="s">
        <v>257</v>
      </c>
      <c r="J234" s="132">
        <v>0.9</v>
      </c>
      <c r="K234" s="133">
        <v>0.926470588235294</v>
      </c>
      <c r="L234" s="133">
        <v>0.977011494252874</v>
      </c>
      <c r="M234" s="134">
        <v>0.956989247311828</v>
      </c>
      <c r="N234" s="133">
        <v>0.945248584015104</v>
      </c>
      <c r="O234" s="135">
        <v>0.9</v>
      </c>
      <c r="P234" s="133">
        <v>0.885658914728682</v>
      </c>
      <c r="Q234" s="133">
        <v>0.949096274437477</v>
      </c>
      <c r="R234" s="133">
        <v>0.946396305962658</v>
      </c>
      <c r="S234" s="133">
        <v>0.934925897420717</v>
      </c>
      <c r="T234" s="135">
        <v>0.9</v>
      </c>
      <c r="U234" s="133">
        <v>0.823885658914729</v>
      </c>
      <c r="V234" s="133">
        <v>0.928255256362966</v>
      </c>
      <c r="W234" s="133">
        <v>0.941778759285284</v>
      </c>
      <c r="X234" s="133">
        <v>0.918181279971582</v>
      </c>
      <c r="Y234" s="135">
        <v>0.92</v>
      </c>
      <c r="Z234" s="135">
        <v>0.758043758043758</v>
      </c>
      <c r="AA234" s="135">
        <v>0.934214390602056</v>
      </c>
      <c r="AB234" s="135">
        <v>0.95154614073533</v>
      </c>
      <c r="AC234" s="135">
        <v>0.929709931038184</v>
      </c>
      <c r="AD234" s="135">
        <v>0.92</v>
      </c>
      <c r="AE234" s="133">
        <v>0.989678443826915</v>
      </c>
      <c r="AF234" s="133">
        <v>0.997398655972252</v>
      </c>
      <c r="AG234" s="133">
        <v>0.99663191659984</v>
      </c>
      <c r="AH234" s="133">
        <v>0.982856549504179</v>
      </c>
      <c r="AI234" s="135">
        <v>0.92</v>
      </c>
      <c r="AJ234" s="133">
        <v>0.845300950369588</v>
      </c>
      <c r="AK234" s="133">
        <v>0.961033076574536</v>
      </c>
      <c r="AL234" s="133">
        <v>0.967869718309859</v>
      </c>
      <c r="AM234" s="133">
        <v>0.954956849992609</v>
      </c>
      <c r="AN234" s="132">
        <v>0.99</v>
      </c>
      <c r="AO234" s="137">
        <v>1</v>
      </c>
      <c r="AP234" s="137">
        <v>1</v>
      </c>
      <c r="AQ234" s="137">
        <v>1</v>
      </c>
      <c r="AR234" s="137">
        <v>1</v>
      </c>
      <c r="AS234" s="158">
        <v>0.0719793575775068</v>
      </c>
      <c r="AT234" s="141">
        <v>0</v>
      </c>
      <c r="AU234" s="141">
        <v>0.0357142857142857</v>
      </c>
      <c r="AV234" s="141">
        <v>0.107142857142857</v>
      </c>
      <c r="AW234" s="141">
        <v>0.0618401206636501</v>
      </c>
      <c r="AX234" s="88"/>
      <c r="AY234" s="93"/>
    </row>
    <row r="235" s="86" customFormat="1" ht="14.5" spans="1:51">
      <c r="A235" s="91"/>
      <c r="B235" s="88"/>
      <c r="C235" s="152" t="s">
        <v>210</v>
      </c>
      <c r="D235" s="153" t="s">
        <v>25</v>
      </c>
      <c r="E235" s="130" t="s">
        <v>211</v>
      </c>
      <c r="F235" s="157" t="s">
        <v>258</v>
      </c>
      <c r="G235" s="157" t="s">
        <v>258</v>
      </c>
      <c r="H235" s="157" t="s">
        <v>258</v>
      </c>
      <c r="I235" s="157" t="s">
        <v>258</v>
      </c>
      <c r="J235" s="132">
        <v>0.9</v>
      </c>
      <c r="K235" s="133">
        <v>0.936170212765957</v>
      </c>
      <c r="L235" s="133">
        <v>0.942307692307692</v>
      </c>
      <c r="M235" s="134">
        <v>0.934426229508197</v>
      </c>
      <c r="N235" s="133">
        <v>0.950207468879668</v>
      </c>
      <c r="O235" s="135">
        <v>0.9</v>
      </c>
      <c r="P235" s="133">
        <v>0.867097212780422</v>
      </c>
      <c r="Q235" s="133">
        <v>0.934506859953404</v>
      </c>
      <c r="R235" s="133">
        <v>0.958842272968667</v>
      </c>
      <c r="S235" s="133">
        <v>0.918366565884649</v>
      </c>
      <c r="T235" s="135">
        <v>0.9</v>
      </c>
      <c r="U235" s="133">
        <v>0.82324949014276</v>
      </c>
      <c r="V235" s="133">
        <v>0.893088273362671</v>
      </c>
      <c r="W235" s="133">
        <v>0.926978226234732</v>
      </c>
      <c r="X235" s="133">
        <v>0.868383788128133</v>
      </c>
      <c r="Y235" s="135">
        <v>0.92</v>
      </c>
      <c r="Z235" s="135">
        <v>0.84076990376203</v>
      </c>
      <c r="AA235" s="135">
        <v>0.94661622530475</v>
      </c>
      <c r="AB235" s="135">
        <v>0.967273954116059</v>
      </c>
      <c r="AC235" s="135">
        <v>0.922418640612919</v>
      </c>
      <c r="AD235" s="135">
        <v>0.92</v>
      </c>
      <c r="AE235" s="133">
        <v>0.946058091286307</v>
      </c>
      <c r="AF235" s="133">
        <v>0.885714285714286</v>
      </c>
      <c r="AG235" s="133">
        <v>0.992481203007519</v>
      </c>
      <c r="AH235" s="133">
        <v>0.958383961117862</v>
      </c>
      <c r="AI235" s="135">
        <v>0.92</v>
      </c>
      <c r="AJ235" s="133">
        <v>0.887964774951076</v>
      </c>
      <c r="AK235" s="133">
        <v>0.960589554629926</v>
      </c>
      <c r="AL235" s="133">
        <v>0.973848439821694</v>
      </c>
      <c r="AM235" s="133">
        <v>0.94961274683694</v>
      </c>
      <c r="AN235" s="132">
        <v>0.99</v>
      </c>
      <c r="AO235" s="137">
        <v>1</v>
      </c>
      <c r="AP235" s="137">
        <v>1</v>
      </c>
      <c r="AQ235" s="137">
        <v>1</v>
      </c>
      <c r="AR235" s="137">
        <v>1</v>
      </c>
      <c r="AS235" s="158">
        <v>0.0719793575775068</v>
      </c>
      <c r="AT235" s="141">
        <v>0</v>
      </c>
      <c r="AU235" s="141">
        <v>0</v>
      </c>
      <c r="AV235" s="141">
        <v>0.117647058823529</v>
      </c>
      <c r="AW235" s="141">
        <v>0.0425531914893617</v>
      </c>
      <c r="AX235" s="88"/>
      <c r="AY235" s="93"/>
    </row>
    <row r="236" s="86" customFormat="1" ht="14.5" spans="1:51">
      <c r="A236" s="91"/>
      <c r="B236" s="88"/>
      <c r="C236" s="152" t="s">
        <v>210</v>
      </c>
      <c r="D236" s="153" t="s">
        <v>25</v>
      </c>
      <c r="E236" s="130" t="s">
        <v>211</v>
      </c>
      <c r="F236" s="157" t="s">
        <v>259</v>
      </c>
      <c r="G236" s="157" t="s">
        <v>259</v>
      </c>
      <c r="H236" s="157" t="s">
        <v>259</v>
      </c>
      <c r="I236" s="157" t="s">
        <v>259</v>
      </c>
      <c r="J236" s="132">
        <v>0.9</v>
      </c>
      <c r="K236" s="133">
        <v>0.891304347826087</v>
      </c>
      <c r="L236" s="133">
        <v>0.96</v>
      </c>
      <c r="M236" s="134">
        <v>0.9</v>
      </c>
      <c r="N236" s="133">
        <v>0.951807228915663</v>
      </c>
      <c r="O236" s="135">
        <v>0.9</v>
      </c>
      <c r="P236" s="133">
        <v>0.997738068310337</v>
      </c>
      <c r="Q236" s="133">
        <v>0.987125898679151</v>
      </c>
      <c r="R236" s="133">
        <v>0.985498839907193</v>
      </c>
      <c r="S236" s="133">
        <v>0.968167378683317</v>
      </c>
      <c r="T236" s="135">
        <v>0.9</v>
      </c>
      <c r="U236" s="133">
        <v>0.936665912689437</v>
      </c>
      <c r="V236" s="133">
        <v>0.959705734826952</v>
      </c>
      <c r="W236" s="133">
        <v>0.960750193348801</v>
      </c>
      <c r="X236" s="133">
        <v>0.953817504655494</v>
      </c>
      <c r="Y236" s="135">
        <v>0.92</v>
      </c>
      <c r="Z236" s="135">
        <v>0.428571428571429</v>
      </c>
      <c r="AA236" s="135">
        <v>0</v>
      </c>
      <c r="AB236" s="135">
        <v>0</v>
      </c>
      <c r="AC236" s="135">
        <v>0.692307692307692</v>
      </c>
      <c r="AD236" s="135">
        <v>0.92</v>
      </c>
      <c r="AE236" s="133">
        <v>0.971098265895954</v>
      </c>
      <c r="AF236" s="133">
        <v>0.985576923076923</v>
      </c>
      <c r="AG236" s="133">
        <v>0.985239852398524</v>
      </c>
      <c r="AH236" s="133">
        <v>0.985912292660759</v>
      </c>
      <c r="AI236" s="135">
        <v>0.92</v>
      </c>
      <c r="AJ236" s="133">
        <v>0.972222222222222</v>
      </c>
      <c r="AK236" s="133">
        <v>0.981778669341357</v>
      </c>
      <c r="AL236" s="133">
        <v>0.98588826599652</v>
      </c>
      <c r="AM236" s="133">
        <v>0.987526829909326</v>
      </c>
      <c r="AN236" s="132">
        <v>0.99</v>
      </c>
      <c r="AO236" s="137">
        <v>1</v>
      </c>
      <c r="AP236" s="137">
        <v>1</v>
      </c>
      <c r="AQ236" s="137">
        <v>1</v>
      </c>
      <c r="AR236" s="137">
        <v>1</v>
      </c>
      <c r="AS236" s="158">
        <v>0.0719793575775068</v>
      </c>
      <c r="AT236" s="141">
        <v>0.0625</v>
      </c>
      <c r="AU236" s="141">
        <v>0</v>
      </c>
      <c r="AV236" s="141">
        <v>0</v>
      </c>
      <c r="AW236" s="141">
        <v>0.0666666666666667</v>
      </c>
      <c r="AX236" s="88"/>
      <c r="AY236" s="93"/>
    </row>
    <row r="237" s="87" customFormat="1" ht="14.5" spans="1:51">
      <c r="A237" s="91"/>
      <c r="C237" s="159"/>
      <c r="D237" s="160"/>
      <c r="E237" s="161"/>
      <c r="F237" s="161"/>
      <c r="G237" s="161"/>
      <c r="H237" s="161"/>
      <c r="I237" s="161"/>
      <c r="J237" s="162"/>
      <c r="K237" s="147"/>
      <c r="L237" s="147"/>
      <c r="M237" s="134"/>
      <c r="N237" s="147"/>
      <c r="O237" s="150"/>
      <c r="P237" s="147"/>
      <c r="Q237" s="147"/>
      <c r="R237" s="133"/>
      <c r="S237" s="147"/>
      <c r="T237" s="150"/>
      <c r="U237" s="147"/>
      <c r="V237" s="147"/>
      <c r="W237" s="133"/>
      <c r="X237" s="147"/>
      <c r="Y237" s="150"/>
      <c r="Z237" s="150"/>
      <c r="AA237" s="150"/>
      <c r="AB237" s="135"/>
      <c r="AC237" s="150"/>
      <c r="AD237" s="150"/>
      <c r="AE237" s="147"/>
      <c r="AF237" s="147"/>
      <c r="AG237" s="133"/>
      <c r="AH237" s="147"/>
      <c r="AI237" s="150"/>
      <c r="AJ237" s="147"/>
      <c r="AK237" s="147"/>
      <c r="AL237" s="133"/>
      <c r="AM237" s="147"/>
      <c r="AN237" s="146"/>
      <c r="AO237" s="146"/>
      <c r="AP237" s="146"/>
      <c r="AQ237" s="137"/>
      <c r="AR237" s="146"/>
      <c r="AS237" s="147"/>
      <c r="AT237" s="146"/>
      <c r="AU237" s="146"/>
      <c r="AV237" s="141"/>
      <c r="AW237" s="146"/>
      <c r="AX237" s="88"/>
      <c r="AY237" s="93"/>
    </row>
    <row r="238" ht="14.5" spans="1:51">
      <c r="A238" s="91"/>
      <c r="B238" s="95"/>
      <c r="C238" s="163" t="s">
        <v>260</v>
      </c>
      <c r="D238" s="153" t="s">
        <v>25</v>
      </c>
      <c r="E238" s="130" t="s">
        <v>261</v>
      </c>
      <c r="F238" s="164" t="s">
        <v>262</v>
      </c>
      <c r="G238" s="164" t="s">
        <v>262</v>
      </c>
      <c r="H238" s="164" t="s">
        <v>262</v>
      </c>
      <c r="I238" s="164" t="s">
        <v>262</v>
      </c>
      <c r="J238" s="132">
        <v>0.9</v>
      </c>
      <c r="K238" s="133">
        <v>0.984126984126984</v>
      </c>
      <c r="L238" s="133">
        <v>0.987341772151899</v>
      </c>
      <c r="M238" s="134">
        <v>0.967741935483871</v>
      </c>
      <c r="N238" s="133">
        <v>0.970954356846473</v>
      </c>
      <c r="O238" s="135">
        <v>0.9</v>
      </c>
      <c r="P238" s="133">
        <v>0.967630057803468</v>
      </c>
      <c r="Q238" s="133">
        <v>0.934736021819599</v>
      </c>
      <c r="R238" s="133">
        <v>0.89457136868581</v>
      </c>
      <c r="S238" s="133">
        <v>0.920190091053099</v>
      </c>
      <c r="T238" s="135">
        <v>0.9</v>
      </c>
      <c r="U238" s="133">
        <v>0.839017341040462</v>
      </c>
      <c r="V238" s="133">
        <v>0.862458601207871</v>
      </c>
      <c r="W238" s="133">
        <v>0.885558583106267</v>
      </c>
      <c r="X238" s="133">
        <v>0.880085515216299</v>
      </c>
      <c r="Y238" s="135">
        <v>0.92</v>
      </c>
      <c r="Z238" s="135">
        <v>0.899949723479135</v>
      </c>
      <c r="AA238" s="135">
        <v>0.93018018018018</v>
      </c>
      <c r="AB238" s="135">
        <v>0.955254041570439</v>
      </c>
      <c r="AC238" s="135">
        <v>0.946056642113284</v>
      </c>
      <c r="AD238" s="135">
        <v>0.92</v>
      </c>
      <c r="AE238" s="133">
        <v>0.519918283963228</v>
      </c>
      <c r="AF238" s="133">
        <v>0.969843184559711</v>
      </c>
      <c r="AG238" s="133">
        <v>0.950147203140334</v>
      </c>
      <c r="AH238" s="133">
        <v>0.934640998051589</v>
      </c>
      <c r="AI238" s="135">
        <v>0.92</v>
      </c>
      <c r="AJ238" s="133">
        <v>0.935033951183703</v>
      </c>
      <c r="AK238" s="133">
        <v>0.957282671272309</v>
      </c>
      <c r="AL238" s="133">
        <v>0.971463266545234</v>
      </c>
      <c r="AM238" s="133">
        <v>0.965517976865051</v>
      </c>
      <c r="AN238" s="132">
        <v>0.99</v>
      </c>
      <c r="AO238" s="137">
        <v>1</v>
      </c>
      <c r="AP238" s="137">
        <v>1</v>
      </c>
      <c r="AQ238" s="137">
        <v>1</v>
      </c>
      <c r="AR238" s="137">
        <v>1</v>
      </c>
      <c r="AS238" s="158">
        <v>0.0922287257019438</v>
      </c>
      <c r="AT238" s="141">
        <v>0</v>
      </c>
      <c r="AU238" s="141">
        <v>0</v>
      </c>
      <c r="AV238" s="141">
        <v>0</v>
      </c>
      <c r="AW238" s="141">
        <v>0.0780669144981413</v>
      </c>
      <c r="AX238" s="95"/>
      <c r="AY238" s="93"/>
    </row>
    <row r="239" ht="14.5" spans="1:51">
      <c r="A239" s="91"/>
      <c r="B239" s="95"/>
      <c r="C239" s="163" t="s">
        <v>260</v>
      </c>
      <c r="D239" s="153" t="s">
        <v>25</v>
      </c>
      <c r="E239" s="130" t="s">
        <v>261</v>
      </c>
      <c r="F239" s="164" t="s">
        <v>263</v>
      </c>
      <c r="G239" s="164" t="s">
        <v>263</v>
      </c>
      <c r="H239" s="164" t="s">
        <v>263</v>
      </c>
      <c r="I239" s="164" t="s">
        <v>263</v>
      </c>
      <c r="J239" s="132">
        <v>0.9</v>
      </c>
      <c r="K239" s="133">
        <v>0.916666666666667</v>
      </c>
      <c r="L239" s="133">
        <v>0.672413793103448</v>
      </c>
      <c r="M239" s="134">
        <v>0.698412698412698</v>
      </c>
      <c r="N239" s="133">
        <v>0.807465618860511</v>
      </c>
      <c r="O239" s="135">
        <v>0.9</v>
      </c>
      <c r="P239" s="133">
        <v>0.926329555361813</v>
      </c>
      <c r="Q239" s="133">
        <v>0.816200215285253</v>
      </c>
      <c r="R239" s="133">
        <v>0.947674418604651</v>
      </c>
      <c r="S239" s="133">
        <v>0.933536376579142</v>
      </c>
      <c r="T239" s="135">
        <v>0.9</v>
      </c>
      <c r="U239" s="133">
        <v>0.897994768962511</v>
      </c>
      <c r="V239" s="133">
        <v>0.940796555435953</v>
      </c>
      <c r="W239" s="133">
        <v>0.936046511627907</v>
      </c>
      <c r="X239" s="133">
        <v>0.933824722016976</v>
      </c>
      <c r="Y239" s="135">
        <v>0.92</v>
      </c>
      <c r="Z239" s="135">
        <v>0.927466150870406</v>
      </c>
      <c r="AA239" s="135">
        <v>0.971577261809448</v>
      </c>
      <c r="AB239" s="135">
        <v>0.977161500815661</v>
      </c>
      <c r="AC239" s="135">
        <v>0.978421492645231</v>
      </c>
      <c r="AD239" s="135">
        <v>0.92</v>
      </c>
      <c r="AE239" s="133">
        <v>0.868390129259694</v>
      </c>
      <c r="AF239" s="133">
        <v>0.995391705069124</v>
      </c>
      <c r="AG239" s="133">
        <v>0.989631748301752</v>
      </c>
      <c r="AH239" s="133">
        <v>0.98153547133139</v>
      </c>
      <c r="AI239" s="135">
        <v>0.92</v>
      </c>
      <c r="AJ239" s="133">
        <v>0.960048062481226</v>
      </c>
      <c r="AK239" s="133">
        <v>0.98310267138719</v>
      </c>
      <c r="AL239" s="133">
        <v>0.986713286713287</v>
      </c>
      <c r="AM239" s="133">
        <v>0.987159310752699</v>
      </c>
      <c r="AN239" s="132">
        <v>0.99</v>
      </c>
      <c r="AO239" s="137">
        <v>1</v>
      </c>
      <c r="AP239" s="137">
        <v>1</v>
      </c>
      <c r="AQ239" s="137">
        <v>1</v>
      </c>
      <c r="AR239" s="137">
        <v>1</v>
      </c>
      <c r="AS239" s="158">
        <v>0.0922287257019438</v>
      </c>
      <c r="AT239" s="141">
        <v>0</v>
      </c>
      <c r="AU239" s="141">
        <v>0</v>
      </c>
      <c r="AV239" s="141">
        <v>0.1</v>
      </c>
      <c r="AW239" s="141">
        <v>0.0746268656716418</v>
      </c>
      <c r="AX239" s="95"/>
      <c r="AY239" s="93"/>
    </row>
    <row r="240" ht="14.5" spans="1:51">
      <c r="A240" s="91"/>
      <c r="B240" s="95"/>
      <c r="C240" s="163" t="s">
        <v>260</v>
      </c>
      <c r="D240" s="153" t="s">
        <v>25</v>
      </c>
      <c r="E240" s="130" t="s">
        <v>261</v>
      </c>
      <c r="F240" s="164" t="s">
        <v>264</v>
      </c>
      <c r="G240" s="164" t="s">
        <v>264</v>
      </c>
      <c r="H240" s="164" t="s">
        <v>264</v>
      </c>
      <c r="I240" s="164" t="s">
        <v>264</v>
      </c>
      <c r="J240" s="132">
        <v>0.9</v>
      </c>
      <c r="K240" s="133">
        <v>0.960526315789474</v>
      </c>
      <c r="L240" s="133">
        <v>0.933333333333333</v>
      </c>
      <c r="M240" s="134">
        <v>0.9375</v>
      </c>
      <c r="N240" s="133">
        <v>0.971641791044776</v>
      </c>
      <c r="O240" s="135">
        <v>0.9</v>
      </c>
      <c r="P240" s="133">
        <v>0.979326028530081</v>
      </c>
      <c r="Q240" s="133">
        <v>0.930792939198655</v>
      </c>
      <c r="R240" s="133">
        <v>0.944390402075227</v>
      </c>
      <c r="S240" s="133">
        <v>0.958009669697514</v>
      </c>
      <c r="T240" s="135">
        <v>0.9</v>
      </c>
      <c r="U240" s="133">
        <v>0.957411618771966</v>
      </c>
      <c r="V240" s="133">
        <v>0.948304847296161</v>
      </c>
      <c r="W240" s="133">
        <v>0.938878080415045</v>
      </c>
      <c r="X240" s="133">
        <v>0.95809482358952</v>
      </c>
      <c r="Y240" s="135">
        <v>0.92</v>
      </c>
      <c r="Z240" s="135">
        <v>0.925587467362924</v>
      </c>
      <c r="AA240" s="135">
        <v>0.970670391061452</v>
      </c>
      <c r="AB240" s="135">
        <v>0.959682345754429</v>
      </c>
      <c r="AC240" s="135">
        <v>0.960255167453641</v>
      </c>
      <c r="AD240" s="135">
        <v>0.92</v>
      </c>
      <c r="AE240" s="133">
        <v>0.967787114845938</v>
      </c>
      <c r="AF240" s="133">
        <v>0.97158081705151</v>
      </c>
      <c r="AG240" s="133">
        <v>0.990188953488372</v>
      </c>
      <c r="AH240" s="133">
        <v>0.95164960182025</v>
      </c>
      <c r="AI240" s="135">
        <v>0.92</v>
      </c>
      <c r="AJ240" s="133">
        <v>0.97554881313582</v>
      </c>
      <c r="AK240" s="133">
        <v>0.985032841606547</v>
      </c>
      <c r="AL240" s="133">
        <v>0.983087764253683</v>
      </c>
      <c r="AM240" s="133">
        <v>0.983635729746219</v>
      </c>
      <c r="AN240" s="132">
        <v>0.99</v>
      </c>
      <c r="AO240" s="137">
        <v>1</v>
      </c>
      <c r="AP240" s="137">
        <v>1</v>
      </c>
      <c r="AQ240" s="137">
        <v>1</v>
      </c>
      <c r="AR240" s="137">
        <v>1</v>
      </c>
      <c r="AS240" s="158">
        <v>0.0922287257019438</v>
      </c>
      <c r="AT240" s="141">
        <v>0</v>
      </c>
      <c r="AU240" s="141">
        <v>0.2</v>
      </c>
      <c r="AV240" s="141">
        <v>0.0625</v>
      </c>
      <c r="AW240" s="141">
        <v>0.135294117647059</v>
      </c>
      <c r="AX240" s="95"/>
      <c r="AY240" s="93"/>
    </row>
    <row r="241" ht="14.5" spans="1:51">
      <c r="A241" s="91"/>
      <c r="B241" s="95"/>
      <c r="C241" s="163" t="s">
        <v>260</v>
      </c>
      <c r="D241" s="153" t="s">
        <v>25</v>
      </c>
      <c r="E241" s="130" t="s">
        <v>261</v>
      </c>
      <c r="F241" s="164" t="s">
        <v>265</v>
      </c>
      <c r="G241" s="164" t="s">
        <v>265</v>
      </c>
      <c r="H241" s="164" t="s">
        <v>265</v>
      </c>
      <c r="I241" s="164" t="s">
        <v>265</v>
      </c>
      <c r="J241" s="132">
        <v>0.9</v>
      </c>
      <c r="K241" s="133">
        <v>0.989583333333333</v>
      </c>
      <c r="L241" s="133">
        <v>1</v>
      </c>
      <c r="M241" s="134">
        <v>1</v>
      </c>
      <c r="N241" s="133">
        <v>0.99718574108818</v>
      </c>
      <c r="O241" s="135">
        <v>0.9</v>
      </c>
      <c r="P241" s="133">
        <v>0.960016924053311</v>
      </c>
      <c r="Q241" s="133">
        <v>0.869861148924585</v>
      </c>
      <c r="R241" s="133">
        <v>0.883192542965336</v>
      </c>
      <c r="S241" s="133">
        <v>0.910686560879977</v>
      </c>
      <c r="T241" s="135">
        <v>0.9</v>
      </c>
      <c r="U241" s="133">
        <v>0.92363020943516</v>
      </c>
      <c r="V241" s="133">
        <v>0.935883473999455</v>
      </c>
      <c r="W241" s="133">
        <v>0.946256918147393</v>
      </c>
      <c r="X241" s="133">
        <v>0.935554327517697</v>
      </c>
      <c r="Y241" s="135">
        <v>0.92</v>
      </c>
      <c r="Z241" s="135">
        <v>0.919595570534425</v>
      </c>
      <c r="AA241" s="135">
        <v>0.963755199049317</v>
      </c>
      <c r="AB241" s="135">
        <v>0.959295499021526</v>
      </c>
      <c r="AC241" s="135">
        <v>0.966679526040231</v>
      </c>
      <c r="AD241" s="135">
        <v>0.92</v>
      </c>
      <c r="AE241" s="133">
        <v>0.994590939824206</v>
      </c>
      <c r="AF241" s="133">
        <v>0.996470856102004</v>
      </c>
      <c r="AG241" s="133">
        <v>0.993567317458526</v>
      </c>
      <c r="AH241" s="133">
        <v>0.966006507387842</v>
      </c>
      <c r="AI241" s="135">
        <v>0.92</v>
      </c>
      <c r="AJ241" s="133">
        <v>0.959606345475911</v>
      </c>
      <c r="AK241" s="133">
        <v>0.978462531257562</v>
      </c>
      <c r="AL241" s="133">
        <v>0.976536406145625</v>
      </c>
      <c r="AM241" s="133">
        <v>0.97991316705818</v>
      </c>
      <c r="AN241" s="132">
        <v>0.99</v>
      </c>
      <c r="AO241" s="137">
        <v>1</v>
      </c>
      <c r="AP241" s="137">
        <v>1</v>
      </c>
      <c r="AQ241" s="137">
        <v>1</v>
      </c>
      <c r="AR241" s="137">
        <v>1</v>
      </c>
      <c r="AS241" s="158">
        <v>0.0922287257019438</v>
      </c>
      <c r="AT241" s="141">
        <v>0.222222222222222</v>
      </c>
      <c r="AU241" s="141">
        <v>0.0588235294117647</v>
      </c>
      <c r="AV241" s="141">
        <v>0.0666666666666667</v>
      </c>
      <c r="AW241" s="141">
        <v>0.0552631578947368</v>
      </c>
      <c r="AX241" s="95"/>
      <c r="AY241" s="93"/>
    </row>
    <row r="242" ht="14.5" spans="1:51">
      <c r="A242" s="91"/>
      <c r="B242" s="95"/>
      <c r="C242" s="163" t="s">
        <v>260</v>
      </c>
      <c r="D242" s="153" t="s">
        <v>25</v>
      </c>
      <c r="E242" s="130" t="s">
        <v>261</v>
      </c>
      <c r="F242" s="164" t="s">
        <v>266</v>
      </c>
      <c r="G242" s="164" t="s">
        <v>266</v>
      </c>
      <c r="H242" s="164" t="s">
        <v>266</v>
      </c>
      <c r="I242" s="164" t="s">
        <v>266</v>
      </c>
      <c r="J242" s="132">
        <v>0.9</v>
      </c>
      <c r="K242" s="133">
        <v>1</v>
      </c>
      <c r="L242" s="133">
        <v>0.979166666666667</v>
      </c>
      <c r="M242" s="134">
        <v>1</v>
      </c>
      <c r="N242" s="133">
        <v>0.984126984126984</v>
      </c>
      <c r="O242" s="135">
        <v>0.9</v>
      </c>
      <c r="P242" s="133">
        <v>0.97442799461642</v>
      </c>
      <c r="Q242" s="133">
        <v>0.981000562113547</v>
      </c>
      <c r="R242" s="133">
        <v>0.980649350649351</v>
      </c>
      <c r="S242" s="133">
        <v>0.977257344967869</v>
      </c>
      <c r="T242" s="135">
        <v>0.9</v>
      </c>
      <c r="U242" s="133">
        <v>0.946668909825034</v>
      </c>
      <c r="V242" s="133">
        <v>0.963237774030354</v>
      </c>
      <c r="W242" s="133">
        <v>0.957662337662338</v>
      </c>
      <c r="X242" s="133">
        <v>0.958801225556194</v>
      </c>
      <c r="Y242" s="135">
        <v>0.92</v>
      </c>
      <c r="Z242" s="135">
        <v>0.887049659201558</v>
      </c>
      <c r="AA242" s="135">
        <v>0.96875</v>
      </c>
      <c r="AB242" s="135">
        <v>0.972048192771084</v>
      </c>
      <c r="AC242" s="135">
        <v>0.975157217608372</v>
      </c>
      <c r="AD242" s="135">
        <v>0.92</v>
      </c>
      <c r="AE242" s="133">
        <v>0.527540360873694</v>
      </c>
      <c r="AF242" s="133">
        <v>0.950329036329217</v>
      </c>
      <c r="AG242" s="133">
        <v>0.98320364395521</v>
      </c>
      <c r="AH242" s="133">
        <v>0.949366345545504</v>
      </c>
      <c r="AI242" s="135">
        <v>0.92</v>
      </c>
      <c r="AJ242" s="133">
        <v>0.963855421686747</v>
      </c>
      <c r="AK242" s="133">
        <v>0.985706676136364</v>
      </c>
      <c r="AL242" s="133">
        <v>0.988031914893617</v>
      </c>
      <c r="AM242" s="133">
        <v>0.986977741542791</v>
      </c>
      <c r="AN242" s="132">
        <v>0.99</v>
      </c>
      <c r="AO242" s="137">
        <v>1</v>
      </c>
      <c r="AP242" s="137">
        <v>1</v>
      </c>
      <c r="AQ242" s="137">
        <v>1</v>
      </c>
      <c r="AR242" s="137">
        <v>1</v>
      </c>
      <c r="AS242" s="158">
        <v>0.0922287257019438</v>
      </c>
      <c r="AT242" s="141">
        <v>0.111111111111111</v>
      </c>
      <c r="AU242" s="141">
        <v>0.125</v>
      </c>
      <c r="AV242" s="141">
        <v>0.0666666666666667</v>
      </c>
      <c r="AW242" s="141">
        <v>0.104868913857678</v>
      </c>
      <c r="AX242" s="95"/>
      <c r="AY242" s="93"/>
    </row>
    <row r="243" ht="14.5" spans="1:51">
      <c r="A243" s="91"/>
      <c r="B243" s="95"/>
      <c r="C243" s="163" t="s">
        <v>260</v>
      </c>
      <c r="D243" s="153" t="s">
        <v>25</v>
      </c>
      <c r="E243" s="130" t="s">
        <v>261</v>
      </c>
      <c r="F243" s="164" t="s">
        <v>267</v>
      </c>
      <c r="G243" s="164" t="s">
        <v>267</v>
      </c>
      <c r="H243" s="164" t="s">
        <v>267</v>
      </c>
      <c r="I243" s="164" t="s">
        <v>267</v>
      </c>
      <c r="J243" s="132">
        <v>0.9</v>
      </c>
      <c r="K243" s="133">
        <v>0.734939759036145</v>
      </c>
      <c r="L243" s="133">
        <v>0.819148936170213</v>
      </c>
      <c r="M243" s="134">
        <v>0.744897959183674</v>
      </c>
      <c r="N243" s="133">
        <v>0.743746186699207</v>
      </c>
      <c r="O243" s="135">
        <v>0.9</v>
      </c>
      <c r="P243" s="133">
        <v>0.945914305783189</v>
      </c>
      <c r="Q243" s="133">
        <v>0.951696107550414</v>
      </c>
      <c r="R243" s="133">
        <v>0.954208754208754</v>
      </c>
      <c r="S243" s="133">
        <v>0.930552539629271</v>
      </c>
      <c r="T243" s="135">
        <v>0.9</v>
      </c>
      <c r="U243" s="133">
        <v>0.911496136736127</v>
      </c>
      <c r="V243" s="133">
        <v>0.920275128966703</v>
      </c>
      <c r="W243" s="133">
        <v>0.932491582491582</v>
      </c>
      <c r="X243" s="133">
        <v>0.926288568213672</v>
      </c>
      <c r="Y243" s="135">
        <v>0.92</v>
      </c>
      <c r="Z243" s="135">
        <v>0.914186507936508</v>
      </c>
      <c r="AA243" s="135">
        <v>0.947802197802198</v>
      </c>
      <c r="AB243" s="135">
        <v>0.95728417266187</v>
      </c>
      <c r="AC243" s="135">
        <v>0.95624773813535</v>
      </c>
      <c r="AD243" s="135">
        <v>0.92</v>
      </c>
      <c r="AE243" s="133">
        <v>0.998850354474037</v>
      </c>
      <c r="AF243" s="133">
        <v>0.999360153563145</v>
      </c>
      <c r="AG243" s="133">
        <v>0.998129092609916</v>
      </c>
      <c r="AH243" s="133">
        <v>0.944556711279128</v>
      </c>
      <c r="AI243" s="135">
        <v>0.92</v>
      </c>
      <c r="AJ243" s="133">
        <v>0.947041984732824</v>
      </c>
      <c r="AK243" s="133">
        <v>0.967397362065763</v>
      </c>
      <c r="AL243" s="133">
        <v>0.972663393974396</v>
      </c>
      <c r="AM243" s="133">
        <v>0.971777592885441</v>
      </c>
      <c r="AN243" s="132">
        <v>0.99</v>
      </c>
      <c r="AO243" s="137">
        <v>1</v>
      </c>
      <c r="AP243" s="137">
        <v>1</v>
      </c>
      <c r="AQ243" s="137">
        <v>1</v>
      </c>
      <c r="AR243" s="137">
        <v>1</v>
      </c>
      <c r="AS243" s="158">
        <v>0.0922287257019438</v>
      </c>
      <c r="AT243" s="141">
        <v>0</v>
      </c>
      <c r="AU243" s="141">
        <v>0.125</v>
      </c>
      <c r="AV243" s="141">
        <v>0.037037037037037</v>
      </c>
      <c r="AW243" s="141">
        <v>0.0743589743589744</v>
      </c>
      <c r="AX243" s="95"/>
      <c r="AY243" s="93"/>
    </row>
    <row r="244" ht="14.5" spans="1:51">
      <c r="A244" s="91"/>
      <c r="B244" s="95"/>
      <c r="C244" s="163" t="s">
        <v>260</v>
      </c>
      <c r="D244" s="153" t="s">
        <v>25</v>
      </c>
      <c r="E244" s="130" t="s">
        <v>261</v>
      </c>
      <c r="F244" s="164" t="s">
        <v>268</v>
      </c>
      <c r="G244" s="164" t="s">
        <v>268</v>
      </c>
      <c r="H244" s="164" t="s">
        <v>268</v>
      </c>
      <c r="I244" s="164" t="s">
        <v>268</v>
      </c>
      <c r="J244" s="132">
        <v>0.9</v>
      </c>
      <c r="K244" s="133">
        <v>0.965909090909091</v>
      </c>
      <c r="L244" s="133">
        <v>0.950980392156863</v>
      </c>
      <c r="M244" s="134">
        <v>0.938144329896907</v>
      </c>
      <c r="N244" s="133">
        <v>0.936947554507955</v>
      </c>
      <c r="O244" s="135">
        <v>0.9</v>
      </c>
      <c r="P244" s="133">
        <v>0.926432291666667</v>
      </c>
      <c r="Q244" s="133">
        <v>0.951120346946151</v>
      </c>
      <c r="R244" s="133">
        <v>0.923476137173095</v>
      </c>
      <c r="S244" s="133">
        <v>0.944181709185373</v>
      </c>
      <c r="T244" s="135">
        <v>0.9</v>
      </c>
      <c r="U244" s="133">
        <v>0.942057291666667</v>
      </c>
      <c r="V244" s="133">
        <v>0.950036140224069</v>
      </c>
      <c r="W244" s="133">
        <v>0.908517350157729</v>
      </c>
      <c r="X244" s="133">
        <v>0.929957673046996</v>
      </c>
      <c r="Y244" s="135">
        <v>0.92</v>
      </c>
      <c r="Z244" s="135">
        <v>0.954233409610984</v>
      </c>
      <c r="AA244" s="135">
        <v>0.969184290030211</v>
      </c>
      <c r="AB244" s="135">
        <v>0.979827089337176</v>
      </c>
      <c r="AC244" s="135">
        <v>0.974292254416685</v>
      </c>
      <c r="AD244" s="135">
        <v>0.92</v>
      </c>
      <c r="AE244" s="133">
        <v>0.979838709677419</v>
      </c>
      <c r="AF244" s="133">
        <v>0.969088098918083</v>
      </c>
      <c r="AG244" s="133">
        <v>0.98169014084507</v>
      </c>
      <c r="AH244" s="133">
        <v>0.9517911505901</v>
      </c>
      <c r="AI244" s="135">
        <v>0.92</v>
      </c>
      <c r="AJ244" s="133">
        <v>0.978311644978312</v>
      </c>
      <c r="AK244" s="133">
        <v>0.981571627260083</v>
      </c>
      <c r="AL244" s="133">
        <v>0.984368801079108</v>
      </c>
      <c r="AM244" s="133">
        <v>0.984306871407897</v>
      </c>
      <c r="AN244" s="132">
        <v>0.99</v>
      </c>
      <c r="AO244" s="137">
        <v>1</v>
      </c>
      <c r="AP244" s="137">
        <v>1</v>
      </c>
      <c r="AQ244" s="137">
        <v>1</v>
      </c>
      <c r="AR244" s="137">
        <v>1</v>
      </c>
      <c r="AS244" s="158">
        <v>0.0922287257019438</v>
      </c>
      <c r="AT244" s="141">
        <v>0</v>
      </c>
      <c r="AU244" s="141">
        <v>0.1</v>
      </c>
      <c r="AV244" s="141">
        <v>0.0588235294117647</v>
      </c>
      <c r="AW244" s="141">
        <v>0.104529616724739</v>
      </c>
      <c r="AX244" s="95"/>
      <c r="AY244" s="93"/>
    </row>
    <row r="245" ht="14.5" spans="1:51">
      <c r="A245" s="91"/>
      <c r="B245" s="95"/>
      <c r="C245" s="163" t="s">
        <v>260</v>
      </c>
      <c r="D245" s="153" t="s">
        <v>25</v>
      </c>
      <c r="E245" s="130" t="s">
        <v>261</v>
      </c>
      <c r="F245" s="164" t="s">
        <v>269</v>
      </c>
      <c r="G245" s="164" t="s">
        <v>269</v>
      </c>
      <c r="H245" s="164" t="s">
        <v>269</v>
      </c>
      <c r="I245" s="164" t="s">
        <v>269</v>
      </c>
      <c r="J245" s="132">
        <v>0.9</v>
      </c>
      <c r="K245" s="133">
        <v>1</v>
      </c>
      <c r="L245" s="133">
        <v>0.876543209876543</v>
      </c>
      <c r="M245" s="134">
        <v>0.923076923076923</v>
      </c>
      <c r="N245" s="133">
        <v>0.914795244385733</v>
      </c>
      <c r="O245" s="135">
        <v>0.9</v>
      </c>
      <c r="P245" s="133">
        <v>0.976022566995769</v>
      </c>
      <c r="Q245" s="133">
        <v>0.961701308698999</v>
      </c>
      <c r="R245" s="133">
        <v>0.963794498381877</v>
      </c>
      <c r="S245" s="133">
        <v>0.964071217882654</v>
      </c>
      <c r="T245" s="135">
        <v>0.9</v>
      </c>
      <c r="U245" s="133">
        <v>0.920733427362482</v>
      </c>
      <c r="V245" s="133">
        <v>0.908583525789069</v>
      </c>
      <c r="W245" s="133">
        <v>0.919902912621359</v>
      </c>
      <c r="X245" s="133">
        <v>0.920300413423836</v>
      </c>
      <c r="Y245" s="135">
        <v>0.92</v>
      </c>
      <c r="Z245" s="135">
        <v>0.938086303939963</v>
      </c>
      <c r="AA245" s="135">
        <v>0.964580559254328</v>
      </c>
      <c r="AB245" s="135">
        <v>0.973069524594669</v>
      </c>
      <c r="AC245" s="135">
        <v>0.972795111346142</v>
      </c>
      <c r="AD245" s="135">
        <v>0.92</v>
      </c>
      <c r="AE245" s="133">
        <v>0.993993993993994</v>
      </c>
      <c r="AF245" s="133">
        <v>0.973300426295715</v>
      </c>
      <c r="AG245" s="133">
        <v>0.943867924528302</v>
      </c>
      <c r="AH245" s="133">
        <v>0.973017243287514</v>
      </c>
      <c r="AI245" s="135">
        <v>0.92</v>
      </c>
      <c r="AJ245" s="133">
        <v>0.966601941747573</v>
      </c>
      <c r="AK245" s="133">
        <v>0.978554674410812</v>
      </c>
      <c r="AL245" s="133">
        <v>0.982174065012233</v>
      </c>
      <c r="AM245" s="133">
        <v>0.983320329659522</v>
      </c>
      <c r="AN245" s="132">
        <v>0.99</v>
      </c>
      <c r="AO245" s="137">
        <v>1</v>
      </c>
      <c r="AP245" s="137">
        <v>1</v>
      </c>
      <c r="AQ245" s="137">
        <v>1</v>
      </c>
      <c r="AR245" s="137">
        <v>1</v>
      </c>
      <c r="AS245" s="158">
        <v>0.0922287257019438</v>
      </c>
      <c r="AT245" s="141">
        <v>0.0833333333333333</v>
      </c>
      <c r="AU245" s="141">
        <v>0.0714285714285714</v>
      </c>
      <c r="AV245" s="141">
        <v>0.0769230769230769</v>
      </c>
      <c r="AW245" s="141">
        <v>0.0871080139372822</v>
      </c>
      <c r="AX245" s="95"/>
      <c r="AY245" s="93"/>
    </row>
    <row r="246" ht="14.5" spans="1:51">
      <c r="A246" s="91"/>
      <c r="B246" s="95"/>
      <c r="C246" s="163" t="s">
        <v>260</v>
      </c>
      <c r="D246" s="153" t="s">
        <v>125</v>
      </c>
      <c r="E246" s="130" t="s">
        <v>261</v>
      </c>
      <c r="F246" s="164" t="s">
        <v>270</v>
      </c>
      <c r="G246" s="164" t="s">
        <v>270</v>
      </c>
      <c r="H246" s="164" t="s">
        <v>270</v>
      </c>
      <c r="I246" s="164" t="s">
        <v>270</v>
      </c>
      <c r="J246" s="132">
        <v>0.9</v>
      </c>
      <c r="K246" s="133" t="s">
        <v>35</v>
      </c>
      <c r="L246" s="133" t="s">
        <v>35</v>
      </c>
      <c r="M246" s="134" t="s">
        <v>35</v>
      </c>
      <c r="N246" s="133" t="s">
        <v>35</v>
      </c>
      <c r="O246" s="135">
        <v>0.9</v>
      </c>
      <c r="P246" s="133" t="s">
        <v>35</v>
      </c>
      <c r="Q246" s="133" t="s">
        <v>35</v>
      </c>
      <c r="R246" s="133" t="s">
        <v>35</v>
      </c>
      <c r="S246" s="133">
        <v>0</v>
      </c>
      <c r="T246" s="135">
        <v>0.9</v>
      </c>
      <c r="U246" s="133" t="s">
        <v>35</v>
      </c>
      <c r="V246" s="133" t="s">
        <v>35</v>
      </c>
      <c r="W246" s="133" t="s">
        <v>35</v>
      </c>
      <c r="X246" s="133">
        <v>1</v>
      </c>
      <c r="Y246" s="135">
        <v>0.92</v>
      </c>
      <c r="Z246" s="135" t="s">
        <v>35</v>
      </c>
      <c r="AA246" s="135" t="s">
        <v>35</v>
      </c>
      <c r="AB246" s="135" t="s">
        <v>35</v>
      </c>
      <c r="AC246" s="135">
        <v>0</v>
      </c>
      <c r="AD246" s="135">
        <v>0.92</v>
      </c>
      <c r="AE246" s="133">
        <v>0.996742671009772</v>
      </c>
      <c r="AF246" s="133">
        <v>0.994623655913978</v>
      </c>
      <c r="AG246" s="133">
        <v>1</v>
      </c>
      <c r="AH246" s="133">
        <v>0.985977718017672</v>
      </c>
      <c r="AI246" s="135">
        <v>0.92</v>
      </c>
      <c r="AJ246" s="133" t="s">
        <v>35</v>
      </c>
      <c r="AK246" s="133" t="s">
        <v>35</v>
      </c>
      <c r="AL246" s="133" t="s">
        <v>35</v>
      </c>
      <c r="AM246" s="133">
        <v>0.5</v>
      </c>
      <c r="AN246" s="132">
        <v>0.99</v>
      </c>
      <c r="AO246" s="137">
        <v>1</v>
      </c>
      <c r="AP246" s="137">
        <v>1</v>
      </c>
      <c r="AQ246" s="137">
        <v>1</v>
      </c>
      <c r="AR246" s="137">
        <v>1</v>
      </c>
      <c r="AS246" s="158">
        <v>0.0922287257019438</v>
      </c>
      <c r="AT246" s="141" t="s">
        <v>35</v>
      </c>
      <c r="AU246" s="141" t="s">
        <v>35</v>
      </c>
      <c r="AV246" s="141" t="s">
        <v>35</v>
      </c>
      <c r="AW246" s="141" t="s">
        <v>35</v>
      </c>
      <c r="AX246" s="95"/>
      <c r="AY246" s="93"/>
    </row>
    <row r="247" ht="14.5" spans="1:51">
      <c r="A247" s="91"/>
      <c r="B247" s="95"/>
      <c r="C247" s="163" t="s">
        <v>260</v>
      </c>
      <c r="D247" s="153" t="s">
        <v>25</v>
      </c>
      <c r="E247" s="130" t="s">
        <v>261</v>
      </c>
      <c r="F247" s="164" t="s">
        <v>271</v>
      </c>
      <c r="G247" s="164" t="s">
        <v>271</v>
      </c>
      <c r="H247" s="164" t="s">
        <v>271</v>
      </c>
      <c r="I247" s="164" t="s">
        <v>271</v>
      </c>
      <c r="J247" s="132">
        <v>0.9</v>
      </c>
      <c r="K247" s="133">
        <v>0.769230769230769</v>
      </c>
      <c r="L247" s="133">
        <v>0.923076923076923</v>
      </c>
      <c r="M247" s="134">
        <v>0.785714285714286</v>
      </c>
      <c r="N247" s="133">
        <v>0.836134453781513</v>
      </c>
      <c r="O247" s="135">
        <v>0.9</v>
      </c>
      <c r="P247" s="133">
        <v>0.95</v>
      </c>
      <c r="Q247" s="133">
        <v>0.9840232389252</v>
      </c>
      <c r="R247" s="133">
        <v>0.992320819112628</v>
      </c>
      <c r="S247" s="133">
        <v>0.961457259291992</v>
      </c>
      <c r="T247" s="135">
        <v>0.9</v>
      </c>
      <c r="U247" s="133">
        <v>0.885106382978723</v>
      </c>
      <c r="V247" s="133">
        <v>0.887436456063907</v>
      </c>
      <c r="W247" s="133">
        <v>0.937713310580205</v>
      </c>
      <c r="X247" s="133">
        <v>0.924240192468208</v>
      </c>
      <c r="Y247" s="135">
        <v>0.92</v>
      </c>
      <c r="Z247" s="135">
        <v>0.888888888888889</v>
      </c>
      <c r="AA247" s="135">
        <v>0.941306755260244</v>
      </c>
      <c r="AB247" s="135">
        <v>0.967248908296943</v>
      </c>
      <c r="AC247" s="135">
        <v>0.95298683122336</v>
      </c>
      <c r="AD247" s="135">
        <v>0.92</v>
      </c>
      <c r="AE247" s="133">
        <v>0.261890427453341</v>
      </c>
      <c r="AF247" s="133">
        <v>0.998690320276223</v>
      </c>
      <c r="AG247" s="133">
        <v>0.996849538294405</v>
      </c>
      <c r="AH247" s="133">
        <v>0.983526070503282</v>
      </c>
      <c r="AI247" s="135">
        <v>0.92</v>
      </c>
      <c r="AJ247" s="133">
        <v>0.905035971223022</v>
      </c>
      <c r="AK247" s="133">
        <v>0.959228408592723</v>
      </c>
      <c r="AL247" s="133">
        <v>0.975609756097561</v>
      </c>
      <c r="AM247" s="133">
        <v>0.968586387434555</v>
      </c>
      <c r="AN247" s="132">
        <v>0.99</v>
      </c>
      <c r="AO247" s="137">
        <v>1</v>
      </c>
      <c r="AP247" s="137">
        <v>1</v>
      </c>
      <c r="AQ247" s="137">
        <v>1</v>
      </c>
      <c r="AR247" s="137">
        <v>1</v>
      </c>
      <c r="AS247" s="158">
        <v>0.0922287257019438</v>
      </c>
      <c r="AT247" s="141">
        <v>0</v>
      </c>
      <c r="AU247" s="141">
        <v>0</v>
      </c>
      <c r="AV247" s="141">
        <v>0</v>
      </c>
      <c r="AW247" s="141">
        <v>0.0679611650485437</v>
      </c>
      <c r="AX247" s="95"/>
      <c r="AY247" s="93"/>
    </row>
    <row r="248" ht="14.5" spans="1:51">
      <c r="A248" s="91"/>
      <c r="B248" s="95"/>
      <c r="C248" s="163" t="s">
        <v>260</v>
      </c>
      <c r="D248" s="153" t="s">
        <v>125</v>
      </c>
      <c r="E248" s="130" t="s">
        <v>261</v>
      </c>
      <c r="F248" s="164" t="s">
        <v>272</v>
      </c>
      <c r="G248" s="164" t="s">
        <v>272</v>
      </c>
      <c r="H248" s="164" t="s">
        <v>272</v>
      </c>
      <c r="I248" s="164" t="s">
        <v>272</v>
      </c>
      <c r="J248" s="132">
        <v>0.9</v>
      </c>
      <c r="K248" s="133" t="s">
        <v>35</v>
      </c>
      <c r="L248" s="133" t="s">
        <v>35</v>
      </c>
      <c r="M248" s="134" t="s">
        <v>35</v>
      </c>
      <c r="N248" s="133" t="s">
        <v>35</v>
      </c>
      <c r="O248" s="135">
        <v>0.9</v>
      </c>
      <c r="P248" s="133">
        <v>0.2</v>
      </c>
      <c r="Q248" s="133">
        <v>0</v>
      </c>
      <c r="R248" s="133" t="s">
        <v>35</v>
      </c>
      <c r="S248" s="133">
        <v>0.333333333333333</v>
      </c>
      <c r="T248" s="135">
        <v>0.9</v>
      </c>
      <c r="U248" s="133">
        <v>0</v>
      </c>
      <c r="V248" s="133">
        <v>0</v>
      </c>
      <c r="W248" s="133" t="s">
        <v>35</v>
      </c>
      <c r="X248" s="133">
        <v>0.25</v>
      </c>
      <c r="Y248" s="135">
        <v>0.92</v>
      </c>
      <c r="Z248" s="135" t="s">
        <v>35</v>
      </c>
      <c r="AA248" s="135" t="s">
        <v>35</v>
      </c>
      <c r="AB248" s="135" t="s">
        <v>35</v>
      </c>
      <c r="AC248" s="135">
        <v>0.5</v>
      </c>
      <c r="AD248" s="135">
        <v>0.92</v>
      </c>
      <c r="AE248" s="133">
        <v>0.98008337193145</v>
      </c>
      <c r="AF248" s="133">
        <v>0.998846290379837</v>
      </c>
      <c r="AG248" s="133">
        <v>0.982697601258356</v>
      </c>
      <c r="AH248" s="133">
        <v>0.96654373024236</v>
      </c>
      <c r="AI248" s="135">
        <v>0.92</v>
      </c>
      <c r="AJ248" s="133">
        <v>0</v>
      </c>
      <c r="AK248" s="133">
        <v>0</v>
      </c>
      <c r="AL248" s="133" t="s">
        <v>35</v>
      </c>
      <c r="AM248" s="133">
        <v>0.333333333333333</v>
      </c>
      <c r="AN248" s="132">
        <v>0.99</v>
      </c>
      <c r="AO248" s="137" t="s">
        <v>35</v>
      </c>
      <c r="AP248" s="137" t="s">
        <v>35</v>
      </c>
      <c r="AQ248" s="137">
        <v>1</v>
      </c>
      <c r="AR248" s="137">
        <v>1</v>
      </c>
      <c r="AS248" s="158">
        <v>0.0922287257019438</v>
      </c>
      <c r="AT248" s="141" t="s">
        <v>35</v>
      </c>
      <c r="AU248" s="141" t="s">
        <v>35</v>
      </c>
      <c r="AV248" s="141" t="s">
        <v>35</v>
      </c>
      <c r="AW248" s="141" t="s">
        <v>35</v>
      </c>
      <c r="AX248" s="95"/>
      <c r="AY248" s="93"/>
    </row>
    <row r="249" ht="14.5" spans="1:51">
      <c r="A249" s="91"/>
      <c r="B249" s="95"/>
      <c r="C249" s="163" t="s">
        <v>260</v>
      </c>
      <c r="D249" s="153" t="s">
        <v>125</v>
      </c>
      <c r="E249" s="130" t="s">
        <v>261</v>
      </c>
      <c r="F249" s="164" t="s">
        <v>273</v>
      </c>
      <c r="G249" s="164" t="s">
        <v>273</v>
      </c>
      <c r="H249" s="164" t="s">
        <v>273</v>
      </c>
      <c r="I249" s="164" t="s">
        <v>273</v>
      </c>
      <c r="J249" s="132">
        <v>0.9</v>
      </c>
      <c r="K249" s="133" t="s">
        <v>35</v>
      </c>
      <c r="L249" s="133" t="s">
        <v>35</v>
      </c>
      <c r="M249" s="134" t="s">
        <v>35</v>
      </c>
      <c r="N249" s="133" t="s">
        <v>35</v>
      </c>
      <c r="O249" s="135">
        <v>0.9</v>
      </c>
      <c r="P249" s="133" t="s">
        <v>35</v>
      </c>
      <c r="Q249" s="133" t="s">
        <v>35</v>
      </c>
      <c r="R249" s="133" t="s">
        <v>35</v>
      </c>
      <c r="S249" s="133">
        <v>1</v>
      </c>
      <c r="T249" s="135">
        <v>0.9</v>
      </c>
      <c r="U249" s="133" t="s">
        <v>35</v>
      </c>
      <c r="V249" s="133" t="s">
        <v>35</v>
      </c>
      <c r="W249" s="133" t="s">
        <v>35</v>
      </c>
      <c r="X249" s="133">
        <v>1</v>
      </c>
      <c r="Y249" s="135">
        <v>0.92</v>
      </c>
      <c r="Z249" s="135" t="s">
        <v>35</v>
      </c>
      <c r="AA249" s="135" t="s">
        <v>35</v>
      </c>
      <c r="AB249" s="135" t="s">
        <v>35</v>
      </c>
      <c r="AC249" s="135" t="s">
        <v>35</v>
      </c>
      <c r="AD249" s="135">
        <v>0.92</v>
      </c>
      <c r="AE249" s="133">
        <v>1</v>
      </c>
      <c r="AF249" s="133">
        <v>1</v>
      </c>
      <c r="AG249" s="133">
        <v>0.998857795545403</v>
      </c>
      <c r="AH249" s="133">
        <v>0.999261075471064</v>
      </c>
      <c r="AI249" s="135">
        <v>0.92</v>
      </c>
      <c r="AJ249" s="133" t="s">
        <v>35</v>
      </c>
      <c r="AK249" s="133" t="s">
        <v>35</v>
      </c>
      <c r="AL249" s="133" t="s">
        <v>35</v>
      </c>
      <c r="AM249" s="133">
        <v>0.666666666666667</v>
      </c>
      <c r="AN249" s="132">
        <v>0.99</v>
      </c>
      <c r="AO249" s="137">
        <v>1</v>
      </c>
      <c r="AP249" s="137">
        <v>1</v>
      </c>
      <c r="AQ249" s="137">
        <v>1</v>
      </c>
      <c r="AR249" s="137">
        <v>1</v>
      </c>
      <c r="AS249" s="158">
        <v>0.0922287257019438</v>
      </c>
      <c r="AT249" s="141" t="s">
        <v>35</v>
      </c>
      <c r="AU249" s="141" t="s">
        <v>35</v>
      </c>
      <c r="AV249" s="141" t="s">
        <v>35</v>
      </c>
      <c r="AW249" s="141">
        <v>1</v>
      </c>
      <c r="AX249" s="95"/>
      <c r="AY249" s="93"/>
    </row>
    <row r="250" ht="14.5" spans="1:51">
      <c r="A250" s="91"/>
      <c r="B250" s="95"/>
      <c r="C250" s="163" t="s">
        <v>260</v>
      </c>
      <c r="D250" s="153" t="s">
        <v>125</v>
      </c>
      <c r="E250" s="130" t="s">
        <v>261</v>
      </c>
      <c r="F250" s="164" t="s">
        <v>274</v>
      </c>
      <c r="G250" s="164" t="s">
        <v>274</v>
      </c>
      <c r="H250" s="164" t="s">
        <v>274</v>
      </c>
      <c r="I250" s="164" t="s">
        <v>274</v>
      </c>
      <c r="J250" s="132">
        <v>0.9</v>
      </c>
      <c r="K250" s="133" t="s">
        <v>35</v>
      </c>
      <c r="L250" s="133" t="s">
        <v>35</v>
      </c>
      <c r="M250" s="134" t="s">
        <v>35</v>
      </c>
      <c r="N250" s="133" t="s">
        <v>35</v>
      </c>
      <c r="O250" s="135">
        <v>0.9</v>
      </c>
      <c r="P250" s="133">
        <v>0.538461538461538</v>
      </c>
      <c r="Q250" s="133">
        <v>0.368421052631579</v>
      </c>
      <c r="R250" s="133">
        <v>0.857142857142857</v>
      </c>
      <c r="S250" s="133">
        <v>0.6524064171123</v>
      </c>
      <c r="T250" s="135">
        <v>0.9</v>
      </c>
      <c r="U250" s="133">
        <v>0.615384615384615</v>
      </c>
      <c r="V250" s="133">
        <v>0.421052631578947</v>
      </c>
      <c r="W250" s="133">
        <v>1</v>
      </c>
      <c r="X250" s="133">
        <v>0.754010695187166</v>
      </c>
      <c r="Y250" s="135">
        <v>0.92</v>
      </c>
      <c r="Z250" s="135">
        <v>1</v>
      </c>
      <c r="AA250" s="135">
        <v>1</v>
      </c>
      <c r="AB250" s="135">
        <v>1</v>
      </c>
      <c r="AC250" s="135">
        <v>0.75</v>
      </c>
      <c r="AD250" s="135">
        <v>0.92</v>
      </c>
      <c r="AE250" s="133">
        <v>0.999491094147583</v>
      </c>
      <c r="AF250" s="133">
        <v>0.897184020956123</v>
      </c>
      <c r="AG250" s="133">
        <v>0.71760736196319</v>
      </c>
      <c r="AH250" s="133">
        <v>0.799484761727457</v>
      </c>
      <c r="AI250" s="135">
        <v>0.92</v>
      </c>
      <c r="AJ250" s="133">
        <v>0.642857142857143</v>
      </c>
      <c r="AK250" s="133">
        <v>0.541666666666667</v>
      </c>
      <c r="AL250" s="133">
        <v>1</v>
      </c>
      <c r="AM250" s="133">
        <v>0.799107142857143</v>
      </c>
      <c r="AN250" s="132">
        <v>0.99</v>
      </c>
      <c r="AO250" s="137">
        <v>1</v>
      </c>
      <c r="AP250" s="137">
        <v>1</v>
      </c>
      <c r="AQ250" s="137">
        <v>1</v>
      </c>
      <c r="AR250" s="137">
        <v>1</v>
      </c>
      <c r="AS250" s="158">
        <v>0.0922287257019438</v>
      </c>
      <c r="AT250" s="141" t="s">
        <v>35</v>
      </c>
      <c r="AU250" s="141" t="s">
        <v>35</v>
      </c>
      <c r="AV250" s="141" t="s">
        <v>35</v>
      </c>
      <c r="AW250" s="141" t="s">
        <v>35</v>
      </c>
      <c r="AX250" s="95"/>
      <c r="AY250" s="93"/>
    </row>
    <row r="251" ht="14.5" spans="1:51">
      <c r="A251" s="91"/>
      <c r="B251" s="95"/>
      <c r="C251" s="163" t="s">
        <v>260</v>
      </c>
      <c r="D251" s="153" t="s">
        <v>125</v>
      </c>
      <c r="E251" s="130" t="s">
        <v>261</v>
      </c>
      <c r="F251" s="164" t="s">
        <v>275</v>
      </c>
      <c r="G251" s="164" t="s">
        <v>275</v>
      </c>
      <c r="H251" s="164" t="s">
        <v>275</v>
      </c>
      <c r="I251" s="164" t="s">
        <v>275</v>
      </c>
      <c r="J251" s="132">
        <v>0.9</v>
      </c>
      <c r="K251" s="133" t="s">
        <v>35</v>
      </c>
      <c r="L251" s="133" t="s">
        <v>35</v>
      </c>
      <c r="M251" s="134" t="s">
        <v>35</v>
      </c>
      <c r="N251" s="133" t="s">
        <v>35</v>
      </c>
      <c r="O251" s="135">
        <v>0.9</v>
      </c>
      <c r="P251" s="133">
        <v>1</v>
      </c>
      <c r="Q251" s="133" t="s">
        <v>35</v>
      </c>
      <c r="R251" s="133" t="s">
        <v>35</v>
      </c>
      <c r="S251" s="133">
        <v>1</v>
      </c>
      <c r="T251" s="135">
        <v>0.9</v>
      </c>
      <c r="U251" s="133">
        <v>1</v>
      </c>
      <c r="V251" s="133" t="s">
        <v>35</v>
      </c>
      <c r="W251" s="133" t="s">
        <v>35</v>
      </c>
      <c r="X251" s="133">
        <v>0.8</v>
      </c>
      <c r="Y251" s="135">
        <v>0.92</v>
      </c>
      <c r="Z251" s="135" t="s">
        <v>35</v>
      </c>
      <c r="AA251" s="135" t="s">
        <v>35</v>
      </c>
      <c r="AB251" s="135" t="s">
        <v>35</v>
      </c>
      <c r="AC251" s="135">
        <v>0.5</v>
      </c>
      <c r="AD251" s="135">
        <v>0.92</v>
      </c>
      <c r="AE251" s="133">
        <v>0.999335106382979</v>
      </c>
      <c r="AF251" s="133">
        <v>0.999649859943978</v>
      </c>
      <c r="AG251" s="133">
        <v>0.998607242339833</v>
      </c>
      <c r="AH251" s="133">
        <v>0.965557903011841</v>
      </c>
      <c r="AI251" s="135">
        <v>0.92</v>
      </c>
      <c r="AJ251" s="133">
        <v>1</v>
      </c>
      <c r="AK251" s="133" t="s">
        <v>35</v>
      </c>
      <c r="AL251" s="133" t="s">
        <v>35</v>
      </c>
      <c r="AM251" s="133">
        <v>0.75</v>
      </c>
      <c r="AN251" s="132">
        <v>0.99</v>
      </c>
      <c r="AO251" s="137" t="s">
        <v>35</v>
      </c>
      <c r="AP251" s="137" t="s">
        <v>35</v>
      </c>
      <c r="AQ251" s="137">
        <v>1</v>
      </c>
      <c r="AR251" s="137">
        <v>1</v>
      </c>
      <c r="AS251" s="158">
        <v>0.0922287257019438</v>
      </c>
      <c r="AT251" s="141" t="s">
        <v>35</v>
      </c>
      <c r="AU251" s="141" t="s">
        <v>35</v>
      </c>
      <c r="AV251" s="141" t="s">
        <v>35</v>
      </c>
      <c r="AW251" s="141">
        <v>0</v>
      </c>
      <c r="AX251" s="95"/>
      <c r="AY251" s="93"/>
    </row>
    <row r="252" ht="14.5" spans="1:51">
      <c r="A252" s="91"/>
      <c r="B252" s="95"/>
      <c r="C252" s="163" t="s">
        <v>260</v>
      </c>
      <c r="D252" s="153" t="s">
        <v>25</v>
      </c>
      <c r="E252" s="130" t="s">
        <v>261</v>
      </c>
      <c r="F252" s="164" t="s">
        <v>276</v>
      </c>
      <c r="G252" s="164" t="s">
        <v>276</v>
      </c>
      <c r="H252" s="164" t="s">
        <v>276</v>
      </c>
      <c r="I252" s="164" t="s">
        <v>276</v>
      </c>
      <c r="J252" s="132">
        <v>0.9</v>
      </c>
      <c r="K252" s="133">
        <v>0.932203389830508</v>
      </c>
      <c r="L252" s="133">
        <v>0.986301369863014</v>
      </c>
      <c r="M252" s="134">
        <v>0.843373493975904</v>
      </c>
      <c r="N252" s="133">
        <v>0.941444866920152</v>
      </c>
      <c r="O252" s="135">
        <v>0.9</v>
      </c>
      <c r="P252" s="133">
        <v>0.92629296995974</v>
      </c>
      <c r="Q252" s="133">
        <v>0.922058184976118</v>
      </c>
      <c r="R252" s="133">
        <v>0.939793451988574</v>
      </c>
      <c r="S252" s="133">
        <v>0.90294283742235</v>
      </c>
      <c r="T252" s="135">
        <v>0.9</v>
      </c>
      <c r="U252" s="133">
        <v>0.927531743573862</v>
      </c>
      <c r="V252" s="133">
        <v>0.940078158923144</v>
      </c>
      <c r="W252" s="133">
        <v>0.941551307404966</v>
      </c>
      <c r="X252" s="133">
        <v>0.931354709167346</v>
      </c>
      <c r="Y252" s="135">
        <v>0.92</v>
      </c>
      <c r="Z252" s="135">
        <v>0.958115183246073</v>
      </c>
      <c r="AA252" s="135">
        <v>0.982509972384167</v>
      </c>
      <c r="AB252" s="135">
        <v>0.983771023900856</v>
      </c>
      <c r="AC252" s="135">
        <v>0.984588547591961</v>
      </c>
      <c r="AD252" s="135">
        <v>0.92</v>
      </c>
      <c r="AE252" s="133">
        <v>0.941729323308271</v>
      </c>
      <c r="AF252" s="133">
        <v>0.995892286627111</v>
      </c>
      <c r="AG252" s="133">
        <v>0.981795088907705</v>
      </c>
      <c r="AH252" s="133">
        <v>0.984143339630202</v>
      </c>
      <c r="AI252" s="135">
        <v>0.92</v>
      </c>
      <c r="AJ252" s="133">
        <v>0.973955051459777</v>
      </c>
      <c r="AK252" s="133">
        <v>0.989066870073735</v>
      </c>
      <c r="AL252" s="133">
        <v>0.991181657848324</v>
      </c>
      <c r="AM252" s="133">
        <v>0.990393330952839</v>
      </c>
      <c r="AN252" s="132">
        <v>0.99</v>
      </c>
      <c r="AO252" s="137">
        <v>1</v>
      </c>
      <c r="AP252" s="137">
        <v>1</v>
      </c>
      <c r="AQ252" s="137">
        <v>1</v>
      </c>
      <c r="AR252" s="137">
        <v>1</v>
      </c>
      <c r="AS252" s="158">
        <v>0.0922287257019438</v>
      </c>
      <c r="AT252" s="141">
        <v>0.157894736842105</v>
      </c>
      <c r="AU252" s="141">
        <v>0.0476190476190476</v>
      </c>
      <c r="AV252" s="141">
        <v>0</v>
      </c>
      <c r="AW252" s="141">
        <v>0.0820512820512821</v>
      </c>
      <c r="AX252" s="95"/>
      <c r="AY252" s="93"/>
    </row>
    <row r="253" ht="14.5" spans="1:51">
      <c r="A253" s="91"/>
      <c r="B253" s="95"/>
      <c r="C253" s="163" t="s">
        <v>260</v>
      </c>
      <c r="D253" s="153" t="s">
        <v>25</v>
      </c>
      <c r="E253" s="130" t="s">
        <v>261</v>
      </c>
      <c r="F253" s="164" t="s">
        <v>277</v>
      </c>
      <c r="G253" s="164" t="s">
        <v>277</v>
      </c>
      <c r="H253" s="164" t="s">
        <v>277</v>
      </c>
      <c r="I253" s="164" t="s">
        <v>277</v>
      </c>
      <c r="J253" s="132">
        <v>0.9</v>
      </c>
      <c r="K253" s="133">
        <v>0.923809523809524</v>
      </c>
      <c r="L253" s="133">
        <v>0.945945945945946</v>
      </c>
      <c r="M253" s="134">
        <v>0.925</v>
      </c>
      <c r="N253" s="133">
        <v>0.951700344997536</v>
      </c>
      <c r="O253" s="135">
        <v>0.9</v>
      </c>
      <c r="P253" s="133">
        <v>0.950012623074981</v>
      </c>
      <c r="Q253" s="133">
        <v>0.868624129493695</v>
      </c>
      <c r="R253" s="133">
        <v>0.908744522766241</v>
      </c>
      <c r="S253" s="133">
        <v>0.935633027522936</v>
      </c>
      <c r="T253" s="135">
        <v>0.9</v>
      </c>
      <c r="U253" s="133">
        <v>0.87452663468821</v>
      </c>
      <c r="V253" s="133">
        <v>0.88575192923019</v>
      </c>
      <c r="W253" s="133">
        <v>0.91674604686607</v>
      </c>
      <c r="X253" s="133">
        <v>0.91462123197903</v>
      </c>
      <c r="Y253" s="135">
        <v>0.92</v>
      </c>
      <c r="Z253" s="135">
        <v>0.863305322128852</v>
      </c>
      <c r="AA253" s="135">
        <v>0.898589299973383</v>
      </c>
      <c r="AB253" s="135">
        <v>0.958885941644562</v>
      </c>
      <c r="AC253" s="135">
        <v>0.953666429868182</v>
      </c>
      <c r="AD253" s="135">
        <v>0.92</v>
      </c>
      <c r="AE253" s="133">
        <v>0.943649635036496</v>
      </c>
      <c r="AF253" s="133">
        <v>0.992903807163776</v>
      </c>
      <c r="AG253" s="133">
        <v>0.853212980872555</v>
      </c>
      <c r="AH253" s="133">
        <v>0.930585469242056</v>
      </c>
      <c r="AI253" s="135">
        <v>0.92</v>
      </c>
      <c r="AJ253" s="133">
        <v>0.916840640222686</v>
      </c>
      <c r="AK253" s="133">
        <v>0.936604189636163</v>
      </c>
      <c r="AL253" s="133">
        <v>0.970950216210223</v>
      </c>
      <c r="AM253" s="133">
        <v>0.968823289189662</v>
      </c>
      <c r="AN253" s="132">
        <v>0.99</v>
      </c>
      <c r="AO253" s="137">
        <v>1</v>
      </c>
      <c r="AP253" s="137">
        <v>1</v>
      </c>
      <c r="AQ253" s="137">
        <v>1</v>
      </c>
      <c r="AR253" s="137">
        <v>1</v>
      </c>
      <c r="AS253" s="158">
        <v>0.0922287257019438</v>
      </c>
      <c r="AT253" s="141">
        <v>0.135135135135135</v>
      </c>
      <c r="AU253" s="141">
        <v>0.025</v>
      </c>
      <c r="AV253" s="141">
        <v>0.0277777777777778</v>
      </c>
      <c r="AW253" s="141">
        <v>0.0593434343434343</v>
      </c>
      <c r="AX253" s="95"/>
      <c r="AY253" s="93"/>
    </row>
    <row r="254" ht="14.5" spans="1:51">
      <c r="A254" s="91"/>
      <c r="B254" s="95"/>
      <c r="C254" s="163" t="s">
        <v>260</v>
      </c>
      <c r="D254" s="153" t="s">
        <v>25</v>
      </c>
      <c r="E254" s="130" t="s">
        <v>261</v>
      </c>
      <c r="F254" s="164" t="s">
        <v>278</v>
      </c>
      <c r="G254" s="164" t="s">
        <v>278</v>
      </c>
      <c r="H254" s="164" t="s">
        <v>278</v>
      </c>
      <c r="I254" s="164" t="s">
        <v>278</v>
      </c>
      <c r="J254" s="132">
        <v>0.9</v>
      </c>
      <c r="K254" s="133">
        <v>0.975308641975309</v>
      </c>
      <c r="L254" s="133">
        <v>0.967741935483871</v>
      </c>
      <c r="M254" s="134">
        <v>0.906542056074766</v>
      </c>
      <c r="N254" s="133">
        <v>0.948387096774194</v>
      </c>
      <c r="O254" s="135">
        <v>0.9</v>
      </c>
      <c r="P254" s="133">
        <v>0.965315934065934</v>
      </c>
      <c r="Q254" s="133">
        <v>0.955777460770328</v>
      </c>
      <c r="R254" s="133">
        <v>0.948326359832636</v>
      </c>
      <c r="S254" s="133">
        <v>0.952021761854984</v>
      </c>
      <c r="T254" s="135">
        <v>0.9</v>
      </c>
      <c r="U254" s="133">
        <v>0.93646978021978</v>
      </c>
      <c r="V254" s="133">
        <v>0.935398410434074</v>
      </c>
      <c r="W254" s="133">
        <v>0.936401673640167</v>
      </c>
      <c r="X254" s="133">
        <v>0.945405302670341</v>
      </c>
      <c r="Y254" s="135">
        <v>0.92</v>
      </c>
      <c r="Z254" s="135">
        <v>0.9484827099506</v>
      </c>
      <c r="AA254" s="135">
        <v>0.974034404414151</v>
      </c>
      <c r="AB254" s="135">
        <v>0.982352941176471</v>
      </c>
      <c r="AC254" s="135">
        <v>0.983630816170862</v>
      </c>
      <c r="AD254" s="135">
        <v>0.92</v>
      </c>
      <c r="AE254" s="133">
        <v>0.964943553178847</v>
      </c>
      <c r="AF254" s="133">
        <v>0.993891264508247</v>
      </c>
      <c r="AG254" s="133">
        <v>0.966251728907331</v>
      </c>
      <c r="AH254" s="133">
        <v>0.982317609141518</v>
      </c>
      <c r="AI254" s="135">
        <v>0.92</v>
      </c>
      <c r="AJ254" s="133">
        <v>0.972754560147772</v>
      </c>
      <c r="AK254" s="133">
        <v>0.98260107648016</v>
      </c>
      <c r="AL254" s="133">
        <v>0.988890275870678</v>
      </c>
      <c r="AM254" s="133">
        <v>0.989602532254187</v>
      </c>
      <c r="AN254" s="132">
        <v>0.99</v>
      </c>
      <c r="AO254" s="137">
        <v>1</v>
      </c>
      <c r="AP254" s="137">
        <v>1</v>
      </c>
      <c r="AQ254" s="137">
        <v>1</v>
      </c>
      <c r="AR254" s="137">
        <v>1</v>
      </c>
      <c r="AS254" s="158">
        <v>0.0922287257019438</v>
      </c>
      <c r="AT254" s="141">
        <v>0.2</v>
      </c>
      <c r="AU254" s="141">
        <v>0.1</v>
      </c>
      <c r="AV254" s="141">
        <v>0.0344827586206897</v>
      </c>
      <c r="AW254" s="141">
        <v>0.121031746031746</v>
      </c>
      <c r="AX254" s="95"/>
      <c r="AY254" s="93"/>
    </row>
    <row r="255" ht="14.5" spans="1:51">
      <c r="A255" s="91"/>
      <c r="B255" s="95"/>
      <c r="C255" s="163" t="s">
        <v>260</v>
      </c>
      <c r="D255" s="153" t="s">
        <v>125</v>
      </c>
      <c r="E255" s="130" t="s">
        <v>261</v>
      </c>
      <c r="F255" s="164" t="s">
        <v>279</v>
      </c>
      <c r="G255" s="164" t="s">
        <v>279</v>
      </c>
      <c r="H255" s="164" t="s">
        <v>279</v>
      </c>
      <c r="I255" s="164" t="s">
        <v>279</v>
      </c>
      <c r="J255" s="132">
        <v>0.9</v>
      </c>
      <c r="K255" s="133" t="s">
        <v>35</v>
      </c>
      <c r="L255" s="133" t="s">
        <v>35</v>
      </c>
      <c r="M255" s="134" t="s">
        <v>35</v>
      </c>
      <c r="N255" s="133" t="s">
        <v>35</v>
      </c>
      <c r="O255" s="135">
        <v>0.9</v>
      </c>
      <c r="P255" s="133" t="s">
        <v>35</v>
      </c>
      <c r="Q255" s="133" t="s">
        <v>35</v>
      </c>
      <c r="R255" s="133" t="s">
        <v>35</v>
      </c>
      <c r="S255" s="133" t="s">
        <v>35</v>
      </c>
      <c r="T255" s="135">
        <v>0.9</v>
      </c>
      <c r="U255" s="133" t="s">
        <v>35</v>
      </c>
      <c r="V255" s="133" t="s">
        <v>35</v>
      </c>
      <c r="W255" s="133" t="s">
        <v>35</v>
      </c>
      <c r="X255" s="133" t="s">
        <v>35</v>
      </c>
      <c r="Y255" s="135">
        <v>0.92</v>
      </c>
      <c r="Z255" s="135" t="s">
        <v>35</v>
      </c>
      <c r="AA255" s="135" t="s">
        <v>35</v>
      </c>
      <c r="AB255" s="135" t="s">
        <v>35</v>
      </c>
      <c r="AC255" s="135" t="s">
        <v>35</v>
      </c>
      <c r="AD255" s="135">
        <v>0.92</v>
      </c>
      <c r="AE255" s="133">
        <v>0.998084291187739</v>
      </c>
      <c r="AF255" s="133">
        <v>1</v>
      </c>
      <c r="AG255" s="133">
        <v>1</v>
      </c>
      <c r="AH255" s="133">
        <v>0.999681782020684</v>
      </c>
      <c r="AI255" s="135">
        <v>0.92</v>
      </c>
      <c r="AJ255" s="133" t="s">
        <v>35</v>
      </c>
      <c r="AK255" s="133" t="s">
        <v>35</v>
      </c>
      <c r="AL255" s="133" t="s">
        <v>35</v>
      </c>
      <c r="AM255" s="133">
        <v>1</v>
      </c>
      <c r="AN255" s="132">
        <v>0.99</v>
      </c>
      <c r="AO255" s="137">
        <v>1</v>
      </c>
      <c r="AP255" s="137">
        <v>1</v>
      </c>
      <c r="AQ255" s="137">
        <v>1</v>
      </c>
      <c r="AR255" s="137">
        <v>1</v>
      </c>
      <c r="AS255" s="158">
        <v>0.0922287257019438</v>
      </c>
      <c r="AT255" s="141" t="s">
        <v>35</v>
      </c>
      <c r="AU255" s="141" t="s">
        <v>35</v>
      </c>
      <c r="AV255" s="141" t="s">
        <v>35</v>
      </c>
      <c r="AW255" s="141" t="s">
        <v>35</v>
      </c>
      <c r="AX255" s="95"/>
      <c r="AY255" s="93"/>
    </row>
    <row r="256" ht="14.5" spans="1:51">
      <c r="A256" s="91"/>
      <c r="B256" s="95"/>
      <c r="C256" s="163" t="s">
        <v>260</v>
      </c>
      <c r="D256" s="153" t="s">
        <v>125</v>
      </c>
      <c r="E256" s="130" t="s">
        <v>261</v>
      </c>
      <c r="F256" s="164" t="s">
        <v>280</v>
      </c>
      <c r="G256" s="164" t="s">
        <v>280</v>
      </c>
      <c r="H256" s="164" t="s">
        <v>280</v>
      </c>
      <c r="I256" s="164" t="s">
        <v>280</v>
      </c>
      <c r="J256" s="132">
        <v>0.9</v>
      </c>
      <c r="K256" s="133" t="s">
        <v>35</v>
      </c>
      <c r="L256" s="133" t="s">
        <v>35</v>
      </c>
      <c r="M256" s="134" t="s">
        <v>35</v>
      </c>
      <c r="N256" s="133" t="s">
        <v>35</v>
      </c>
      <c r="O256" s="135">
        <v>0.9</v>
      </c>
      <c r="P256" s="133" t="s">
        <v>35</v>
      </c>
      <c r="Q256" s="133" t="s">
        <v>35</v>
      </c>
      <c r="R256" s="133" t="s">
        <v>35</v>
      </c>
      <c r="S256" s="133">
        <v>0</v>
      </c>
      <c r="T256" s="135">
        <v>0.9</v>
      </c>
      <c r="U256" s="133" t="s">
        <v>35</v>
      </c>
      <c r="V256" s="133" t="s">
        <v>35</v>
      </c>
      <c r="W256" s="133" t="s">
        <v>35</v>
      </c>
      <c r="X256" s="133">
        <v>1</v>
      </c>
      <c r="Y256" s="135">
        <v>0.92</v>
      </c>
      <c r="Z256" s="135" t="s">
        <v>35</v>
      </c>
      <c r="AA256" s="135" t="s">
        <v>35</v>
      </c>
      <c r="AB256" s="135" t="s">
        <v>35</v>
      </c>
      <c r="AC256" s="135" t="s">
        <v>35</v>
      </c>
      <c r="AD256" s="135">
        <v>0.92</v>
      </c>
      <c r="AE256" s="133">
        <v>1</v>
      </c>
      <c r="AF256" s="133">
        <v>0.984732824427481</v>
      </c>
      <c r="AG256" s="133">
        <v>1</v>
      </c>
      <c r="AH256" s="133">
        <v>0.987043580683157</v>
      </c>
      <c r="AI256" s="135">
        <v>0.92</v>
      </c>
      <c r="AJ256" s="133" t="s">
        <v>35</v>
      </c>
      <c r="AK256" s="133" t="s">
        <v>35</v>
      </c>
      <c r="AL256" s="133" t="s">
        <v>35</v>
      </c>
      <c r="AM256" s="133">
        <v>1</v>
      </c>
      <c r="AN256" s="132">
        <v>0.99</v>
      </c>
      <c r="AO256" s="137" t="s">
        <v>35</v>
      </c>
      <c r="AP256" s="137" t="s">
        <v>35</v>
      </c>
      <c r="AQ256" s="137" t="s">
        <v>35</v>
      </c>
      <c r="AR256" s="137">
        <v>1</v>
      </c>
      <c r="AS256" s="158">
        <v>0.0922287257019438</v>
      </c>
      <c r="AT256" s="141" t="s">
        <v>35</v>
      </c>
      <c r="AU256" s="141" t="s">
        <v>35</v>
      </c>
      <c r="AV256" s="141" t="s">
        <v>35</v>
      </c>
      <c r="AW256" s="141" t="s">
        <v>35</v>
      </c>
      <c r="AX256" s="95"/>
      <c r="AY256" s="93"/>
    </row>
    <row r="257" ht="14.5" spans="1:51">
      <c r="A257" s="91"/>
      <c r="B257" s="95"/>
      <c r="C257" s="163" t="s">
        <v>260</v>
      </c>
      <c r="D257" s="153" t="s">
        <v>25</v>
      </c>
      <c r="E257" s="130" t="s">
        <v>261</v>
      </c>
      <c r="F257" s="164" t="s">
        <v>281</v>
      </c>
      <c r="G257" s="164" t="s">
        <v>281</v>
      </c>
      <c r="H257" s="164" t="s">
        <v>281</v>
      </c>
      <c r="I257" s="164" t="s">
        <v>281</v>
      </c>
      <c r="J257" s="132">
        <v>0.9</v>
      </c>
      <c r="K257" s="133">
        <v>0.740740740740741</v>
      </c>
      <c r="L257" s="133">
        <v>0.78125</v>
      </c>
      <c r="M257" s="134">
        <v>0.84375</v>
      </c>
      <c r="N257" s="133">
        <v>0.761904761904762</v>
      </c>
      <c r="O257" s="135">
        <v>0.9</v>
      </c>
      <c r="P257" s="133">
        <v>0.909287257019438</v>
      </c>
      <c r="Q257" s="133">
        <v>0.922335297268345</v>
      </c>
      <c r="R257" s="133">
        <v>0.8984375</v>
      </c>
      <c r="S257" s="133">
        <v>0.929409937888199</v>
      </c>
      <c r="T257" s="135">
        <v>0.9</v>
      </c>
      <c r="U257" s="133">
        <v>0.858891288696904</v>
      </c>
      <c r="V257" s="133">
        <v>0.895554365291912</v>
      </c>
      <c r="W257" s="133">
        <v>0.91796875</v>
      </c>
      <c r="X257" s="133">
        <v>0.916304347826087</v>
      </c>
      <c r="Y257" s="135">
        <v>0.92</v>
      </c>
      <c r="Z257" s="135">
        <v>0.831858407079646</v>
      </c>
      <c r="AA257" s="135">
        <v>0.903860711582135</v>
      </c>
      <c r="AB257" s="135">
        <v>0.921821305841924</v>
      </c>
      <c r="AC257" s="135">
        <v>0.937906253784973</v>
      </c>
      <c r="AD257" s="135">
        <v>0.92</v>
      </c>
      <c r="AE257" s="133">
        <v>0.989404712114875</v>
      </c>
      <c r="AF257" s="133">
        <v>0.999699639567481</v>
      </c>
      <c r="AG257" s="133">
        <v>0.998962232682258</v>
      </c>
      <c r="AH257" s="133">
        <v>0.996499057563137</v>
      </c>
      <c r="AI257" s="135">
        <v>0.92</v>
      </c>
      <c r="AJ257" s="133">
        <v>0.88394584139265</v>
      </c>
      <c r="AK257" s="133">
        <v>0.929758544998432</v>
      </c>
      <c r="AL257" s="133">
        <v>0.954668470906631</v>
      </c>
      <c r="AM257" s="133">
        <v>0.957591283140035</v>
      </c>
      <c r="AN257" s="132">
        <v>0.99</v>
      </c>
      <c r="AO257" s="137">
        <v>1</v>
      </c>
      <c r="AP257" s="137">
        <v>1</v>
      </c>
      <c r="AQ257" s="137">
        <v>1</v>
      </c>
      <c r="AR257" s="137">
        <v>1</v>
      </c>
      <c r="AS257" s="158">
        <v>0.0922287257019438</v>
      </c>
      <c r="AT257" s="141">
        <v>0.181818181818182</v>
      </c>
      <c r="AU257" s="141">
        <v>0</v>
      </c>
      <c r="AV257" s="141">
        <v>0.375</v>
      </c>
      <c r="AW257" s="141">
        <v>0.0979591836734694</v>
      </c>
      <c r="AX257" s="95"/>
      <c r="AY257" s="93"/>
    </row>
    <row r="258" ht="14.5" spans="1:51">
      <c r="A258" s="91"/>
      <c r="B258" s="95"/>
      <c r="C258" s="163" t="s">
        <v>260</v>
      </c>
      <c r="D258" s="153" t="s">
        <v>25</v>
      </c>
      <c r="E258" s="130" t="s">
        <v>261</v>
      </c>
      <c r="F258" s="164" t="s">
        <v>282</v>
      </c>
      <c r="G258" s="164" t="s">
        <v>282</v>
      </c>
      <c r="H258" s="164" t="s">
        <v>282</v>
      </c>
      <c r="I258" s="164" t="s">
        <v>282</v>
      </c>
      <c r="J258" s="132">
        <v>0.9</v>
      </c>
      <c r="K258" s="133">
        <v>1</v>
      </c>
      <c r="L258" s="133">
        <v>1</v>
      </c>
      <c r="M258" s="134">
        <v>0.941176470588235</v>
      </c>
      <c r="N258" s="133">
        <v>0.981438515081206</v>
      </c>
      <c r="O258" s="135">
        <v>0.9</v>
      </c>
      <c r="P258" s="133">
        <v>0.933263816475495</v>
      </c>
      <c r="Q258" s="133">
        <v>0.959632294164668</v>
      </c>
      <c r="R258" s="133">
        <v>0.94330113397732</v>
      </c>
      <c r="S258" s="133">
        <v>0.95349988215885</v>
      </c>
      <c r="T258" s="135">
        <v>0.9</v>
      </c>
      <c r="U258" s="133">
        <v>0.876433785192909</v>
      </c>
      <c r="V258" s="133">
        <v>0.920463629096723</v>
      </c>
      <c r="W258" s="133">
        <v>0.915581688366233</v>
      </c>
      <c r="X258" s="133">
        <v>0.923238274805562</v>
      </c>
      <c r="Y258" s="135">
        <v>0.92</v>
      </c>
      <c r="Z258" s="135">
        <v>0.863844393592677</v>
      </c>
      <c r="AA258" s="135">
        <v>0.936049801924165</v>
      </c>
      <c r="AB258" s="135">
        <v>0.959492140266022</v>
      </c>
      <c r="AC258" s="135">
        <v>0.952795613803618</v>
      </c>
      <c r="AD258" s="135">
        <v>0.92</v>
      </c>
      <c r="AE258" s="133">
        <v>0.998204667863555</v>
      </c>
      <c r="AF258" s="133">
        <v>0.999131944444444</v>
      </c>
      <c r="AG258" s="133">
        <v>0.956713003695231</v>
      </c>
      <c r="AH258" s="133">
        <v>0.985192477494393</v>
      </c>
      <c r="AI258" s="135">
        <v>0.92</v>
      </c>
      <c r="AJ258" s="133">
        <v>0.916249105225483</v>
      </c>
      <c r="AK258" s="133">
        <v>0.959484777517564</v>
      </c>
      <c r="AL258" s="133">
        <v>0.972986369268897</v>
      </c>
      <c r="AM258" s="133">
        <v>0.969143543920155</v>
      </c>
      <c r="AN258" s="132">
        <v>0.99</v>
      </c>
      <c r="AO258" s="137">
        <v>1</v>
      </c>
      <c r="AP258" s="137">
        <v>1</v>
      </c>
      <c r="AQ258" s="137">
        <v>1</v>
      </c>
      <c r="AR258" s="137">
        <v>1</v>
      </c>
      <c r="AS258" s="158">
        <v>0.0922287257019438</v>
      </c>
      <c r="AT258" s="141">
        <v>0.25</v>
      </c>
      <c r="AU258" s="141">
        <v>0</v>
      </c>
      <c r="AV258" s="141">
        <v>0.0909090909090909</v>
      </c>
      <c r="AW258" s="141">
        <v>0.0765765765765766</v>
      </c>
      <c r="AX258" s="95"/>
      <c r="AY258" s="93"/>
    </row>
    <row r="259" ht="14.5" spans="1:51">
      <c r="A259" s="91"/>
      <c r="B259" s="95"/>
      <c r="C259" s="163" t="s">
        <v>260</v>
      </c>
      <c r="D259" s="153" t="s">
        <v>125</v>
      </c>
      <c r="E259" s="130" t="s">
        <v>261</v>
      </c>
      <c r="F259" s="164" t="s">
        <v>283</v>
      </c>
      <c r="G259" s="164" t="s">
        <v>283</v>
      </c>
      <c r="H259" s="164" t="s">
        <v>283</v>
      </c>
      <c r="I259" s="164" t="s">
        <v>283</v>
      </c>
      <c r="J259" s="132">
        <v>0.9</v>
      </c>
      <c r="K259" s="133" t="s">
        <v>35</v>
      </c>
      <c r="L259" s="133" t="s">
        <v>35</v>
      </c>
      <c r="M259" s="134" t="s">
        <v>35</v>
      </c>
      <c r="N259" s="133" t="s">
        <v>35</v>
      </c>
      <c r="O259" s="135">
        <v>0.9</v>
      </c>
      <c r="P259" s="133">
        <v>0.977941176470588</v>
      </c>
      <c r="Q259" s="133">
        <v>0.994413407821229</v>
      </c>
      <c r="R259" s="133">
        <v>0.980769230769231</v>
      </c>
      <c r="S259" s="133">
        <v>0.980040941658137</v>
      </c>
      <c r="T259" s="135">
        <v>0.9</v>
      </c>
      <c r="U259" s="133">
        <v>0.977941176470588</v>
      </c>
      <c r="V259" s="133">
        <v>0.966480446927374</v>
      </c>
      <c r="W259" s="133">
        <v>0.974358974358974</v>
      </c>
      <c r="X259" s="133">
        <v>0.967246673490276</v>
      </c>
      <c r="Y259" s="135">
        <v>0.92</v>
      </c>
      <c r="Z259" s="135">
        <v>1</v>
      </c>
      <c r="AA259" s="135">
        <v>0.9875</v>
      </c>
      <c r="AB259" s="135">
        <v>0.949152542372881</v>
      </c>
      <c r="AC259" s="135">
        <v>0.967097532314924</v>
      </c>
      <c r="AD259" s="135">
        <v>0.92</v>
      </c>
      <c r="AE259" s="133">
        <v>0.999783362218371</v>
      </c>
      <c r="AF259" s="133">
        <v>0.999033816425121</v>
      </c>
      <c r="AG259" s="133">
        <v>0.999579183616215</v>
      </c>
      <c r="AH259" s="133">
        <v>0.999065087274585</v>
      </c>
      <c r="AI259" s="135">
        <v>0.92</v>
      </c>
      <c r="AJ259" s="133">
        <v>0.994791666666667</v>
      </c>
      <c r="AK259" s="133">
        <v>0.969230769230769</v>
      </c>
      <c r="AL259" s="133">
        <v>0.967441860465116</v>
      </c>
      <c r="AM259" s="133">
        <v>0.973656105375578</v>
      </c>
      <c r="AN259" s="132">
        <v>0.99</v>
      </c>
      <c r="AO259" s="137">
        <v>1</v>
      </c>
      <c r="AP259" s="137">
        <v>1</v>
      </c>
      <c r="AQ259" s="137">
        <v>1</v>
      </c>
      <c r="AR259" s="137">
        <v>1</v>
      </c>
      <c r="AS259" s="158">
        <v>0.0922287257019438</v>
      </c>
      <c r="AT259" s="141" t="s">
        <v>35</v>
      </c>
      <c r="AU259" s="141" t="s">
        <v>35</v>
      </c>
      <c r="AV259" s="141" t="s">
        <v>35</v>
      </c>
      <c r="AW259" s="141" t="s">
        <v>35</v>
      </c>
      <c r="AX259" s="95"/>
      <c r="AY259" s="93"/>
    </row>
    <row r="260" ht="14.5" spans="1:51">
      <c r="A260" s="91"/>
      <c r="B260" s="95"/>
      <c r="C260" s="163" t="s">
        <v>260</v>
      </c>
      <c r="D260" s="153" t="s">
        <v>125</v>
      </c>
      <c r="E260" s="130" t="s">
        <v>261</v>
      </c>
      <c r="F260" s="164" t="s">
        <v>284</v>
      </c>
      <c r="G260" s="164" t="s">
        <v>284</v>
      </c>
      <c r="H260" s="164" t="s">
        <v>284</v>
      </c>
      <c r="I260" s="164" t="s">
        <v>284</v>
      </c>
      <c r="J260" s="132">
        <v>0.9</v>
      </c>
      <c r="K260" s="133" t="s">
        <v>35</v>
      </c>
      <c r="L260" s="133" t="s">
        <v>35</v>
      </c>
      <c r="M260" s="134" t="s">
        <v>35</v>
      </c>
      <c r="N260" s="133" t="s">
        <v>35</v>
      </c>
      <c r="O260" s="135">
        <v>0.9</v>
      </c>
      <c r="P260" s="133" t="s">
        <v>35</v>
      </c>
      <c r="Q260" s="133" t="s">
        <v>35</v>
      </c>
      <c r="R260" s="133" t="s">
        <v>35</v>
      </c>
      <c r="S260" s="133" t="s">
        <v>35</v>
      </c>
      <c r="T260" s="135">
        <v>0.9</v>
      </c>
      <c r="U260" s="133" t="s">
        <v>35</v>
      </c>
      <c r="V260" s="133" t="s">
        <v>35</v>
      </c>
      <c r="W260" s="133" t="s">
        <v>35</v>
      </c>
      <c r="X260" s="133" t="s">
        <v>35</v>
      </c>
      <c r="Y260" s="135">
        <v>0.92</v>
      </c>
      <c r="Z260" s="135" t="s">
        <v>35</v>
      </c>
      <c r="AA260" s="135" t="s">
        <v>35</v>
      </c>
      <c r="AB260" s="135" t="s">
        <v>35</v>
      </c>
      <c r="AC260" s="135" t="s">
        <v>35</v>
      </c>
      <c r="AD260" s="135">
        <v>0.92</v>
      </c>
      <c r="AE260" s="133">
        <v>1</v>
      </c>
      <c r="AF260" s="133">
        <v>1</v>
      </c>
      <c r="AG260" s="133">
        <v>1</v>
      </c>
      <c r="AH260" s="133">
        <v>0.999910289764062</v>
      </c>
      <c r="AI260" s="135">
        <v>0.92</v>
      </c>
      <c r="AJ260" s="133" t="s">
        <v>35</v>
      </c>
      <c r="AK260" s="133" t="s">
        <v>35</v>
      </c>
      <c r="AL260" s="133" t="s">
        <v>35</v>
      </c>
      <c r="AM260" s="133" t="s">
        <v>35</v>
      </c>
      <c r="AN260" s="132">
        <v>0.99</v>
      </c>
      <c r="AO260" s="137">
        <v>1</v>
      </c>
      <c r="AP260" s="137">
        <v>1</v>
      </c>
      <c r="AQ260" s="137">
        <v>1</v>
      </c>
      <c r="AR260" s="137">
        <v>1</v>
      </c>
      <c r="AS260" s="158">
        <v>0.0922287257019438</v>
      </c>
      <c r="AT260" s="141" t="s">
        <v>35</v>
      </c>
      <c r="AU260" s="141" t="s">
        <v>35</v>
      </c>
      <c r="AV260" s="141">
        <v>0</v>
      </c>
      <c r="AW260" s="141">
        <v>0</v>
      </c>
      <c r="AX260" s="95"/>
      <c r="AY260" s="93"/>
    </row>
    <row r="261" ht="14.5" spans="1:51">
      <c r="A261" s="91"/>
      <c r="B261" s="95"/>
      <c r="C261" s="163" t="s">
        <v>260</v>
      </c>
      <c r="D261" s="153" t="s">
        <v>125</v>
      </c>
      <c r="E261" s="130" t="s">
        <v>261</v>
      </c>
      <c r="F261" s="164" t="s">
        <v>285</v>
      </c>
      <c r="G261" s="164" t="s">
        <v>285</v>
      </c>
      <c r="H261" s="164" t="s">
        <v>285</v>
      </c>
      <c r="I261" s="164" t="s">
        <v>285</v>
      </c>
      <c r="J261" s="132">
        <v>0.9</v>
      </c>
      <c r="K261" s="133" t="s">
        <v>35</v>
      </c>
      <c r="L261" s="133" t="s">
        <v>35</v>
      </c>
      <c r="M261" s="134" t="s">
        <v>35</v>
      </c>
      <c r="N261" s="133" t="s">
        <v>35</v>
      </c>
      <c r="O261" s="135">
        <v>0.9</v>
      </c>
      <c r="P261" s="133">
        <v>0.666666666666667</v>
      </c>
      <c r="Q261" s="133">
        <v>0.333333333333333</v>
      </c>
      <c r="R261" s="133">
        <v>0.6</v>
      </c>
      <c r="S261" s="133">
        <v>0.659090909090909</v>
      </c>
      <c r="T261" s="135">
        <v>0.9</v>
      </c>
      <c r="U261" s="133">
        <v>0.666666666666667</v>
      </c>
      <c r="V261" s="133">
        <v>0.333333333333333</v>
      </c>
      <c r="W261" s="133">
        <v>1</v>
      </c>
      <c r="X261" s="133">
        <v>0.897727272727273</v>
      </c>
      <c r="Y261" s="135">
        <v>0.92</v>
      </c>
      <c r="Z261" s="135" t="s">
        <v>35</v>
      </c>
      <c r="AA261" s="135">
        <v>1</v>
      </c>
      <c r="AB261" s="135">
        <v>0</v>
      </c>
      <c r="AC261" s="135">
        <v>0.571428571428571</v>
      </c>
      <c r="AD261" s="135">
        <v>0.92</v>
      </c>
      <c r="AE261" s="133">
        <v>0.997818380147259</v>
      </c>
      <c r="AF261" s="133">
        <v>0.997775659358119</v>
      </c>
      <c r="AG261" s="133">
        <v>0.997542997542998</v>
      </c>
      <c r="AH261" s="133">
        <v>0.942992373136319</v>
      </c>
      <c r="AI261" s="135">
        <v>0.92</v>
      </c>
      <c r="AJ261" s="133">
        <v>0.727272727272727</v>
      </c>
      <c r="AK261" s="133">
        <v>0.6</v>
      </c>
      <c r="AL261" s="133">
        <v>0.857142857142857</v>
      </c>
      <c r="AM261" s="133">
        <v>0.843283582089552</v>
      </c>
      <c r="AN261" s="132">
        <v>0.99</v>
      </c>
      <c r="AO261" s="137">
        <v>1</v>
      </c>
      <c r="AP261" s="137">
        <v>1</v>
      </c>
      <c r="AQ261" s="137">
        <v>1</v>
      </c>
      <c r="AR261" s="137">
        <v>1</v>
      </c>
      <c r="AS261" s="158">
        <v>0.0922287257019438</v>
      </c>
      <c r="AT261" s="141">
        <v>0</v>
      </c>
      <c r="AU261" s="141" t="s">
        <v>35</v>
      </c>
      <c r="AV261" s="141" t="s">
        <v>35</v>
      </c>
      <c r="AW261" s="141">
        <v>0</v>
      </c>
      <c r="AX261" s="95"/>
      <c r="AY261" s="93"/>
    </row>
    <row r="262" ht="14.5" spans="1:51">
      <c r="A262" s="91"/>
      <c r="B262" s="95"/>
      <c r="C262" s="163" t="s">
        <v>260</v>
      </c>
      <c r="D262" s="153" t="s">
        <v>125</v>
      </c>
      <c r="E262" s="130" t="s">
        <v>261</v>
      </c>
      <c r="F262" s="164" t="s">
        <v>286</v>
      </c>
      <c r="G262" s="164" t="s">
        <v>286</v>
      </c>
      <c r="H262" s="164" t="s">
        <v>286</v>
      </c>
      <c r="I262" s="164" t="s">
        <v>286</v>
      </c>
      <c r="J262" s="132">
        <v>0.9</v>
      </c>
      <c r="K262" s="133" t="s">
        <v>35</v>
      </c>
      <c r="L262" s="133" t="s">
        <v>35</v>
      </c>
      <c r="M262" s="134" t="s">
        <v>35</v>
      </c>
      <c r="N262" s="133" t="s">
        <v>35</v>
      </c>
      <c r="O262" s="135">
        <v>0.9</v>
      </c>
      <c r="P262" s="133" t="s">
        <v>35</v>
      </c>
      <c r="Q262" s="133" t="s">
        <v>35</v>
      </c>
      <c r="R262" s="133" t="s">
        <v>35</v>
      </c>
      <c r="S262" s="133">
        <v>0</v>
      </c>
      <c r="T262" s="135">
        <v>0.9</v>
      </c>
      <c r="U262" s="133" t="s">
        <v>35</v>
      </c>
      <c r="V262" s="133" t="s">
        <v>35</v>
      </c>
      <c r="W262" s="133" t="s">
        <v>35</v>
      </c>
      <c r="X262" s="133">
        <v>0.666666666666667</v>
      </c>
      <c r="Y262" s="135">
        <v>0.92</v>
      </c>
      <c r="Z262" s="135" t="s">
        <v>35</v>
      </c>
      <c r="AA262" s="135" t="s">
        <v>35</v>
      </c>
      <c r="AB262" s="135" t="s">
        <v>35</v>
      </c>
      <c r="AC262" s="135" t="s">
        <v>35</v>
      </c>
      <c r="AD262" s="135">
        <v>0.92</v>
      </c>
      <c r="AE262" s="133">
        <v>0.959677419354839</v>
      </c>
      <c r="AF262" s="133">
        <v>0.98993288590604</v>
      </c>
      <c r="AG262" s="133">
        <v>0.958301743745262</v>
      </c>
      <c r="AH262" s="133">
        <v>0.970972356823111</v>
      </c>
      <c r="AI262" s="135">
        <v>0.92</v>
      </c>
      <c r="AJ262" s="133" t="s">
        <v>35</v>
      </c>
      <c r="AK262" s="133" t="s">
        <v>35</v>
      </c>
      <c r="AL262" s="133" t="s">
        <v>35</v>
      </c>
      <c r="AM262" s="133">
        <v>0.666666666666667</v>
      </c>
      <c r="AN262" s="132">
        <v>0.99</v>
      </c>
      <c r="AO262" s="137" t="s">
        <v>35</v>
      </c>
      <c r="AP262" s="137">
        <v>1</v>
      </c>
      <c r="AQ262" s="137">
        <v>1</v>
      </c>
      <c r="AR262" s="137">
        <v>1</v>
      </c>
      <c r="AS262" s="158">
        <v>0.0922287257019438</v>
      </c>
      <c r="AT262" s="141" t="s">
        <v>35</v>
      </c>
      <c r="AU262" s="141" t="s">
        <v>35</v>
      </c>
      <c r="AV262" s="141" t="s">
        <v>35</v>
      </c>
      <c r="AW262" s="141" t="s">
        <v>35</v>
      </c>
      <c r="AX262" s="95"/>
      <c r="AY262" s="93"/>
    </row>
    <row r="263" ht="14.5" spans="1:51">
      <c r="A263" s="91"/>
      <c r="B263" s="95"/>
      <c r="C263" s="163" t="s">
        <v>260</v>
      </c>
      <c r="D263" s="153" t="s">
        <v>125</v>
      </c>
      <c r="E263" s="130" t="s">
        <v>261</v>
      </c>
      <c r="F263" s="164" t="s">
        <v>287</v>
      </c>
      <c r="G263" s="164" t="s">
        <v>287</v>
      </c>
      <c r="H263" s="164" t="s">
        <v>287</v>
      </c>
      <c r="I263" s="164" t="s">
        <v>287</v>
      </c>
      <c r="J263" s="132">
        <v>0.9</v>
      </c>
      <c r="K263" s="133" t="s">
        <v>35</v>
      </c>
      <c r="L263" s="133" t="s">
        <v>35</v>
      </c>
      <c r="M263" s="134" t="s">
        <v>35</v>
      </c>
      <c r="N263" s="133" t="s">
        <v>35</v>
      </c>
      <c r="O263" s="135">
        <v>0.9</v>
      </c>
      <c r="P263" s="133">
        <v>0</v>
      </c>
      <c r="Q263" s="133" t="s">
        <v>35</v>
      </c>
      <c r="R263" s="133" t="s">
        <v>35</v>
      </c>
      <c r="S263" s="133">
        <v>0</v>
      </c>
      <c r="T263" s="135">
        <v>0.9</v>
      </c>
      <c r="U263" s="133">
        <v>1</v>
      </c>
      <c r="V263" s="133" t="s">
        <v>35</v>
      </c>
      <c r="W263" s="133" t="s">
        <v>35</v>
      </c>
      <c r="X263" s="133">
        <v>0.5</v>
      </c>
      <c r="Y263" s="135">
        <v>0.92</v>
      </c>
      <c r="Z263" s="135">
        <v>0</v>
      </c>
      <c r="AA263" s="135" t="s">
        <v>35</v>
      </c>
      <c r="AB263" s="135" t="s">
        <v>35</v>
      </c>
      <c r="AC263" s="135">
        <v>0</v>
      </c>
      <c r="AD263" s="135">
        <v>0.92</v>
      </c>
      <c r="AE263" s="133">
        <v>0.995589856670342</v>
      </c>
      <c r="AF263" s="133">
        <v>0.928638059701492</v>
      </c>
      <c r="AG263" s="133">
        <v>0.997171945701357</v>
      </c>
      <c r="AH263" s="133">
        <v>0.964383561643836</v>
      </c>
      <c r="AI263" s="135">
        <v>0.92</v>
      </c>
      <c r="AJ263" s="133">
        <v>0.5</v>
      </c>
      <c r="AK263" s="133" t="s">
        <v>35</v>
      </c>
      <c r="AL263" s="133" t="s">
        <v>35</v>
      </c>
      <c r="AM263" s="133">
        <v>0.555555555555556</v>
      </c>
      <c r="AN263" s="132">
        <v>0.99</v>
      </c>
      <c r="AO263" s="137">
        <v>1</v>
      </c>
      <c r="AP263" s="137">
        <v>1</v>
      </c>
      <c r="AQ263" s="137">
        <v>1</v>
      </c>
      <c r="AR263" s="137">
        <v>1</v>
      </c>
      <c r="AS263" s="158">
        <v>0.0922287257019438</v>
      </c>
      <c r="AT263" s="141" t="s">
        <v>35</v>
      </c>
      <c r="AU263" s="141" t="s">
        <v>35</v>
      </c>
      <c r="AV263" s="141" t="s">
        <v>35</v>
      </c>
      <c r="AW263" s="141" t="s">
        <v>35</v>
      </c>
      <c r="AX263" s="95"/>
      <c r="AY263" s="93"/>
    </row>
    <row r="264" ht="14.5" spans="1:51">
      <c r="A264" s="91"/>
      <c r="B264" s="95"/>
      <c r="C264" s="163" t="s">
        <v>260</v>
      </c>
      <c r="D264" s="153" t="s">
        <v>125</v>
      </c>
      <c r="E264" s="130" t="s">
        <v>261</v>
      </c>
      <c r="F264" s="164" t="s">
        <v>288</v>
      </c>
      <c r="G264" s="164" t="s">
        <v>288</v>
      </c>
      <c r="H264" s="164" t="s">
        <v>288</v>
      </c>
      <c r="I264" s="164" t="s">
        <v>288</v>
      </c>
      <c r="J264" s="132">
        <v>0.9</v>
      </c>
      <c r="K264" s="133" t="s">
        <v>35</v>
      </c>
      <c r="L264" s="133" t="s">
        <v>35</v>
      </c>
      <c r="M264" s="134" t="s">
        <v>35</v>
      </c>
      <c r="N264" s="133" t="s">
        <v>35</v>
      </c>
      <c r="O264" s="135">
        <v>0.9</v>
      </c>
      <c r="P264" s="133">
        <v>0</v>
      </c>
      <c r="Q264" s="133" t="s">
        <v>35</v>
      </c>
      <c r="R264" s="133">
        <v>0</v>
      </c>
      <c r="S264" s="133">
        <v>0</v>
      </c>
      <c r="T264" s="135">
        <v>0.9</v>
      </c>
      <c r="U264" s="133">
        <v>1</v>
      </c>
      <c r="V264" s="133" t="s">
        <v>35</v>
      </c>
      <c r="W264" s="133">
        <v>0.5</v>
      </c>
      <c r="X264" s="133">
        <v>0.777777777777778</v>
      </c>
      <c r="Y264" s="135">
        <v>0.92</v>
      </c>
      <c r="Z264" s="135" t="s">
        <v>35</v>
      </c>
      <c r="AA264" s="135" t="s">
        <v>35</v>
      </c>
      <c r="AB264" s="135" t="s">
        <v>35</v>
      </c>
      <c r="AC264" s="135">
        <v>0.5</v>
      </c>
      <c r="AD264" s="135">
        <v>0.92</v>
      </c>
      <c r="AE264" s="133">
        <v>1</v>
      </c>
      <c r="AF264" s="133">
        <v>0.999588984792437</v>
      </c>
      <c r="AG264" s="133">
        <v>0.999321021184139</v>
      </c>
      <c r="AH264" s="133">
        <v>0.944581147246991</v>
      </c>
      <c r="AI264" s="135">
        <v>0.92</v>
      </c>
      <c r="AJ264" s="133">
        <v>1</v>
      </c>
      <c r="AK264" s="133" t="s">
        <v>35</v>
      </c>
      <c r="AL264" s="133">
        <v>0.5</v>
      </c>
      <c r="AM264" s="133">
        <v>0.761904761904762</v>
      </c>
      <c r="AN264" s="132">
        <v>0.99</v>
      </c>
      <c r="AO264" s="137" t="s">
        <v>35</v>
      </c>
      <c r="AP264" s="137">
        <v>1</v>
      </c>
      <c r="AQ264" s="137">
        <v>1</v>
      </c>
      <c r="AR264" s="137">
        <v>1</v>
      </c>
      <c r="AS264" s="158">
        <v>0.0922287257019438</v>
      </c>
      <c r="AT264" s="141" t="s">
        <v>35</v>
      </c>
      <c r="AU264" s="141" t="s">
        <v>35</v>
      </c>
      <c r="AV264" s="141" t="s">
        <v>35</v>
      </c>
      <c r="AW264" s="141" t="s">
        <v>35</v>
      </c>
      <c r="AX264" s="95"/>
      <c r="AY264" s="93"/>
    </row>
    <row r="265" ht="14.5" spans="1:51">
      <c r="A265" s="91"/>
      <c r="B265" s="95"/>
      <c r="C265" s="163" t="s">
        <v>260</v>
      </c>
      <c r="D265" s="153" t="s">
        <v>125</v>
      </c>
      <c r="E265" s="130" t="s">
        <v>261</v>
      </c>
      <c r="F265" s="164" t="s">
        <v>289</v>
      </c>
      <c r="G265" s="164" t="s">
        <v>289</v>
      </c>
      <c r="H265" s="164" t="s">
        <v>289</v>
      </c>
      <c r="I265" s="164" t="s">
        <v>289</v>
      </c>
      <c r="J265" s="132">
        <v>0.9</v>
      </c>
      <c r="K265" s="133" t="s">
        <v>35</v>
      </c>
      <c r="L265" s="133" t="s">
        <v>35</v>
      </c>
      <c r="M265" s="134" t="s">
        <v>35</v>
      </c>
      <c r="N265" s="133" t="s">
        <v>35</v>
      </c>
      <c r="O265" s="135">
        <v>0.9</v>
      </c>
      <c r="P265" s="133">
        <v>0</v>
      </c>
      <c r="Q265" s="133">
        <v>0.5</v>
      </c>
      <c r="R265" s="133">
        <v>0.8</v>
      </c>
      <c r="S265" s="133">
        <v>0.444444444444444</v>
      </c>
      <c r="T265" s="135">
        <v>0.9</v>
      </c>
      <c r="U265" s="133">
        <v>0.666666666666667</v>
      </c>
      <c r="V265" s="133">
        <v>0.166666666666667</v>
      </c>
      <c r="W265" s="133">
        <v>0.5</v>
      </c>
      <c r="X265" s="133">
        <v>0.466666666666667</v>
      </c>
      <c r="Y265" s="135">
        <v>0.92</v>
      </c>
      <c r="Z265" s="135" t="s">
        <v>35</v>
      </c>
      <c r="AA265" s="135" t="s">
        <v>35</v>
      </c>
      <c r="AB265" s="135">
        <v>1</v>
      </c>
      <c r="AC265" s="135">
        <v>0.333333333333333</v>
      </c>
      <c r="AD265" s="135">
        <v>0.92</v>
      </c>
      <c r="AE265" s="133">
        <v>1</v>
      </c>
      <c r="AF265" s="133">
        <v>1</v>
      </c>
      <c r="AG265" s="133">
        <v>0.999306037473976</v>
      </c>
      <c r="AH265" s="133">
        <v>0.986862556287633</v>
      </c>
      <c r="AI265" s="135">
        <v>0.92</v>
      </c>
      <c r="AJ265" s="133">
        <v>0.666666666666667</v>
      </c>
      <c r="AK265" s="133">
        <v>0.333333333333333</v>
      </c>
      <c r="AL265" s="133">
        <v>0.5</v>
      </c>
      <c r="AM265" s="133">
        <v>0.5</v>
      </c>
      <c r="AN265" s="132">
        <v>0.99</v>
      </c>
      <c r="AO265" s="137" t="s">
        <v>35</v>
      </c>
      <c r="AP265" s="137">
        <v>1</v>
      </c>
      <c r="AQ265" s="137">
        <v>1</v>
      </c>
      <c r="AR265" s="137">
        <v>1</v>
      </c>
      <c r="AS265" s="158">
        <v>0.0922287257019438</v>
      </c>
      <c r="AT265" s="141" t="s">
        <v>35</v>
      </c>
      <c r="AU265" s="141" t="s">
        <v>35</v>
      </c>
      <c r="AV265" s="141" t="s">
        <v>35</v>
      </c>
      <c r="AW265" s="141" t="s">
        <v>35</v>
      </c>
      <c r="AX265" s="95"/>
      <c r="AY265" s="93"/>
    </row>
    <row r="266" ht="14.5" spans="1:51">
      <c r="A266" s="91"/>
      <c r="B266" s="95"/>
      <c r="C266" s="163" t="s">
        <v>260</v>
      </c>
      <c r="D266" s="153" t="s">
        <v>125</v>
      </c>
      <c r="E266" s="130" t="s">
        <v>261</v>
      </c>
      <c r="F266" s="164" t="s">
        <v>290</v>
      </c>
      <c r="G266" s="164" t="s">
        <v>290</v>
      </c>
      <c r="H266" s="164" t="s">
        <v>290</v>
      </c>
      <c r="I266" s="164" t="s">
        <v>290</v>
      </c>
      <c r="J266" s="132">
        <v>0.9</v>
      </c>
      <c r="K266" s="133" t="s">
        <v>35</v>
      </c>
      <c r="L266" s="133" t="s">
        <v>35</v>
      </c>
      <c r="M266" s="134" t="s">
        <v>35</v>
      </c>
      <c r="N266" s="133" t="s">
        <v>35</v>
      </c>
      <c r="O266" s="135">
        <v>0.9</v>
      </c>
      <c r="P266" s="133">
        <v>0</v>
      </c>
      <c r="Q266" s="133" t="s">
        <v>35</v>
      </c>
      <c r="R266" s="133" t="s">
        <v>35</v>
      </c>
      <c r="S266" s="133">
        <v>0</v>
      </c>
      <c r="T266" s="135">
        <v>0.9</v>
      </c>
      <c r="U266" s="133">
        <v>1</v>
      </c>
      <c r="V266" s="133" t="s">
        <v>35</v>
      </c>
      <c r="W266" s="133" t="s">
        <v>35</v>
      </c>
      <c r="X266" s="133">
        <v>1</v>
      </c>
      <c r="Y266" s="135">
        <v>0.92</v>
      </c>
      <c r="Z266" s="135" t="s">
        <v>35</v>
      </c>
      <c r="AA266" s="135" t="s">
        <v>35</v>
      </c>
      <c r="AB266" s="135" t="s">
        <v>35</v>
      </c>
      <c r="AC266" s="135" t="s">
        <v>35</v>
      </c>
      <c r="AD266" s="135">
        <v>0.92</v>
      </c>
      <c r="AE266" s="133">
        <v>1</v>
      </c>
      <c r="AF266" s="133">
        <v>1</v>
      </c>
      <c r="AG266" s="133">
        <v>1</v>
      </c>
      <c r="AH266" s="133">
        <v>0.981311018131102</v>
      </c>
      <c r="AI266" s="135">
        <v>0.92</v>
      </c>
      <c r="AJ266" s="133">
        <v>1</v>
      </c>
      <c r="AK266" s="133" t="s">
        <v>35</v>
      </c>
      <c r="AL266" s="133" t="s">
        <v>35</v>
      </c>
      <c r="AM266" s="133">
        <v>1</v>
      </c>
      <c r="AN266" s="132">
        <v>0.99</v>
      </c>
      <c r="AO266" s="137">
        <v>1</v>
      </c>
      <c r="AP266" s="137" t="s">
        <v>35</v>
      </c>
      <c r="AQ266" s="137" t="s">
        <v>35</v>
      </c>
      <c r="AR266" s="137">
        <v>1</v>
      </c>
      <c r="AS266" s="158">
        <v>0.0922287257019438</v>
      </c>
      <c r="AT266" s="141" t="s">
        <v>35</v>
      </c>
      <c r="AU266" s="141" t="s">
        <v>35</v>
      </c>
      <c r="AV266" s="141" t="s">
        <v>35</v>
      </c>
      <c r="AW266" s="141" t="s">
        <v>35</v>
      </c>
      <c r="AX266" s="95"/>
      <c r="AY266" s="93"/>
    </row>
    <row r="267" ht="14.5" spans="1:51">
      <c r="A267" s="91"/>
      <c r="B267" s="95"/>
      <c r="C267" s="163" t="s">
        <v>260</v>
      </c>
      <c r="D267" s="153" t="s">
        <v>25</v>
      </c>
      <c r="E267" s="130" t="s">
        <v>261</v>
      </c>
      <c r="F267" s="164" t="s">
        <v>291</v>
      </c>
      <c r="G267" s="164" t="s">
        <v>291</v>
      </c>
      <c r="H267" s="164" t="s">
        <v>291</v>
      </c>
      <c r="I267" s="164" t="s">
        <v>291</v>
      </c>
      <c r="J267" s="132">
        <v>0.9</v>
      </c>
      <c r="K267" s="133">
        <v>0.947368421052632</v>
      </c>
      <c r="L267" s="133">
        <v>0.924528301886792</v>
      </c>
      <c r="M267" s="134">
        <v>0.97196261682243</v>
      </c>
      <c r="N267" s="133">
        <v>0.961261759822911</v>
      </c>
      <c r="O267" s="135">
        <v>0.9</v>
      </c>
      <c r="P267" s="133">
        <v>0.964777947932619</v>
      </c>
      <c r="Q267" s="133">
        <v>0.963813500347947</v>
      </c>
      <c r="R267" s="133">
        <v>0.962969960324958</v>
      </c>
      <c r="S267" s="133">
        <v>0.966138448707256</v>
      </c>
      <c r="T267" s="135">
        <v>0.9</v>
      </c>
      <c r="U267" s="133">
        <v>0.932363450740174</v>
      </c>
      <c r="V267" s="133">
        <v>0.936325678496868</v>
      </c>
      <c r="W267" s="133">
        <v>0.949367088607595</v>
      </c>
      <c r="X267" s="133">
        <v>0.938293021962747</v>
      </c>
      <c r="Y267" s="135">
        <v>0.92</v>
      </c>
      <c r="Z267" s="135">
        <v>0.942640692640693</v>
      </c>
      <c r="AA267" s="135">
        <v>0.966767371601209</v>
      </c>
      <c r="AB267" s="135">
        <v>0.974045801526718</v>
      </c>
      <c r="AC267" s="135">
        <v>0.973675929346413</v>
      </c>
      <c r="AD267" s="135">
        <v>0.92</v>
      </c>
      <c r="AE267" s="133">
        <v>0.987492728330425</v>
      </c>
      <c r="AF267" s="133">
        <v>0.998883305415969</v>
      </c>
      <c r="AG267" s="133">
        <v>0.978326935380678</v>
      </c>
      <c r="AH267" s="133">
        <v>0.96479978138266</v>
      </c>
      <c r="AI267" s="135">
        <v>0.92</v>
      </c>
      <c r="AJ267" s="133">
        <v>0.968267730189006</v>
      </c>
      <c r="AK267" s="133">
        <v>0.978703703703704</v>
      </c>
      <c r="AL267" s="133">
        <v>0.984275024400824</v>
      </c>
      <c r="AM267" s="133">
        <v>0.983205751018205</v>
      </c>
      <c r="AN267" s="132">
        <v>0.99</v>
      </c>
      <c r="AO267" s="137">
        <v>1</v>
      </c>
      <c r="AP267" s="137">
        <v>1</v>
      </c>
      <c r="AQ267" s="137">
        <v>1</v>
      </c>
      <c r="AR267" s="137">
        <v>1</v>
      </c>
      <c r="AS267" s="158">
        <v>0.0922287257019438</v>
      </c>
      <c r="AT267" s="141">
        <v>0.210526315789474</v>
      </c>
      <c r="AU267" s="141">
        <v>0</v>
      </c>
      <c r="AV267" s="141">
        <v>0.037037037037037</v>
      </c>
      <c r="AW267" s="141">
        <v>0.0915178571428571</v>
      </c>
      <c r="AX267" s="95"/>
      <c r="AY267" s="93"/>
    </row>
    <row r="268" ht="14.5" spans="1:51">
      <c r="A268" s="91"/>
      <c r="B268" s="95"/>
      <c r="C268" s="163" t="s">
        <v>260</v>
      </c>
      <c r="D268" s="153" t="s">
        <v>25</v>
      </c>
      <c r="E268" s="130" t="s">
        <v>261</v>
      </c>
      <c r="F268" s="164" t="s">
        <v>292</v>
      </c>
      <c r="G268" s="164" t="s">
        <v>292</v>
      </c>
      <c r="H268" s="164" t="s">
        <v>292</v>
      </c>
      <c r="I268" s="164" t="s">
        <v>292</v>
      </c>
      <c r="J268" s="132">
        <v>0.9</v>
      </c>
      <c r="K268" s="133">
        <v>0.965116279069767</v>
      </c>
      <c r="L268" s="133">
        <v>0.895833333333333</v>
      </c>
      <c r="M268" s="134">
        <v>0.885714285714286</v>
      </c>
      <c r="N268" s="133">
        <v>0.919520547945205</v>
      </c>
      <c r="O268" s="135">
        <v>0.9</v>
      </c>
      <c r="P268" s="133">
        <v>0.923030667468431</v>
      </c>
      <c r="Q268" s="133">
        <v>0.991057542768274</v>
      </c>
      <c r="R268" s="133">
        <v>0.994573158004592</v>
      </c>
      <c r="S268" s="133">
        <v>0.98634121370067</v>
      </c>
      <c r="T268" s="135">
        <v>0.9</v>
      </c>
      <c r="U268" s="133">
        <v>0.898677089597114</v>
      </c>
      <c r="V268" s="133">
        <v>0.956648522550544</v>
      </c>
      <c r="W268" s="133">
        <v>0.970778543101649</v>
      </c>
      <c r="X268" s="133">
        <v>0.958116157855547</v>
      </c>
      <c r="Y268" s="135">
        <v>0.92</v>
      </c>
      <c r="Z268" s="135">
        <v>0.912312312312312</v>
      </c>
      <c r="AA268" s="135">
        <v>0.96542930008501</v>
      </c>
      <c r="AB268" s="135">
        <v>0.973662323260327</v>
      </c>
      <c r="AC268" s="135">
        <v>0.969214618091023</v>
      </c>
      <c r="AD268" s="135">
        <v>0.92</v>
      </c>
      <c r="AE268" s="133">
        <v>0.75</v>
      </c>
      <c r="AF268" s="133">
        <v>0.902042954426401</v>
      </c>
      <c r="AG268" s="133">
        <v>0.96269202633504</v>
      </c>
      <c r="AH268" s="133">
        <v>0.952426297685446</v>
      </c>
      <c r="AI268" s="135">
        <v>0.92</v>
      </c>
      <c r="AJ268" s="133">
        <v>0.952524038461538</v>
      </c>
      <c r="AK268" s="133">
        <v>0.978784734232676</v>
      </c>
      <c r="AL268" s="133">
        <v>0.984043819957133</v>
      </c>
      <c r="AM268" s="133">
        <v>0.980818765779298</v>
      </c>
      <c r="AN268" s="132">
        <v>0.99</v>
      </c>
      <c r="AO268" s="137">
        <v>1</v>
      </c>
      <c r="AP268" s="137">
        <v>1</v>
      </c>
      <c r="AQ268" s="137">
        <v>1</v>
      </c>
      <c r="AR268" s="137">
        <v>0.999615088529638</v>
      </c>
      <c r="AS268" s="158">
        <v>0.0922287257019438</v>
      </c>
      <c r="AT268" s="141">
        <v>0.12</v>
      </c>
      <c r="AU268" s="141">
        <v>0</v>
      </c>
      <c r="AV268" s="141">
        <v>0.0714285714285714</v>
      </c>
      <c r="AW268" s="141">
        <v>0.063265306122449</v>
      </c>
      <c r="AX268" s="95"/>
      <c r="AY268" s="93"/>
    </row>
    <row r="269" ht="14.5" spans="1:51">
      <c r="A269" s="91"/>
      <c r="B269" s="95"/>
      <c r="C269" s="163" t="s">
        <v>260</v>
      </c>
      <c r="D269" s="153" t="s">
        <v>125</v>
      </c>
      <c r="E269" s="130" t="s">
        <v>261</v>
      </c>
      <c r="F269" s="164" t="s">
        <v>293</v>
      </c>
      <c r="G269" s="164" t="s">
        <v>293</v>
      </c>
      <c r="H269" s="164" t="s">
        <v>293</v>
      </c>
      <c r="I269" s="164" t="s">
        <v>293</v>
      </c>
      <c r="J269" s="132">
        <v>0.9</v>
      </c>
      <c r="K269" s="133" t="s">
        <v>35</v>
      </c>
      <c r="L269" s="133" t="s">
        <v>35</v>
      </c>
      <c r="M269" s="134" t="s">
        <v>35</v>
      </c>
      <c r="N269" s="133" t="s">
        <v>35</v>
      </c>
      <c r="O269" s="135">
        <v>0.9</v>
      </c>
      <c r="P269" s="133">
        <v>0.4</v>
      </c>
      <c r="Q269" s="133">
        <v>0.8</v>
      </c>
      <c r="R269" s="133">
        <v>0</v>
      </c>
      <c r="S269" s="133">
        <v>0.228571428571429</v>
      </c>
      <c r="T269" s="135">
        <v>0.9</v>
      </c>
      <c r="U269" s="133">
        <v>0.6</v>
      </c>
      <c r="V269" s="133">
        <v>0.6</v>
      </c>
      <c r="W269" s="133">
        <v>0</v>
      </c>
      <c r="X269" s="133">
        <v>0.542857142857143</v>
      </c>
      <c r="Y269" s="135">
        <v>0.92</v>
      </c>
      <c r="Z269" s="135">
        <v>0</v>
      </c>
      <c r="AA269" s="135">
        <v>0</v>
      </c>
      <c r="AB269" s="135">
        <v>0.5</v>
      </c>
      <c r="AC269" s="135">
        <v>0.333333333333333</v>
      </c>
      <c r="AD269" s="135">
        <v>0.92</v>
      </c>
      <c r="AE269" s="133">
        <v>0.996793064561601</v>
      </c>
      <c r="AF269" s="133">
        <v>0.998357137179046</v>
      </c>
      <c r="AG269" s="133">
        <v>0.997274041766421</v>
      </c>
      <c r="AH269" s="133">
        <v>0.9963354458733</v>
      </c>
      <c r="AI269" s="135">
        <v>0.92</v>
      </c>
      <c r="AJ269" s="133">
        <v>0.2</v>
      </c>
      <c r="AK269" s="133">
        <v>0.428571428571429</v>
      </c>
      <c r="AL269" s="133">
        <v>0.333333333333333</v>
      </c>
      <c r="AM269" s="133">
        <v>0.491803278688525</v>
      </c>
      <c r="AN269" s="132">
        <v>0.99</v>
      </c>
      <c r="AO269" s="137">
        <v>1</v>
      </c>
      <c r="AP269" s="137">
        <v>1</v>
      </c>
      <c r="AQ269" s="137">
        <v>1</v>
      </c>
      <c r="AR269" s="137">
        <v>1</v>
      </c>
      <c r="AS269" s="158">
        <v>0.0922287257019438</v>
      </c>
      <c r="AT269" s="141">
        <v>0</v>
      </c>
      <c r="AU269" s="141" t="s">
        <v>35</v>
      </c>
      <c r="AV269" s="141" t="s">
        <v>35</v>
      </c>
      <c r="AW269" s="141">
        <v>0</v>
      </c>
      <c r="AX269" s="95"/>
      <c r="AY269" s="93"/>
    </row>
    <row r="270" ht="14.5" spans="1:51">
      <c r="A270" s="91"/>
      <c r="B270" s="95"/>
      <c r="C270" s="163" t="s">
        <v>260</v>
      </c>
      <c r="D270" s="153" t="s">
        <v>25</v>
      </c>
      <c r="E270" s="130" t="s">
        <v>261</v>
      </c>
      <c r="F270" s="164" t="s">
        <v>294</v>
      </c>
      <c r="G270" s="164" t="s">
        <v>294</v>
      </c>
      <c r="H270" s="164" t="s">
        <v>294</v>
      </c>
      <c r="I270" s="164" t="s">
        <v>294</v>
      </c>
      <c r="J270" s="132">
        <v>0.9</v>
      </c>
      <c r="K270" s="133">
        <v>0.893617021276596</v>
      </c>
      <c r="L270" s="133">
        <v>0.907407407407407</v>
      </c>
      <c r="M270" s="134">
        <v>0.882352941176471</v>
      </c>
      <c r="N270" s="133">
        <v>0.886248736097068</v>
      </c>
      <c r="O270" s="135">
        <v>0.9</v>
      </c>
      <c r="P270" s="133">
        <v>0.966236120552912</v>
      </c>
      <c r="Q270" s="133">
        <v>0.963857206339802</v>
      </c>
      <c r="R270" s="133">
        <v>0.962453806356245</v>
      </c>
      <c r="S270" s="133">
        <v>0.917911089701683</v>
      </c>
      <c r="T270" s="135">
        <v>0.9</v>
      </c>
      <c r="U270" s="133">
        <v>0.949694085656016</v>
      </c>
      <c r="V270" s="133">
        <v>0.923863131387943</v>
      </c>
      <c r="W270" s="133">
        <v>0.926533628972653</v>
      </c>
      <c r="X270" s="133">
        <v>0.926194818153666</v>
      </c>
      <c r="Y270" s="135">
        <v>0.92</v>
      </c>
      <c r="Z270" s="135">
        <v>0.956186807896004</v>
      </c>
      <c r="AA270" s="135">
        <v>0.968736335811106</v>
      </c>
      <c r="AB270" s="135">
        <v>0.979995743775271</v>
      </c>
      <c r="AC270" s="135">
        <v>0.974700443910417</v>
      </c>
      <c r="AD270" s="135">
        <v>0.92</v>
      </c>
      <c r="AE270" s="133">
        <v>0.871794871794872</v>
      </c>
      <c r="AF270" s="133">
        <v>0.957356678904264</v>
      </c>
      <c r="AG270" s="133">
        <v>0.950136612021858</v>
      </c>
      <c r="AH270" s="133">
        <v>0.943978953418964</v>
      </c>
      <c r="AI270" s="135">
        <v>0.92</v>
      </c>
      <c r="AJ270" s="133">
        <v>0.976582961022955</v>
      </c>
      <c r="AK270" s="133">
        <v>0.979162987815645</v>
      </c>
      <c r="AL270" s="133">
        <v>0.983340601831662</v>
      </c>
      <c r="AM270" s="133">
        <v>0.984192119827515</v>
      </c>
      <c r="AN270" s="132">
        <v>0.99</v>
      </c>
      <c r="AO270" s="137">
        <v>1</v>
      </c>
      <c r="AP270" s="137">
        <v>1</v>
      </c>
      <c r="AQ270" s="137">
        <v>1</v>
      </c>
      <c r="AR270" s="137">
        <v>1</v>
      </c>
      <c r="AS270" s="158">
        <v>0.0922287257019438</v>
      </c>
      <c r="AT270" s="141">
        <v>0.0714285714285714</v>
      </c>
      <c r="AU270" s="141">
        <v>0.142857142857143</v>
      </c>
      <c r="AV270" s="141">
        <v>0.0416666666666667</v>
      </c>
      <c r="AW270" s="141">
        <v>0.0691358024691358</v>
      </c>
      <c r="AX270" s="95"/>
      <c r="AY270" s="93"/>
    </row>
    <row r="271" ht="14.5" spans="1:51">
      <c r="A271" s="91"/>
      <c r="B271" s="95"/>
      <c r="C271" s="163" t="s">
        <v>260</v>
      </c>
      <c r="D271" s="153" t="s">
        <v>25</v>
      </c>
      <c r="E271" s="130" t="s">
        <v>261</v>
      </c>
      <c r="F271" s="164" t="s">
        <v>295</v>
      </c>
      <c r="G271" s="164" t="s">
        <v>295</v>
      </c>
      <c r="H271" s="164" t="s">
        <v>295</v>
      </c>
      <c r="I271" s="164" t="s">
        <v>295</v>
      </c>
      <c r="J271" s="132">
        <v>0.9</v>
      </c>
      <c r="K271" s="133">
        <v>0.981481481481482</v>
      </c>
      <c r="L271" s="133">
        <v>0.9609375</v>
      </c>
      <c r="M271" s="134">
        <v>0.955223880597015</v>
      </c>
      <c r="N271" s="133">
        <v>0.961416250567408</v>
      </c>
      <c r="O271" s="135">
        <v>0.9</v>
      </c>
      <c r="P271" s="133">
        <v>0.974541370273306</v>
      </c>
      <c r="Q271" s="133">
        <v>0.979730564825114</v>
      </c>
      <c r="R271" s="133">
        <v>0.975738916256158</v>
      </c>
      <c r="S271" s="133">
        <v>0.974873094654796</v>
      </c>
      <c r="T271" s="135">
        <v>0.9</v>
      </c>
      <c r="U271" s="133">
        <v>0.930924747285661</v>
      </c>
      <c r="V271" s="133">
        <v>0.950562353231986</v>
      </c>
      <c r="W271" s="133">
        <v>0.951354679802956</v>
      </c>
      <c r="X271" s="133">
        <v>0.946286739009185</v>
      </c>
      <c r="Y271" s="135">
        <v>0.92</v>
      </c>
      <c r="Z271" s="135">
        <v>0.96744739976181</v>
      </c>
      <c r="AA271" s="135">
        <v>0.987061994609164</v>
      </c>
      <c r="AB271" s="135">
        <v>0.990864371047084</v>
      </c>
      <c r="AC271" s="135">
        <v>0.990170162815079</v>
      </c>
      <c r="AD271" s="135">
        <v>0.92</v>
      </c>
      <c r="AE271" s="133">
        <v>0.99741935483871</v>
      </c>
      <c r="AF271" s="133">
        <v>0.998162890385793</v>
      </c>
      <c r="AG271" s="133">
        <v>0.997755560089778</v>
      </c>
      <c r="AH271" s="133">
        <v>0.995251532768957</v>
      </c>
      <c r="AI271" s="135">
        <v>0.92</v>
      </c>
      <c r="AJ271" s="133">
        <v>0.977879481311976</v>
      </c>
      <c r="AK271" s="133">
        <v>0.992311072056239</v>
      </c>
      <c r="AL271" s="133">
        <v>0.994787141615986</v>
      </c>
      <c r="AM271" s="133">
        <v>0.993540286343786</v>
      </c>
      <c r="AN271" s="132">
        <v>0.99</v>
      </c>
      <c r="AO271" s="137">
        <v>1</v>
      </c>
      <c r="AP271" s="137">
        <v>1</v>
      </c>
      <c r="AQ271" s="137">
        <v>1</v>
      </c>
      <c r="AR271" s="137">
        <v>1</v>
      </c>
      <c r="AS271" s="158">
        <v>0.0922287257019438</v>
      </c>
      <c r="AT271" s="141">
        <v>0.1</v>
      </c>
      <c r="AU271" s="141">
        <v>0.0731707317073171</v>
      </c>
      <c r="AV271" s="141">
        <v>0.0384615384615385</v>
      </c>
      <c r="AW271" s="141">
        <v>0.0964912280701754</v>
      </c>
      <c r="AX271" s="95"/>
      <c r="AY271" s="93"/>
    </row>
    <row r="272" ht="14.5" spans="1:51">
      <c r="A272" s="91"/>
      <c r="B272" s="95"/>
      <c r="C272" s="163" t="s">
        <v>260</v>
      </c>
      <c r="D272" s="153" t="s">
        <v>25</v>
      </c>
      <c r="E272" s="130" t="s">
        <v>261</v>
      </c>
      <c r="F272" s="164" t="s">
        <v>296</v>
      </c>
      <c r="G272" s="164" t="s">
        <v>296</v>
      </c>
      <c r="H272" s="164" t="s">
        <v>296</v>
      </c>
      <c r="I272" s="164" t="s">
        <v>296</v>
      </c>
      <c r="J272" s="132">
        <v>0.9</v>
      </c>
      <c r="K272" s="133">
        <v>0.928057553956835</v>
      </c>
      <c r="L272" s="133">
        <v>0.947368421052632</v>
      </c>
      <c r="M272" s="134">
        <v>0.933333333333333</v>
      </c>
      <c r="N272" s="133">
        <v>0.972665148063781</v>
      </c>
      <c r="O272" s="135">
        <v>0.9</v>
      </c>
      <c r="P272" s="133">
        <v>0.96737660581474</v>
      </c>
      <c r="Q272" s="133">
        <v>0.973833902161547</v>
      </c>
      <c r="R272" s="133">
        <v>0.97506689369983</v>
      </c>
      <c r="S272" s="133">
        <v>0.974549394979231</v>
      </c>
      <c r="T272" s="135">
        <v>0.9</v>
      </c>
      <c r="U272" s="133">
        <v>0.939317106152806</v>
      </c>
      <c r="V272" s="133">
        <v>0.935153583617747</v>
      </c>
      <c r="W272" s="133">
        <v>0.951471661396254</v>
      </c>
      <c r="X272" s="133">
        <v>0.951302149178255</v>
      </c>
      <c r="Y272" s="135">
        <v>0.92</v>
      </c>
      <c r="Z272" s="135">
        <v>0.979348967448372</v>
      </c>
      <c r="AA272" s="135">
        <v>0.991577583414318</v>
      </c>
      <c r="AB272" s="135">
        <v>0.995962532299742</v>
      </c>
      <c r="AC272" s="135">
        <v>0.992061343370916</v>
      </c>
      <c r="AD272" s="135">
        <v>0.92</v>
      </c>
      <c r="AE272" s="133">
        <v>1</v>
      </c>
      <c r="AF272" s="133">
        <v>0.999014778325123</v>
      </c>
      <c r="AG272" s="133">
        <v>0.998976109215017</v>
      </c>
      <c r="AH272" s="133">
        <v>0.99149852903704</v>
      </c>
      <c r="AI272" s="135">
        <v>0.92</v>
      </c>
      <c r="AJ272" s="133">
        <v>0.986666666666667</v>
      </c>
      <c r="AK272" s="133">
        <v>0.995389857686911</v>
      </c>
      <c r="AL272" s="133">
        <v>0.997364039955605</v>
      </c>
      <c r="AM272" s="133">
        <v>0.99533125921592</v>
      </c>
      <c r="AN272" s="132">
        <v>0.99</v>
      </c>
      <c r="AO272" s="137">
        <v>1</v>
      </c>
      <c r="AP272" s="137">
        <v>1</v>
      </c>
      <c r="AQ272" s="137">
        <v>1</v>
      </c>
      <c r="AR272" s="137">
        <v>1</v>
      </c>
      <c r="AS272" s="158">
        <v>0.0922287257019438</v>
      </c>
      <c r="AT272" s="141">
        <v>0</v>
      </c>
      <c r="AU272" s="141">
        <v>0.0434782608695652</v>
      </c>
      <c r="AV272" s="141">
        <v>0</v>
      </c>
      <c r="AW272" s="141">
        <v>0.0930735930735931</v>
      </c>
      <c r="AX272" s="95"/>
      <c r="AY272" s="93"/>
    </row>
    <row r="273" ht="14.5" spans="1:51">
      <c r="A273" s="91"/>
      <c r="B273" s="95"/>
      <c r="C273" s="163" t="s">
        <v>260</v>
      </c>
      <c r="D273" s="153" t="s">
        <v>25</v>
      </c>
      <c r="E273" s="130" t="s">
        <v>261</v>
      </c>
      <c r="F273" s="164" t="s">
        <v>297</v>
      </c>
      <c r="G273" s="164" t="s">
        <v>297</v>
      </c>
      <c r="H273" s="164" t="s">
        <v>297</v>
      </c>
      <c r="I273" s="164" t="s">
        <v>297</v>
      </c>
      <c r="J273" s="132">
        <v>0.9</v>
      </c>
      <c r="K273" s="133">
        <v>1</v>
      </c>
      <c r="L273" s="133">
        <v>0.941747572815534</v>
      </c>
      <c r="M273" s="134">
        <v>0.982608695652174</v>
      </c>
      <c r="N273" s="133">
        <v>0.971776425013835</v>
      </c>
      <c r="O273" s="135">
        <v>0.9</v>
      </c>
      <c r="P273" s="133">
        <v>0.982370433305013</v>
      </c>
      <c r="Q273" s="133">
        <v>0.982328767123288</v>
      </c>
      <c r="R273" s="133">
        <v>0.983349935961292</v>
      </c>
      <c r="S273" s="133">
        <v>0.978166150271108</v>
      </c>
      <c r="T273" s="135">
        <v>0.9</v>
      </c>
      <c r="U273" s="133">
        <v>0.981308411214953</v>
      </c>
      <c r="V273" s="133">
        <v>0.979178082191781</v>
      </c>
      <c r="W273" s="133">
        <v>0.978511455813292</v>
      </c>
      <c r="X273" s="133">
        <v>0.971783823909114</v>
      </c>
      <c r="Y273" s="135">
        <v>0.92</v>
      </c>
      <c r="Z273" s="135">
        <v>0.986042323277803</v>
      </c>
      <c r="AA273" s="135">
        <v>0.997411561691113</v>
      </c>
      <c r="AB273" s="135">
        <v>0.996573386636208</v>
      </c>
      <c r="AC273" s="135">
        <v>0.996019643318687</v>
      </c>
      <c r="AD273" s="135">
        <v>0.92</v>
      </c>
      <c r="AE273" s="133">
        <v>0.994339622641509</v>
      </c>
      <c r="AF273" s="133">
        <v>0.993821201004055</v>
      </c>
      <c r="AG273" s="133">
        <v>0.991592222806096</v>
      </c>
      <c r="AH273" s="133">
        <v>0.987970055794552</v>
      </c>
      <c r="AI273" s="135">
        <v>0.92</v>
      </c>
      <c r="AJ273" s="133">
        <v>0.990774109845755</v>
      </c>
      <c r="AK273" s="133">
        <v>0.997738125157075</v>
      </c>
      <c r="AL273" s="133">
        <v>0.997720612178444</v>
      </c>
      <c r="AM273" s="133">
        <v>0.997349318978876</v>
      </c>
      <c r="AN273" s="132">
        <v>0.99</v>
      </c>
      <c r="AO273" s="137">
        <v>1</v>
      </c>
      <c r="AP273" s="137">
        <v>1</v>
      </c>
      <c r="AQ273" s="137">
        <v>1</v>
      </c>
      <c r="AR273" s="137">
        <v>1</v>
      </c>
      <c r="AS273" s="158">
        <v>0.0922287257019438</v>
      </c>
      <c r="AT273" s="141">
        <v>0.148148148148148</v>
      </c>
      <c r="AU273" s="141">
        <v>0</v>
      </c>
      <c r="AV273" s="141">
        <v>0.0952380952380952</v>
      </c>
      <c r="AW273" s="141">
        <v>0.0907127429805616</v>
      </c>
      <c r="AX273" s="95"/>
      <c r="AY273" s="93"/>
    </row>
    <row r="274" ht="14.5" spans="1:51">
      <c r="A274" s="91"/>
      <c r="B274" s="95"/>
      <c r="C274" s="163" t="s">
        <v>260</v>
      </c>
      <c r="D274" s="153" t="s">
        <v>25</v>
      </c>
      <c r="E274" s="130" t="s">
        <v>261</v>
      </c>
      <c r="F274" s="164" t="s">
        <v>298</v>
      </c>
      <c r="G274" s="164" t="s">
        <v>298</v>
      </c>
      <c r="H274" s="164" t="s">
        <v>298</v>
      </c>
      <c r="I274" s="164" t="s">
        <v>298</v>
      </c>
      <c r="J274" s="132">
        <v>0.9</v>
      </c>
      <c r="K274" s="133">
        <v>0.973684210526316</v>
      </c>
      <c r="L274" s="133">
        <v>0.988888888888889</v>
      </c>
      <c r="M274" s="134">
        <v>0.98936170212766</v>
      </c>
      <c r="N274" s="133">
        <v>0.985667752442997</v>
      </c>
      <c r="O274" s="135">
        <v>0.9</v>
      </c>
      <c r="P274" s="133">
        <v>0.985746226942426</v>
      </c>
      <c r="Q274" s="133">
        <v>0.983524620510922</v>
      </c>
      <c r="R274" s="133">
        <v>0.986854638978853</v>
      </c>
      <c r="S274" s="133">
        <v>0.980389967167713</v>
      </c>
      <c r="T274" s="135">
        <v>0.9</v>
      </c>
      <c r="U274" s="133">
        <v>0.960033538289547</v>
      </c>
      <c r="V274" s="133">
        <v>0.968715290633099</v>
      </c>
      <c r="W274" s="133">
        <v>0.963802629072204</v>
      </c>
      <c r="X274" s="133">
        <v>0.963705804837737</v>
      </c>
      <c r="Y274" s="135">
        <v>0.92</v>
      </c>
      <c r="Z274" s="135">
        <v>0.971539456662354</v>
      </c>
      <c r="AA274" s="135">
        <v>0.990545050055617</v>
      </c>
      <c r="AB274" s="135">
        <v>0.991962305986696</v>
      </c>
      <c r="AC274" s="135">
        <v>0.991296007329678</v>
      </c>
      <c r="AD274" s="135">
        <v>0.92</v>
      </c>
      <c r="AE274" s="133">
        <v>0.994327850255247</v>
      </c>
      <c r="AF274" s="133">
        <v>0.989439480097482</v>
      </c>
      <c r="AG274" s="133">
        <v>0.997125748502994</v>
      </c>
      <c r="AH274" s="133">
        <v>0.99346201369978</v>
      </c>
      <c r="AI274" s="135">
        <v>0.92</v>
      </c>
      <c r="AJ274" s="133">
        <v>0.985365853658537</v>
      </c>
      <c r="AK274" s="133">
        <v>0.993442987330518</v>
      </c>
      <c r="AL274" s="133">
        <v>0.995370893078921</v>
      </c>
      <c r="AM274" s="133">
        <v>0.99420435300759</v>
      </c>
      <c r="AN274" s="132">
        <v>0.99</v>
      </c>
      <c r="AO274" s="137">
        <v>1</v>
      </c>
      <c r="AP274" s="137">
        <v>1</v>
      </c>
      <c r="AQ274" s="137">
        <v>1</v>
      </c>
      <c r="AR274" s="137">
        <v>1</v>
      </c>
      <c r="AS274" s="158">
        <v>0.0922287257019438</v>
      </c>
      <c r="AT274" s="141">
        <v>0</v>
      </c>
      <c r="AU274" s="141">
        <v>0.117647058823529</v>
      </c>
      <c r="AV274" s="141">
        <v>0.235294117647059</v>
      </c>
      <c r="AW274" s="141">
        <v>0.0916666666666667</v>
      </c>
      <c r="AX274" s="95"/>
      <c r="AY274" s="93"/>
    </row>
    <row r="275" ht="14.5" spans="1:51">
      <c r="A275" s="91"/>
      <c r="B275" s="95"/>
      <c r="C275" s="163" t="s">
        <v>260</v>
      </c>
      <c r="D275" s="153" t="s">
        <v>25</v>
      </c>
      <c r="E275" s="130" t="s">
        <v>261</v>
      </c>
      <c r="F275" s="164" t="s">
        <v>299</v>
      </c>
      <c r="G275" s="164" t="s">
        <v>299</v>
      </c>
      <c r="H275" s="164" t="s">
        <v>299</v>
      </c>
      <c r="I275" s="164" t="s">
        <v>299</v>
      </c>
      <c r="J275" s="132">
        <v>0.9</v>
      </c>
      <c r="K275" s="133">
        <v>0.884057971014493</v>
      </c>
      <c r="L275" s="133">
        <v>0.925</v>
      </c>
      <c r="M275" s="134">
        <v>0.91025641025641</v>
      </c>
      <c r="N275" s="133">
        <v>0.93955223880597</v>
      </c>
      <c r="O275" s="135">
        <v>0.9</v>
      </c>
      <c r="P275" s="133">
        <v>0.986434108527132</v>
      </c>
      <c r="Q275" s="133">
        <v>0.988690625785373</v>
      </c>
      <c r="R275" s="133">
        <v>0.963449457452884</v>
      </c>
      <c r="S275" s="133">
        <v>0.980858257477243</v>
      </c>
      <c r="T275" s="135">
        <v>0.9</v>
      </c>
      <c r="U275" s="133">
        <v>0.957364341085271</v>
      </c>
      <c r="V275" s="133">
        <v>0.961548127670269</v>
      </c>
      <c r="W275" s="133">
        <v>0.954311821816105</v>
      </c>
      <c r="X275" s="133">
        <v>0.959913307325531</v>
      </c>
      <c r="Y275" s="135">
        <v>0.92</v>
      </c>
      <c r="Z275" s="135">
        <v>0.975020145044319</v>
      </c>
      <c r="AA275" s="135">
        <v>0.989484752891693</v>
      </c>
      <c r="AB275" s="135">
        <v>0.993721660272061</v>
      </c>
      <c r="AC275" s="135">
        <v>0.989928994323615</v>
      </c>
      <c r="AD275" s="135">
        <v>0.92</v>
      </c>
      <c r="AE275" s="133">
        <v>1</v>
      </c>
      <c r="AF275" s="133">
        <v>0.9957805907173</v>
      </c>
      <c r="AG275" s="133">
        <v>0.99866844207723</v>
      </c>
      <c r="AH275" s="133">
        <v>0.987694187467272</v>
      </c>
      <c r="AI275" s="135">
        <v>0.92</v>
      </c>
      <c r="AJ275" s="133">
        <v>0.983790849673203</v>
      </c>
      <c r="AK275" s="133">
        <v>0.993413348946136</v>
      </c>
      <c r="AL275" s="133">
        <v>0.994347621290626</v>
      </c>
      <c r="AM275" s="133">
        <v>0.993588603625949</v>
      </c>
      <c r="AN275" s="132">
        <v>0.99</v>
      </c>
      <c r="AO275" s="137">
        <v>1</v>
      </c>
      <c r="AP275" s="137">
        <v>1</v>
      </c>
      <c r="AQ275" s="137">
        <v>1</v>
      </c>
      <c r="AR275" s="137">
        <v>1</v>
      </c>
      <c r="AS275" s="158">
        <v>0.0922287257019438</v>
      </c>
      <c r="AT275" s="141">
        <v>0.142857142857143</v>
      </c>
      <c r="AU275" s="141">
        <v>0.0909090909090909</v>
      </c>
      <c r="AV275" s="141">
        <v>0</v>
      </c>
      <c r="AW275" s="141">
        <v>0.0994152046783626</v>
      </c>
      <c r="AX275" s="95"/>
      <c r="AY275" s="93"/>
    </row>
    <row r="276" ht="14.5" spans="1:51">
      <c r="A276" s="91"/>
      <c r="B276" s="95"/>
      <c r="C276" s="163" t="s">
        <v>260</v>
      </c>
      <c r="D276" s="153" t="s">
        <v>25</v>
      </c>
      <c r="E276" s="130" t="s">
        <v>261</v>
      </c>
      <c r="F276" s="164" t="s">
        <v>300</v>
      </c>
      <c r="G276" s="164" t="s">
        <v>300</v>
      </c>
      <c r="H276" s="164" t="s">
        <v>300</v>
      </c>
      <c r="I276" s="164" t="s">
        <v>300</v>
      </c>
      <c r="J276" s="132">
        <v>0.9</v>
      </c>
      <c r="K276" s="133">
        <v>0.805084745762712</v>
      </c>
      <c r="L276" s="133">
        <v>0.861538461538462</v>
      </c>
      <c r="M276" s="134">
        <v>0.910344827586207</v>
      </c>
      <c r="N276" s="133">
        <v>0.906105263157895</v>
      </c>
      <c r="O276" s="135">
        <v>0.9</v>
      </c>
      <c r="P276" s="133">
        <v>0.966464442197506</v>
      </c>
      <c r="Q276" s="133">
        <v>0.93640112871717</v>
      </c>
      <c r="R276" s="133">
        <v>0.953975351728651</v>
      </c>
      <c r="S276" s="133">
        <v>0.872114769118773</v>
      </c>
      <c r="T276" s="135">
        <v>0.9</v>
      </c>
      <c r="U276" s="133">
        <v>0.936636332996293</v>
      </c>
      <c r="V276" s="133">
        <v>0.92609073149555</v>
      </c>
      <c r="W276" s="133">
        <v>0.936525248118661</v>
      </c>
      <c r="X276" s="133">
        <v>0.921886962961104</v>
      </c>
      <c r="Y276" s="135">
        <v>0.92</v>
      </c>
      <c r="Z276" s="135">
        <v>0.958333333333333</v>
      </c>
      <c r="AA276" s="135">
        <v>0.976075786769428</v>
      </c>
      <c r="AB276" s="135">
        <v>0.980195003046923</v>
      </c>
      <c r="AC276" s="135">
        <v>0.983753160408278</v>
      </c>
      <c r="AD276" s="135">
        <v>0.92</v>
      </c>
      <c r="AE276" s="133">
        <v>0.985714285714286</v>
      </c>
      <c r="AF276" s="133">
        <v>0.987887212073074</v>
      </c>
      <c r="AG276" s="133">
        <v>0.967995508141493</v>
      </c>
      <c r="AH276" s="133">
        <v>0.944200782917218</v>
      </c>
      <c r="AI276" s="135">
        <v>0.92</v>
      </c>
      <c r="AJ276" s="133">
        <v>0.971606334841629</v>
      </c>
      <c r="AK276" s="133">
        <v>0.983358155798744</v>
      </c>
      <c r="AL276" s="133">
        <v>0.988052872394509</v>
      </c>
      <c r="AM276" s="133">
        <v>0.98870962133593</v>
      </c>
      <c r="AN276" s="132">
        <v>0.99</v>
      </c>
      <c r="AO276" s="137">
        <v>1</v>
      </c>
      <c r="AP276" s="137">
        <v>1</v>
      </c>
      <c r="AQ276" s="137">
        <v>1</v>
      </c>
      <c r="AR276" s="137">
        <v>1</v>
      </c>
      <c r="AS276" s="158">
        <v>0.0922287257019438</v>
      </c>
      <c r="AT276" s="141">
        <v>0.032258064516129</v>
      </c>
      <c r="AU276" s="141">
        <v>0.0943396226415094</v>
      </c>
      <c r="AV276" s="141">
        <v>0.119047619047619</v>
      </c>
      <c r="AW276" s="141">
        <v>0.0766666666666667</v>
      </c>
      <c r="AX276" s="95"/>
      <c r="AY276" s="93"/>
    </row>
    <row r="277" ht="14.5" spans="1:51">
      <c r="A277" s="91"/>
      <c r="B277" s="95"/>
      <c r="C277" s="163" t="s">
        <v>260</v>
      </c>
      <c r="D277" s="153" t="s">
        <v>125</v>
      </c>
      <c r="E277" s="130" t="s">
        <v>261</v>
      </c>
      <c r="F277" s="164" t="s">
        <v>301</v>
      </c>
      <c r="G277" s="164" t="s">
        <v>301</v>
      </c>
      <c r="H277" s="164" t="s">
        <v>301</v>
      </c>
      <c r="I277" s="164" t="s">
        <v>301</v>
      </c>
      <c r="J277" s="132">
        <v>0.9</v>
      </c>
      <c r="K277" s="133" t="s">
        <v>35</v>
      </c>
      <c r="L277" s="133" t="s">
        <v>35</v>
      </c>
      <c r="M277" s="134" t="s">
        <v>35</v>
      </c>
      <c r="N277" s="133" t="s">
        <v>35</v>
      </c>
      <c r="O277" s="135">
        <v>0.9</v>
      </c>
      <c r="P277" s="133" t="s">
        <v>35</v>
      </c>
      <c r="Q277" s="133" t="s">
        <v>35</v>
      </c>
      <c r="R277" s="133" t="s">
        <v>35</v>
      </c>
      <c r="S277" s="133">
        <v>0</v>
      </c>
      <c r="T277" s="135">
        <v>0.9</v>
      </c>
      <c r="U277" s="133" t="s">
        <v>35</v>
      </c>
      <c r="V277" s="133" t="s">
        <v>35</v>
      </c>
      <c r="W277" s="133" t="s">
        <v>35</v>
      </c>
      <c r="X277" s="133">
        <v>1</v>
      </c>
      <c r="Y277" s="135">
        <v>0.92</v>
      </c>
      <c r="Z277" s="135" t="s">
        <v>35</v>
      </c>
      <c r="AA277" s="135" t="s">
        <v>35</v>
      </c>
      <c r="AB277" s="135" t="s">
        <v>35</v>
      </c>
      <c r="AC277" s="135" t="s">
        <v>35</v>
      </c>
      <c r="AD277" s="135">
        <v>0.92</v>
      </c>
      <c r="AE277" s="133">
        <v>0.958041958041958</v>
      </c>
      <c r="AF277" s="133">
        <v>0.960960960960961</v>
      </c>
      <c r="AG277" s="133">
        <v>0.996830427892235</v>
      </c>
      <c r="AH277" s="133">
        <v>0.910232558139535</v>
      </c>
      <c r="AI277" s="135">
        <v>0.92</v>
      </c>
      <c r="AJ277" s="133" t="s">
        <v>35</v>
      </c>
      <c r="AK277" s="133" t="s">
        <v>35</v>
      </c>
      <c r="AL277" s="133" t="s">
        <v>35</v>
      </c>
      <c r="AM277" s="133">
        <v>1</v>
      </c>
      <c r="AN277" s="132">
        <v>0.99</v>
      </c>
      <c r="AO277" s="137">
        <v>1</v>
      </c>
      <c r="AP277" s="137">
        <v>1</v>
      </c>
      <c r="AQ277" s="137">
        <v>1</v>
      </c>
      <c r="AR277" s="137">
        <v>1</v>
      </c>
      <c r="AS277" s="158">
        <v>0.0922287257019438</v>
      </c>
      <c r="AT277" s="141" t="s">
        <v>35</v>
      </c>
      <c r="AU277" s="141" t="s">
        <v>35</v>
      </c>
      <c r="AV277" s="141" t="s">
        <v>35</v>
      </c>
      <c r="AW277" s="141" t="s">
        <v>35</v>
      </c>
      <c r="AX277" s="95"/>
      <c r="AY277" s="93"/>
    </row>
    <row r="278" ht="14.5" spans="1:51">
      <c r="A278" s="91"/>
      <c r="B278" s="95"/>
      <c r="C278" s="163" t="s">
        <v>260</v>
      </c>
      <c r="D278" s="153" t="s">
        <v>125</v>
      </c>
      <c r="E278" s="130" t="s">
        <v>261</v>
      </c>
      <c r="F278" s="164" t="s">
        <v>302</v>
      </c>
      <c r="G278" s="164" t="s">
        <v>302</v>
      </c>
      <c r="H278" s="164" t="s">
        <v>302</v>
      </c>
      <c r="I278" s="164" t="s">
        <v>302</v>
      </c>
      <c r="J278" s="132">
        <v>0.9</v>
      </c>
      <c r="K278" s="133" t="s">
        <v>35</v>
      </c>
      <c r="L278" s="133" t="s">
        <v>35</v>
      </c>
      <c r="M278" s="134" t="s">
        <v>35</v>
      </c>
      <c r="N278" s="133" t="s">
        <v>35</v>
      </c>
      <c r="O278" s="135">
        <v>0.9</v>
      </c>
      <c r="P278" s="133" t="s">
        <v>35</v>
      </c>
      <c r="Q278" s="133" t="s">
        <v>35</v>
      </c>
      <c r="R278" s="133" t="s">
        <v>35</v>
      </c>
      <c r="S278" s="133" t="s">
        <v>35</v>
      </c>
      <c r="T278" s="135">
        <v>0.9</v>
      </c>
      <c r="U278" s="133" t="s">
        <v>35</v>
      </c>
      <c r="V278" s="133" t="s">
        <v>35</v>
      </c>
      <c r="W278" s="133" t="s">
        <v>35</v>
      </c>
      <c r="X278" s="133" t="s">
        <v>35</v>
      </c>
      <c r="Y278" s="135">
        <v>0.92</v>
      </c>
      <c r="Z278" s="135" t="s">
        <v>35</v>
      </c>
      <c r="AA278" s="135" t="s">
        <v>35</v>
      </c>
      <c r="AB278" s="135" t="s">
        <v>35</v>
      </c>
      <c r="AC278" s="135" t="s">
        <v>35</v>
      </c>
      <c r="AD278" s="135">
        <v>0.92</v>
      </c>
      <c r="AE278" s="133">
        <v>0.832512315270936</v>
      </c>
      <c r="AF278" s="133">
        <v>0.885553470919325</v>
      </c>
      <c r="AG278" s="133">
        <v>0.79</v>
      </c>
      <c r="AH278" s="133">
        <v>0.712805496114427</v>
      </c>
      <c r="AI278" s="135">
        <v>0.92</v>
      </c>
      <c r="AJ278" s="133" t="s">
        <v>35</v>
      </c>
      <c r="AK278" s="133" t="s">
        <v>35</v>
      </c>
      <c r="AL278" s="133" t="s">
        <v>35</v>
      </c>
      <c r="AM278" s="133" t="s">
        <v>35</v>
      </c>
      <c r="AN278" s="132">
        <v>0.99</v>
      </c>
      <c r="AO278" s="137" t="s">
        <v>35</v>
      </c>
      <c r="AP278" s="137" t="s">
        <v>35</v>
      </c>
      <c r="AQ278" s="137">
        <v>1</v>
      </c>
      <c r="AR278" s="137">
        <v>1</v>
      </c>
      <c r="AS278" s="158">
        <v>0.0922287257019438</v>
      </c>
      <c r="AT278" s="141" t="s">
        <v>35</v>
      </c>
      <c r="AU278" s="141" t="s">
        <v>35</v>
      </c>
      <c r="AV278" s="141" t="s">
        <v>35</v>
      </c>
      <c r="AW278" s="141" t="s">
        <v>35</v>
      </c>
      <c r="AX278" s="95"/>
      <c r="AY278" s="93"/>
    </row>
    <row r="279" ht="14.5" spans="1:51">
      <c r="A279" s="91"/>
      <c r="B279" s="95"/>
      <c r="C279" s="163" t="s">
        <v>260</v>
      </c>
      <c r="D279" s="153" t="s">
        <v>125</v>
      </c>
      <c r="E279" s="130" t="s">
        <v>261</v>
      </c>
      <c r="F279" s="164" t="s">
        <v>303</v>
      </c>
      <c r="G279" s="164" t="s">
        <v>303</v>
      </c>
      <c r="H279" s="164" t="s">
        <v>303</v>
      </c>
      <c r="I279" s="164" t="s">
        <v>303</v>
      </c>
      <c r="J279" s="132">
        <v>0.9</v>
      </c>
      <c r="K279" s="133" t="s">
        <v>35</v>
      </c>
      <c r="L279" s="133" t="s">
        <v>35</v>
      </c>
      <c r="M279" s="134" t="s">
        <v>35</v>
      </c>
      <c r="N279" s="133" t="s">
        <v>35</v>
      </c>
      <c r="O279" s="135">
        <v>0.9</v>
      </c>
      <c r="P279" s="133" t="s">
        <v>35</v>
      </c>
      <c r="Q279" s="133" t="s">
        <v>35</v>
      </c>
      <c r="R279" s="133" t="s">
        <v>35</v>
      </c>
      <c r="S279" s="133">
        <v>0</v>
      </c>
      <c r="T279" s="135">
        <v>0.9</v>
      </c>
      <c r="U279" s="133" t="s">
        <v>35</v>
      </c>
      <c r="V279" s="133" t="s">
        <v>35</v>
      </c>
      <c r="W279" s="133" t="s">
        <v>35</v>
      </c>
      <c r="X279" s="133">
        <v>1</v>
      </c>
      <c r="Y279" s="135">
        <v>0.92</v>
      </c>
      <c r="Z279" s="135" t="s">
        <v>35</v>
      </c>
      <c r="AA279" s="135" t="s">
        <v>35</v>
      </c>
      <c r="AB279" s="135" t="s">
        <v>35</v>
      </c>
      <c r="AC279" s="135" t="s">
        <v>35</v>
      </c>
      <c r="AD279" s="135">
        <v>0.92</v>
      </c>
      <c r="AE279" s="133">
        <v>1</v>
      </c>
      <c r="AF279" s="133">
        <v>0.992076069730586</v>
      </c>
      <c r="AG279" s="133">
        <v>0.993231810490694</v>
      </c>
      <c r="AH279" s="133">
        <v>0.928317184101246</v>
      </c>
      <c r="AI279" s="135">
        <v>0.92</v>
      </c>
      <c r="AJ279" s="133" t="s">
        <v>35</v>
      </c>
      <c r="AK279" s="133" t="s">
        <v>35</v>
      </c>
      <c r="AL279" s="133" t="s">
        <v>35</v>
      </c>
      <c r="AM279" s="133">
        <v>1</v>
      </c>
      <c r="AN279" s="132">
        <v>0.99</v>
      </c>
      <c r="AO279" s="137" t="s">
        <v>35</v>
      </c>
      <c r="AP279" s="137" t="s">
        <v>35</v>
      </c>
      <c r="AQ279" s="137">
        <v>1</v>
      </c>
      <c r="AR279" s="137">
        <v>1</v>
      </c>
      <c r="AS279" s="158">
        <v>0.0922287257019438</v>
      </c>
      <c r="AT279" s="141" t="s">
        <v>35</v>
      </c>
      <c r="AU279" s="141" t="s">
        <v>35</v>
      </c>
      <c r="AV279" s="141" t="s">
        <v>35</v>
      </c>
      <c r="AW279" s="141" t="s">
        <v>35</v>
      </c>
      <c r="AX279" s="95"/>
      <c r="AY279" s="93"/>
    </row>
    <row r="280" ht="14.5" spans="1:51">
      <c r="A280" s="91"/>
      <c r="B280" s="95"/>
      <c r="C280" s="163" t="s">
        <v>260</v>
      </c>
      <c r="D280" s="153" t="s">
        <v>125</v>
      </c>
      <c r="E280" s="130" t="s">
        <v>261</v>
      </c>
      <c r="F280" s="164" t="s">
        <v>304</v>
      </c>
      <c r="G280" s="164" t="s">
        <v>304</v>
      </c>
      <c r="H280" s="164" t="s">
        <v>304</v>
      </c>
      <c r="I280" s="164" t="s">
        <v>304</v>
      </c>
      <c r="J280" s="132">
        <v>0.9</v>
      </c>
      <c r="K280" s="133" t="s">
        <v>35</v>
      </c>
      <c r="L280" s="133" t="s">
        <v>35</v>
      </c>
      <c r="M280" s="134" t="s">
        <v>35</v>
      </c>
      <c r="N280" s="133" t="s">
        <v>35</v>
      </c>
      <c r="O280" s="135">
        <v>0.9</v>
      </c>
      <c r="P280" s="133" t="s">
        <v>35</v>
      </c>
      <c r="Q280" s="133">
        <v>0</v>
      </c>
      <c r="R280" s="133" t="s">
        <v>35</v>
      </c>
      <c r="S280" s="133">
        <v>0</v>
      </c>
      <c r="T280" s="135">
        <v>0.9</v>
      </c>
      <c r="U280" s="133" t="s">
        <v>35</v>
      </c>
      <c r="V280" s="133">
        <v>0</v>
      </c>
      <c r="W280" s="133" t="s">
        <v>35</v>
      </c>
      <c r="X280" s="133">
        <v>0</v>
      </c>
      <c r="Y280" s="135">
        <v>0.92</v>
      </c>
      <c r="Z280" s="135" t="s">
        <v>35</v>
      </c>
      <c r="AA280" s="135" t="s">
        <v>35</v>
      </c>
      <c r="AB280" s="135" t="s">
        <v>35</v>
      </c>
      <c r="AC280" s="135">
        <v>0</v>
      </c>
      <c r="AD280" s="135">
        <v>0.92</v>
      </c>
      <c r="AE280" s="133">
        <v>0.813559322033898</v>
      </c>
      <c r="AF280" s="133">
        <v>0.971830985915493</v>
      </c>
      <c r="AG280" s="133">
        <v>0.974554707379135</v>
      </c>
      <c r="AH280" s="133">
        <v>0.880970432145565</v>
      </c>
      <c r="AI280" s="135">
        <v>0.92</v>
      </c>
      <c r="AJ280" s="133" t="s">
        <v>35</v>
      </c>
      <c r="AK280" s="133">
        <v>0</v>
      </c>
      <c r="AL280" s="133" t="s">
        <v>35</v>
      </c>
      <c r="AM280" s="133">
        <v>0</v>
      </c>
      <c r="AN280" s="132">
        <v>0.99</v>
      </c>
      <c r="AO280" s="137" t="s">
        <v>35</v>
      </c>
      <c r="AP280" s="137" t="s">
        <v>35</v>
      </c>
      <c r="AQ280" s="137" t="s">
        <v>35</v>
      </c>
      <c r="AR280" s="137">
        <v>1</v>
      </c>
      <c r="AS280" s="158">
        <v>0.0922287257019438</v>
      </c>
      <c r="AT280" s="141" t="s">
        <v>35</v>
      </c>
      <c r="AU280" s="141" t="s">
        <v>35</v>
      </c>
      <c r="AV280" s="141" t="s">
        <v>35</v>
      </c>
      <c r="AW280" s="141" t="s">
        <v>35</v>
      </c>
      <c r="AX280" s="95"/>
      <c r="AY280" s="93"/>
    </row>
    <row r="281" ht="14.5" spans="1:51">
      <c r="A281" s="91"/>
      <c r="B281" s="95"/>
      <c r="C281" s="163" t="s">
        <v>260</v>
      </c>
      <c r="D281" s="153" t="s">
        <v>25</v>
      </c>
      <c r="E281" s="130" t="s">
        <v>261</v>
      </c>
      <c r="F281" s="164" t="s">
        <v>305</v>
      </c>
      <c r="G281" s="164" t="s">
        <v>305</v>
      </c>
      <c r="H281" s="164" t="s">
        <v>305</v>
      </c>
      <c r="I281" s="164" t="s">
        <v>305</v>
      </c>
      <c r="J281" s="132">
        <v>0.9</v>
      </c>
      <c r="K281" s="133">
        <v>0.857142857142857</v>
      </c>
      <c r="L281" s="133">
        <v>0.833333333333333</v>
      </c>
      <c r="M281" s="134">
        <v>0.866666666666667</v>
      </c>
      <c r="N281" s="133">
        <v>0.890977443609023</v>
      </c>
      <c r="O281" s="135">
        <v>0.9</v>
      </c>
      <c r="P281" s="133">
        <v>0.971153846153846</v>
      </c>
      <c r="Q281" s="133">
        <v>0.99180938198064</v>
      </c>
      <c r="R281" s="133">
        <v>0.992570579494799</v>
      </c>
      <c r="S281" s="133">
        <v>0.985360672393091</v>
      </c>
      <c r="T281" s="135">
        <v>0.9</v>
      </c>
      <c r="U281" s="133">
        <v>0.906730769230769</v>
      </c>
      <c r="V281" s="133">
        <v>0.889054355919583</v>
      </c>
      <c r="W281" s="133">
        <v>0.919762258543834</v>
      </c>
      <c r="X281" s="133">
        <v>0.918213724946892</v>
      </c>
      <c r="Y281" s="135">
        <v>0.92</v>
      </c>
      <c r="Z281" s="135">
        <v>0.964</v>
      </c>
      <c r="AA281" s="135">
        <v>0.979005524861878</v>
      </c>
      <c r="AB281" s="135">
        <v>0.985376827896513</v>
      </c>
      <c r="AC281" s="135">
        <v>0.983775988462925</v>
      </c>
      <c r="AD281" s="135">
        <v>0.92</v>
      </c>
      <c r="AE281" s="133">
        <v>0.9996998349092</v>
      </c>
      <c r="AF281" s="133">
        <v>0.998658045626449</v>
      </c>
      <c r="AG281" s="133">
        <v>0.998602096854718</v>
      </c>
      <c r="AH281" s="133">
        <v>0.963215151403619</v>
      </c>
      <c r="AI281" s="135">
        <v>0.92</v>
      </c>
      <c r="AJ281" s="133">
        <v>0.97012987012987</v>
      </c>
      <c r="AK281" s="133">
        <v>0.986216096042686</v>
      </c>
      <c r="AL281" s="133">
        <v>0.992393736017897</v>
      </c>
      <c r="AM281" s="133">
        <v>0.989008980785297</v>
      </c>
      <c r="AN281" s="132">
        <v>0.99</v>
      </c>
      <c r="AO281" s="137">
        <v>1</v>
      </c>
      <c r="AP281" s="137">
        <v>1</v>
      </c>
      <c r="AQ281" s="137">
        <v>1</v>
      </c>
      <c r="AR281" s="137">
        <v>1</v>
      </c>
      <c r="AS281" s="158">
        <v>0.0922287257019438</v>
      </c>
      <c r="AT281" s="141">
        <v>0</v>
      </c>
      <c r="AU281" s="141">
        <v>0</v>
      </c>
      <c r="AV281" s="141">
        <v>0</v>
      </c>
      <c r="AW281" s="141">
        <v>0.0813953488372093</v>
      </c>
      <c r="AX281" s="95"/>
      <c r="AY281" s="93"/>
    </row>
    <row r="282" ht="14.5" spans="1:51">
      <c r="A282" s="91"/>
      <c r="B282" s="95"/>
      <c r="C282" s="163" t="s">
        <v>260</v>
      </c>
      <c r="D282" s="153" t="s">
        <v>125</v>
      </c>
      <c r="E282" s="130" t="s">
        <v>261</v>
      </c>
      <c r="F282" s="164" t="s">
        <v>306</v>
      </c>
      <c r="G282" s="164" t="s">
        <v>306</v>
      </c>
      <c r="H282" s="164" t="s">
        <v>306</v>
      </c>
      <c r="I282" s="164" t="s">
        <v>306</v>
      </c>
      <c r="J282" s="132">
        <v>0.9</v>
      </c>
      <c r="K282" s="133" t="s">
        <v>35</v>
      </c>
      <c r="L282" s="133" t="s">
        <v>35</v>
      </c>
      <c r="M282" s="134" t="s">
        <v>35</v>
      </c>
      <c r="N282" s="133" t="s">
        <v>35</v>
      </c>
      <c r="O282" s="135">
        <v>0.9</v>
      </c>
      <c r="P282" s="133" t="s">
        <v>35</v>
      </c>
      <c r="Q282" s="133">
        <v>0</v>
      </c>
      <c r="R282" s="133">
        <v>0</v>
      </c>
      <c r="S282" s="133">
        <v>0</v>
      </c>
      <c r="T282" s="135">
        <v>0.9</v>
      </c>
      <c r="U282" s="133" t="s">
        <v>35</v>
      </c>
      <c r="V282" s="133">
        <v>0</v>
      </c>
      <c r="W282" s="133">
        <v>1</v>
      </c>
      <c r="X282" s="133">
        <v>0.8125</v>
      </c>
      <c r="Y282" s="135">
        <v>0.92</v>
      </c>
      <c r="Z282" s="135">
        <v>0</v>
      </c>
      <c r="AA282" s="135" t="s">
        <v>35</v>
      </c>
      <c r="AB282" s="135">
        <v>0</v>
      </c>
      <c r="AC282" s="135">
        <v>0.5</v>
      </c>
      <c r="AD282" s="135">
        <v>0.92</v>
      </c>
      <c r="AE282" s="133">
        <v>0.999095022624434</v>
      </c>
      <c r="AF282" s="133">
        <v>1</v>
      </c>
      <c r="AG282" s="133">
        <v>0.999629355077835</v>
      </c>
      <c r="AH282" s="133">
        <v>0.998061651972738</v>
      </c>
      <c r="AI282" s="135">
        <v>0.92</v>
      </c>
      <c r="AJ282" s="133">
        <v>0</v>
      </c>
      <c r="AK282" s="133">
        <v>0.5</v>
      </c>
      <c r="AL282" s="133">
        <v>0.928571428571429</v>
      </c>
      <c r="AM282" s="133">
        <v>0.82051282051282</v>
      </c>
      <c r="AN282" s="132">
        <v>0.99</v>
      </c>
      <c r="AO282" s="137">
        <v>1</v>
      </c>
      <c r="AP282" s="137">
        <v>1</v>
      </c>
      <c r="AQ282" s="137">
        <v>1</v>
      </c>
      <c r="AR282" s="137">
        <v>1</v>
      </c>
      <c r="AS282" s="158">
        <v>0.0922287257019438</v>
      </c>
      <c r="AT282" s="141" t="s">
        <v>35</v>
      </c>
      <c r="AU282" s="141" t="s">
        <v>35</v>
      </c>
      <c r="AV282" s="141" t="s">
        <v>35</v>
      </c>
      <c r="AW282" s="141" t="s">
        <v>35</v>
      </c>
      <c r="AX282" s="95"/>
      <c r="AY282" s="93"/>
    </row>
    <row r="283" s="86" customFormat="1" ht="14.5" spans="1:51">
      <c r="A283" s="91"/>
      <c r="B283" s="88"/>
      <c r="C283" s="163" t="s">
        <v>260</v>
      </c>
      <c r="D283" s="153" t="s">
        <v>25</v>
      </c>
      <c r="E283" s="130" t="s">
        <v>261</v>
      </c>
      <c r="F283" s="164" t="s">
        <v>307</v>
      </c>
      <c r="G283" s="164" t="s">
        <v>307</v>
      </c>
      <c r="H283" s="164" t="s">
        <v>307</v>
      </c>
      <c r="I283" s="164" t="s">
        <v>307</v>
      </c>
      <c r="J283" s="132">
        <v>0.9</v>
      </c>
      <c r="K283" s="133">
        <v>0.984732824427481</v>
      </c>
      <c r="L283" s="133">
        <v>0.993006993006993</v>
      </c>
      <c r="M283" s="134">
        <v>0.992857142857143</v>
      </c>
      <c r="N283" s="133">
        <v>0.981538461538462</v>
      </c>
      <c r="O283" s="135">
        <v>0.9</v>
      </c>
      <c r="P283" s="133">
        <v>0.971883033419023</v>
      </c>
      <c r="Q283" s="133">
        <v>0.931976551266453</v>
      </c>
      <c r="R283" s="133">
        <v>0.938647455263769</v>
      </c>
      <c r="S283" s="133">
        <v>0.933077461790918</v>
      </c>
      <c r="T283" s="135">
        <v>0.9</v>
      </c>
      <c r="U283" s="133">
        <v>0.920147814910026</v>
      </c>
      <c r="V283" s="133">
        <v>0.900785311359363</v>
      </c>
      <c r="W283" s="133">
        <v>0.889030908668371</v>
      </c>
      <c r="X283" s="133">
        <v>0.909479148071351</v>
      </c>
      <c r="Y283" s="135">
        <v>0.92</v>
      </c>
      <c r="Z283" s="135">
        <v>0.954662734979727</v>
      </c>
      <c r="AA283" s="135">
        <v>0.974898921832884</v>
      </c>
      <c r="AB283" s="135">
        <v>0.976266326855686</v>
      </c>
      <c r="AC283" s="135">
        <v>0.980059573791067</v>
      </c>
      <c r="AD283" s="135">
        <v>0.92</v>
      </c>
      <c r="AE283" s="133">
        <v>0.996079426862977</v>
      </c>
      <c r="AF283" s="133">
        <v>0.958372456964006</v>
      </c>
      <c r="AG283" s="133">
        <v>0.984129904779429</v>
      </c>
      <c r="AH283" s="133">
        <v>0.98744882618464</v>
      </c>
      <c r="AI283" s="135">
        <v>0.92</v>
      </c>
      <c r="AJ283" s="133">
        <v>0.976853404897685</v>
      </c>
      <c r="AK283" s="133">
        <v>0.983446802830063</v>
      </c>
      <c r="AL283" s="133">
        <v>0.984488315874295</v>
      </c>
      <c r="AM283" s="133">
        <v>0.987383287684992</v>
      </c>
      <c r="AN283" s="132">
        <v>0.99</v>
      </c>
      <c r="AO283" s="137">
        <v>1</v>
      </c>
      <c r="AP283" s="137">
        <v>1</v>
      </c>
      <c r="AQ283" s="137">
        <v>1</v>
      </c>
      <c r="AR283" s="137">
        <v>1</v>
      </c>
      <c r="AS283" s="158">
        <v>0.0922287257019438</v>
      </c>
      <c r="AT283" s="141">
        <v>0.0588235294117647</v>
      </c>
      <c r="AU283" s="141">
        <v>0.024390243902439</v>
      </c>
      <c r="AV283" s="141">
        <v>0</v>
      </c>
      <c r="AW283" s="141">
        <v>0.062992125984252</v>
      </c>
      <c r="AX283" s="88"/>
      <c r="AY283" s="93"/>
    </row>
    <row r="284" s="86" customFormat="1" ht="14.5" spans="1:51">
      <c r="A284" s="91"/>
      <c r="B284" s="88"/>
      <c r="C284" s="163" t="s">
        <v>260</v>
      </c>
      <c r="D284" s="153" t="s">
        <v>25</v>
      </c>
      <c r="E284" s="130" t="s">
        <v>261</v>
      </c>
      <c r="F284" s="164" t="s">
        <v>308</v>
      </c>
      <c r="G284" s="164" t="s">
        <v>308</v>
      </c>
      <c r="H284" s="164" t="s">
        <v>308</v>
      </c>
      <c r="I284" s="164" t="s">
        <v>308</v>
      </c>
      <c r="J284" s="132">
        <v>0.9</v>
      </c>
      <c r="K284" s="133">
        <v>0.979166666666667</v>
      </c>
      <c r="L284" s="133">
        <v>0.944444444444444</v>
      </c>
      <c r="M284" s="134">
        <v>0.924242424242424</v>
      </c>
      <c r="N284" s="133">
        <v>0.924882629107981</v>
      </c>
      <c r="O284" s="135">
        <v>0.9</v>
      </c>
      <c r="P284" s="133">
        <v>0.972049689440994</v>
      </c>
      <c r="Q284" s="133">
        <v>0.972843927185915</v>
      </c>
      <c r="R284" s="133">
        <v>0.933353168699792</v>
      </c>
      <c r="S284" s="133">
        <v>0.966593124055383</v>
      </c>
      <c r="T284" s="135">
        <v>0.9</v>
      </c>
      <c r="U284" s="133">
        <v>0.921916592724046</v>
      </c>
      <c r="V284" s="133">
        <v>0.917934944792599</v>
      </c>
      <c r="W284" s="133">
        <v>0.924427253793514</v>
      </c>
      <c r="X284" s="133">
        <v>0.929121136841374</v>
      </c>
      <c r="Y284" s="135">
        <v>0.92</v>
      </c>
      <c r="Z284" s="135">
        <v>0.966666666666667</v>
      </c>
      <c r="AA284" s="135">
        <v>0.984828201695672</v>
      </c>
      <c r="AB284" s="135">
        <v>0.988299206017551</v>
      </c>
      <c r="AC284" s="135">
        <v>0.991842919114137</v>
      </c>
      <c r="AD284" s="135">
        <v>0.92</v>
      </c>
      <c r="AE284" s="133">
        <v>0.992432432432432</v>
      </c>
      <c r="AF284" s="133">
        <v>0.996165827941529</v>
      </c>
      <c r="AG284" s="133">
        <v>0.996031746031746</v>
      </c>
      <c r="AH284" s="133">
        <v>0.988255633718851</v>
      </c>
      <c r="AI284" s="135">
        <v>0.92</v>
      </c>
      <c r="AJ284" s="133">
        <v>0.982903419316137</v>
      </c>
      <c r="AK284" s="133">
        <v>0.988914714822099</v>
      </c>
      <c r="AL284" s="133">
        <v>0.99149010072942</v>
      </c>
      <c r="AM284" s="133">
        <v>0.993797394149127</v>
      </c>
      <c r="AN284" s="132">
        <v>0.99</v>
      </c>
      <c r="AO284" s="137">
        <v>1</v>
      </c>
      <c r="AP284" s="137">
        <v>1</v>
      </c>
      <c r="AQ284" s="137">
        <v>1</v>
      </c>
      <c r="AR284" s="137">
        <v>1</v>
      </c>
      <c r="AS284" s="158">
        <v>0.0922287257019438</v>
      </c>
      <c r="AT284" s="141">
        <v>0.1</v>
      </c>
      <c r="AU284" s="141">
        <v>0</v>
      </c>
      <c r="AV284" s="141">
        <v>0</v>
      </c>
      <c r="AW284" s="141">
        <v>0.0521327014218009</v>
      </c>
      <c r="AX284" s="88"/>
      <c r="AY284" s="93"/>
    </row>
    <row r="285" s="86" customFormat="1" ht="14.5" spans="1:51">
      <c r="A285" s="91"/>
      <c r="B285" s="88"/>
      <c r="C285" s="163" t="s">
        <v>260</v>
      </c>
      <c r="D285" s="153" t="s">
        <v>25</v>
      </c>
      <c r="E285" s="130" t="s">
        <v>261</v>
      </c>
      <c r="F285" s="164" t="s">
        <v>309</v>
      </c>
      <c r="G285" s="164" t="s">
        <v>309</v>
      </c>
      <c r="H285" s="164" t="s">
        <v>309</v>
      </c>
      <c r="I285" s="164" t="s">
        <v>309</v>
      </c>
      <c r="J285" s="132">
        <v>0.9</v>
      </c>
      <c r="K285" s="133">
        <v>0.905263157894737</v>
      </c>
      <c r="L285" s="133">
        <v>0.928571428571429</v>
      </c>
      <c r="M285" s="134">
        <v>0.962616822429907</v>
      </c>
      <c r="N285" s="133">
        <v>0.925013109596224</v>
      </c>
      <c r="O285" s="135">
        <v>0.9</v>
      </c>
      <c r="P285" s="133">
        <v>0.973643807574207</v>
      </c>
      <c r="Q285" s="133">
        <v>0.961570316382309</v>
      </c>
      <c r="R285" s="133">
        <v>0.952115619014452</v>
      </c>
      <c r="S285" s="133">
        <v>0.941093857386177</v>
      </c>
      <c r="T285" s="135">
        <v>0.9</v>
      </c>
      <c r="U285" s="133">
        <v>0.922978505629478</v>
      </c>
      <c r="V285" s="133">
        <v>0.931754182540997</v>
      </c>
      <c r="W285" s="133">
        <v>0.927738115967265</v>
      </c>
      <c r="X285" s="133">
        <v>0.923991752741616</v>
      </c>
      <c r="Y285" s="135">
        <v>0.92</v>
      </c>
      <c r="Z285" s="135">
        <v>0.961477572559367</v>
      </c>
      <c r="AA285" s="135">
        <v>0.986301369863014</v>
      </c>
      <c r="AB285" s="135">
        <v>0.98835907768077</v>
      </c>
      <c r="AC285" s="135">
        <v>0.989039553436669</v>
      </c>
      <c r="AD285" s="135">
        <v>0.92</v>
      </c>
      <c r="AE285" s="133">
        <v>0.98705501618123</v>
      </c>
      <c r="AF285" s="133">
        <v>0.960074280408542</v>
      </c>
      <c r="AG285" s="133">
        <v>0.952401939180256</v>
      </c>
      <c r="AH285" s="133">
        <v>0.877234298094812</v>
      </c>
      <c r="AI285" s="135">
        <v>0.92</v>
      </c>
      <c r="AJ285" s="133">
        <v>0.978804066861968</v>
      </c>
      <c r="AK285" s="133">
        <v>0.991703703703704</v>
      </c>
      <c r="AL285" s="133">
        <v>0.992360430950049</v>
      </c>
      <c r="AM285" s="133">
        <v>0.99314286335755</v>
      </c>
      <c r="AN285" s="132">
        <v>0.99</v>
      </c>
      <c r="AO285" s="137">
        <v>1</v>
      </c>
      <c r="AP285" s="137">
        <v>1</v>
      </c>
      <c r="AQ285" s="137">
        <v>1</v>
      </c>
      <c r="AR285" s="137">
        <v>1</v>
      </c>
      <c r="AS285" s="158">
        <v>0.0922287257019438</v>
      </c>
      <c r="AT285" s="141">
        <v>0.416666666666667</v>
      </c>
      <c r="AU285" s="141">
        <v>0</v>
      </c>
      <c r="AV285" s="141">
        <v>0.0666666666666667</v>
      </c>
      <c r="AW285" s="141">
        <v>0.104815864022663</v>
      </c>
      <c r="AX285" s="88"/>
      <c r="AY285" s="93"/>
    </row>
    <row r="286" s="86" customFormat="1" ht="14.5" spans="1:51">
      <c r="A286" s="91"/>
      <c r="B286" s="88"/>
      <c r="C286" s="163" t="s">
        <v>260</v>
      </c>
      <c r="D286" s="153" t="s">
        <v>25</v>
      </c>
      <c r="E286" s="130" t="s">
        <v>261</v>
      </c>
      <c r="F286" s="164" t="s">
        <v>310</v>
      </c>
      <c r="G286" s="164" t="s">
        <v>310</v>
      </c>
      <c r="H286" s="164" t="s">
        <v>310</v>
      </c>
      <c r="I286" s="164" t="s">
        <v>310</v>
      </c>
      <c r="J286" s="132">
        <v>0.9</v>
      </c>
      <c r="K286" s="133">
        <v>0.846153846153846</v>
      </c>
      <c r="L286" s="133">
        <v>0.822916666666667</v>
      </c>
      <c r="M286" s="134">
        <v>0.828282828282828</v>
      </c>
      <c r="N286" s="133">
        <v>0.88370720188902</v>
      </c>
      <c r="O286" s="135">
        <v>0.9</v>
      </c>
      <c r="P286" s="133">
        <v>0.923798692067103</v>
      </c>
      <c r="Q286" s="133">
        <v>0.870075894470546</v>
      </c>
      <c r="R286" s="133">
        <v>0.919010760808004</v>
      </c>
      <c r="S286" s="133">
        <v>0.914061983744135</v>
      </c>
      <c r="T286" s="135">
        <v>0.9</v>
      </c>
      <c r="U286" s="133">
        <v>0.909013363662212</v>
      </c>
      <c r="V286" s="133">
        <v>0.921575713769425</v>
      </c>
      <c r="W286" s="133">
        <v>0.932792146498018</v>
      </c>
      <c r="X286" s="133">
        <v>0.929778188946893</v>
      </c>
      <c r="Y286" s="135">
        <v>0.92</v>
      </c>
      <c r="Z286" s="135">
        <v>0.916878172588833</v>
      </c>
      <c r="AA286" s="135">
        <v>0.953070528291767</v>
      </c>
      <c r="AB286" s="135">
        <v>0.966494210396649</v>
      </c>
      <c r="AC286" s="135">
        <v>0.969970297299507</v>
      </c>
      <c r="AD286" s="135">
        <v>0.92</v>
      </c>
      <c r="AE286" s="133">
        <v>0.734177215189873</v>
      </c>
      <c r="AF286" s="133">
        <v>0.989954337899543</v>
      </c>
      <c r="AG286" s="133">
        <v>0.988789237668161</v>
      </c>
      <c r="AH286" s="133">
        <v>0.988055189898103</v>
      </c>
      <c r="AI286" s="135">
        <v>0.92</v>
      </c>
      <c r="AJ286" s="133">
        <v>0.956043956043956</v>
      </c>
      <c r="AK286" s="133">
        <v>0.970102536427415</v>
      </c>
      <c r="AL286" s="133">
        <v>0.980662393162393</v>
      </c>
      <c r="AM286" s="133">
        <v>0.981191356182984</v>
      </c>
      <c r="AN286" s="132">
        <v>0.99</v>
      </c>
      <c r="AO286" s="137">
        <v>1</v>
      </c>
      <c r="AP286" s="137">
        <v>1</v>
      </c>
      <c r="AQ286" s="137">
        <v>1</v>
      </c>
      <c r="AR286" s="137">
        <v>1</v>
      </c>
      <c r="AS286" s="158">
        <v>0.0922287257019438</v>
      </c>
      <c r="AT286" s="141">
        <v>0.222222222222222</v>
      </c>
      <c r="AU286" s="141">
        <v>0.166666666666667</v>
      </c>
      <c r="AV286" s="141">
        <v>0.125</v>
      </c>
      <c r="AW286" s="141">
        <v>0.0727272727272727</v>
      </c>
      <c r="AX286" s="88"/>
      <c r="AY286" s="93"/>
    </row>
    <row r="287" s="86" customFormat="1" ht="14.5" spans="1:51">
      <c r="A287" s="91"/>
      <c r="B287" s="88"/>
      <c r="C287" s="163" t="s">
        <v>260</v>
      </c>
      <c r="D287" s="153" t="s">
        <v>25</v>
      </c>
      <c r="E287" s="130" t="s">
        <v>261</v>
      </c>
      <c r="F287" s="164" t="s">
        <v>311</v>
      </c>
      <c r="G287" s="164" t="s">
        <v>311</v>
      </c>
      <c r="H287" s="164" t="s">
        <v>311</v>
      </c>
      <c r="I287" s="164" t="s">
        <v>311</v>
      </c>
      <c r="J287" s="132">
        <v>0.9</v>
      </c>
      <c r="K287" s="133">
        <v>0.867469879518072</v>
      </c>
      <c r="L287" s="133">
        <v>0.872549019607843</v>
      </c>
      <c r="M287" s="134">
        <v>0.86</v>
      </c>
      <c r="N287" s="133">
        <v>0.913444893248702</v>
      </c>
      <c r="O287" s="135">
        <v>0.9</v>
      </c>
      <c r="P287" s="133">
        <v>0.963111467522053</v>
      </c>
      <c r="Q287" s="133">
        <v>0.962786596119929</v>
      </c>
      <c r="R287" s="133">
        <v>0.967834681042228</v>
      </c>
      <c r="S287" s="133">
        <v>0.937951092244688</v>
      </c>
      <c r="T287" s="135">
        <v>0.9</v>
      </c>
      <c r="U287" s="133">
        <v>0.923015236567763</v>
      </c>
      <c r="V287" s="133">
        <v>0.936507936507937</v>
      </c>
      <c r="W287" s="133">
        <v>0.938185085354897</v>
      </c>
      <c r="X287" s="133">
        <v>0.932551351004566</v>
      </c>
      <c r="Y287" s="135">
        <v>0.92</v>
      </c>
      <c r="Z287" s="135">
        <v>0.923863636363636</v>
      </c>
      <c r="AA287" s="135">
        <v>0.964875491480996</v>
      </c>
      <c r="AB287" s="135">
        <v>0.972848596410492</v>
      </c>
      <c r="AC287" s="135">
        <v>0.972397023260785</v>
      </c>
      <c r="AD287" s="135">
        <v>0.92</v>
      </c>
      <c r="AE287" s="133">
        <v>0.977485928705441</v>
      </c>
      <c r="AF287" s="133">
        <v>0.97250303275374</v>
      </c>
      <c r="AG287" s="133">
        <v>0.972895277207392</v>
      </c>
      <c r="AH287" s="133">
        <v>0.990469292059014</v>
      </c>
      <c r="AI287" s="135">
        <v>0.92</v>
      </c>
      <c r="AJ287" s="133">
        <v>0.96146155244501</v>
      </c>
      <c r="AK287" s="133">
        <v>0.979757511860833</v>
      </c>
      <c r="AL287" s="133">
        <v>0.982443749369387</v>
      </c>
      <c r="AM287" s="133">
        <v>0.982723909183231</v>
      </c>
      <c r="AN287" s="132">
        <v>0.99</v>
      </c>
      <c r="AO287" s="137">
        <v>1</v>
      </c>
      <c r="AP287" s="137">
        <v>1</v>
      </c>
      <c r="AQ287" s="137">
        <v>1</v>
      </c>
      <c r="AR287" s="137">
        <v>1</v>
      </c>
      <c r="AS287" s="158">
        <v>0.0922287257019438</v>
      </c>
      <c r="AT287" s="141">
        <v>0.230769230769231</v>
      </c>
      <c r="AU287" s="141">
        <v>0.1</v>
      </c>
      <c r="AV287" s="141">
        <v>0</v>
      </c>
      <c r="AW287" s="141">
        <v>0.078804347826087</v>
      </c>
      <c r="AX287" s="88"/>
      <c r="AY287" s="93"/>
    </row>
    <row r="288" s="86" customFormat="1" ht="14.5" spans="1:51">
      <c r="A288" s="91"/>
      <c r="B288" s="88"/>
      <c r="C288" s="163" t="s">
        <v>260</v>
      </c>
      <c r="D288" s="153" t="s">
        <v>25</v>
      </c>
      <c r="E288" s="130" t="s">
        <v>261</v>
      </c>
      <c r="F288" s="164" t="s">
        <v>312</v>
      </c>
      <c r="G288" s="164" t="s">
        <v>312</v>
      </c>
      <c r="H288" s="164" t="s">
        <v>312</v>
      </c>
      <c r="I288" s="164" t="s">
        <v>312</v>
      </c>
      <c r="J288" s="132">
        <v>0.9</v>
      </c>
      <c r="K288" s="133">
        <v>0.941176470588235</v>
      </c>
      <c r="L288" s="133">
        <v>0.933333333333333</v>
      </c>
      <c r="M288" s="134">
        <v>0.970873786407767</v>
      </c>
      <c r="N288" s="133">
        <v>0.956697459584296</v>
      </c>
      <c r="O288" s="135">
        <v>0.9</v>
      </c>
      <c r="P288" s="133">
        <v>0.972040107983031</v>
      </c>
      <c r="Q288" s="133">
        <v>0.915765884524123</v>
      </c>
      <c r="R288" s="133">
        <v>0.972324451641396</v>
      </c>
      <c r="S288" s="133">
        <v>0.906193245913706</v>
      </c>
      <c r="T288" s="135">
        <v>0.9</v>
      </c>
      <c r="U288" s="133">
        <v>0.935403008098727</v>
      </c>
      <c r="V288" s="133">
        <v>0.930398101766412</v>
      </c>
      <c r="W288" s="133">
        <v>0.948034741645812</v>
      </c>
      <c r="X288" s="133">
        <v>0.94413197750238</v>
      </c>
      <c r="Y288" s="135">
        <v>0.92</v>
      </c>
      <c r="Z288" s="135">
        <v>0.923161361141603</v>
      </c>
      <c r="AA288" s="135">
        <v>0.974944071588367</v>
      </c>
      <c r="AB288" s="135">
        <v>0.968886462882096</v>
      </c>
      <c r="AC288" s="135">
        <v>0.975824631409841</v>
      </c>
      <c r="AD288" s="135">
        <v>0.92</v>
      </c>
      <c r="AE288" s="133">
        <v>0.998579545454545</v>
      </c>
      <c r="AF288" s="133">
        <v>0.996868149076104</v>
      </c>
      <c r="AG288" s="133">
        <v>0.986297615785147</v>
      </c>
      <c r="AH288" s="133">
        <v>0.989062702843048</v>
      </c>
      <c r="AI288" s="135">
        <v>0.92</v>
      </c>
      <c r="AJ288" s="133">
        <v>0.961292438904379</v>
      </c>
      <c r="AK288" s="133">
        <v>0.980148630764532</v>
      </c>
      <c r="AL288" s="133">
        <v>0.983768115942029</v>
      </c>
      <c r="AM288" s="133">
        <v>0.985366390376293</v>
      </c>
      <c r="AN288" s="132">
        <v>0.99</v>
      </c>
      <c r="AO288" s="137">
        <v>1</v>
      </c>
      <c r="AP288" s="137">
        <v>1</v>
      </c>
      <c r="AQ288" s="137">
        <v>1</v>
      </c>
      <c r="AR288" s="137">
        <v>1</v>
      </c>
      <c r="AS288" s="158">
        <v>0.0922287257019438</v>
      </c>
      <c r="AT288" s="141">
        <v>0</v>
      </c>
      <c r="AU288" s="141">
        <v>0.0909090909090909</v>
      </c>
      <c r="AV288" s="141">
        <v>0</v>
      </c>
      <c r="AW288" s="141">
        <v>0.0457516339869281</v>
      </c>
      <c r="AX288" s="88"/>
      <c r="AY288" s="93"/>
    </row>
    <row r="289" s="86" customFormat="1" ht="14.5" spans="1:51">
      <c r="A289" s="91"/>
      <c r="B289" s="88"/>
      <c r="C289" s="163" t="s">
        <v>260</v>
      </c>
      <c r="D289" s="153" t="s">
        <v>25</v>
      </c>
      <c r="E289" s="130" t="s">
        <v>261</v>
      </c>
      <c r="F289" s="164" t="s">
        <v>313</v>
      </c>
      <c r="G289" s="164" t="s">
        <v>313</v>
      </c>
      <c r="H289" s="164" t="s">
        <v>313</v>
      </c>
      <c r="I289" s="164" t="s">
        <v>313</v>
      </c>
      <c r="J289" s="132">
        <v>0.9</v>
      </c>
      <c r="K289" s="133">
        <v>0.9</v>
      </c>
      <c r="L289" s="133">
        <v>0.902173913043478</v>
      </c>
      <c r="M289" s="134">
        <v>0.936842105263158</v>
      </c>
      <c r="N289" s="133">
        <v>0.934072704867529</v>
      </c>
      <c r="O289" s="135">
        <v>0.9</v>
      </c>
      <c r="P289" s="133">
        <v>0.950959488272921</v>
      </c>
      <c r="Q289" s="133">
        <v>0.915930706521739</v>
      </c>
      <c r="R289" s="133">
        <v>0.904060304951174</v>
      </c>
      <c r="S289" s="133">
        <v>0.914895734833026</v>
      </c>
      <c r="T289" s="135">
        <v>0.9</v>
      </c>
      <c r="U289" s="133">
        <v>0.912313432835821</v>
      </c>
      <c r="V289" s="133">
        <v>0.9453125</v>
      </c>
      <c r="W289" s="133">
        <v>0.937467877334247</v>
      </c>
      <c r="X289" s="133">
        <v>0.938067983874981</v>
      </c>
      <c r="Y289" s="135">
        <v>0.92</v>
      </c>
      <c r="Z289" s="135">
        <v>0.957608695652174</v>
      </c>
      <c r="AA289" s="135">
        <v>0.976791120080727</v>
      </c>
      <c r="AB289" s="135">
        <v>0.982620948802255</v>
      </c>
      <c r="AC289" s="135">
        <v>0.983051901994699</v>
      </c>
      <c r="AD289" s="135">
        <v>0.92</v>
      </c>
      <c r="AE289" s="133">
        <v>0.997605746209098</v>
      </c>
      <c r="AF289" s="133">
        <v>0.999361294443262</v>
      </c>
      <c r="AG289" s="133">
        <v>0.995875883739199</v>
      </c>
      <c r="AH289" s="133">
        <v>0.995366364270761</v>
      </c>
      <c r="AI289" s="135">
        <v>0.92</v>
      </c>
      <c r="AJ289" s="133">
        <v>0.973557262819367</v>
      </c>
      <c r="AK289" s="133">
        <v>0.984776210291282</v>
      </c>
      <c r="AL289" s="133">
        <v>0.989598811292719</v>
      </c>
      <c r="AM289" s="133">
        <v>0.988858231361729</v>
      </c>
      <c r="AN289" s="132">
        <v>0.99</v>
      </c>
      <c r="AO289" s="137">
        <v>1</v>
      </c>
      <c r="AP289" s="137">
        <v>1</v>
      </c>
      <c r="AQ289" s="137">
        <v>1</v>
      </c>
      <c r="AR289" s="137">
        <v>1</v>
      </c>
      <c r="AS289" s="158">
        <v>0.0922287257019438</v>
      </c>
      <c r="AT289" s="141">
        <v>0.230769230769231</v>
      </c>
      <c r="AU289" s="141">
        <v>0.0689655172413793</v>
      </c>
      <c r="AV289" s="141">
        <v>0.142857142857143</v>
      </c>
      <c r="AW289" s="141">
        <v>0.0906801007556675</v>
      </c>
      <c r="AX289" s="88"/>
      <c r="AY289" s="93"/>
    </row>
    <row r="290" s="86" customFormat="1" ht="14.5" spans="1:51">
      <c r="A290" s="91"/>
      <c r="B290" s="88"/>
      <c r="C290" s="163" t="s">
        <v>260</v>
      </c>
      <c r="D290" s="153" t="s">
        <v>125</v>
      </c>
      <c r="E290" s="130" t="s">
        <v>261</v>
      </c>
      <c r="F290" s="164" t="s">
        <v>314</v>
      </c>
      <c r="G290" s="164" t="s">
        <v>314</v>
      </c>
      <c r="H290" s="164" t="s">
        <v>314</v>
      </c>
      <c r="I290" s="164" t="s">
        <v>314</v>
      </c>
      <c r="J290" s="132">
        <v>0.9</v>
      </c>
      <c r="K290" s="133" t="s">
        <v>35</v>
      </c>
      <c r="L290" s="133" t="s">
        <v>35</v>
      </c>
      <c r="M290" s="134" t="s">
        <v>35</v>
      </c>
      <c r="N290" s="133" t="s">
        <v>35</v>
      </c>
      <c r="O290" s="135">
        <v>0.9</v>
      </c>
      <c r="P290" s="133" t="s">
        <v>35</v>
      </c>
      <c r="Q290" s="133">
        <v>0</v>
      </c>
      <c r="R290" s="133" t="s">
        <v>35</v>
      </c>
      <c r="S290" s="133">
        <v>0</v>
      </c>
      <c r="T290" s="135">
        <v>0.9</v>
      </c>
      <c r="U290" s="133" t="s">
        <v>35</v>
      </c>
      <c r="V290" s="133">
        <v>0</v>
      </c>
      <c r="W290" s="133" t="s">
        <v>35</v>
      </c>
      <c r="X290" s="133">
        <v>0</v>
      </c>
      <c r="Y290" s="135">
        <v>0.92</v>
      </c>
      <c r="Z290" s="135" t="s">
        <v>35</v>
      </c>
      <c r="AA290" s="135" t="s">
        <v>35</v>
      </c>
      <c r="AB290" s="135" t="s">
        <v>35</v>
      </c>
      <c r="AC290" s="135" t="s">
        <v>35</v>
      </c>
      <c r="AD290" s="135">
        <v>0.92</v>
      </c>
      <c r="AE290" s="133">
        <v>1</v>
      </c>
      <c r="AF290" s="133">
        <v>0.992395437262357</v>
      </c>
      <c r="AG290" s="133">
        <v>1</v>
      </c>
      <c r="AH290" s="133">
        <v>0.99412915851272</v>
      </c>
      <c r="AI290" s="135">
        <v>0.92</v>
      </c>
      <c r="AJ290" s="133" t="s">
        <v>35</v>
      </c>
      <c r="AK290" s="133">
        <v>0</v>
      </c>
      <c r="AL290" s="133" t="s">
        <v>35</v>
      </c>
      <c r="AM290" s="133">
        <v>0</v>
      </c>
      <c r="AN290" s="132">
        <v>0.99</v>
      </c>
      <c r="AO290" s="137" t="s">
        <v>35</v>
      </c>
      <c r="AP290" s="137" t="s">
        <v>35</v>
      </c>
      <c r="AQ290" s="137" t="s">
        <v>35</v>
      </c>
      <c r="AR290" s="137">
        <v>1</v>
      </c>
      <c r="AS290" s="158">
        <v>0.0922287257019438</v>
      </c>
      <c r="AT290" s="141" t="s">
        <v>35</v>
      </c>
      <c r="AU290" s="141" t="s">
        <v>35</v>
      </c>
      <c r="AV290" s="141" t="s">
        <v>35</v>
      </c>
      <c r="AW290" s="141" t="s">
        <v>35</v>
      </c>
      <c r="AX290" s="88"/>
      <c r="AY290" s="93"/>
    </row>
    <row r="291" s="86" customFormat="1" ht="14.5" spans="1:51">
      <c r="A291" s="91"/>
      <c r="B291" s="88"/>
      <c r="C291" s="163" t="s">
        <v>260</v>
      </c>
      <c r="D291" s="153" t="s">
        <v>125</v>
      </c>
      <c r="E291" s="130" t="s">
        <v>261</v>
      </c>
      <c r="F291" s="164" t="s">
        <v>315</v>
      </c>
      <c r="G291" s="164" t="s">
        <v>315</v>
      </c>
      <c r="H291" s="164" t="s">
        <v>315</v>
      </c>
      <c r="I291" s="164" t="s">
        <v>315</v>
      </c>
      <c r="J291" s="132">
        <v>0.9</v>
      </c>
      <c r="K291" s="133" t="s">
        <v>35</v>
      </c>
      <c r="L291" s="133" t="s">
        <v>35</v>
      </c>
      <c r="M291" s="134" t="s">
        <v>35</v>
      </c>
      <c r="N291" s="133" t="s">
        <v>35</v>
      </c>
      <c r="O291" s="135">
        <v>0.9</v>
      </c>
      <c r="P291" s="133" t="s">
        <v>35</v>
      </c>
      <c r="Q291" s="133">
        <v>0</v>
      </c>
      <c r="R291" s="133" t="s">
        <v>35</v>
      </c>
      <c r="S291" s="133">
        <v>0.4</v>
      </c>
      <c r="T291" s="135">
        <v>0.9</v>
      </c>
      <c r="U291" s="133" t="s">
        <v>35</v>
      </c>
      <c r="V291" s="133">
        <v>1</v>
      </c>
      <c r="W291" s="133" t="s">
        <v>35</v>
      </c>
      <c r="X291" s="133">
        <v>1</v>
      </c>
      <c r="Y291" s="135">
        <v>0.92</v>
      </c>
      <c r="Z291" s="135" t="s">
        <v>35</v>
      </c>
      <c r="AA291" s="135">
        <v>0</v>
      </c>
      <c r="AB291" s="135" t="s">
        <v>35</v>
      </c>
      <c r="AC291" s="135">
        <v>0</v>
      </c>
      <c r="AD291" s="135">
        <v>0.92</v>
      </c>
      <c r="AE291" s="133">
        <v>1</v>
      </c>
      <c r="AF291" s="133">
        <v>1</v>
      </c>
      <c r="AG291" s="133">
        <v>0.996067415730337</v>
      </c>
      <c r="AH291" s="133">
        <v>0.997377116190346</v>
      </c>
      <c r="AI291" s="135">
        <v>0.92</v>
      </c>
      <c r="AJ291" s="133" t="s">
        <v>35</v>
      </c>
      <c r="AK291" s="133">
        <v>0.5</v>
      </c>
      <c r="AL291" s="133" t="s">
        <v>35</v>
      </c>
      <c r="AM291" s="133">
        <v>0.833333333333333</v>
      </c>
      <c r="AN291" s="132">
        <v>0.99</v>
      </c>
      <c r="AO291" s="137" t="s">
        <v>35</v>
      </c>
      <c r="AP291" s="137" t="s">
        <v>35</v>
      </c>
      <c r="AQ291" s="137">
        <v>1</v>
      </c>
      <c r="AR291" s="137">
        <v>1</v>
      </c>
      <c r="AS291" s="158">
        <v>0.0922287257019438</v>
      </c>
      <c r="AT291" s="141" t="s">
        <v>35</v>
      </c>
      <c r="AU291" s="141" t="s">
        <v>35</v>
      </c>
      <c r="AV291" s="141" t="s">
        <v>35</v>
      </c>
      <c r="AW291" s="141" t="s">
        <v>35</v>
      </c>
      <c r="AX291" s="88"/>
      <c r="AY291" s="93"/>
    </row>
    <row r="292" s="86" customFormat="1" ht="14.5" spans="1:51">
      <c r="A292" s="91"/>
      <c r="B292" s="88"/>
      <c r="C292" s="163" t="s">
        <v>260</v>
      </c>
      <c r="D292" s="153" t="s">
        <v>125</v>
      </c>
      <c r="E292" s="130" t="s">
        <v>261</v>
      </c>
      <c r="F292" s="164" t="s">
        <v>316</v>
      </c>
      <c r="G292" s="164" t="s">
        <v>316</v>
      </c>
      <c r="H292" s="164" t="s">
        <v>316</v>
      </c>
      <c r="I292" s="164" t="s">
        <v>316</v>
      </c>
      <c r="J292" s="132">
        <v>0.9</v>
      </c>
      <c r="K292" s="133" t="s">
        <v>35</v>
      </c>
      <c r="L292" s="133" t="s">
        <v>35</v>
      </c>
      <c r="M292" s="134" t="s">
        <v>35</v>
      </c>
      <c r="N292" s="133" t="s">
        <v>35</v>
      </c>
      <c r="O292" s="135">
        <v>0.9</v>
      </c>
      <c r="P292" s="133">
        <v>0</v>
      </c>
      <c r="Q292" s="133">
        <v>0.222222222222222</v>
      </c>
      <c r="R292" s="133">
        <v>0.5</v>
      </c>
      <c r="S292" s="133">
        <v>0.234042553191489</v>
      </c>
      <c r="T292" s="135">
        <v>0.9</v>
      </c>
      <c r="U292" s="133">
        <v>0</v>
      </c>
      <c r="V292" s="133">
        <v>0.222222222222222</v>
      </c>
      <c r="W292" s="133">
        <v>0.5</v>
      </c>
      <c r="X292" s="133">
        <v>0.531914893617021</v>
      </c>
      <c r="Y292" s="135">
        <v>0.92</v>
      </c>
      <c r="Z292" s="135" t="s">
        <v>35</v>
      </c>
      <c r="AA292" s="135" t="s">
        <v>35</v>
      </c>
      <c r="AB292" s="135" t="s">
        <v>35</v>
      </c>
      <c r="AC292" s="135">
        <v>0.285714285714286</v>
      </c>
      <c r="AD292" s="135">
        <v>0.92</v>
      </c>
      <c r="AE292" s="133">
        <v>0.999559082892416</v>
      </c>
      <c r="AF292" s="133">
        <v>0.996720639475302</v>
      </c>
      <c r="AG292" s="133">
        <v>0.65900506308768</v>
      </c>
      <c r="AH292" s="133">
        <v>0.887863110677998</v>
      </c>
      <c r="AI292" s="135">
        <v>0.92</v>
      </c>
      <c r="AJ292" s="133">
        <v>0</v>
      </c>
      <c r="AK292" s="133">
        <v>0.2</v>
      </c>
      <c r="AL292" s="133">
        <v>0.5</v>
      </c>
      <c r="AM292" s="133">
        <v>0.546875</v>
      </c>
      <c r="AN292" s="132">
        <v>0.99</v>
      </c>
      <c r="AO292" s="137" t="s">
        <v>35</v>
      </c>
      <c r="AP292" s="137">
        <v>1</v>
      </c>
      <c r="AQ292" s="137">
        <v>1</v>
      </c>
      <c r="AR292" s="137">
        <v>1</v>
      </c>
      <c r="AS292" s="158">
        <v>0.0922287257019438</v>
      </c>
      <c r="AT292" s="141" t="s">
        <v>35</v>
      </c>
      <c r="AU292" s="141" t="s">
        <v>35</v>
      </c>
      <c r="AV292" s="141" t="s">
        <v>35</v>
      </c>
      <c r="AW292" s="141" t="s">
        <v>35</v>
      </c>
      <c r="AX292" s="88"/>
      <c r="AY292" s="93"/>
    </row>
    <row r="293" s="86" customFormat="1" ht="14.5" spans="1:51">
      <c r="A293" s="91"/>
      <c r="B293" s="88"/>
      <c r="C293" s="163" t="s">
        <v>260</v>
      </c>
      <c r="D293" s="153" t="s">
        <v>125</v>
      </c>
      <c r="E293" s="130" t="s">
        <v>261</v>
      </c>
      <c r="F293" s="164" t="s">
        <v>317</v>
      </c>
      <c r="G293" s="164" t="s">
        <v>317</v>
      </c>
      <c r="H293" s="164" t="s">
        <v>317</v>
      </c>
      <c r="I293" s="164" t="s">
        <v>317</v>
      </c>
      <c r="J293" s="132">
        <v>0.9</v>
      </c>
      <c r="K293" s="133" t="s">
        <v>35</v>
      </c>
      <c r="L293" s="133" t="s">
        <v>35</v>
      </c>
      <c r="M293" s="134" t="s">
        <v>35</v>
      </c>
      <c r="N293" s="133" t="s">
        <v>35</v>
      </c>
      <c r="O293" s="135">
        <v>0.9</v>
      </c>
      <c r="P293" s="133" t="s">
        <v>35</v>
      </c>
      <c r="Q293" s="133" t="s">
        <v>35</v>
      </c>
      <c r="R293" s="133" t="s">
        <v>35</v>
      </c>
      <c r="S293" s="133">
        <v>0</v>
      </c>
      <c r="T293" s="135">
        <v>0.9</v>
      </c>
      <c r="U293" s="133" t="s">
        <v>35</v>
      </c>
      <c r="V293" s="133" t="s">
        <v>35</v>
      </c>
      <c r="W293" s="133" t="s">
        <v>35</v>
      </c>
      <c r="X293" s="133">
        <v>0.5</v>
      </c>
      <c r="Y293" s="135">
        <v>0.92</v>
      </c>
      <c r="Z293" s="135" t="s">
        <v>35</v>
      </c>
      <c r="AA293" s="135" t="s">
        <v>35</v>
      </c>
      <c r="AB293" s="135" t="s">
        <v>35</v>
      </c>
      <c r="AC293" s="135" t="s">
        <v>35</v>
      </c>
      <c r="AD293" s="135">
        <v>0.92</v>
      </c>
      <c r="AE293" s="133">
        <v>0.864661654135338</v>
      </c>
      <c r="AF293" s="133">
        <v>1</v>
      </c>
      <c r="AG293" s="133">
        <v>0.94841735052755</v>
      </c>
      <c r="AH293" s="133">
        <v>0.972487644151565</v>
      </c>
      <c r="AI293" s="135">
        <v>0.92</v>
      </c>
      <c r="AJ293" s="133" t="s">
        <v>35</v>
      </c>
      <c r="AK293" s="133" t="s">
        <v>35</v>
      </c>
      <c r="AL293" s="133" t="s">
        <v>35</v>
      </c>
      <c r="AM293" s="133">
        <v>0.333333333333333</v>
      </c>
      <c r="AN293" s="132">
        <v>0.99</v>
      </c>
      <c r="AO293" s="137">
        <v>1</v>
      </c>
      <c r="AP293" s="137" t="s">
        <v>35</v>
      </c>
      <c r="AQ293" s="137" t="s">
        <v>35</v>
      </c>
      <c r="AR293" s="137">
        <v>1</v>
      </c>
      <c r="AS293" s="158">
        <v>0.0922287257019438</v>
      </c>
      <c r="AT293" s="141" t="s">
        <v>35</v>
      </c>
      <c r="AU293" s="141" t="s">
        <v>35</v>
      </c>
      <c r="AV293" s="141" t="s">
        <v>35</v>
      </c>
      <c r="AW293" s="141" t="s">
        <v>35</v>
      </c>
      <c r="AX293" s="88"/>
      <c r="AY293" s="93"/>
    </row>
    <row r="294" s="86" customFormat="1" ht="14.5" spans="1:51">
      <c r="A294" s="91"/>
      <c r="B294" s="88"/>
      <c r="C294" s="163" t="s">
        <v>260</v>
      </c>
      <c r="D294" s="153" t="s">
        <v>125</v>
      </c>
      <c r="E294" s="130" t="s">
        <v>261</v>
      </c>
      <c r="F294" s="164" t="s">
        <v>318</v>
      </c>
      <c r="G294" s="164" t="s">
        <v>318</v>
      </c>
      <c r="H294" s="164" t="s">
        <v>318</v>
      </c>
      <c r="I294" s="164" t="s">
        <v>318</v>
      </c>
      <c r="J294" s="132">
        <v>0.9</v>
      </c>
      <c r="K294" s="133" t="s">
        <v>35</v>
      </c>
      <c r="L294" s="133" t="s">
        <v>35</v>
      </c>
      <c r="M294" s="134" t="s">
        <v>35</v>
      </c>
      <c r="N294" s="133" t="s">
        <v>35</v>
      </c>
      <c r="O294" s="135">
        <v>0.9</v>
      </c>
      <c r="P294" s="133" t="s">
        <v>35</v>
      </c>
      <c r="Q294" s="133" t="s">
        <v>35</v>
      </c>
      <c r="R294" s="133" t="s">
        <v>35</v>
      </c>
      <c r="S294" s="133">
        <v>0</v>
      </c>
      <c r="T294" s="135">
        <v>0.9</v>
      </c>
      <c r="U294" s="133" t="s">
        <v>35</v>
      </c>
      <c r="V294" s="133" t="s">
        <v>35</v>
      </c>
      <c r="W294" s="133" t="s">
        <v>35</v>
      </c>
      <c r="X294" s="133">
        <v>0</v>
      </c>
      <c r="Y294" s="135">
        <v>0.92</v>
      </c>
      <c r="Z294" s="135" t="s">
        <v>35</v>
      </c>
      <c r="AA294" s="135" t="s">
        <v>35</v>
      </c>
      <c r="AB294" s="135" t="s">
        <v>35</v>
      </c>
      <c r="AC294" s="135" t="s">
        <v>35</v>
      </c>
      <c r="AD294" s="135">
        <v>0.92</v>
      </c>
      <c r="AE294" s="133">
        <v>0.811881188118812</v>
      </c>
      <c r="AF294" s="133">
        <v>0.922141119221411</v>
      </c>
      <c r="AG294" s="133">
        <v>0.962540716612378</v>
      </c>
      <c r="AH294" s="133">
        <v>0.899955992372011</v>
      </c>
      <c r="AI294" s="135">
        <v>0.92</v>
      </c>
      <c r="AJ294" s="133" t="s">
        <v>35</v>
      </c>
      <c r="AK294" s="133" t="s">
        <v>35</v>
      </c>
      <c r="AL294" s="133" t="s">
        <v>35</v>
      </c>
      <c r="AM294" s="133">
        <v>0</v>
      </c>
      <c r="AN294" s="132">
        <v>0.99</v>
      </c>
      <c r="AO294" s="137" t="s">
        <v>35</v>
      </c>
      <c r="AP294" s="137" t="s">
        <v>35</v>
      </c>
      <c r="AQ294" s="137" t="s">
        <v>35</v>
      </c>
      <c r="AR294" s="137">
        <v>1</v>
      </c>
      <c r="AS294" s="158">
        <v>0.0922287257019438</v>
      </c>
      <c r="AT294" s="141" t="s">
        <v>35</v>
      </c>
      <c r="AU294" s="141" t="s">
        <v>35</v>
      </c>
      <c r="AV294" s="141" t="s">
        <v>35</v>
      </c>
      <c r="AW294" s="141" t="s">
        <v>35</v>
      </c>
      <c r="AX294" s="88"/>
      <c r="AY294" s="93"/>
    </row>
    <row r="295" s="86" customFormat="1" ht="14.5" spans="1:51">
      <c r="A295" s="91"/>
      <c r="B295" s="88"/>
      <c r="C295" s="163" t="s">
        <v>260</v>
      </c>
      <c r="D295" s="153" t="s">
        <v>125</v>
      </c>
      <c r="E295" s="130" t="s">
        <v>261</v>
      </c>
      <c r="F295" s="164" t="s">
        <v>319</v>
      </c>
      <c r="G295" s="164" t="s">
        <v>319</v>
      </c>
      <c r="H295" s="164" t="s">
        <v>319</v>
      </c>
      <c r="I295" s="164" t="s">
        <v>319</v>
      </c>
      <c r="J295" s="132">
        <v>0.9</v>
      </c>
      <c r="K295" s="133" t="s">
        <v>35</v>
      </c>
      <c r="L295" s="133" t="s">
        <v>35</v>
      </c>
      <c r="M295" s="134" t="s">
        <v>35</v>
      </c>
      <c r="N295" s="133" t="s">
        <v>35</v>
      </c>
      <c r="O295" s="135">
        <v>0.9</v>
      </c>
      <c r="P295" s="133" t="s">
        <v>35</v>
      </c>
      <c r="Q295" s="133" t="s">
        <v>35</v>
      </c>
      <c r="R295" s="133" t="s">
        <v>35</v>
      </c>
      <c r="S295" s="133">
        <v>0</v>
      </c>
      <c r="T295" s="135">
        <v>0.9</v>
      </c>
      <c r="U295" s="133" t="s">
        <v>35</v>
      </c>
      <c r="V295" s="133" t="s">
        <v>35</v>
      </c>
      <c r="W295" s="133" t="s">
        <v>35</v>
      </c>
      <c r="X295" s="133">
        <v>0.888888888888889</v>
      </c>
      <c r="Y295" s="135">
        <v>0.92</v>
      </c>
      <c r="Z295" s="135" t="s">
        <v>35</v>
      </c>
      <c r="AA295" s="135" t="s">
        <v>35</v>
      </c>
      <c r="AB295" s="135" t="s">
        <v>35</v>
      </c>
      <c r="AC295" s="135">
        <v>1</v>
      </c>
      <c r="AD295" s="135">
        <v>0.92</v>
      </c>
      <c r="AE295" s="133">
        <v>1</v>
      </c>
      <c r="AF295" s="133">
        <v>1</v>
      </c>
      <c r="AG295" s="133">
        <v>0.943165011620537</v>
      </c>
      <c r="AH295" s="133">
        <v>0.989534144852419</v>
      </c>
      <c r="AI295" s="135">
        <v>0.92</v>
      </c>
      <c r="AJ295" s="133" t="s">
        <v>35</v>
      </c>
      <c r="AK295" s="133" t="s">
        <v>35</v>
      </c>
      <c r="AL295" s="133">
        <v>1</v>
      </c>
      <c r="AM295" s="133">
        <v>0.916666666666667</v>
      </c>
      <c r="AN295" s="132">
        <v>0.99</v>
      </c>
      <c r="AO295" s="137" t="s">
        <v>35</v>
      </c>
      <c r="AP295" s="137" t="s">
        <v>35</v>
      </c>
      <c r="AQ295" s="137" t="s">
        <v>35</v>
      </c>
      <c r="AR295" s="137">
        <v>1</v>
      </c>
      <c r="AS295" s="158">
        <v>0.0922287257019438</v>
      </c>
      <c r="AT295" s="141" t="s">
        <v>35</v>
      </c>
      <c r="AU295" s="141" t="s">
        <v>35</v>
      </c>
      <c r="AV295" s="141" t="s">
        <v>35</v>
      </c>
      <c r="AW295" s="141" t="s">
        <v>35</v>
      </c>
      <c r="AX295" s="88"/>
      <c r="AY295" s="93"/>
    </row>
    <row r="296" s="86" customFormat="1" ht="14.5" spans="1:51">
      <c r="A296" s="91"/>
      <c r="B296" s="88"/>
      <c r="C296" s="163" t="s">
        <v>260</v>
      </c>
      <c r="D296" s="153" t="s">
        <v>25</v>
      </c>
      <c r="E296" s="130" t="s">
        <v>261</v>
      </c>
      <c r="F296" s="164" t="s">
        <v>320</v>
      </c>
      <c r="G296" s="164" t="s">
        <v>320</v>
      </c>
      <c r="H296" s="164" t="s">
        <v>320</v>
      </c>
      <c r="I296" s="164" t="s">
        <v>320</v>
      </c>
      <c r="J296" s="132">
        <v>0.9</v>
      </c>
      <c r="K296" s="133">
        <v>0.936842105263158</v>
      </c>
      <c r="L296" s="133">
        <v>0.96551724137931</v>
      </c>
      <c r="M296" s="134">
        <v>0.935185185185185</v>
      </c>
      <c r="N296" s="133">
        <v>0.94435261707989</v>
      </c>
      <c r="O296" s="135">
        <v>0.9</v>
      </c>
      <c r="P296" s="133">
        <v>0.975901089689857</v>
      </c>
      <c r="Q296" s="133">
        <v>0.904613719388445</v>
      </c>
      <c r="R296" s="133">
        <v>0.944163192376415</v>
      </c>
      <c r="S296" s="133">
        <v>0.901857551016948</v>
      </c>
      <c r="T296" s="135">
        <v>0.9</v>
      </c>
      <c r="U296" s="133">
        <v>0.878876781223806</v>
      </c>
      <c r="V296" s="133">
        <v>0.900419429035313</v>
      </c>
      <c r="W296" s="133">
        <v>0.881477069684336</v>
      </c>
      <c r="X296" s="133">
        <v>0.87159922340633</v>
      </c>
      <c r="Y296" s="135">
        <v>0.92</v>
      </c>
      <c r="Z296" s="135">
        <v>0.848792884371029</v>
      </c>
      <c r="AA296" s="135">
        <v>0.929347826086957</v>
      </c>
      <c r="AB296" s="135">
        <v>0.930126002290951</v>
      </c>
      <c r="AC296" s="135">
        <v>0.932128678986995</v>
      </c>
      <c r="AD296" s="135">
        <v>0.92</v>
      </c>
      <c r="AE296" s="133">
        <v>0.995614035087719</v>
      </c>
      <c r="AF296" s="133">
        <v>0.98828125</v>
      </c>
      <c r="AG296" s="133">
        <v>1</v>
      </c>
      <c r="AH296" s="133">
        <v>0.994319223016309</v>
      </c>
      <c r="AI296" s="135">
        <v>0.92</v>
      </c>
      <c r="AJ296" s="133">
        <v>0.947652455477604</v>
      </c>
      <c r="AK296" s="133">
        <v>0.969996874674445</v>
      </c>
      <c r="AL296" s="133">
        <v>0.970101630820137</v>
      </c>
      <c r="AM296" s="133">
        <v>0.968482784959252</v>
      </c>
      <c r="AN296" s="132">
        <v>0.99</v>
      </c>
      <c r="AO296" s="137">
        <v>1</v>
      </c>
      <c r="AP296" s="137">
        <v>1</v>
      </c>
      <c r="AQ296" s="137">
        <v>1</v>
      </c>
      <c r="AR296" s="137">
        <v>1</v>
      </c>
      <c r="AS296" s="158">
        <v>0.0922287257019438</v>
      </c>
      <c r="AT296" s="141">
        <v>0</v>
      </c>
      <c r="AU296" s="141">
        <v>0</v>
      </c>
      <c r="AV296" s="141">
        <v>0.0434782608695652</v>
      </c>
      <c r="AW296" s="141">
        <v>0.0803212851405622</v>
      </c>
      <c r="AX296" s="88"/>
      <c r="AY296" s="93"/>
    </row>
    <row r="297" s="86" customFormat="1" ht="14.5" spans="1:51">
      <c r="A297" s="91"/>
      <c r="B297" s="88"/>
      <c r="C297" s="163" t="s">
        <v>260</v>
      </c>
      <c r="D297" s="153" t="s">
        <v>25</v>
      </c>
      <c r="E297" s="130" t="s">
        <v>261</v>
      </c>
      <c r="F297" s="165" t="s">
        <v>321</v>
      </c>
      <c r="G297" s="165" t="s">
        <v>321</v>
      </c>
      <c r="H297" s="165" t="s">
        <v>321</v>
      </c>
      <c r="I297" s="165" t="s">
        <v>321</v>
      </c>
      <c r="J297" s="132">
        <v>0.9</v>
      </c>
      <c r="K297" s="133" t="s">
        <v>35</v>
      </c>
      <c r="L297" s="133" t="s">
        <v>35</v>
      </c>
      <c r="M297" s="134" t="s">
        <v>35</v>
      </c>
      <c r="N297" s="133" t="s">
        <v>35</v>
      </c>
      <c r="O297" s="135">
        <v>0.9</v>
      </c>
      <c r="P297" s="133" t="s">
        <v>35</v>
      </c>
      <c r="Q297" s="133" t="s">
        <v>35</v>
      </c>
      <c r="R297" s="133" t="s">
        <v>35</v>
      </c>
      <c r="S297" s="133" t="s">
        <v>35</v>
      </c>
      <c r="T297" s="135">
        <v>0.9</v>
      </c>
      <c r="U297" s="133" t="s">
        <v>35</v>
      </c>
      <c r="V297" s="133" t="s">
        <v>35</v>
      </c>
      <c r="W297" s="133" t="s">
        <v>35</v>
      </c>
      <c r="X297" s="133" t="s">
        <v>35</v>
      </c>
      <c r="Y297" s="135">
        <v>0.92</v>
      </c>
      <c r="Z297" s="135" t="s">
        <v>35</v>
      </c>
      <c r="AA297" s="135" t="s">
        <v>35</v>
      </c>
      <c r="AB297" s="135" t="s">
        <v>35</v>
      </c>
      <c r="AC297" s="135" t="s">
        <v>35</v>
      </c>
      <c r="AD297" s="135">
        <v>0.92</v>
      </c>
      <c r="AE297" s="133" t="s">
        <v>35</v>
      </c>
      <c r="AF297" s="133" t="s">
        <v>35</v>
      </c>
      <c r="AG297" s="133" t="s">
        <v>35</v>
      </c>
      <c r="AH297" s="133" t="s">
        <v>35</v>
      </c>
      <c r="AI297" s="135">
        <v>0.92</v>
      </c>
      <c r="AJ297" s="133" t="s">
        <v>35</v>
      </c>
      <c r="AK297" s="133" t="s">
        <v>35</v>
      </c>
      <c r="AL297" s="133" t="s">
        <v>35</v>
      </c>
      <c r="AM297" s="133" t="s">
        <v>35</v>
      </c>
      <c r="AN297" s="132">
        <v>0.99</v>
      </c>
      <c r="AO297" s="137" t="s">
        <v>35</v>
      </c>
      <c r="AP297" s="137" t="s">
        <v>35</v>
      </c>
      <c r="AQ297" s="137" t="s">
        <v>35</v>
      </c>
      <c r="AR297" s="137" t="s">
        <v>35</v>
      </c>
      <c r="AS297" s="158">
        <v>0.0922287257019438</v>
      </c>
      <c r="AT297" s="141" t="s">
        <v>35</v>
      </c>
      <c r="AU297" s="141" t="s">
        <v>35</v>
      </c>
      <c r="AV297" s="141" t="s">
        <v>35</v>
      </c>
      <c r="AW297" s="141" t="s">
        <v>35</v>
      </c>
      <c r="AX297" s="88"/>
      <c r="AY297" s="93"/>
    </row>
    <row r="298" s="86" customFormat="1" ht="14.5" spans="1:51">
      <c r="A298" s="91"/>
      <c r="B298" s="88"/>
      <c r="C298" s="163" t="s">
        <v>260</v>
      </c>
      <c r="D298" s="153" t="s">
        <v>25</v>
      </c>
      <c r="E298" s="130" t="s">
        <v>261</v>
      </c>
      <c r="F298" s="164" t="s">
        <v>322</v>
      </c>
      <c r="G298" s="164" t="s">
        <v>322</v>
      </c>
      <c r="H298" s="164" t="s">
        <v>322</v>
      </c>
      <c r="I298" s="164" t="s">
        <v>322</v>
      </c>
      <c r="J298" s="132">
        <v>0.9</v>
      </c>
      <c r="K298" s="133">
        <v>0.98</v>
      </c>
      <c r="L298" s="133">
        <v>0.941666666666667</v>
      </c>
      <c r="M298" s="134">
        <v>0.976377952755906</v>
      </c>
      <c r="N298" s="133">
        <v>0.96048349604835</v>
      </c>
      <c r="O298" s="135">
        <v>0.9</v>
      </c>
      <c r="P298" s="133">
        <v>0.955536912751678</v>
      </c>
      <c r="Q298" s="133">
        <v>0.957524613220816</v>
      </c>
      <c r="R298" s="133">
        <v>0.953297480894424</v>
      </c>
      <c r="S298" s="133">
        <v>0.928166996952489</v>
      </c>
      <c r="T298" s="135">
        <v>0.9</v>
      </c>
      <c r="U298" s="133">
        <v>0.920931208053691</v>
      </c>
      <c r="V298" s="133">
        <v>0.920112517580872</v>
      </c>
      <c r="W298" s="133">
        <v>0.928530993489952</v>
      </c>
      <c r="X298" s="133">
        <v>0.919582341088111</v>
      </c>
      <c r="Y298" s="135">
        <v>0.92</v>
      </c>
      <c r="Z298" s="135">
        <v>0.95665914221219</v>
      </c>
      <c r="AA298" s="135">
        <v>0.987387008618877</v>
      </c>
      <c r="AB298" s="135">
        <v>0.990814696485623</v>
      </c>
      <c r="AC298" s="135">
        <v>0.983253889927136</v>
      </c>
      <c r="AD298" s="135">
        <v>0.92</v>
      </c>
      <c r="AE298" s="133">
        <v>0.985545335085414</v>
      </c>
      <c r="AF298" s="133">
        <v>0.99237732253454</v>
      </c>
      <c r="AG298" s="133">
        <v>0.997209821428571</v>
      </c>
      <c r="AH298" s="133">
        <v>0.95935974789593</v>
      </c>
      <c r="AI298" s="135">
        <v>0.92</v>
      </c>
      <c r="AJ298" s="133">
        <v>0.978376056136331</v>
      </c>
      <c r="AK298" s="133">
        <v>0.992922739910692</v>
      </c>
      <c r="AL298" s="133">
        <v>0.994120082815735</v>
      </c>
      <c r="AM298" s="133">
        <v>0.989613513111953</v>
      </c>
      <c r="AN298" s="132">
        <v>0.99</v>
      </c>
      <c r="AO298" s="137">
        <v>1</v>
      </c>
      <c r="AP298" s="137">
        <v>1</v>
      </c>
      <c r="AQ298" s="137">
        <v>1</v>
      </c>
      <c r="AR298" s="137">
        <v>1</v>
      </c>
      <c r="AS298" s="158">
        <v>0.0922287257019438</v>
      </c>
      <c r="AT298" s="141">
        <v>0.142857142857143</v>
      </c>
      <c r="AU298" s="141">
        <v>0.0952380952380952</v>
      </c>
      <c r="AV298" s="141">
        <v>0.181818181818182</v>
      </c>
      <c r="AW298" s="141">
        <v>0.0754098360655738</v>
      </c>
      <c r="AX298" s="88"/>
      <c r="AY298" s="93"/>
    </row>
    <row r="299" s="86" customFormat="1" ht="14.5" spans="1:51">
      <c r="A299" s="91"/>
      <c r="B299" s="88"/>
      <c r="C299" s="163" t="s">
        <v>260</v>
      </c>
      <c r="D299" s="153" t="s">
        <v>25</v>
      </c>
      <c r="E299" s="130" t="s">
        <v>261</v>
      </c>
      <c r="F299" s="164" t="s">
        <v>323</v>
      </c>
      <c r="G299" s="164" t="s">
        <v>323</v>
      </c>
      <c r="H299" s="164" t="s">
        <v>323</v>
      </c>
      <c r="I299" s="164" t="s">
        <v>323</v>
      </c>
      <c r="J299" s="132">
        <v>0.9</v>
      </c>
      <c r="K299" s="133">
        <v>0.934782608695652</v>
      </c>
      <c r="L299" s="133">
        <v>0.971428571428571</v>
      </c>
      <c r="M299" s="134">
        <v>0.823529411764706</v>
      </c>
      <c r="N299" s="133">
        <v>0.948651283717907</v>
      </c>
      <c r="O299" s="135">
        <v>0.9</v>
      </c>
      <c r="P299" s="133">
        <v>0.953398058252427</v>
      </c>
      <c r="Q299" s="133">
        <v>0.949379598111343</v>
      </c>
      <c r="R299" s="133">
        <v>0.950171821305842</v>
      </c>
      <c r="S299" s="133">
        <v>0.934681739955364</v>
      </c>
      <c r="T299" s="135">
        <v>0.9</v>
      </c>
      <c r="U299" s="133">
        <v>0.922330097087379</v>
      </c>
      <c r="V299" s="133">
        <v>0.925441967717141</v>
      </c>
      <c r="W299" s="133">
        <v>0.932667525773196</v>
      </c>
      <c r="X299" s="133">
        <v>0.927560644851345</v>
      </c>
      <c r="Y299" s="135">
        <v>0.92</v>
      </c>
      <c r="Z299" s="135">
        <v>0.954874835309618</v>
      </c>
      <c r="AA299" s="135">
        <v>0.981789390340459</v>
      </c>
      <c r="AB299" s="135">
        <v>0.986911810532876</v>
      </c>
      <c r="AC299" s="135">
        <v>0.983359195248542</v>
      </c>
      <c r="AD299" s="135">
        <v>0.92</v>
      </c>
      <c r="AE299" s="133">
        <v>0.874904067536454</v>
      </c>
      <c r="AF299" s="133">
        <v>0.99492385786802</v>
      </c>
      <c r="AG299" s="133">
        <v>0.985915492957746</v>
      </c>
      <c r="AH299" s="133">
        <v>0.973016254303787</v>
      </c>
      <c r="AI299" s="135">
        <v>0.92</v>
      </c>
      <c r="AJ299" s="133">
        <v>0.972882091333116</v>
      </c>
      <c r="AK299" s="133">
        <v>0.988654045643154</v>
      </c>
      <c r="AL299" s="133">
        <v>0.990846681922197</v>
      </c>
      <c r="AM299" s="133">
        <v>0.988869813729374</v>
      </c>
      <c r="AN299" s="132">
        <v>0.99</v>
      </c>
      <c r="AO299" s="137">
        <v>1</v>
      </c>
      <c r="AP299" s="137">
        <v>1</v>
      </c>
      <c r="AQ299" s="137">
        <v>1</v>
      </c>
      <c r="AR299" s="137">
        <v>1</v>
      </c>
      <c r="AS299" s="158">
        <v>0.0922287257019438</v>
      </c>
      <c r="AT299" s="141">
        <v>0.0526315789473684</v>
      </c>
      <c r="AU299" s="141">
        <v>0.0508474576271186</v>
      </c>
      <c r="AV299" s="141">
        <v>0</v>
      </c>
      <c r="AW299" s="141">
        <v>0.0952380952380952</v>
      </c>
      <c r="AX299" s="88"/>
      <c r="AY299" s="93"/>
    </row>
    <row r="300" s="86" customFormat="1" ht="14.5" spans="1:51">
      <c r="A300" s="91"/>
      <c r="B300" s="88"/>
      <c r="C300" s="163" t="s">
        <v>260</v>
      </c>
      <c r="D300" s="153" t="s">
        <v>125</v>
      </c>
      <c r="E300" s="130" t="s">
        <v>261</v>
      </c>
      <c r="F300" s="164" t="s">
        <v>324</v>
      </c>
      <c r="G300" s="164" t="s">
        <v>324</v>
      </c>
      <c r="H300" s="164" t="s">
        <v>324</v>
      </c>
      <c r="I300" s="164" t="s">
        <v>324</v>
      </c>
      <c r="J300" s="132">
        <v>0.9</v>
      </c>
      <c r="K300" s="133" t="s">
        <v>35</v>
      </c>
      <c r="L300" s="133" t="s">
        <v>35</v>
      </c>
      <c r="M300" s="134" t="s">
        <v>35</v>
      </c>
      <c r="N300" s="133" t="s">
        <v>35</v>
      </c>
      <c r="O300" s="135">
        <v>0.9</v>
      </c>
      <c r="P300" s="133" t="s">
        <v>35</v>
      </c>
      <c r="Q300" s="133" t="s">
        <v>35</v>
      </c>
      <c r="R300" s="133" t="s">
        <v>35</v>
      </c>
      <c r="S300" s="133">
        <v>0</v>
      </c>
      <c r="T300" s="135">
        <v>0.9</v>
      </c>
      <c r="U300" s="133" t="s">
        <v>35</v>
      </c>
      <c r="V300" s="133" t="s">
        <v>35</v>
      </c>
      <c r="W300" s="133" t="s">
        <v>35</v>
      </c>
      <c r="X300" s="133">
        <v>1</v>
      </c>
      <c r="Y300" s="135">
        <v>0.92</v>
      </c>
      <c r="Z300" s="135" t="s">
        <v>35</v>
      </c>
      <c r="AA300" s="135" t="s">
        <v>35</v>
      </c>
      <c r="AB300" s="135" t="s">
        <v>35</v>
      </c>
      <c r="AC300" s="135" t="s">
        <v>35</v>
      </c>
      <c r="AD300" s="135">
        <v>0.92</v>
      </c>
      <c r="AE300" s="133">
        <v>0.998168498168498</v>
      </c>
      <c r="AF300" s="133">
        <v>0.951456310679612</v>
      </c>
      <c r="AG300" s="133">
        <v>0.97</v>
      </c>
      <c r="AH300" s="133">
        <v>0.958254525803837</v>
      </c>
      <c r="AI300" s="135">
        <v>0.92</v>
      </c>
      <c r="AJ300" s="133" t="s">
        <v>35</v>
      </c>
      <c r="AK300" s="133" t="s">
        <v>35</v>
      </c>
      <c r="AL300" s="133" t="s">
        <v>35</v>
      </c>
      <c r="AM300" s="133">
        <v>1</v>
      </c>
      <c r="AN300" s="132">
        <v>0.99</v>
      </c>
      <c r="AO300" s="137" t="s">
        <v>35</v>
      </c>
      <c r="AP300" s="137">
        <v>1</v>
      </c>
      <c r="AQ300" s="137">
        <v>1</v>
      </c>
      <c r="AR300" s="137">
        <v>1</v>
      </c>
      <c r="AS300" s="158">
        <v>0.0922287257019438</v>
      </c>
      <c r="AT300" s="141" t="s">
        <v>35</v>
      </c>
      <c r="AU300" s="141" t="s">
        <v>35</v>
      </c>
      <c r="AV300" s="141" t="s">
        <v>35</v>
      </c>
      <c r="AW300" s="141" t="s">
        <v>35</v>
      </c>
      <c r="AX300" s="88"/>
      <c r="AY300" s="93"/>
    </row>
    <row r="301" s="86" customFormat="1" ht="14.5" spans="1:51">
      <c r="A301" s="91"/>
      <c r="B301" s="88"/>
      <c r="C301" s="163" t="s">
        <v>260</v>
      </c>
      <c r="D301" s="153" t="s">
        <v>125</v>
      </c>
      <c r="E301" s="130" t="s">
        <v>261</v>
      </c>
      <c r="F301" s="164" t="s">
        <v>325</v>
      </c>
      <c r="G301" s="164" t="s">
        <v>325</v>
      </c>
      <c r="H301" s="164" t="s">
        <v>325</v>
      </c>
      <c r="I301" s="164" t="s">
        <v>325</v>
      </c>
      <c r="J301" s="132">
        <v>0.9</v>
      </c>
      <c r="K301" s="133" t="s">
        <v>35</v>
      </c>
      <c r="L301" s="133" t="s">
        <v>35</v>
      </c>
      <c r="M301" s="134" t="s">
        <v>35</v>
      </c>
      <c r="N301" s="133" t="s">
        <v>35</v>
      </c>
      <c r="O301" s="135">
        <v>0.9</v>
      </c>
      <c r="P301" s="133" t="s">
        <v>35</v>
      </c>
      <c r="Q301" s="133" t="s">
        <v>35</v>
      </c>
      <c r="R301" s="133" t="s">
        <v>35</v>
      </c>
      <c r="S301" s="133" t="s">
        <v>35</v>
      </c>
      <c r="T301" s="135">
        <v>0.9</v>
      </c>
      <c r="U301" s="133" t="s">
        <v>35</v>
      </c>
      <c r="V301" s="133" t="s">
        <v>35</v>
      </c>
      <c r="W301" s="133" t="s">
        <v>35</v>
      </c>
      <c r="X301" s="133" t="s">
        <v>35</v>
      </c>
      <c r="Y301" s="135">
        <v>0.92</v>
      </c>
      <c r="Z301" s="135" t="s">
        <v>35</v>
      </c>
      <c r="AA301" s="135" t="s">
        <v>35</v>
      </c>
      <c r="AB301" s="135" t="s">
        <v>35</v>
      </c>
      <c r="AC301" s="135" t="s">
        <v>35</v>
      </c>
      <c r="AD301" s="135">
        <v>0.92</v>
      </c>
      <c r="AE301" s="133">
        <v>1</v>
      </c>
      <c r="AF301" s="133">
        <v>0.983539094650206</v>
      </c>
      <c r="AG301" s="133">
        <v>0.995633187772926</v>
      </c>
      <c r="AH301" s="133">
        <v>0.995178935657334</v>
      </c>
      <c r="AI301" s="135">
        <v>0.92</v>
      </c>
      <c r="AJ301" s="133" t="s">
        <v>35</v>
      </c>
      <c r="AK301" s="133" t="s">
        <v>35</v>
      </c>
      <c r="AL301" s="133" t="s">
        <v>35</v>
      </c>
      <c r="AM301" s="133" t="s">
        <v>35</v>
      </c>
      <c r="AN301" s="132">
        <v>0.99</v>
      </c>
      <c r="AO301" s="137" t="s">
        <v>35</v>
      </c>
      <c r="AP301" s="137" t="s">
        <v>35</v>
      </c>
      <c r="AQ301" s="137" t="s">
        <v>35</v>
      </c>
      <c r="AR301" s="137">
        <v>1</v>
      </c>
      <c r="AS301" s="158">
        <v>0.0922287257019438</v>
      </c>
      <c r="AT301" s="141" t="s">
        <v>35</v>
      </c>
      <c r="AU301" s="141" t="s">
        <v>35</v>
      </c>
      <c r="AV301" s="141" t="s">
        <v>35</v>
      </c>
      <c r="AW301" s="141" t="s">
        <v>35</v>
      </c>
      <c r="AX301" s="88"/>
      <c r="AY301" s="93"/>
    </row>
    <row r="302" s="86" customFormat="1" ht="14.5" spans="1:51">
      <c r="A302" s="91"/>
      <c r="B302" s="88"/>
      <c r="C302" s="163" t="s">
        <v>260</v>
      </c>
      <c r="D302" s="153" t="s">
        <v>125</v>
      </c>
      <c r="E302" s="130" t="s">
        <v>261</v>
      </c>
      <c r="F302" s="164" t="s">
        <v>326</v>
      </c>
      <c r="G302" s="164" t="s">
        <v>326</v>
      </c>
      <c r="H302" s="164" t="s">
        <v>326</v>
      </c>
      <c r="I302" s="164" t="s">
        <v>326</v>
      </c>
      <c r="J302" s="132">
        <v>0.9</v>
      </c>
      <c r="K302" s="133" t="s">
        <v>35</v>
      </c>
      <c r="L302" s="133" t="s">
        <v>35</v>
      </c>
      <c r="M302" s="134" t="s">
        <v>35</v>
      </c>
      <c r="N302" s="133" t="s">
        <v>35</v>
      </c>
      <c r="O302" s="135">
        <v>0.9</v>
      </c>
      <c r="P302" s="133">
        <v>1</v>
      </c>
      <c r="Q302" s="133">
        <v>1</v>
      </c>
      <c r="R302" s="133">
        <v>0.916666666666667</v>
      </c>
      <c r="S302" s="133">
        <v>0.969309462915601</v>
      </c>
      <c r="T302" s="135">
        <v>0.9</v>
      </c>
      <c r="U302" s="133">
        <v>1</v>
      </c>
      <c r="V302" s="133">
        <v>1</v>
      </c>
      <c r="W302" s="133">
        <v>0.916666666666667</v>
      </c>
      <c r="X302" s="133">
        <v>0.976982097186701</v>
      </c>
      <c r="Y302" s="135">
        <v>0.92</v>
      </c>
      <c r="Z302" s="135">
        <v>1</v>
      </c>
      <c r="AA302" s="135">
        <v>1</v>
      </c>
      <c r="AB302" s="135">
        <v>0.933333333333333</v>
      </c>
      <c r="AC302" s="135">
        <v>0.981220657276995</v>
      </c>
      <c r="AD302" s="135">
        <v>0.92</v>
      </c>
      <c r="AE302" s="133">
        <v>0.994964028776978</v>
      </c>
      <c r="AF302" s="133">
        <v>0.99951690821256</v>
      </c>
      <c r="AG302" s="133">
        <v>0.998934280639432</v>
      </c>
      <c r="AH302" s="133">
        <v>0.953284335280692</v>
      </c>
      <c r="AI302" s="135">
        <v>0.92</v>
      </c>
      <c r="AJ302" s="133">
        <v>1</v>
      </c>
      <c r="AK302" s="133">
        <v>1</v>
      </c>
      <c r="AL302" s="133">
        <v>0.923076923076923</v>
      </c>
      <c r="AM302" s="133">
        <v>0.9808</v>
      </c>
      <c r="AN302" s="132">
        <v>0.99</v>
      </c>
      <c r="AO302" s="137">
        <v>1</v>
      </c>
      <c r="AP302" s="137" t="s">
        <v>35</v>
      </c>
      <c r="AQ302" s="137">
        <v>1</v>
      </c>
      <c r="AR302" s="137">
        <v>1</v>
      </c>
      <c r="AS302" s="158">
        <v>0.0922287257019438</v>
      </c>
      <c r="AT302" s="141" t="s">
        <v>35</v>
      </c>
      <c r="AU302" s="141">
        <v>0</v>
      </c>
      <c r="AV302" s="141">
        <v>0</v>
      </c>
      <c r="AW302" s="141">
        <v>0</v>
      </c>
      <c r="AX302" s="88"/>
      <c r="AY302" s="93"/>
    </row>
    <row r="303" s="86" customFormat="1" ht="14.5" spans="1:51">
      <c r="A303" s="91"/>
      <c r="B303" s="88"/>
      <c r="C303" s="163" t="s">
        <v>260</v>
      </c>
      <c r="D303" s="153" t="s">
        <v>125</v>
      </c>
      <c r="E303" s="130" t="s">
        <v>261</v>
      </c>
      <c r="F303" s="164" t="s">
        <v>327</v>
      </c>
      <c r="G303" s="164" t="s">
        <v>327</v>
      </c>
      <c r="H303" s="164" t="s">
        <v>327</v>
      </c>
      <c r="I303" s="164" t="s">
        <v>327</v>
      </c>
      <c r="J303" s="132">
        <v>0.9</v>
      </c>
      <c r="K303" s="133" t="s">
        <v>35</v>
      </c>
      <c r="L303" s="133" t="s">
        <v>35</v>
      </c>
      <c r="M303" s="134" t="s">
        <v>35</v>
      </c>
      <c r="N303" s="133" t="s">
        <v>35</v>
      </c>
      <c r="O303" s="135">
        <v>0.9</v>
      </c>
      <c r="P303" s="133" t="s">
        <v>35</v>
      </c>
      <c r="Q303" s="133" t="s">
        <v>35</v>
      </c>
      <c r="R303" s="133">
        <v>1</v>
      </c>
      <c r="S303" s="133">
        <v>0.666666666666667</v>
      </c>
      <c r="T303" s="135">
        <v>0.9</v>
      </c>
      <c r="U303" s="133" t="s">
        <v>35</v>
      </c>
      <c r="V303" s="133" t="s">
        <v>35</v>
      </c>
      <c r="W303" s="133">
        <v>0</v>
      </c>
      <c r="X303" s="133">
        <v>0</v>
      </c>
      <c r="Y303" s="135">
        <v>0.92</v>
      </c>
      <c r="Z303" s="135" t="s">
        <v>35</v>
      </c>
      <c r="AA303" s="135" t="s">
        <v>35</v>
      </c>
      <c r="AB303" s="135" t="s">
        <v>35</v>
      </c>
      <c r="AC303" s="135">
        <v>0</v>
      </c>
      <c r="AD303" s="135">
        <v>0.92</v>
      </c>
      <c r="AE303" s="133">
        <v>0.999327806408246</v>
      </c>
      <c r="AF303" s="133">
        <v>0.999490316004077</v>
      </c>
      <c r="AG303" s="133">
        <v>0.998096849228167</v>
      </c>
      <c r="AH303" s="133">
        <v>0.994378158874322</v>
      </c>
      <c r="AI303" s="135">
        <v>0.92</v>
      </c>
      <c r="AJ303" s="133" t="s">
        <v>35</v>
      </c>
      <c r="AK303" s="133" t="s">
        <v>35</v>
      </c>
      <c r="AL303" s="133">
        <v>0</v>
      </c>
      <c r="AM303" s="133">
        <v>0.2</v>
      </c>
      <c r="AN303" s="132">
        <v>0.99</v>
      </c>
      <c r="AO303" s="137">
        <v>1</v>
      </c>
      <c r="AP303" s="137">
        <v>1</v>
      </c>
      <c r="AQ303" s="137" t="s">
        <v>35</v>
      </c>
      <c r="AR303" s="137">
        <v>1</v>
      </c>
      <c r="AS303" s="158">
        <v>0.0922287257019438</v>
      </c>
      <c r="AT303" s="141" t="s">
        <v>35</v>
      </c>
      <c r="AU303" s="141" t="s">
        <v>35</v>
      </c>
      <c r="AV303" s="141" t="s">
        <v>35</v>
      </c>
      <c r="AW303" s="141" t="s">
        <v>35</v>
      </c>
      <c r="AX303" s="88"/>
      <c r="AY303" s="93"/>
    </row>
    <row r="304" s="86" customFormat="1" ht="14.5" spans="1:51">
      <c r="A304" s="91"/>
      <c r="B304" s="88"/>
      <c r="C304" s="163" t="s">
        <v>260</v>
      </c>
      <c r="D304" s="153" t="s">
        <v>125</v>
      </c>
      <c r="E304" s="130" t="s">
        <v>261</v>
      </c>
      <c r="F304" s="164" t="s">
        <v>328</v>
      </c>
      <c r="G304" s="164" t="s">
        <v>328</v>
      </c>
      <c r="H304" s="164" t="s">
        <v>328</v>
      </c>
      <c r="I304" s="164" t="s">
        <v>328</v>
      </c>
      <c r="J304" s="132">
        <v>0.9</v>
      </c>
      <c r="K304" s="133" t="s">
        <v>35</v>
      </c>
      <c r="L304" s="133" t="s">
        <v>35</v>
      </c>
      <c r="M304" s="134" t="s">
        <v>35</v>
      </c>
      <c r="N304" s="133" t="s">
        <v>35</v>
      </c>
      <c r="O304" s="135">
        <v>0.9</v>
      </c>
      <c r="P304" s="133">
        <v>0</v>
      </c>
      <c r="Q304" s="133">
        <v>0.06</v>
      </c>
      <c r="R304" s="133">
        <v>1</v>
      </c>
      <c r="S304" s="133">
        <v>0.108910891089109</v>
      </c>
      <c r="T304" s="135">
        <v>0.9</v>
      </c>
      <c r="U304" s="133">
        <v>0</v>
      </c>
      <c r="V304" s="133">
        <v>0.94</v>
      </c>
      <c r="W304" s="133">
        <v>0</v>
      </c>
      <c r="X304" s="133">
        <v>0.722772277227723</v>
      </c>
      <c r="Y304" s="135">
        <v>0.92</v>
      </c>
      <c r="Z304" s="135">
        <v>0</v>
      </c>
      <c r="AA304" s="135">
        <v>1</v>
      </c>
      <c r="AB304" s="135" t="s">
        <v>35</v>
      </c>
      <c r="AC304" s="135">
        <v>0.935483870967742</v>
      </c>
      <c r="AD304" s="135">
        <v>0.92</v>
      </c>
      <c r="AE304" s="133">
        <v>0.981454005934718</v>
      </c>
      <c r="AF304" s="133">
        <v>0.999514445253702</v>
      </c>
      <c r="AG304" s="133">
        <v>0.999180327868852</v>
      </c>
      <c r="AH304" s="133">
        <v>0.982806121875246</v>
      </c>
      <c r="AI304" s="135">
        <v>0.92</v>
      </c>
      <c r="AJ304" s="133">
        <v>0</v>
      </c>
      <c r="AK304" s="133">
        <v>0.946666666666667</v>
      </c>
      <c r="AL304" s="133">
        <v>0</v>
      </c>
      <c r="AM304" s="133">
        <v>0.773722627737226</v>
      </c>
      <c r="AN304" s="132">
        <v>0.99</v>
      </c>
      <c r="AO304" s="137">
        <v>1</v>
      </c>
      <c r="AP304" s="137">
        <v>1</v>
      </c>
      <c r="AQ304" s="137">
        <v>1</v>
      </c>
      <c r="AR304" s="137">
        <v>1</v>
      </c>
      <c r="AS304" s="158">
        <v>0.0922287257019438</v>
      </c>
      <c r="AT304" s="141" t="s">
        <v>35</v>
      </c>
      <c r="AU304" s="141" t="s">
        <v>35</v>
      </c>
      <c r="AV304" s="141" t="s">
        <v>35</v>
      </c>
      <c r="AW304" s="141">
        <v>0</v>
      </c>
      <c r="AX304" s="88"/>
      <c r="AY304" s="93"/>
    </row>
    <row r="305" s="86" customFormat="1" ht="14.5" spans="1:51">
      <c r="A305" s="91"/>
      <c r="B305" s="88"/>
      <c r="C305" s="163" t="s">
        <v>260</v>
      </c>
      <c r="D305" s="153" t="s">
        <v>125</v>
      </c>
      <c r="E305" s="130" t="s">
        <v>261</v>
      </c>
      <c r="F305" s="164" t="s">
        <v>329</v>
      </c>
      <c r="G305" s="164" t="s">
        <v>329</v>
      </c>
      <c r="H305" s="164" t="s">
        <v>329</v>
      </c>
      <c r="I305" s="164" t="s">
        <v>329</v>
      </c>
      <c r="J305" s="132">
        <v>0.9</v>
      </c>
      <c r="K305" s="133" t="s">
        <v>35</v>
      </c>
      <c r="L305" s="133" t="s">
        <v>35</v>
      </c>
      <c r="M305" s="134" t="s">
        <v>35</v>
      </c>
      <c r="N305" s="133" t="s">
        <v>35</v>
      </c>
      <c r="O305" s="135">
        <v>0.9</v>
      </c>
      <c r="P305" s="133" t="s">
        <v>35</v>
      </c>
      <c r="Q305" s="133" t="s">
        <v>35</v>
      </c>
      <c r="R305" s="133" t="s">
        <v>35</v>
      </c>
      <c r="S305" s="133">
        <v>0</v>
      </c>
      <c r="T305" s="135">
        <v>0.9</v>
      </c>
      <c r="U305" s="133" t="s">
        <v>35</v>
      </c>
      <c r="V305" s="133" t="s">
        <v>35</v>
      </c>
      <c r="W305" s="133" t="s">
        <v>35</v>
      </c>
      <c r="X305" s="133">
        <v>0.5</v>
      </c>
      <c r="Y305" s="135">
        <v>0.92</v>
      </c>
      <c r="Z305" s="135" t="s">
        <v>35</v>
      </c>
      <c r="AA305" s="135" t="s">
        <v>35</v>
      </c>
      <c r="AB305" s="135">
        <v>0</v>
      </c>
      <c r="AC305" s="135">
        <v>0</v>
      </c>
      <c r="AD305" s="135">
        <v>0.92</v>
      </c>
      <c r="AE305" s="133">
        <v>0.999608763693271</v>
      </c>
      <c r="AF305" s="133">
        <v>0.999349804941482</v>
      </c>
      <c r="AG305" s="133">
        <v>0.988689915174364</v>
      </c>
      <c r="AH305" s="133">
        <v>0.994330847874548</v>
      </c>
      <c r="AI305" s="135">
        <v>0.92</v>
      </c>
      <c r="AJ305" s="133" t="s">
        <v>35</v>
      </c>
      <c r="AK305" s="133" t="s">
        <v>35</v>
      </c>
      <c r="AL305" s="133">
        <v>0</v>
      </c>
      <c r="AM305" s="133">
        <v>0.25</v>
      </c>
      <c r="AN305" s="132">
        <v>0.99</v>
      </c>
      <c r="AO305" s="137" t="s">
        <v>35</v>
      </c>
      <c r="AP305" s="137" t="s">
        <v>35</v>
      </c>
      <c r="AQ305" s="137">
        <v>1</v>
      </c>
      <c r="AR305" s="137">
        <v>1</v>
      </c>
      <c r="AS305" s="158">
        <v>0.0922287257019438</v>
      </c>
      <c r="AT305" s="141" t="s">
        <v>35</v>
      </c>
      <c r="AU305" s="141" t="s">
        <v>35</v>
      </c>
      <c r="AV305" s="141" t="s">
        <v>35</v>
      </c>
      <c r="AW305" s="141" t="s">
        <v>35</v>
      </c>
      <c r="AX305" s="88"/>
      <c r="AY305" s="93"/>
    </row>
    <row r="306" s="86" customFormat="1" ht="14.5" spans="1:51">
      <c r="A306" s="91"/>
      <c r="B306" s="88"/>
      <c r="C306" s="163" t="s">
        <v>260</v>
      </c>
      <c r="D306" s="153" t="s">
        <v>125</v>
      </c>
      <c r="E306" s="130" t="s">
        <v>261</v>
      </c>
      <c r="F306" s="164" t="s">
        <v>330</v>
      </c>
      <c r="G306" s="164" t="s">
        <v>330</v>
      </c>
      <c r="H306" s="164" t="s">
        <v>330</v>
      </c>
      <c r="I306" s="164" t="s">
        <v>330</v>
      </c>
      <c r="J306" s="132">
        <v>0.9</v>
      </c>
      <c r="K306" s="133" t="s">
        <v>35</v>
      </c>
      <c r="L306" s="133" t="s">
        <v>35</v>
      </c>
      <c r="M306" s="134" t="s">
        <v>35</v>
      </c>
      <c r="N306" s="133" t="s">
        <v>35</v>
      </c>
      <c r="O306" s="135">
        <v>0.9</v>
      </c>
      <c r="P306" s="133" t="s">
        <v>35</v>
      </c>
      <c r="Q306" s="133" t="s">
        <v>35</v>
      </c>
      <c r="R306" s="133" t="s">
        <v>35</v>
      </c>
      <c r="S306" s="133">
        <v>0</v>
      </c>
      <c r="T306" s="135">
        <v>0.9</v>
      </c>
      <c r="U306" s="133" t="s">
        <v>35</v>
      </c>
      <c r="V306" s="133" t="s">
        <v>35</v>
      </c>
      <c r="W306" s="133" t="s">
        <v>35</v>
      </c>
      <c r="X306" s="133">
        <v>0</v>
      </c>
      <c r="Y306" s="135">
        <v>0.92</v>
      </c>
      <c r="Z306" s="135" t="s">
        <v>35</v>
      </c>
      <c r="AA306" s="135" t="s">
        <v>35</v>
      </c>
      <c r="AB306" s="135" t="s">
        <v>35</v>
      </c>
      <c r="AC306" s="135">
        <v>0</v>
      </c>
      <c r="AD306" s="135">
        <v>0.92</v>
      </c>
      <c r="AE306" s="133">
        <v>0.809744779582367</v>
      </c>
      <c r="AF306" s="133">
        <v>0.961448598130841</v>
      </c>
      <c r="AG306" s="133">
        <v>0.993775933609959</v>
      </c>
      <c r="AH306" s="133">
        <v>0.955291454442558</v>
      </c>
      <c r="AI306" s="135">
        <v>0.92</v>
      </c>
      <c r="AJ306" s="133" t="s">
        <v>35</v>
      </c>
      <c r="AK306" s="133" t="s">
        <v>35</v>
      </c>
      <c r="AL306" s="133" t="s">
        <v>35</v>
      </c>
      <c r="AM306" s="133">
        <v>0</v>
      </c>
      <c r="AN306" s="132">
        <v>0.99</v>
      </c>
      <c r="AO306" s="137" t="s">
        <v>35</v>
      </c>
      <c r="AP306" s="137">
        <v>1</v>
      </c>
      <c r="AQ306" s="137">
        <v>1</v>
      </c>
      <c r="AR306" s="137">
        <v>1</v>
      </c>
      <c r="AS306" s="158">
        <v>0.0922287257019438</v>
      </c>
      <c r="AT306" s="141" t="s">
        <v>35</v>
      </c>
      <c r="AU306" s="141" t="s">
        <v>35</v>
      </c>
      <c r="AV306" s="141" t="s">
        <v>35</v>
      </c>
      <c r="AW306" s="141" t="s">
        <v>35</v>
      </c>
      <c r="AX306" s="88"/>
      <c r="AY306" s="93"/>
    </row>
    <row r="307" s="86" customFormat="1" ht="14.5" spans="1:51">
      <c r="A307" s="91"/>
      <c r="B307" s="88"/>
      <c r="C307" s="163" t="s">
        <v>260</v>
      </c>
      <c r="D307" s="153" t="s">
        <v>25</v>
      </c>
      <c r="E307" s="130" t="s">
        <v>261</v>
      </c>
      <c r="F307" s="164" t="s">
        <v>331</v>
      </c>
      <c r="G307" s="164" t="s">
        <v>331</v>
      </c>
      <c r="H307" s="164" t="s">
        <v>331</v>
      </c>
      <c r="I307" s="164" t="s">
        <v>331</v>
      </c>
      <c r="J307" s="132">
        <v>0.9</v>
      </c>
      <c r="K307" s="133">
        <v>0.98876404494382</v>
      </c>
      <c r="L307" s="133">
        <v>0.990990990990991</v>
      </c>
      <c r="M307" s="134">
        <v>0.981981981981982</v>
      </c>
      <c r="N307" s="133">
        <v>0.977861771058315</v>
      </c>
      <c r="O307" s="135">
        <v>0.9</v>
      </c>
      <c r="P307" s="133">
        <v>0.983494891275871</v>
      </c>
      <c r="Q307" s="133">
        <v>0.961911239585105</v>
      </c>
      <c r="R307" s="133">
        <v>0.965821596244131</v>
      </c>
      <c r="S307" s="133">
        <v>0.957452682597626</v>
      </c>
      <c r="T307" s="135">
        <v>0.9</v>
      </c>
      <c r="U307" s="133">
        <v>0.93633743777836</v>
      </c>
      <c r="V307" s="133">
        <v>0.937765686107805</v>
      </c>
      <c r="W307" s="133">
        <v>0.945727699530516</v>
      </c>
      <c r="X307" s="133">
        <v>0.941480822520118</v>
      </c>
      <c r="Y307" s="135">
        <v>0.92</v>
      </c>
      <c r="Z307" s="135">
        <v>0.974151039026863</v>
      </c>
      <c r="AA307" s="135">
        <v>0.985510930350788</v>
      </c>
      <c r="AB307" s="135">
        <v>0.991568727644354</v>
      </c>
      <c r="AC307" s="135">
        <v>0.987005497674061</v>
      </c>
      <c r="AD307" s="135">
        <v>0.92</v>
      </c>
      <c r="AE307" s="133">
        <v>0.987209302325581</v>
      </c>
      <c r="AF307" s="133">
        <v>0.984186433624636</v>
      </c>
      <c r="AG307" s="133">
        <v>0.992296481365813</v>
      </c>
      <c r="AH307" s="133">
        <v>0.991491588785047</v>
      </c>
      <c r="AI307" s="135">
        <v>0.92</v>
      </c>
      <c r="AJ307" s="133">
        <v>0.98307718874115</v>
      </c>
      <c r="AK307" s="133">
        <v>0.990830361691289</v>
      </c>
      <c r="AL307" s="133">
        <v>0.994912869358156</v>
      </c>
      <c r="AM307" s="133">
        <v>0.991646906967355</v>
      </c>
      <c r="AN307" s="132">
        <v>0.99</v>
      </c>
      <c r="AO307" s="137">
        <v>1</v>
      </c>
      <c r="AP307" s="137">
        <v>1</v>
      </c>
      <c r="AQ307" s="137">
        <v>1</v>
      </c>
      <c r="AR307" s="137">
        <v>1</v>
      </c>
      <c r="AS307" s="158">
        <v>0.0922287257019438</v>
      </c>
      <c r="AT307" s="141">
        <v>0.142857142857143</v>
      </c>
      <c r="AU307" s="141">
        <v>0.0357142857142857</v>
      </c>
      <c r="AV307" s="141">
        <v>0.0769230769230769</v>
      </c>
      <c r="AW307" s="141">
        <v>0.0529411764705882</v>
      </c>
      <c r="AX307" s="88"/>
      <c r="AY307" s="93"/>
    </row>
    <row r="308" s="86" customFormat="1" ht="14.5" spans="1:51">
      <c r="A308" s="91"/>
      <c r="B308" s="88"/>
      <c r="C308" s="163" t="s">
        <v>260</v>
      </c>
      <c r="D308" s="153" t="s">
        <v>125</v>
      </c>
      <c r="E308" s="130" t="s">
        <v>261</v>
      </c>
      <c r="F308" s="164" t="s">
        <v>332</v>
      </c>
      <c r="G308" s="164" t="s">
        <v>332</v>
      </c>
      <c r="H308" s="164" t="s">
        <v>332</v>
      </c>
      <c r="I308" s="164" t="s">
        <v>332</v>
      </c>
      <c r="J308" s="132">
        <v>0.9</v>
      </c>
      <c r="K308" s="133" t="s">
        <v>35</v>
      </c>
      <c r="L308" s="133" t="s">
        <v>35</v>
      </c>
      <c r="M308" s="134" t="s">
        <v>35</v>
      </c>
      <c r="N308" s="133" t="s">
        <v>35</v>
      </c>
      <c r="O308" s="135">
        <v>0.9</v>
      </c>
      <c r="P308" s="133" t="s">
        <v>35</v>
      </c>
      <c r="Q308" s="133" t="s">
        <v>35</v>
      </c>
      <c r="R308" s="133" t="s">
        <v>35</v>
      </c>
      <c r="S308" s="133">
        <v>0</v>
      </c>
      <c r="T308" s="135">
        <v>0.9</v>
      </c>
      <c r="U308" s="133" t="s">
        <v>35</v>
      </c>
      <c r="V308" s="133" t="s">
        <v>35</v>
      </c>
      <c r="W308" s="133" t="s">
        <v>35</v>
      </c>
      <c r="X308" s="133">
        <v>1</v>
      </c>
      <c r="Y308" s="135">
        <v>0.92</v>
      </c>
      <c r="Z308" s="135" t="s">
        <v>35</v>
      </c>
      <c r="AA308" s="135" t="s">
        <v>35</v>
      </c>
      <c r="AB308" s="135" t="s">
        <v>35</v>
      </c>
      <c r="AC308" s="135" t="s">
        <v>35</v>
      </c>
      <c r="AD308" s="135">
        <v>0.92</v>
      </c>
      <c r="AE308" s="133">
        <v>1</v>
      </c>
      <c r="AF308" s="133">
        <v>0.975</v>
      </c>
      <c r="AG308" s="133">
        <v>0.980645161290323</v>
      </c>
      <c r="AH308" s="133">
        <v>0.985926928281461</v>
      </c>
      <c r="AI308" s="135">
        <v>0.92</v>
      </c>
      <c r="AJ308" s="133" t="s">
        <v>35</v>
      </c>
      <c r="AK308" s="133" t="s">
        <v>35</v>
      </c>
      <c r="AL308" s="133" t="s">
        <v>35</v>
      </c>
      <c r="AM308" s="133">
        <v>1</v>
      </c>
      <c r="AN308" s="132">
        <v>0.99</v>
      </c>
      <c r="AO308" s="137" t="s">
        <v>35</v>
      </c>
      <c r="AP308" s="137">
        <v>1</v>
      </c>
      <c r="AQ308" s="137">
        <v>1</v>
      </c>
      <c r="AR308" s="137">
        <v>1</v>
      </c>
      <c r="AS308" s="158">
        <v>0.0922287257019438</v>
      </c>
      <c r="AT308" s="141" t="s">
        <v>35</v>
      </c>
      <c r="AU308" s="141" t="s">
        <v>35</v>
      </c>
      <c r="AV308" s="141" t="s">
        <v>35</v>
      </c>
      <c r="AW308" s="141" t="s">
        <v>35</v>
      </c>
      <c r="AX308" s="88"/>
      <c r="AY308" s="93"/>
    </row>
    <row r="309" s="86" customFormat="1" ht="14.5" spans="1:51">
      <c r="A309" s="91"/>
      <c r="B309" s="88"/>
      <c r="C309" s="163" t="s">
        <v>260</v>
      </c>
      <c r="D309" s="153" t="s">
        <v>125</v>
      </c>
      <c r="E309" s="130" t="s">
        <v>261</v>
      </c>
      <c r="F309" s="164" t="s">
        <v>333</v>
      </c>
      <c r="G309" s="164" t="s">
        <v>333</v>
      </c>
      <c r="H309" s="164" t="s">
        <v>333</v>
      </c>
      <c r="I309" s="164" t="s">
        <v>333</v>
      </c>
      <c r="J309" s="132">
        <v>0.9</v>
      </c>
      <c r="K309" s="133" t="s">
        <v>35</v>
      </c>
      <c r="L309" s="133" t="s">
        <v>35</v>
      </c>
      <c r="M309" s="134" t="s">
        <v>35</v>
      </c>
      <c r="N309" s="133" t="s">
        <v>35</v>
      </c>
      <c r="O309" s="135">
        <v>0.9</v>
      </c>
      <c r="P309" s="133">
        <v>1</v>
      </c>
      <c r="Q309" s="133">
        <v>1</v>
      </c>
      <c r="R309" s="133">
        <v>0.5</v>
      </c>
      <c r="S309" s="133">
        <v>0.866666666666667</v>
      </c>
      <c r="T309" s="135">
        <v>0.9</v>
      </c>
      <c r="U309" s="133">
        <v>0</v>
      </c>
      <c r="V309" s="133">
        <v>0</v>
      </c>
      <c r="W309" s="133">
        <v>0.5</v>
      </c>
      <c r="X309" s="133">
        <v>0.733333333333333</v>
      </c>
      <c r="Y309" s="135">
        <v>0.92</v>
      </c>
      <c r="Z309" s="135" t="s">
        <v>35</v>
      </c>
      <c r="AA309" s="135" t="s">
        <v>35</v>
      </c>
      <c r="AB309" s="135" t="s">
        <v>35</v>
      </c>
      <c r="AC309" s="135">
        <v>1</v>
      </c>
      <c r="AD309" s="135">
        <v>0.92</v>
      </c>
      <c r="AE309" s="133">
        <v>0.999612703330751</v>
      </c>
      <c r="AF309" s="133">
        <v>0.99904912836767</v>
      </c>
      <c r="AG309" s="133">
        <v>0.998900615655233</v>
      </c>
      <c r="AH309" s="133">
        <v>0.997426051145059</v>
      </c>
      <c r="AI309" s="135">
        <v>0.92</v>
      </c>
      <c r="AJ309" s="133">
        <v>0</v>
      </c>
      <c r="AK309" s="133">
        <v>0</v>
      </c>
      <c r="AL309" s="133">
        <v>0.5</v>
      </c>
      <c r="AM309" s="133">
        <v>0.761904761904762</v>
      </c>
      <c r="AN309" s="132">
        <v>0.99</v>
      </c>
      <c r="AO309" s="137" t="s">
        <v>35</v>
      </c>
      <c r="AP309" s="137" t="s">
        <v>35</v>
      </c>
      <c r="AQ309" s="137" t="s">
        <v>35</v>
      </c>
      <c r="AR309" s="137">
        <v>1</v>
      </c>
      <c r="AS309" s="158">
        <v>0.0922287257019438</v>
      </c>
      <c r="AT309" s="141" t="s">
        <v>35</v>
      </c>
      <c r="AU309" s="141" t="s">
        <v>35</v>
      </c>
      <c r="AV309" s="141" t="s">
        <v>35</v>
      </c>
      <c r="AW309" s="141" t="s">
        <v>35</v>
      </c>
      <c r="AX309" s="88"/>
      <c r="AY309" s="93"/>
    </row>
    <row r="310" s="86" customFormat="1" ht="14.5" spans="1:51">
      <c r="A310" s="91"/>
      <c r="B310" s="88"/>
      <c r="C310" s="163" t="s">
        <v>260</v>
      </c>
      <c r="D310" s="153" t="s">
        <v>25</v>
      </c>
      <c r="E310" s="130" t="s">
        <v>261</v>
      </c>
      <c r="F310" s="164" t="s">
        <v>334</v>
      </c>
      <c r="G310" s="164" t="s">
        <v>334</v>
      </c>
      <c r="H310" s="164" t="s">
        <v>334</v>
      </c>
      <c r="I310" s="164" t="s">
        <v>334</v>
      </c>
      <c r="J310" s="132">
        <v>0.9</v>
      </c>
      <c r="K310" s="133">
        <v>0.840579710144927</v>
      </c>
      <c r="L310" s="133">
        <v>0.948051948051948</v>
      </c>
      <c r="M310" s="134">
        <v>0.975308641975309</v>
      </c>
      <c r="N310" s="133">
        <v>0.953623188405797</v>
      </c>
      <c r="O310" s="135">
        <v>0.9</v>
      </c>
      <c r="P310" s="133">
        <v>0.979987088444157</v>
      </c>
      <c r="Q310" s="133">
        <v>0.976407745381705</v>
      </c>
      <c r="R310" s="133">
        <v>0.978594016054488</v>
      </c>
      <c r="S310" s="133">
        <v>0.965925670477757</v>
      </c>
      <c r="T310" s="135">
        <v>0.9</v>
      </c>
      <c r="U310" s="133">
        <v>0.91833440929632</v>
      </c>
      <c r="V310" s="133">
        <v>0.946806142888938</v>
      </c>
      <c r="W310" s="133">
        <v>0.959134030649477</v>
      </c>
      <c r="X310" s="133">
        <v>0.936865002520094</v>
      </c>
      <c r="Y310" s="135">
        <v>0.92</v>
      </c>
      <c r="Z310" s="135">
        <v>0.959717314487633</v>
      </c>
      <c r="AA310" s="135">
        <v>0.989874301675978</v>
      </c>
      <c r="AB310" s="135">
        <v>0.991468183434056</v>
      </c>
      <c r="AC310" s="135">
        <v>0.991133695461714</v>
      </c>
      <c r="AD310" s="135">
        <v>0.92</v>
      </c>
      <c r="AE310" s="133">
        <v>0.991186440677966</v>
      </c>
      <c r="AF310" s="133">
        <v>0.994100895036615</v>
      </c>
      <c r="AG310" s="133">
        <v>0.990731070496084</v>
      </c>
      <c r="AH310" s="133">
        <v>0.937188770028495</v>
      </c>
      <c r="AI310" s="135">
        <v>0.92</v>
      </c>
      <c r="AJ310" s="133">
        <v>0.979627989371125</v>
      </c>
      <c r="AK310" s="133">
        <v>0.994291151284491</v>
      </c>
      <c r="AL310" s="133">
        <v>0.99393676916414</v>
      </c>
      <c r="AM310" s="133">
        <v>0.994203029822694</v>
      </c>
      <c r="AN310" s="132">
        <v>0.99</v>
      </c>
      <c r="AO310" s="137">
        <v>1</v>
      </c>
      <c r="AP310" s="137">
        <v>1</v>
      </c>
      <c r="AQ310" s="137">
        <v>1</v>
      </c>
      <c r="AR310" s="137">
        <v>1</v>
      </c>
      <c r="AS310" s="158">
        <v>0.0922287257019438</v>
      </c>
      <c r="AT310" s="141">
        <v>0.0555555555555556</v>
      </c>
      <c r="AU310" s="141">
        <v>0.0454545454545455</v>
      </c>
      <c r="AV310" s="141">
        <v>0.0769230769230769</v>
      </c>
      <c r="AW310" s="141">
        <v>0.0835654596100279</v>
      </c>
      <c r="AX310" s="88"/>
      <c r="AY310" s="93"/>
    </row>
    <row r="311" s="86" customFormat="1" ht="14.5" spans="1:51">
      <c r="A311" s="91"/>
      <c r="B311" s="88"/>
      <c r="C311" s="163" t="s">
        <v>260</v>
      </c>
      <c r="D311" s="153" t="s">
        <v>25</v>
      </c>
      <c r="E311" s="130" t="s">
        <v>261</v>
      </c>
      <c r="F311" s="164" t="s">
        <v>335</v>
      </c>
      <c r="G311" s="164" t="s">
        <v>335</v>
      </c>
      <c r="H311" s="164" t="s">
        <v>335</v>
      </c>
      <c r="I311" s="164" t="s">
        <v>335</v>
      </c>
      <c r="J311" s="132">
        <v>0.9</v>
      </c>
      <c r="K311" s="133">
        <v>0.963855421686747</v>
      </c>
      <c r="L311" s="133">
        <v>0.936842105263158</v>
      </c>
      <c r="M311" s="134">
        <v>0.96875</v>
      </c>
      <c r="N311" s="133">
        <v>0.976700251889169</v>
      </c>
      <c r="O311" s="135">
        <v>0.9</v>
      </c>
      <c r="P311" s="133">
        <v>0.966091370558376</v>
      </c>
      <c r="Q311" s="133">
        <v>0.962871646120377</v>
      </c>
      <c r="R311" s="133">
        <v>0.966814861860908</v>
      </c>
      <c r="S311" s="133">
        <v>0.96708932896424</v>
      </c>
      <c r="T311" s="135">
        <v>0.9</v>
      </c>
      <c r="U311" s="133">
        <v>0.916345177664975</v>
      </c>
      <c r="V311" s="133">
        <v>0.908339376359681</v>
      </c>
      <c r="W311" s="133">
        <v>0.930136551286123</v>
      </c>
      <c r="X311" s="133">
        <v>0.933421783729876</v>
      </c>
      <c r="Y311" s="135">
        <v>0.92</v>
      </c>
      <c r="Z311" s="135">
        <v>0.908212560386473</v>
      </c>
      <c r="AA311" s="135">
        <v>0.926354793886058</v>
      </c>
      <c r="AB311" s="135">
        <v>0.929906542056075</v>
      </c>
      <c r="AC311" s="135">
        <v>0.942598187311178</v>
      </c>
      <c r="AD311" s="135">
        <v>0.92</v>
      </c>
      <c r="AE311" s="133">
        <v>0.919811320754717</v>
      </c>
      <c r="AF311" s="133">
        <v>0.970614425645592</v>
      </c>
      <c r="AG311" s="133">
        <v>0.943313953488372</v>
      </c>
      <c r="AH311" s="133">
        <v>0.966565077088562</v>
      </c>
      <c r="AI311" s="135">
        <v>0.92</v>
      </c>
      <c r="AJ311" s="133">
        <v>0.958630279853989</v>
      </c>
      <c r="AK311" s="133">
        <v>0.958802739120831</v>
      </c>
      <c r="AL311" s="133">
        <v>0.967915106117353</v>
      </c>
      <c r="AM311" s="133">
        <v>0.970907761765841</v>
      </c>
      <c r="AN311" s="132">
        <v>0.99</v>
      </c>
      <c r="AO311" s="137">
        <v>1</v>
      </c>
      <c r="AP311" s="137">
        <v>1</v>
      </c>
      <c r="AQ311" s="137">
        <v>1</v>
      </c>
      <c r="AR311" s="137">
        <v>1</v>
      </c>
      <c r="AS311" s="158">
        <v>0.0922287257019438</v>
      </c>
      <c r="AT311" s="141">
        <v>0.0769230769230769</v>
      </c>
      <c r="AU311" s="141">
        <v>0</v>
      </c>
      <c r="AV311" s="141">
        <v>0.214285714285714</v>
      </c>
      <c r="AW311" s="141">
        <v>0.050761421319797</v>
      </c>
      <c r="AX311" s="88"/>
      <c r="AY311" s="93"/>
    </row>
    <row r="312" s="86" customFormat="1" ht="14.5" spans="1:51">
      <c r="A312" s="91"/>
      <c r="B312" s="88"/>
      <c r="C312" s="163" t="s">
        <v>260</v>
      </c>
      <c r="D312" s="153" t="s">
        <v>25</v>
      </c>
      <c r="E312" s="130" t="s">
        <v>261</v>
      </c>
      <c r="F312" s="164" t="s">
        <v>336</v>
      </c>
      <c r="G312" s="164" t="s">
        <v>336</v>
      </c>
      <c r="H312" s="164" t="s">
        <v>336</v>
      </c>
      <c r="I312" s="164" t="s">
        <v>336</v>
      </c>
      <c r="J312" s="132">
        <v>0.9</v>
      </c>
      <c r="K312" s="133">
        <v>0.943396226415094</v>
      </c>
      <c r="L312" s="133">
        <v>0.951351351351351</v>
      </c>
      <c r="M312" s="134">
        <v>0.953125</v>
      </c>
      <c r="N312" s="133">
        <v>0.962679425837321</v>
      </c>
      <c r="O312" s="135">
        <v>0.9</v>
      </c>
      <c r="P312" s="133">
        <v>0.97394540942928</v>
      </c>
      <c r="Q312" s="133">
        <v>0.977568511268649</v>
      </c>
      <c r="R312" s="133">
        <v>0.97554006172134</v>
      </c>
      <c r="S312" s="133">
        <v>0.957515086427329</v>
      </c>
      <c r="T312" s="135">
        <v>0.9</v>
      </c>
      <c r="U312" s="133">
        <v>0.952853598014888</v>
      </c>
      <c r="V312" s="133">
        <v>0.953444079991535</v>
      </c>
      <c r="W312" s="133">
        <v>0.965481769345068</v>
      </c>
      <c r="X312" s="133">
        <v>0.9480349289148</v>
      </c>
      <c r="Y312" s="135">
        <v>0.92</v>
      </c>
      <c r="Z312" s="135">
        <v>0.946583850931677</v>
      </c>
      <c r="AA312" s="135">
        <v>0.963400576368876</v>
      </c>
      <c r="AB312" s="135">
        <v>0.972691807542263</v>
      </c>
      <c r="AC312" s="135">
        <v>0.972840513029629</v>
      </c>
      <c r="AD312" s="135">
        <v>0.92</v>
      </c>
      <c r="AE312" s="133">
        <v>0.824445775913721</v>
      </c>
      <c r="AF312" s="133">
        <v>0.983579638752053</v>
      </c>
      <c r="AG312" s="133">
        <v>0.975046554934823</v>
      </c>
      <c r="AH312" s="133">
        <v>0.976922567397496</v>
      </c>
      <c r="AI312" s="135">
        <v>0.92</v>
      </c>
      <c r="AJ312" s="133">
        <v>0.968685407193055</v>
      </c>
      <c r="AK312" s="133">
        <v>0.979500945640901</v>
      </c>
      <c r="AL312" s="133">
        <v>0.984940335651841</v>
      </c>
      <c r="AM312" s="133">
        <v>0.983843828328458</v>
      </c>
      <c r="AN312" s="132">
        <v>0.99</v>
      </c>
      <c r="AO312" s="137">
        <v>1</v>
      </c>
      <c r="AP312" s="137">
        <v>1</v>
      </c>
      <c r="AQ312" s="137">
        <v>1</v>
      </c>
      <c r="AR312" s="137">
        <v>1</v>
      </c>
      <c r="AS312" s="158">
        <v>0.0922287257019438</v>
      </c>
      <c r="AT312" s="141">
        <v>0</v>
      </c>
      <c r="AU312" s="141">
        <v>0.04</v>
      </c>
      <c r="AV312" s="141">
        <v>0.0526315789473684</v>
      </c>
      <c r="AW312" s="141">
        <v>0.0770577933450088</v>
      </c>
      <c r="AX312" s="88"/>
      <c r="AY312" s="93"/>
    </row>
    <row r="313" s="86" customFormat="1" ht="14.5" spans="1:51">
      <c r="A313" s="91"/>
      <c r="B313" s="88"/>
      <c r="C313" s="163" t="s">
        <v>260</v>
      </c>
      <c r="D313" s="153" t="s">
        <v>25</v>
      </c>
      <c r="E313" s="130" t="s">
        <v>261</v>
      </c>
      <c r="F313" s="164" t="s">
        <v>337</v>
      </c>
      <c r="G313" s="164" t="s">
        <v>337</v>
      </c>
      <c r="H313" s="164" t="s">
        <v>337</v>
      </c>
      <c r="I313" s="164" t="s">
        <v>337</v>
      </c>
      <c r="J313" s="132">
        <v>0.9</v>
      </c>
      <c r="K313" s="133">
        <v>0.974683544303797</v>
      </c>
      <c r="L313" s="133">
        <v>0.989690721649485</v>
      </c>
      <c r="M313" s="134">
        <v>0.990291262135922</v>
      </c>
      <c r="N313" s="133">
        <v>0.980298507462687</v>
      </c>
      <c r="O313" s="135">
        <v>0.9</v>
      </c>
      <c r="P313" s="133">
        <v>0.97867154174284</v>
      </c>
      <c r="Q313" s="133">
        <v>0.983562213899293</v>
      </c>
      <c r="R313" s="133">
        <v>0.98171129980405</v>
      </c>
      <c r="S313" s="133">
        <v>0.972378372853639</v>
      </c>
      <c r="T313" s="135">
        <v>0.9</v>
      </c>
      <c r="U313" s="133">
        <v>0.94393662400975</v>
      </c>
      <c r="V313" s="133">
        <v>0.951935081148564</v>
      </c>
      <c r="W313" s="133">
        <v>0.964946657957762</v>
      </c>
      <c r="X313" s="133">
        <v>0.954057645134914</v>
      </c>
      <c r="Y313" s="135">
        <v>0.92</v>
      </c>
      <c r="Z313" s="135">
        <v>0.948152948801037</v>
      </c>
      <c r="AA313" s="135">
        <v>0.96931982633864</v>
      </c>
      <c r="AB313" s="135">
        <v>0.981434599156118</v>
      </c>
      <c r="AC313" s="135">
        <v>0.976763868585058</v>
      </c>
      <c r="AD313" s="135">
        <v>0.92</v>
      </c>
      <c r="AE313" s="133">
        <v>0.997278911564626</v>
      </c>
      <c r="AF313" s="133">
        <v>0.998714102014574</v>
      </c>
      <c r="AG313" s="133">
        <v>0.998734577665296</v>
      </c>
      <c r="AH313" s="133">
        <v>0.997942879012582</v>
      </c>
      <c r="AI313" s="135">
        <v>0.92</v>
      </c>
      <c r="AJ313" s="133">
        <v>0.971410814170292</v>
      </c>
      <c r="AK313" s="133">
        <v>0.98099503692047</v>
      </c>
      <c r="AL313" s="133">
        <v>0.988095238095238</v>
      </c>
      <c r="AM313" s="133">
        <v>0.985929353629682</v>
      </c>
      <c r="AN313" s="132">
        <v>0.99</v>
      </c>
      <c r="AO313" s="137">
        <v>1</v>
      </c>
      <c r="AP313" s="137">
        <v>1</v>
      </c>
      <c r="AQ313" s="137">
        <v>1</v>
      </c>
      <c r="AR313" s="137">
        <v>1</v>
      </c>
      <c r="AS313" s="158">
        <v>0.0922287257019438</v>
      </c>
      <c r="AT313" s="141">
        <v>0.142857142857143</v>
      </c>
      <c r="AU313" s="141">
        <v>0.105263157894737</v>
      </c>
      <c r="AV313" s="141">
        <v>0.0769230769230769</v>
      </c>
      <c r="AW313" s="141">
        <v>0.0638888888888889</v>
      </c>
      <c r="AX313" s="88"/>
      <c r="AY313" s="93"/>
    </row>
    <row r="314" s="86" customFormat="1" ht="14.5" spans="1:51">
      <c r="A314" s="91"/>
      <c r="B314" s="88"/>
      <c r="C314" s="163" t="s">
        <v>260</v>
      </c>
      <c r="D314" s="153" t="s">
        <v>25</v>
      </c>
      <c r="E314" s="130" t="s">
        <v>261</v>
      </c>
      <c r="F314" s="164" t="s">
        <v>338</v>
      </c>
      <c r="G314" s="164" t="s">
        <v>338</v>
      </c>
      <c r="H314" s="164" t="s">
        <v>338</v>
      </c>
      <c r="I314" s="164" t="s">
        <v>338</v>
      </c>
      <c r="J314" s="132">
        <v>0.9</v>
      </c>
      <c r="K314" s="133">
        <v>1</v>
      </c>
      <c r="L314" s="133">
        <v>1</v>
      </c>
      <c r="M314" s="134">
        <v>1</v>
      </c>
      <c r="N314" s="133">
        <v>0.991335740072202</v>
      </c>
      <c r="O314" s="135">
        <v>0.9</v>
      </c>
      <c r="P314" s="133">
        <v>0.98364657066146</v>
      </c>
      <c r="Q314" s="133">
        <v>0.98705035971223</v>
      </c>
      <c r="R314" s="133">
        <v>0.975966562173459</v>
      </c>
      <c r="S314" s="133">
        <v>0.976354812617956</v>
      </c>
      <c r="T314" s="135">
        <v>0.9</v>
      </c>
      <c r="U314" s="133">
        <v>0.973151086160605</v>
      </c>
      <c r="V314" s="133">
        <v>0.980035971223022</v>
      </c>
      <c r="W314" s="133">
        <v>0.96969696969697</v>
      </c>
      <c r="X314" s="133">
        <v>0.96788891884605</v>
      </c>
      <c r="Y314" s="135">
        <v>0.92</v>
      </c>
      <c r="Z314" s="135">
        <v>0.967161845191556</v>
      </c>
      <c r="AA314" s="135">
        <v>0.971528181289948</v>
      </c>
      <c r="AB314" s="135">
        <v>0.97992277992278</v>
      </c>
      <c r="AC314" s="135">
        <v>0.977785411656933</v>
      </c>
      <c r="AD314" s="135">
        <v>0.92</v>
      </c>
      <c r="AE314" s="133">
        <v>0.989911727616646</v>
      </c>
      <c r="AF314" s="133">
        <v>0.98159509202454</v>
      </c>
      <c r="AG314" s="133">
        <v>0.988252569750367</v>
      </c>
      <c r="AH314" s="133">
        <v>0.970691098960642</v>
      </c>
      <c r="AI314" s="135">
        <v>0.92</v>
      </c>
      <c r="AJ314" s="133">
        <v>0.980107826733594</v>
      </c>
      <c r="AK314" s="133">
        <v>0.989287185826123</v>
      </c>
      <c r="AL314" s="133">
        <v>0.991412958626073</v>
      </c>
      <c r="AM314" s="133">
        <v>0.986534529132763</v>
      </c>
      <c r="AN314" s="132">
        <v>0.99</v>
      </c>
      <c r="AO314" s="137">
        <v>1</v>
      </c>
      <c r="AP314" s="137">
        <v>1</v>
      </c>
      <c r="AQ314" s="137">
        <v>1</v>
      </c>
      <c r="AR314" s="137">
        <v>1</v>
      </c>
      <c r="AS314" s="158">
        <v>0.0922287257019438</v>
      </c>
      <c r="AT314" s="141">
        <v>0</v>
      </c>
      <c r="AU314" s="141">
        <v>0</v>
      </c>
      <c r="AV314" s="141">
        <v>0.2</v>
      </c>
      <c r="AW314" s="141">
        <v>0.0909090909090909</v>
      </c>
      <c r="AX314" s="88"/>
      <c r="AY314" s="93"/>
    </row>
    <row r="315" s="86" customFormat="1" ht="14.5" spans="1:51">
      <c r="A315" s="91"/>
      <c r="B315" s="88"/>
      <c r="C315" s="163" t="s">
        <v>260</v>
      </c>
      <c r="D315" s="153" t="s">
        <v>125</v>
      </c>
      <c r="E315" s="130" t="s">
        <v>261</v>
      </c>
      <c r="F315" s="164" t="s">
        <v>339</v>
      </c>
      <c r="G315" s="164" t="s">
        <v>339</v>
      </c>
      <c r="H315" s="164" t="s">
        <v>339</v>
      </c>
      <c r="I315" s="164" t="s">
        <v>339</v>
      </c>
      <c r="J315" s="132">
        <v>0.9</v>
      </c>
      <c r="K315" s="133" t="s">
        <v>35</v>
      </c>
      <c r="L315" s="133" t="s">
        <v>35</v>
      </c>
      <c r="M315" s="134" t="s">
        <v>35</v>
      </c>
      <c r="N315" s="133" t="s">
        <v>35</v>
      </c>
      <c r="O315" s="135">
        <v>0.9</v>
      </c>
      <c r="P315" s="133" t="s">
        <v>35</v>
      </c>
      <c r="Q315" s="133" t="s">
        <v>35</v>
      </c>
      <c r="R315" s="133" t="s">
        <v>35</v>
      </c>
      <c r="S315" s="133">
        <v>0</v>
      </c>
      <c r="T315" s="135">
        <v>0.9</v>
      </c>
      <c r="U315" s="133" t="s">
        <v>35</v>
      </c>
      <c r="V315" s="133" t="s">
        <v>35</v>
      </c>
      <c r="W315" s="133" t="s">
        <v>35</v>
      </c>
      <c r="X315" s="133">
        <v>0</v>
      </c>
      <c r="Y315" s="135">
        <v>0.92</v>
      </c>
      <c r="Z315" s="135" t="s">
        <v>35</v>
      </c>
      <c r="AA315" s="135" t="s">
        <v>35</v>
      </c>
      <c r="AB315" s="135" t="s">
        <v>35</v>
      </c>
      <c r="AC315" s="135" t="s">
        <v>35</v>
      </c>
      <c r="AD315" s="135">
        <v>0.92</v>
      </c>
      <c r="AE315" s="133">
        <v>0.982578397212544</v>
      </c>
      <c r="AF315" s="133">
        <v>0.993957703927492</v>
      </c>
      <c r="AG315" s="133">
        <v>0.97085201793722</v>
      </c>
      <c r="AH315" s="133">
        <v>0.975683351082712</v>
      </c>
      <c r="AI315" s="135">
        <v>0.92</v>
      </c>
      <c r="AJ315" s="133">
        <v>1</v>
      </c>
      <c r="AK315" s="133" t="s">
        <v>35</v>
      </c>
      <c r="AL315" s="133" t="s">
        <v>35</v>
      </c>
      <c r="AM315" s="133">
        <v>0.5</v>
      </c>
      <c r="AN315" s="132">
        <v>0.99</v>
      </c>
      <c r="AO315" s="137" t="s">
        <v>35</v>
      </c>
      <c r="AP315" s="137" t="s">
        <v>35</v>
      </c>
      <c r="AQ315" s="137">
        <v>1</v>
      </c>
      <c r="AR315" s="137">
        <v>1</v>
      </c>
      <c r="AS315" s="158">
        <v>0.0922287257019438</v>
      </c>
      <c r="AT315" s="141" t="s">
        <v>35</v>
      </c>
      <c r="AU315" s="141" t="s">
        <v>35</v>
      </c>
      <c r="AV315" s="141" t="s">
        <v>35</v>
      </c>
      <c r="AW315" s="141" t="s">
        <v>35</v>
      </c>
      <c r="AX315" s="88"/>
      <c r="AY315" s="93"/>
    </row>
    <row r="316" s="86" customFormat="1" ht="14.5" spans="1:51">
      <c r="A316" s="91"/>
      <c r="B316" s="88"/>
      <c r="C316" s="163" t="s">
        <v>260</v>
      </c>
      <c r="D316" s="153" t="s">
        <v>125</v>
      </c>
      <c r="E316" s="130" t="s">
        <v>261</v>
      </c>
      <c r="F316" s="164" t="s">
        <v>340</v>
      </c>
      <c r="G316" s="164" t="s">
        <v>340</v>
      </c>
      <c r="H316" s="164" t="s">
        <v>340</v>
      </c>
      <c r="I316" s="164" t="s">
        <v>340</v>
      </c>
      <c r="J316" s="132">
        <v>0.9</v>
      </c>
      <c r="K316" s="133" t="s">
        <v>35</v>
      </c>
      <c r="L316" s="133" t="s">
        <v>35</v>
      </c>
      <c r="M316" s="134" t="s">
        <v>35</v>
      </c>
      <c r="N316" s="133" t="s">
        <v>35</v>
      </c>
      <c r="O316" s="135">
        <v>0.9</v>
      </c>
      <c r="P316" s="133" t="s">
        <v>35</v>
      </c>
      <c r="Q316" s="133" t="s">
        <v>35</v>
      </c>
      <c r="R316" s="133">
        <v>0</v>
      </c>
      <c r="S316" s="133">
        <v>0.0810810810810811</v>
      </c>
      <c r="T316" s="135">
        <v>0.9</v>
      </c>
      <c r="U316" s="133" t="s">
        <v>35</v>
      </c>
      <c r="V316" s="133" t="s">
        <v>35</v>
      </c>
      <c r="W316" s="133">
        <v>1</v>
      </c>
      <c r="X316" s="133">
        <v>0.864864864864865</v>
      </c>
      <c r="Y316" s="135">
        <v>0.92</v>
      </c>
      <c r="Z316" s="135" t="s">
        <v>35</v>
      </c>
      <c r="AA316" s="135" t="s">
        <v>35</v>
      </c>
      <c r="AB316" s="135" t="s">
        <v>35</v>
      </c>
      <c r="AC316" s="135">
        <v>0</v>
      </c>
      <c r="AD316" s="135">
        <v>0.92</v>
      </c>
      <c r="AE316" s="133">
        <v>0.903176229508197</v>
      </c>
      <c r="AF316" s="133">
        <v>0.99993687267218</v>
      </c>
      <c r="AG316" s="133">
        <v>0.999854524294443</v>
      </c>
      <c r="AH316" s="133">
        <v>0.997007370735041</v>
      </c>
      <c r="AI316" s="135">
        <v>0.92</v>
      </c>
      <c r="AJ316" s="133" t="s">
        <v>35</v>
      </c>
      <c r="AK316" s="133" t="s">
        <v>35</v>
      </c>
      <c r="AL316" s="133">
        <v>1</v>
      </c>
      <c r="AM316" s="133">
        <v>0.837209302325581</v>
      </c>
      <c r="AN316" s="132">
        <v>0.99</v>
      </c>
      <c r="AO316" s="137" t="s">
        <v>35</v>
      </c>
      <c r="AP316" s="137" t="s">
        <v>35</v>
      </c>
      <c r="AQ316" s="137" t="s">
        <v>35</v>
      </c>
      <c r="AR316" s="137">
        <v>1</v>
      </c>
      <c r="AS316" s="158">
        <v>0.0922287257019438</v>
      </c>
      <c r="AT316" s="141" t="s">
        <v>35</v>
      </c>
      <c r="AU316" s="141" t="s">
        <v>35</v>
      </c>
      <c r="AV316" s="141" t="s">
        <v>35</v>
      </c>
      <c r="AW316" s="141">
        <v>0</v>
      </c>
      <c r="AX316" s="88"/>
      <c r="AY316" s="93"/>
    </row>
    <row r="317" s="86" customFormat="1" ht="14.5" spans="1:51">
      <c r="A317" s="91"/>
      <c r="B317" s="88"/>
      <c r="C317" s="163" t="s">
        <v>260</v>
      </c>
      <c r="D317" s="153" t="s">
        <v>125</v>
      </c>
      <c r="E317" s="130" t="s">
        <v>261</v>
      </c>
      <c r="F317" s="164" t="s">
        <v>341</v>
      </c>
      <c r="G317" s="164" t="s">
        <v>341</v>
      </c>
      <c r="H317" s="164" t="s">
        <v>341</v>
      </c>
      <c r="I317" s="164" t="s">
        <v>341</v>
      </c>
      <c r="J317" s="132">
        <v>0.9</v>
      </c>
      <c r="K317" s="133" t="s">
        <v>35</v>
      </c>
      <c r="L317" s="133" t="s">
        <v>35</v>
      </c>
      <c r="M317" s="134" t="s">
        <v>35</v>
      </c>
      <c r="N317" s="133" t="s">
        <v>35</v>
      </c>
      <c r="O317" s="135">
        <v>0.9</v>
      </c>
      <c r="P317" s="133">
        <v>0</v>
      </c>
      <c r="Q317" s="133">
        <v>1</v>
      </c>
      <c r="R317" s="133" t="s">
        <v>35</v>
      </c>
      <c r="S317" s="133">
        <v>0.6</v>
      </c>
      <c r="T317" s="135">
        <v>0.9</v>
      </c>
      <c r="U317" s="133">
        <v>0</v>
      </c>
      <c r="V317" s="133">
        <v>1</v>
      </c>
      <c r="W317" s="133" t="s">
        <v>35</v>
      </c>
      <c r="X317" s="133">
        <v>0.2</v>
      </c>
      <c r="Y317" s="135">
        <v>0.92</v>
      </c>
      <c r="Z317" s="135" t="s">
        <v>35</v>
      </c>
      <c r="AA317" s="135" t="s">
        <v>35</v>
      </c>
      <c r="AB317" s="135" t="s">
        <v>35</v>
      </c>
      <c r="AC317" s="135">
        <v>1</v>
      </c>
      <c r="AD317" s="135">
        <v>0.92</v>
      </c>
      <c r="AE317" s="133">
        <v>0.998466257668712</v>
      </c>
      <c r="AF317" s="133">
        <v>1</v>
      </c>
      <c r="AG317" s="133">
        <v>0.998349153941395</v>
      </c>
      <c r="AH317" s="133">
        <v>0.998553956020875</v>
      </c>
      <c r="AI317" s="135">
        <v>0.92</v>
      </c>
      <c r="AJ317" s="133">
        <v>0</v>
      </c>
      <c r="AK317" s="133">
        <v>0.5</v>
      </c>
      <c r="AL317" s="133" t="s">
        <v>35</v>
      </c>
      <c r="AM317" s="133">
        <v>0.222222222222222</v>
      </c>
      <c r="AN317" s="132">
        <v>0.99</v>
      </c>
      <c r="AO317" s="137">
        <v>1</v>
      </c>
      <c r="AP317" s="137">
        <v>1</v>
      </c>
      <c r="AQ317" s="137" t="s">
        <v>35</v>
      </c>
      <c r="AR317" s="137">
        <v>1</v>
      </c>
      <c r="AS317" s="158">
        <v>0.0922287257019438</v>
      </c>
      <c r="AT317" s="141" t="s">
        <v>35</v>
      </c>
      <c r="AU317" s="141" t="s">
        <v>35</v>
      </c>
      <c r="AV317" s="141" t="s">
        <v>35</v>
      </c>
      <c r="AW317" s="141">
        <v>0</v>
      </c>
      <c r="AX317" s="88"/>
      <c r="AY317" s="93"/>
    </row>
    <row r="318" s="86" customFormat="1" ht="14.5" spans="1:51">
      <c r="A318" s="91"/>
      <c r="B318" s="88"/>
      <c r="C318" s="163" t="s">
        <v>260</v>
      </c>
      <c r="D318" s="153" t="s">
        <v>125</v>
      </c>
      <c r="E318" s="130" t="s">
        <v>261</v>
      </c>
      <c r="F318" s="164" t="s">
        <v>342</v>
      </c>
      <c r="G318" s="164" t="s">
        <v>342</v>
      </c>
      <c r="H318" s="164" t="s">
        <v>342</v>
      </c>
      <c r="I318" s="164" t="s">
        <v>342</v>
      </c>
      <c r="J318" s="132">
        <v>0.9</v>
      </c>
      <c r="K318" s="133" t="s">
        <v>35</v>
      </c>
      <c r="L318" s="133" t="s">
        <v>35</v>
      </c>
      <c r="M318" s="134" t="s">
        <v>35</v>
      </c>
      <c r="N318" s="133" t="s">
        <v>35</v>
      </c>
      <c r="O318" s="135">
        <v>0.9</v>
      </c>
      <c r="P318" s="133" t="s">
        <v>35</v>
      </c>
      <c r="Q318" s="133" t="s">
        <v>35</v>
      </c>
      <c r="R318" s="133" t="s">
        <v>35</v>
      </c>
      <c r="S318" s="133">
        <v>0</v>
      </c>
      <c r="T318" s="135">
        <v>0.9</v>
      </c>
      <c r="U318" s="133" t="s">
        <v>35</v>
      </c>
      <c r="V318" s="133" t="s">
        <v>35</v>
      </c>
      <c r="W318" s="133" t="s">
        <v>35</v>
      </c>
      <c r="X318" s="133">
        <v>0.4</v>
      </c>
      <c r="Y318" s="135">
        <v>0.92</v>
      </c>
      <c r="Z318" s="135" t="s">
        <v>35</v>
      </c>
      <c r="AA318" s="135" t="s">
        <v>35</v>
      </c>
      <c r="AB318" s="135" t="s">
        <v>35</v>
      </c>
      <c r="AC318" s="135">
        <v>0</v>
      </c>
      <c r="AD318" s="135">
        <v>0.92</v>
      </c>
      <c r="AE318" s="133">
        <v>0.95106844224218</v>
      </c>
      <c r="AF318" s="133">
        <v>0.974336477297653</v>
      </c>
      <c r="AG318" s="133">
        <v>0.987587587587588</v>
      </c>
      <c r="AH318" s="133">
        <v>0.962341677741314</v>
      </c>
      <c r="AI318" s="135">
        <v>0.92</v>
      </c>
      <c r="AJ318" s="133" t="s">
        <v>35</v>
      </c>
      <c r="AK318" s="133" t="s">
        <v>35</v>
      </c>
      <c r="AL318" s="133" t="s">
        <v>35</v>
      </c>
      <c r="AM318" s="133">
        <v>0.5</v>
      </c>
      <c r="AN318" s="132">
        <v>0.99</v>
      </c>
      <c r="AO318" s="137">
        <v>1</v>
      </c>
      <c r="AP318" s="137">
        <v>1</v>
      </c>
      <c r="AQ318" s="137">
        <v>1</v>
      </c>
      <c r="AR318" s="137">
        <v>1</v>
      </c>
      <c r="AS318" s="158">
        <v>0.0922287257019438</v>
      </c>
      <c r="AT318" s="141" t="s">
        <v>35</v>
      </c>
      <c r="AU318" s="141" t="s">
        <v>35</v>
      </c>
      <c r="AV318" s="141" t="s">
        <v>35</v>
      </c>
      <c r="AW318" s="141" t="s">
        <v>35</v>
      </c>
      <c r="AX318" s="88"/>
      <c r="AY318" s="93"/>
    </row>
    <row r="319" s="86" customFormat="1" ht="14.5" spans="1:51">
      <c r="A319" s="91"/>
      <c r="B319" s="88"/>
      <c r="C319" s="163" t="s">
        <v>260</v>
      </c>
      <c r="D319" s="153" t="s">
        <v>125</v>
      </c>
      <c r="E319" s="130" t="s">
        <v>261</v>
      </c>
      <c r="F319" s="164" t="s">
        <v>343</v>
      </c>
      <c r="G319" s="164" t="s">
        <v>343</v>
      </c>
      <c r="H319" s="164" t="s">
        <v>343</v>
      </c>
      <c r="I319" s="164" t="s">
        <v>343</v>
      </c>
      <c r="J319" s="132">
        <v>0.9</v>
      </c>
      <c r="K319" s="133" t="s">
        <v>35</v>
      </c>
      <c r="L319" s="133" t="s">
        <v>35</v>
      </c>
      <c r="M319" s="134" t="s">
        <v>35</v>
      </c>
      <c r="N319" s="133" t="s">
        <v>35</v>
      </c>
      <c r="O319" s="135">
        <v>0.9</v>
      </c>
      <c r="P319" s="133" t="s">
        <v>35</v>
      </c>
      <c r="Q319" s="133" t="s">
        <v>35</v>
      </c>
      <c r="R319" s="133">
        <v>1</v>
      </c>
      <c r="S319" s="133">
        <v>0.0714285714285714</v>
      </c>
      <c r="T319" s="135">
        <v>0.9</v>
      </c>
      <c r="U319" s="133" t="s">
        <v>35</v>
      </c>
      <c r="V319" s="133" t="s">
        <v>35</v>
      </c>
      <c r="W319" s="133">
        <v>1</v>
      </c>
      <c r="X319" s="133">
        <v>0.928571428571429</v>
      </c>
      <c r="Y319" s="135">
        <v>0.92</v>
      </c>
      <c r="Z319" s="135" t="s">
        <v>35</v>
      </c>
      <c r="AA319" s="135" t="s">
        <v>35</v>
      </c>
      <c r="AB319" s="135" t="s">
        <v>35</v>
      </c>
      <c r="AC319" s="135">
        <v>0.5</v>
      </c>
      <c r="AD319" s="135">
        <v>0.92</v>
      </c>
      <c r="AE319" s="133">
        <v>0.999083829592304</v>
      </c>
      <c r="AF319" s="133">
        <v>0.999652657172629</v>
      </c>
      <c r="AG319" s="133">
        <v>0.999853221781888</v>
      </c>
      <c r="AH319" s="133">
        <v>0.980415600785971</v>
      </c>
      <c r="AI319" s="135">
        <v>0.92</v>
      </c>
      <c r="AJ319" s="133" t="s">
        <v>35</v>
      </c>
      <c r="AK319" s="133" t="s">
        <v>35</v>
      </c>
      <c r="AL319" s="133">
        <v>1</v>
      </c>
      <c r="AM319" s="133">
        <v>0.916666666666667</v>
      </c>
      <c r="AN319" s="132">
        <v>0.99</v>
      </c>
      <c r="AO319" s="137" t="s">
        <v>35</v>
      </c>
      <c r="AP319" s="137">
        <v>1</v>
      </c>
      <c r="AQ319" s="137">
        <v>1</v>
      </c>
      <c r="AR319" s="137">
        <v>1</v>
      </c>
      <c r="AS319" s="158">
        <v>0.0922287257019438</v>
      </c>
      <c r="AT319" s="141" t="s">
        <v>35</v>
      </c>
      <c r="AU319" s="141" t="s">
        <v>35</v>
      </c>
      <c r="AV319" s="141" t="s">
        <v>35</v>
      </c>
      <c r="AW319" s="141" t="s">
        <v>35</v>
      </c>
      <c r="AX319" s="88"/>
      <c r="AY319" s="93"/>
    </row>
    <row r="320" s="86" customFormat="1" ht="14.5" spans="1:51">
      <c r="A320" s="91"/>
      <c r="B320" s="88"/>
      <c r="C320" s="163" t="s">
        <v>260</v>
      </c>
      <c r="D320" s="153" t="s">
        <v>125</v>
      </c>
      <c r="E320" s="130" t="s">
        <v>261</v>
      </c>
      <c r="F320" s="164" t="s">
        <v>344</v>
      </c>
      <c r="G320" s="164" t="s">
        <v>344</v>
      </c>
      <c r="H320" s="164" t="s">
        <v>344</v>
      </c>
      <c r="I320" s="164" t="s">
        <v>344</v>
      </c>
      <c r="J320" s="132">
        <v>0.9</v>
      </c>
      <c r="K320" s="133" t="s">
        <v>35</v>
      </c>
      <c r="L320" s="133" t="s">
        <v>35</v>
      </c>
      <c r="M320" s="134" t="s">
        <v>35</v>
      </c>
      <c r="N320" s="133" t="s">
        <v>35</v>
      </c>
      <c r="O320" s="135">
        <v>0.9</v>
      </c>
      <c r="P320" s="133">
        <v>1</v>
      </c>
      <c r="Q320" s="133">
        <v>1</v>
      </c>
      <c r="R320" s="133" t="s">
        <v>35</v>
      </c>
      <c r="S320" s="133">
        <v>0.545454545454545</v>
      </c>
      <c r="T320" s="135">
        <v>0.9</v>
      </c>
      <c r="U320" s="133">
        <v>1</v>
      </c>
      <c r="V320" s="133">
        <v>1</v>
      </c>
      <c r="W320" s="133" t="s">
        <v>35</v>
      </c>
      <c r="X320" s="133">
        <v>0.909090909090909</v>
      </c>
      <c r="Y320" s="135">
        <v>0.92</v>
      </c>
      <c r="Z320" s="135" t="s">
        <v>35</v>
      </c>
      <c r="AA320" s="135" t="s">
        <v>35</v>
      </c>
      <c r="AB320" s="135" t="s">
        <v>35</v>
      </c>
      <c r="AC320" s="135">
        <v>0</v>
      </c>
      <c r="AD320" s="135">
        <v>0.92</v>
      </c>
      <c r="AE320" s="133">
        <v>0.762030671602327</v>
      </c>
      <c r="AF320" s="133">
        <v>0.971142344497608</v>
      </c>
      <c r="AG320" s="133">
        <v>0.980779167097241</v>
      </c>
      <c r="AH320" s="133">
        <v>0.938042672988591</v>
      </c>
      <c r="AI320" s="135">
        <v>0.92</v>
      </c>
      <c r="AJ320" s="133">
        <v>1</v>
      </c>
      <c r="AK320" s="133">
        <v>1</v>
      </c>
      <c r="AL320" s="133" t="s">
        <v>35</v>
      </c>
      <c r="AM320" s="133">
        <v>0.875</v>
      </c>
      <c r="AN320" s="132">
        <v>0.99</v>
      </c>
      <c r="AO320" s="137" t="s">
        <v>35</v>
      </c>
      <c r="AP320" s="137" t="s">
        <v>35</v>
      </c>
      <c r="AQ320" s="137" t="s">
        <v>35</v>
      </c>
      <c r="AR320" s="137">
        <v>1</v>
      </c>
      <c r="AS320" s="158">
        <v>0.0922287257019438</v>
      </c>
      <c r="AT320" s="141" t="s">
        <v>35</v>
      </c>
      <c r="AU320" s="141" t="s">
        <v>35</v>
      </c>
      <c r="AV320" s="141" t="s">
        <v>35</v>
      </c>
      <c r="AW320" s="141" t="s">
        <v>35</v>
      </c>
      <c r="AX320" s="88"/>
      <c r="AY320" s="93"/>
    </row>
    <row r="321" s="86" customFormat="1" ht="14.5" spans="1:51">
      <c r="A321" s="91"/>
      <c r="B321" s="88"/>
      <c r="C321" s="163" t="s">
        <v>260</v>
      </c>
      <c r="D321" s="153" t="s">
        <v>25</v>
      </c>
      <c r="E321" s="130" t="s">
        <v>261</v>
      </c>
      <c r="F321" s="164" t="s">
        <v>345</v>
      </c>
      <c r="G321" s="164" t="s">
        <v>345</v>
      </c>
      <c r="H321" s="164" t="s">
        <v>345</v>
      </c>
      <c r="I321" s="164" t="s">
        <v>345</v>
      </c>
      <c r="J321" s="132">
        <v>0.9</v>
      </c>
      <c r="K321" s="133">
        <v>0.97752808988764</v>
      </c>
      <c r="L321" s="133">
        <v>0.990291262135922</v>
      </c>
      <c r="M321" s="134">
        <v>0.981818181818182</v>
      </c>
      <c r="N321" s="133">
        <v>0.970905172413793</v>
      </c>
      <c r="O321" s="135">
        <v>0.9</v>
      </c>
      <c r="P321" s="133">
        <v>0.977142857142857</v>
      </c>
      <c r="Q321" s="133">
        <v>0.953525134366108</v>
      </c>
      <c r="R321" s="133">
        <v>0.960897541659792</v>
      </c>
      <c r="S321" s="133">
        <v>0.969276668049711</v>
      </c>
      <c r="T321" s="135">
        <v>0.9</v>
      </c>
      <c r="U321" s="133">
        <v>0.957142857142857</v>
      </c>
      <c r="V321" s="133">
        <v>0.951628201074929</v>
      </c>
      <c r="W321" s="133">
        <v>0.95083319584227</v>
      </c>
      <c r="X321" s="133">
        <v>0.959111295516962</v>
      </c>
      <c r="Y321" s="135">
        <v>0.92</v>
      </c>
      <c r="Z321" s="135">
        <v>0.950564971751412</v>
      </c>
      <c r="AA321" s="135">
        <v>0.971069746579951</v>
      </c>
      <c r="AB321" s="135">
        <v>0.981660004702563</v>
      </c>
      <c r="AC321" s="135">
        <v>0.979517410201329</v>
      </c>
      <c r="AD321" s="135">
        <v>0.92</v>
      </c>
      <c r="AE321" s="133">
        <v>0.980335893324331</v>
      </c>
      <c r="AF321" s="133">
        <v>0.955847034915943</v>
      </c>
      <c r="AG321" s="133">
        <v>0.761630388390952</v>
      </c>
      <c r="AH321" s="133">
        <v>0.87189444106879</v>
      </c>
      <c r="AI321" s="135">
        <v>0.92</v>
      </c>
      <c r="AJ321" s="133">
        <v>0.972455089820359</v>
      </c>
      <c r="AK321" s="133">
        <v>0.983682551455591</v>
      </c>
      <c r="AL321" s="133">
        <v>0.988462284273803</v>
      </c>
      <c r="AM321" s="133">
        <v>0.987927754032814</v>
      </c>
      <c r="AN321" s="132">
        <v>0.99</v>
      </c>
      <c r="AO321" s="137">
        <v>1</v>
      </c>
      <c r="AP321" s="137">
        <v>1</v>
      </c>
      <c r="AQ321" s="137">
        <v>1</v>
      </c>
      <c r="AR321" s="137">
        <v>1</v>
      </c>
      <c r="AS321" s="158">
        <v>0.0922287257019438</v>
      </c>
      <c r="AT321" s="141">
        <v>0.0625</v>
      </c>
      <c r="AU321" s="141">
        <v>0.027027027027027</v>
      </c>
      <c r="AV321" s="141">
        <v>0.0416666666666667</v>
      </c>
      <c r="AW321" s="141">
        <v>0.0317796610169492</v>
      </c>
      <c r="AX321" s="88"/>
      <c r="AY321" s="93"/>
    </row>
    <row r="322" s="86" customFormat="1" ht="14.5" spans="1:51">
      <c r="A322" s="91"/>
      <c r="B322" s="88"/>
      <c r="C322" s="163" t="s">
        <v>260</v>
      </c>
      <c r="D322" s="153" t="s">
        <v>125</v>
      </c>
      <c r="E322" s="130" t="s">
        <v>261</v>
      </c>
      <c r="F322" s="164" t="s">
        <v>346</v>
      </c>
      <c r="G322" s="164" t="s">
        <v>346</v>
      </c>
      <c r="H322" s="164" t="s">
        <v>346</v>
      </c>
      <c r="I322" s="164" t="s">
        <v>346</v>
      </c>
      <c r="J322" s="132">
        <v>0.9</v>
      </c>
      <c r="K322" s="133" t="s">
        <v>35</v>
      </c>
      <c r="L322" s="133" t="s">
        <v>35</v>
      </c>
      <c r="M322" s="134" t="s">
        <v>35</v>
      </c>
      <c r="N322" s="133" t="s">
        <v>35</v>
      </c>
      <c r="O322" s="135">
        <v>0.9</v>
      </c>
      <c r="P322" s="133" t="s">
        <v>35</v>
      </c>
      <c r="Q322" s="133" t="s">
        <v>35</v>
      </c>
      <c r="R322" s="133" t="s">
        <v>35</v>
      </c>
      <c r="S322" s="133">
        <v>0</v>
      </c>
      <c r="T322" s="135">
        <v>0.9</v>
      </c>
      <c r="U322" s="133" t="s">
        <v>35</v>
      </c>
      <c r="V322" s="133" t="s">
        <v>35</v>
      </c>
      <c r="W322" s="133" t="s">
        <v>35</v>
      </c>
      <c r="X322" s="133">
        <v>0.555555555555556</v>
      </c>
      <c r="Y322" s="135">
        <v>0.92</v>
      </c>
      <c r="Z322" s="135" t="s">
        <v>35</v>
      </c>
      <c r="AA322" s="135" t="s">
        <v>35</v>
      </c>
      <c r="AB322" s="135" t="s">
        <v>35</v>
      </c>
      <c r="AC322" s="135">
        <v>0</v>
      </c>
      <c r="AD322" s="135">
        <v>0.92</v>
      </c>
      <c r="AE322" s="133">
        <v>0.995492111194591</v>
      </c>
      <c r="AF322" s="133">
        <v>0.841553398058252</v>
      </c>
      <c r="AG322" s="133">
        <v>0.981618585652285</v>
      </c>
      <c r="AH322" s="133">
        <v>0.894722458399125</v>
      </c>
      <c r="AI322" s="135">
        <v>0.92</v>
      </c>
      <c r="AJ322" s="133" t="s">
        <v>35</v>
      </c>
      <c r="AK322" s="133" t="s">
        <v>35</v>
      </c>
      <c r="AL322" s="133" t="s">
        <v>35</v>
      </c>
      <c r="AM322" s="133">
        <v>0.8</v>
      </c>
      <c r="AN322" s="132">
        <v>0.99</v>
      </c>
      <c r="AO322" s="137">
        <v>1</v>
      </c>
      <c r="AP322" s="137">
        <v>1</v>
      </c>
      <c r="AQ322" s="137">
        <v>1</v>
      </c>
      <c r="AR322" s="137">
        <v>1</v>
      </c>
      <c r="AS322" s="158">
        <v>0.0922287257019438</v>
      </c>
      <c r="AT322" s="141" t="s">
        <v>35</v>
      </c>
      <c r="AU322" s="141" t="s">
        <v>35</v>
      </c>
      <c r="AV322" s="141" t="s">
        <v>35</v>
      </c>
      <c r="AW322" s="141" t="s">
        <v>35</v>
      </c>
      <c r="AX322" s="88"/>
      <c r="AY322" s="93"/>
    </row>
    <row r="323" s="86" customFormat="1" ht="14.5" spans="1:51">
      <c r="A323" s="91"/>
      <c r="B323" s="88"/>
      <c r="C323" s="163" t="s">
        <v>260</v>
      </c>
      <c r="D323" s="153" t="s">
        <v>25</v>
      </c>
      <c r="E323" s="130" t="s">
        <v>261</v>
      </c>
      <c r="F323" s="164" t="s">
        <v>347</v>
      </c>
      <c r="G323" s="164" t="s">
        <v>347</v>
      </c>
      <c r="H323" s="164" t="s">
        <v>347</v>
      </c>
      <c r="I323" s="164" t="s">
        <v>347</v>
      </c>
      <c r="J323" s="132">
        <v>0.9</v>
      </c>
      <c r="K323" s="133">
        <v>0.857142857142857</v>
      </c>
      <c r="L323" s="133">
        <v>0.84</v>
      </c>
      <c r="M323" s="134">
        <v>0.821428571428571</v>
      </c>
      <c r="N323" s="133">
        <v>0.758029978586724</v>
      </c>
      <c r="O323" s="135">
        <v>0.9</v>
      </c>
      <c r="P323" s="133">
        <v>0.963344051446945</v>
      </c>
      <c r="Q323" s="133">
        <v>0.984055600981194</v>
      </c>
      <c r="R323" s="133">
        <v>0.989448441247002</v>
      </c>
      <c r="S323" s="133">
        <v>0.956380384719588</v>
      </c>
      <c r="T323" s="135">
        <v>0.9</v>
      </c>
      <c r="U323" s="133">
        <v>0.917041800643087</v>
      </c>
      <c r="V323" s="133">
        <v>0.917416189697465</v>
      </c>
      <c r="W323" s="133">
        <v>0.957314148681055</v>
      </c>
      <c r="X323" s="133">
        <v>0.921511785424004</v>
      </c>
      <c r="Y323" s="135">
        <v>0.92</v>
      </c>
      <c r="Z323" s="135">
        <v>0.873170731707317</v>
      </c>
      <c r="AA323" s="135">
        <v>0.90660440293529</v>
      </c>
      <c r="AB323" s="135">
        <v>0.940587449933244</v>
      </c>
      <c r="AC323" s="135">
        <v>0.937481304217768</v>
      </c>
      <c r="AD323" s="135">
        <v>0.92</v>
      </c>
      <c r="AE323" s="133">
        <v>1</v>
      </c>
      <c r="AF323" s="133">
        <v>0.999938935026869</v>
      </c>
      <c r="AG323" s="133">
        <v>1</v>
      </c>
      <c r="AH323" s="133">
        <v>0.999971048124698</v>
      </c>
      <c r="AI323" s="135">
        <v>0.92</v>
      </c>
      <c r="AJ323" s="133">
        <v>0.932239057239057</v>
      </c>
      <c r="AK323" s="133">
        <v>0.949062341611759</v>
      </c>
      <c r="AL323" s="133">
        <v>0.966787608149595</v>
      </c>
      <c r="AM323" s="133">
        <v>0.962868721138441</v>
      </c>
      <c r="AN323" s="132">
        <v>0.99</v>
      </c>
      <c r="AO323" s="137">
        <v>1</v>
      </c>
      <c r="AP323" s="137">
        <v>1</v>
      </c>
      <c r="AQ323" s="137">
        <v>1</v>
      </c>
      <c r="AR323" s="137">
        <v>1</v>
      </c>
      <c r="AS323" s="158">
        <v>0.0922287257019438</v>
      </c>
      <c r="AT323" s="141">
        <v>0</v>
      </c>
      <c r="AU323" s="141">
        <v>0</v>
      </c>
      <c r="AV323" s="141">
        <v>0.1</v>
      </c>
      <c r="AW323" s="141">
        <v>0.0844155844155844</v>
      </c>
      <c r="AX323" s="88"/>
      <c r="AY323" s="93"/>
    </row>
    <row r="324" s="86" customFormat="1" ht="14.5" spans="1:51">
      <c r="A324" s="91"/>
      <c r="B324" s="88"/>
      <c r="C324" s="163" t="s">
        <v>260</v>
      </c>
      <c r="D324" s="153" t="s">
        <v>25</v>
      </c>
      <c r="E324" s="130" t="s">
        <v>261</v>
      </c>
      <c r="F324" s="164" t="s">
        <v>348</v>
      </c>
      <c r="G324" s="164" t="s">
        <v>348</v>
      </c>
      <c r="H324" s="164" t="s">
        <v>348</v>
      </c>
      <c r="I324" s="164" t="s">
        <v>348</v>
      </c>
      <c r="J324" s="132">
        <v>0.9</v>
      </c>
      <c r="K324" s="133">
        <v>0.869565217391304</v>
      </c>
      <c r="L324" s="133">
        <v>0.958333333333333</v>
      </c>
      <c r="M324" s="134">
        <v>0.96551724137931</v>
      </c>
      <c r="N324" s="133">
        <v>0.928118393234672</v>
      </c>
      <c r="O324" s="135">
        <v>0.9</v>
      </c>
      <c r="P324" s="133">
        <v>0.980142970611596</v>
      </c>
      <c r="Q324" s="133">
        <v>0.984764542936288</v>
      </c>
      <c r="R324" s="133">
        <v>0.963855421686747</v>
      </c>
      <c r="S324" s="133">
        <v>0.967120452193297</v>
      </c>
      <c r="T324" s="135">
        <v>0.9</v>
      </c>
      <c r="U324" s="133">
        <v>0.906274821286736</v>
      </c>
      <c r="V324" s="133">
        <v>0.921052631578947</v>
      </c>
      <c r="W324" s="133">
        <v>0.922637920101459</v>
      </c>
      <c r="X324" s="133">
        <v>0.917880741979142</v>
      </c>
      <c r="Y324" s="135">
        <v>0.92</v>
      </c>
      <c r="Z324" s="135">
        <v>0.928294573643411</v>
      </c>
      <c r="AA324" s="135">
        <v>0.936594202898551</v>
      </c>
      <c r="AB324" s="135">
        <v>0.957250628667225</v>
      </c>
      <c r="AC324" s="135">
        <v>0.958976857490865</v>
      </c>
      <c r="AD324" s="135">
        <v>0.92</v>
      </c>
      <c r="AE324" s="133">
        <v>0.789473684210526</v>
      </c>
      <c r="AF324" s="133">
        <v>0.993975903614458</v>
      </c>
      <c r="AG324" s="133">
        <v>0.992236024844721</v>
      </c>
      <c r="AH324" s="133">
        <v>0.978975490765478</v>
      </c>
      <c r="AI324" s="135">
        <v>0.92</v>
      </c>
      <c r="AJ324" s="133">
        <v>0.952702702702703</v>
      </c>
      <c r="AK324" s="133">
        <v>0.957613814756672</v>
      </c>
      <c r="AL324" s="133">
        <v>0.975090252707581</v>
      </c>
      <c r="AM324" s="133">
        <v>0.973017367879279</v>
      </c>
      <c r="AN324" s="132">
        <v>0.99</v>
      </c>
      <c r="AO324" s="137">
        <v>1</v>
      </c>
      <c r="AP324" s="137">
        <v>1</v>
      </c>
      <c r="AQ324" s="137">
        <v>1</v>
      </c>
      <c r="AR324" s="137">
        <v>1</v>
      </c>
      <c r="AS324" s="158">
        <v>0.0922287257019438</v>
      </c>
      <c r="AT324" s="141">
        <v>0</v>
      </c>
      <c r="AU324" s="141">
        <v>0.25</v>
      </c>
      <c r="AV324" s="141">
        <v>0</v>
      </c>
      <c r="AW324" s="141">
        <v>0.0842105263157895</v>
      </c>
      <c r="AX324" s="88"/>
      <c r="AY324" s="93"/>
    </row>
    <row r="325" s="86" customFormat="1" ht="14.5" spans="1:51">
      <c r="A325" s="91"/>
      <c r="B325" s="88"/>
      <c r="C325" s="163" t="s">
        <v>260</v>
      </c>
      <c r="D325" s="153" t="s">
        <v>125</v>
      </c>
      <c r="E325" s="130" t="s">
        <v>261</v>
      </c>
      <c r="F325" s="164" t="s">
        <v>349</v>
      </c>
      <c r="G325" s="164" t="s">
        <v>349</v>
      </c>
      <c r="H325" s="164" t="s">
        <v>349</v>
      </c>
      <c r="I325" s="164" t="s">
        <v>349</v>
      </c>
      <c r="J325" s="132">
        <v>0.9</v>
      </c>
      <c r="K325" s="133" t="s">
        <v>35</v>
      </c>
      <c r="L325" s="133" t="s">
        <v>35</v>
      </c>
      <c r="M325" s="134" t="s">
        <v>35</v>
      </c>
      <c r="N325" s="133" t="s">
        <v>35</v>
      </c>
      <c r="O325" s="135">
        <v>0.9</v>
      </c>
      <c r="P325" s="133" t="s">
        <v>35</v>
      </c>
      <c r="Q325" s="133" t="s">
        <v>35</v>
      </c>
      <c r="R325" s="133" t="s">
        <v>35</v>
      </c>
      <c r="S325" s="133">
        <v>1</v>
      </c>
      <c r="T325" s="135">
        <v>0.9</v>
      </c>
      <c r="U325" s="133" t="s">
        <v>35</v>
      </c>
      <c r="V325" s="133" t="s">
        <v>35</v>
      </c>
      <c r="W325" s="133" t="s">
        <v>35</v>
      </c>
      <c r="X325" s="133">
        <v>0.916666666666667</v>
      </c>
      <c r="Y325" s="135">
        <v>0.92</v>
      </c>
      <c r="Z325" s="135" t="s">
        <v>35</v>
      </c>
      <c r="AA325" s="135" t="s">
        <v>35</v>
      </c>
      <c r="AB325" s="135" t="s">
        <v>35</v>
      </c>
      <c r="AC325" s="135">
        <v>0.5</v>
      </c>
      <c r="AD325" s="135">
        <v>0.92</v>
      </c>
      <c r="AE325" s="133">
        <v>1</v>
      </c>
      <c r="AF325" s="133">
        <v>1</v>
      </c>
      <c r="AG325" s="133">
        <v>0.999898497766951</v>
      </c>
      <c r="AH325" s="133">
        <v>0.999877371094431</v>
      </c>
      <c r="AI325" s="135">
        <v>0.92</v>
      </c>
      <c r="AJ325" s="133" t="s">
        <v>35</v>
      </c>
      <c r="AK325" s="133" t="s">
        <v>35</v>
      </c>
      <c r="AL325" s="133" t="s">
        <v>35</v>
      </c>
      <c r="AM325" s="133">
        <v>0.866666666666667</v>
      </c>
      <c r="AN325" s="132">
        <v>0.99</v>
      </c>
      <c r="AO325" s="137" t="s">
        <v>35</v>
      </c>
      <c r="AP325" s="137" t="s">
        <v>35</v>
      </c>
      <c r="AQ325" s="137">
        <v>1</v>
      </c>
      <c r="AR325" s="137">
        <v>1</v>
      </c>
      <c r="AS325" s="158">
        <v>0.0922287257019438</v>
      </c>
      <c r="AT325" s="141" t="s">
        <v>35</v>
      </c>
      <c r="AU325" s="141" t="s">
        <v>35</v>
      </c>
      <c r="AV325" s="141" t="s">
        <v>35</v>
      </c>
      <c r="AW325" s="141">
        <v>0</v>
      </c>
      <c r="AX325" s="88"/>
      <c r="AY325" s="93"/>
    </row>
    <row r="326" ht="14.5" spans="1:51">
      <c r="A326" s="91"/>
      <c r="C326" s="166"/>
      <c r="D326" s="167"/>
      <c r="E326" s="166"/>
      <c r="F326" s="166"/>
      <c r="G326" s="166"/>
      <c r="H326" s="166"/>
      <c r="I326" s="166"/>
      <c r="J326" s="168"/>
      <c r="K326" s="169"/>
      <c r="L326" s="169"/>
      <c r="M326" s="134"/>
      <c r="N326" s="169"/>
      <c r="O326" s="150"/>
      <c r="P326" s="169"/>
      <c r="Q326" s="169"/>
      <c r="R326" s="133"/>
      <c r="S326" s="169"/>
      <c r="T326" s="150"/>
      <c r="U326" s="169"/>
      <c r="V326" s="169"/>
      <c r="W326" s="133"/>
      <c r="X326" s="169"/>
      <c r="Y326" s="150"/>
      <c r="Z326" s="150"/>
      <c r="AA326" s="150"/>
      <c r="AB326" s="135"/>
      <c r="AC326" s="150"/>
      <c r="AD326" s="169"/>
      <c r="AE326" s="169"/>
      <c r="AF326" s="169"/>
      <c r="AG326" s="133"/>
      <c r="AH326" s="169"/>
      <c r="AI326" s="169"/>
      <c r="AJ326" s="169"/>
      <c r="AK326" s="169"/>
      <c r="AL326" s="133"/>
      <c r="AM326" s="169"/>
      <c r="AN326" s="170"/>
      <c r="AO326" s="170"/>
      <c r="AP326" s="170"/>
      <c r="AQ326" s="137"/>
      <c r="AR326" s="170"/>
      <c r="AS326" s="169"/>
      <c r="AT326" s="170"/>
      <c r="AU326" s="170"/>
      <c r="AV326" s="141"/>
      <c r="AW326" s="170"/>
      <c r="AX326" s="95"/>
      <c r="AY326" s="93"/>
    </row>
    <row r="327" ht="14.5" spans="1:51">
      <c r="A327" s="91"/>
      <c r="B327" s="95"/>
      <c r="C327" s="163" t="s">
        <v>350</v>
      </c>
      <c r="D327" s="153" t="s">
        <v>25</v>
      </c>
      <c r="E327" s="130" t="s">
        <v>351</v>
      </c>
      <c r="F327" s="171" t="s">
        <v>352</v>
      </c>
      <c r="G327" s="171" t="s">
        <v>352</v>
      </c>
      <c r="H327" s="171" t="s">
        <v>352</v>
      </c>
      <c r="I327" s="171" t="s">
        <v>352</v>
      </c>
      <c r="J327" s="132">
        <v>0.9</v>
      </c>
      <c r="K327" s="133">
        <v>0.914285714285714</v>
      </c>
      <c r="L327" s="133">
        <v>0.905882352941176</v>
      </c>
      <c r="M327" s="134">
        <v>0.930232558139535</v>
      </c>
      <c r="N327" s="133">
        <v>0.924042272126816</v>
      </c>
      <c r="O327" s="135">
        <v>0.9</v>
      </c>
      <c r="P327" s="133">
        <v>0.916450590607894</v>
      </c>
      <c r="Q327" s="133">
        <v>0.912207905656257</v>
      </c>
      <c r="R327" s="133">
        <v>0.923279158699809</v>
      </c>
      <c r="S327" s="133">
        <v>0.927439523197382</v>
      </c>
      <c r="T327" s="135">
        <v>0.9</v>
      </c>
      <c r="U327" s="133">
        <v>0.853644482857966</v>
      </c>
      <c r="V327" s="133">
        <v>0.895610395282813</v>
      </c>
      <c r="W327" s="133">
        <v>0.907265774378585</v>
      </c>
      <c r="X327" s="133">
        <v>0.911452611896693</v>
      </c>
      <c r="Y327" s="135">
        <v>0.92</v>
      </c>
      <c r="Z327" s="135">
        <v>0.858903265557609</v>
      </c>
      <c r="AA327" s="135">
        <v>0.909270774448841</v>
      </c>
      <c r="AB327" s="135">
        <v>0.934909857176305</v>
      </c>
      <c r="AC327" s="135">
        <v>0.939764340282274</v>
      </c>
      <c r="AD327" s="135">
        <v>0.92</v>
      </c>
      <c r="AE327" s="133">
        <v>0.992221030042919</v>
      </c>
      <c r="AF327" s="133">
        <v>0.98094760591627</v>
      </c>
      <c r="AG327" s="133">
        <v>0.993530884808013</v>
      </c>
      <c r="AH327" s="133">
        <v>0.980351405516027</v>
      </c>
      <c r="AI327" s="135">
        <v>0.92</v>
      </c>
      <c r="AJ327" s="133">
        <v>0.899332810047096</v>
      </c>
      <c r="AK327" s="133">
        <v>0.935098522167488</v>
      </c>
      <c r="AL327" s="133">
        <v>0.948170011806375</v>
      </c>
      <c r="AM327" s="133">
        <v>0.955257476509409</v>
      </c>
      <c r="AN327" s="132">
        <v>0.99</v>
      </c>
      <c r="AO327" s="137">
        <v>1</v>
      </c>
      <c r="AP327" s="137">
        <v>1</v>
      </c>
      <c r="AQ327" s="137">
        <v>1</v>
      </c>
      <c r="AR327" s="137">
        <v>1</v>
      </c>
      <c r="AS327" s="158">
        <v>0.0739852556983447</v>
      </c>
      <c r="AT327" s="141">
        <v>0.0545454545454545</v>
      </c>
      <c r="AU327" s="141">
        <v>0.0222222222222222</v>
      </c>
      <c r="AV327" s="141">
        <v>0.0571428571428571</v>
      </c>
      <c r="AW327" s="141">
        <v>0.0476556495003843</v>
      </c>
      <c r="AX327" s="95"/>
      <c r="AY327" s="93"/>
    </row>
    <row r="328" ht="14.5" spans="1:51">
      <c r="A328" s="91"/>
      <c r="B328" s="95"/>
      <c r="C328" s="163" t="s">
        <v>350</v>
      </c>
      <c r="D328" s="153" t="s">
        <v>125</v>
      </c>
      <c r="E328" s="130" t="s">
        <v>351</v>
      </c>
      <c r="F328" s="171" t="s">
        <v>353</v>
      </c>
      <c r="G328" s="171" t="s">
        <v>353</v>
      </c>
      <c r="H328" s="171" t="s">
        <v>353</v>
      </c>
      <c r="I328" s="171" t="s">
        <v>353</v>
      </c>
      <c r="J328" s="132">
        <v>0.9</v>
      </c>
      <c r="K328" s="133" t="s">
        <v>35</v>
      </c>
      <c r="L328" s="133" t="s">
        <v>35</v>
      </c>
      <c r="M328" s="134" t="s">
        <v>35</v>
      </c>
      <c r="N328" s="133" t="s">
        <v>35</v>
      </c>
      <c r="O328" s="135">
        <v>0.9</v>
      </c>
      <c r="P328" s="133" t="s">
        <v>35</v>
      </c>
      <c r="Q328" s="133" t="s">
        <v>35</v>
      </c>
      <c r="R328" s="133" t="s">
        <v>35</v>
      </c>
      <c r="S328" s="133" t="s">
        <v>35</v>
      </c>
      <c r="T328" s="135">
        <v>0.9</v>
      </c>
      <c r="U328" s="133" t="s">
        <v>35</v>
      </c>
      <c r="V328" s="133" t="s">
        <v>35</v>
      </c>
      <c r="W328" s="133" t="s">
        <v>35</v>
      </c>
      <c r="X328" s="133" t="s">
        <v>35</v>
      </c>
      <c r="Y328" s="135">
        <v>0.92</v>
      </c>
      <c r="Z328" s="135" t="s">
        <v>35</v>
      </c>
      <c r="AA328" s="135" t="s">
        <v>35</v>
      </c>
      <c r="AB328" s="135" t="s">
        <v>35</v>
      </c>
      <c r="AC328" s="135">
        <v>1</v>
      </c>
      <c r="AD328" s="135">
        <v>0.92</v>
      </c>
      <c r="AE328" s="133">
        <v>0.97427652733119</v>
      </c>
      <c r="AF328" s="133">
        <v>0.992152466367713</v>
      </c>
      <c r="AG328" s="133">
        <v>0.897213339424395</v>
      </c>
      <c r="AH328" s="133">
        <v>0.916557793280252</v>
      </c>
      <c r="AI328" s="135">
        <v>0.92</v>
      </c>
      <c r="AJ328" s="133" t="s">
        <v>35</v>
      </c>
      <c r="AK328" s="133" t="s">
        <v>35</v>
      </c>
      <c r="AL328" s="133" t="s">
        <v>35</v>
      </c>
      <c r="AM328" s="133">
        <v>1</v>
      </c>
      <c r="AN328" s="132">
        <v>0.99</v>
      </c>
      <c r="AO328" s="137">
        <v>1</v>
      </c>
      <c r="AP328" s="137">
        <v>1</v>
      </c>
      <c r="AQ328" s="137">
        <v>1</v>
      </c>
      <c r="AR328" s="137">
        <v>1</v>
      </c>
      <c r="AS328" s="158">
        <v>0.0739852556983447</v>
      </c>
      <c r="AT328" s="141" t="s">
        <v>35</v>
      </c>
      <c r="AU328" s="141" t="s">
        <v>35</v>
      </c>
      <c r="AV328" s="141" t="s">
        <v>35</v>
      </c>
      <c r="AW328" s="141" t="s">
        <v>35</v>
      </c>
      <c r="AX328" s="95"/>
      <c r="AY328" s="93"/>
    </row>
    <row r="329" ht="14.5" spans="1:51">
      <c r="A329" s="91"/>
      <c r="B329" s="95"/>
      <c r="C329" s="163" t="s">
        <v>350</v>
      </c>
      <c r="D329" s="153" t="s">
        <v>25</v>
      </c>
      <c r="E329" s="130" t="s">
        <v>351</v>
      </c>
      <c r="F329" s="171" t="s">
        <v>354</v>
      </c>
      <c r="G329" s="171" t="s">
        <v>354</v>
      </c>
      <c r="H329" s="171" t="s">
        <v>354</v>
      </c>
      <c r="I329" s="171" t="s">
        <v>354</v>
      </c>
      <c r="J329" s="132">
        <v>0.9</v>
      </c>
      <c r="K329" s="133">
        <v>0.752808988764045</v>
      </c>
      <c r="L329" s="133">
        <v>0.857142857142857</v>
      </c>
      <c r="M329" s="134">
        <v>0.836734693877551</v>
      </c>
      <c r="N329" s="133">
        <v>0.871896162528217</v>
      </c>
      <c r="O329" s="135">
        <v>0.9</v>
      </c>
      <c r="P329" s="133">
        <v>0.931908652838885</v>
      </c>
      <c r="Q329" s="133">
        <v>0.939583333333333</v>
      </c>
      <c r="R329" s="133">
        <v>0.942715559960357</v>
      </c>
      <c r="S329" s="133">
        <v>0.93185791481246</v>
      </c>
      <c r="T329" s="135">
        <v>0.9</v>
      </c>
      <c r="U329" s="133">
        <v>0.795516446679237</v>
      </c>
      <c r="V329" s="133">
        <v>0.859280303030303</v>
      </c>
      <c r="W329" s="133">
        <v>0.866600594648167</v>
      </c>
      <c r="X329" s="133">
        <v>0.861202717736809</v>
      </c>
      <c r="Y329" s="135">
        <v>0.92</v>
      </c>
      <c r="Z329" s="135">
        <v>0.853782287822878</v>
      </c>
      <c r="AA329" s="135">
        <v>0.918460534898891</v>
      </c>
      <c r="AB329" s="135">
        <v>0.930533117932149</v>
      </c>
      <c r="AC329" s="135">
        <v>0.939869437623525</v>
      </c>
      <c r="AD329" s="135">
        <v>0.92</v>
      </c>
      <c r="AE329" s="133">
        <v>0.997846065479609</v>
      </c>
      <c r="AF329" s="133">
        <v>0.909451046972269</v>
      </c>
      <c r="AG329" s="133">
        <v>0.989535885756494</v>
      </c>
      <c r="AH329" s="133">
        <v>0.988682322676462</v>
      </c>
      <c r="AI329" s="135">
        <v>0.92</v>
      </c>
      <c r="AJ329" s="133">
        <v>0.901511879049676</v>
      </c>
      <c r="AK329" s="133">
        <v>0.938546922300706</v>
      </c>
      <c r="AL329" s="133">
        <v>0.948467180741019</v>
      </c>
      <c r="AM329" s="133">
        <v>0.954069487170567</v>
      </c>
      <c r="AN329" s="132">
        <v>0.99</v>
      </c>
      <c r="AO329" s="137">
        <v>1</v>
      </c>
      <c r="AP329" s="137">
        <v>1</v>
      </c>
      <c r="AQ329" s="137">
        <v>1</v>
      </c>
      <c r="AR329" s="137">
        <v>1</v>
      </c>
      <c r="AS329" s="158">
        <v>0.0739852556983447</v>
      </c>
      <c r="AT329" s="141">
        <v>0.0526315789473684</v>
      </c>
      <c r="AU329" s="141">
        <v>0.0240963855421687</v>
      </c>
      <c r="AV329" s="141">
        <v>0.0602409638554217</v>
      </c>
      <c r="AW329" s="141">
        <v>0.052793124616329</v>
      </c>
      <c r="AX329" s="95"/>
      <c r="AY329" s="93"/>
    </row>
    <row r="330" ht="14.5" spans="1:51">
      <c r="A330" s="91"/>
      <c r="B330" s="95"/>
      <c r="C330" s="163" t="s">
        <v>350</v>
      </c>
      <c r="D330" s="153" t="s">
        <v>125</v>
      </c>
      <c r="E330" s="130" t="s">
        <v>351</v>
      </c>
      <c r="F330" s="171" t="s">
        <v>355</v>
      </c>
      <c r="G330" s="171" t="s">
        <v>355</v>
      </c>
      <c r="H330" s="171" t="s">
        <v>355</v>
      </c>
      <c r="I330" s="171" t="s">
        <v>355</v>
      </c>
      <c r="J330" s="132">
        <v>0.9</v>
      </c>
      <c r="K330" s="133" t="s">
        <v>35</v>
      </c>
      <c r="L330" s="133" t="s">
        <v>35</v>
      </c>
      <c r="M330" s="134" t="s">
        <v>35</v>
      </c>
      <c r="N330" s="133" t="s">
        <v>35</v>
      </c>
      <c r="O330" s="135">
        <v>0.9</v>
      </c>
      <c r="P330" s="133" t="s">
        <v>35</v>
      </c>
      <c r="Q330" s="133" t="s">
        <v>35</v>
      </c>
      <c r="R330" s="133" t="s">
        <v>35</v>
      </c>
      <c r="S330" s="133" t="s">
        <v>35</v>
      </c>
      <c r="T330" s="135">
        <v>0.9</v>
      </c>
      <c r="U330" s="133" t="s">
        <v>35</v>
      </c>
      <c r="V330" s="133" t="s">
        <v>35</v>
      </c>
      <c r="W330" s="133" t="s">
        <v>35</v>
      </c>
      <c r="X330" s="133" t="s">
        <v>35</v>
      </c>
      <c r="Y330" s="135">
        <v>0.92</v>
      </c>
      <c r="Z330" s="135" t="s">
        <v>35</v>
      </c>
      <c r="AA330" s="135" t="s">
        <v>35</v>
      </c>
      <c r="AB330" s="135" t="s">
        <v>35</v>
      </c>
      <c r="AC330" s="135" t="s">
        <v>35</v>
      </c>
      <c r="AD330" s="135">
        <v>0.92</v>
      </c>
      <c r="AE330" s="133">
        <v>1</v>
      </c>
      <c r="AF330" s="133">
        <v>1</v>
      </c>
      <c r="AG330" s="133">
        <v>1</v>
      </c>
      <c r="AH330" s="133">
        <v>0.99913476097772</v>
      </c>
      <c r="AI330" s="135">
        <v>0.92</v>
      </c>
      <c r="AJ330" s="133" t="s">
        <v>35</v>
      </c>
      <c r="AK330" s="133" t="s">
        <v>35</v>
      </c>
      <c r="AL330" s="133" t="s">
        <v>35</v>
      </c>
      <c r="AM330" s="133" t="s">
        <v>35</v>
      </c>
      <c r="AN330" s="132">
        <v>0.99</v>
      </c>
      <c r="AO330" s="137">
        <v>1</v>
      </c>
      <c r="AP330" s="137">
        <v>1</v>
      </c>
      <c r="AQ330" s="137">
        <v>1</v>
      </c>
      <c r="AR330" s="137">
        <v>1</v>
      </c>
      <c r="AS330" s="158">
        <v>0.0739852556983447</v>
      </c>
      <c r="AT330" s="141" t="s">
        <v>35</v>
      </c>
      <c r="AU330" s="141" t="s">
        <v>35</v>
      </c>
      <c r="AV330" s="141" t="s">
        <v>35</v>
      </c>
      <c r="AW330" s="141" t="s">
        <v>35</v>
      </c>
      <c r="AX330" s="95"/>
      <c r="AY330" s="93"/>
    </row>
    <row r="331" ht="14.5" spans="1:51">
      <c r="A331" s="91"/>
      <c r="B331" s="95"/>
      <c r="C331" s="163" t="s">
        <v>350</v>
      </c>
      <c r="D331" s="153" t="s">
        <v>25</v>
      </c>
      <c r="E331" s="130" t="s">
        <v>351</v>
      </c>
      <c r="F331" s="171" t="s">
        <v>356</v>
      </c>
      <c r="G331" s="171" t="s">
        <v>356</v>
      </c>
      <c r="H331" s="171" t="s">
        <v>356</v>
      </c>
      <c r="I331" s="171" t="s">
        <v>356</v>
      </c>
      <c r="J331" s="132">
        <v>0.9</v>
      </c>
      <c r="K331" s="133">
        <v>0.906666666666667</v>
      </c>
      <c r="L331" s="133">
        <v>0.905405405405405</v>
      </c>
      <c r="M331" s="134">
        <v>0.952380952380952</v>
      </c>
      <c r="N331" s="133">
        <v>0.93429158110883</v>
      </c>
      <c r="O331" s="135">
        <v>0.9</v>
      </c>
      <c r="P331" s="133">
        <v>0.934263482693856</v>
      </c>
      <c r="Q331" s="133">
        <v>0.945364238410596</v>
      </c>
      <c r="R331" s="133">
        <v>0.959739353037003</v>
      </c>
      <c r="S331" s="133">
        <v>0.953763440860215</v>
      </c>
      <c r="T331" s="135">
        <v>0.9</v>
      </c>
      <c r="U331" s="133">
        <v>0.897504695465522</v>
      </c>
      <c r="V331" s="133">
        <v>0.915355960264901</v>
      </c>
      <c r="W331" s="133">
        <v>0.933907377239935</v>
      </c>
      <c r="X331" s="133">
        <v>0.925838709677419</v>
      </c>
      <c r="Y331" s="135">
        <v>0.92</v>
      </c>
      <c r="Z331" s="135">
        <v>0.877182044887781</v>
      </c>
      <c r="AA331" s="135">
        <v>0.920816326530612</v>
      </c>
      <c r="AB331" s="135">
        <v>0.942064264849075</v>
      </c>
      <c r="AC331" s="135">
        <v>0.942840686240897</v>
      </c>
      <c r="AD331" s="135">
        <v>0.92</v>
      </c>
      <c r="AE331" s="133">
        <v>0.985472704573828</v>
      </c>
      <c r="AF331" s="133">
        <v>0.979494750656168</v>
      </c>
      <c r="AG331" s="133">
        <v>0.964029350773648</v>
      </c>
      <c r="AH331" s="133">
        <v>0.966038569115266</v>
      </c>
      <c r="AI331" s="135">
        <v>0.92</v>
      </c>
      <c r="AJ331" s="133">
        <v>0.926134233220847</v>
      </c>
      <c r="AK331" s="133">
        <v>0.943245778611632</v>
      </c>
      <c r="AL331" s="133">
        <v>0.960998810939358</v>
      </c>
      <c r="AM331" s="133">
        <v>0.961282400105944</v>
      </c>
      <c r="AN331" s="132">
        <v>0.99</v>
      </c>
      <c r="AO331" s="137">
        <v>1</v>
      </c>
      <c r="AP331" s="137">
        <v>1</v>
      </c>
      <c r="AQ331" s="137">
        <v>1</v>
      </c>
      <c r="AR331" s="137">
        <v>0.999378495960224</v>
      </c>
      <c r="AS331" s="158">
        <v>0.0739852556983447</v>
      </c>
      <c r="AT331" s="141">
        <v>0.125</v>
      </c>
      <c r="AU331" s="141">
        <v>0.0232558139534884</v>
      </c>
      <c r="AV331" s="141">
        <v>0.0212765957446809</v>
      </c>
      <c r="AW331" s="141">
        <v>0.0522788203753351</v>
      </c>
      <c r="AX331" s="95"/>
      <c r="AY331" s="93"/>
    </row>
    <row r="332" ht="14.5" spans="1:51">
      <c r="A332" s="91"/>
      <c r="B332" s="95"/>
      <c r="C332" s="163" t="s">
        <v>350</v>
      </c>
      <c r="D332" s="153" t="s">
        <v>25</v>
      </c>
      <c r="E332" s="130" t="s">
        <v>351</v>
      </c>
      <c r="F332" s="171" t="s">
        <v>357</v>
      </c>
      <c r="G332" s="171" t="s">
        <v>357</v>
      </c>
      <c r="H332" s="171" t="s">
        <v>357</v>
      </c>
      <c r="I332" s="171" t="s">
        <v>357</v>
      </c>
      <c r="J332" s="132">
        <v>0.9</v>
      </c>
      <c r="K332" s="133">
        <v>1</v>
      </c>
      <c r="L332" s="133">
        <v>0.95</v>
      </c>
      <c r="M332" s="134">
        <v>0.973684210526316</v>
      </c>
      <c r="N332" s="133">
        <v>0.972857142857143</v>
      </c>
      <c r="O332" s="135">
        <v>0.9</v>
      </c>
      <c r="P332" s="133">
        <v>0.922720247295209</v>
      </c>
      <c r="Q332" s="133">
        <v>0.927589367552704</v>
      </c>
      <c r="R332" s="133">
        <v>0.943894389438944</v>
      </c>
      <c r="S332" s="133">
        <v>0.939248484848485</v>
      </c>
      <c r="T332" s="135">
        <v>0.9</v>
      </c>
      <c r="U332" s="133">
        <v>0.882534775888717</v>
      </c>
      <c r="V332" s="133">
        <v>0.908340971585701</v>
      </c>
      <c r="W332" s="133">
        <v>0.928807166430929</v>
      </c>
      <c r="X332" s="133">
        <v>0.921987878787879</v>
      </c>
      <c r="Y332" s="135">
        <v>0.92</v>
      </c>
      <c r="Z332" s="135">
        <v>0.935521688159437</v>
      </c>
      <c r="AA332" s="135">
        <v>0.961440892947742</v>
      </c>
      <c r="AB332" s="135">
        <v>0.969277369104284</v>
      </c>
      <c r="AC332" s="135">
        <v>0.973595626327978</v>
      </c>
      <c r="AD332" s="135">
        <v>0.92</v>
      </c>
      <c r="AE332" s="133">
        <v>0.999151103565365</v>
      </c>
      <c r="AF332" s="133">
        <v>0.991503604531411</v>
      </c>
      <c r="AG332" s="133">
        <v>0.982047318987041</v>
      </c>
      <c r="AH332" s="133">
        <v>0.980838473902073</v>
      </c>
      <c r="AI332" s="135">
        <v>0.92</v>
      </c>
      <c r="AJ332" s="133">
        <v>0.943470483005367</v>
      </c>
      <c r="AK332" s="133">
        <v>0.969515122419587</v>
      </c>
      <c r="AL332" s="133">
        <v>0.975428313796213</v>
      </c>
      <c r="AM332" s="133">
        <v>0.978726214058467</v>
      </c>
      <c r="AN332" s="132">
        <v>0.99</v>
      </c>
      <c r="AO332" s="137">
        <v>1</v>
      </c>
      <c r="AP332" s="137">
        <v>1</v>
      </c>
      <c r="AQ332" s="137">
        <v>1</v>
      </c>
      <c r="AR332" s="137">
        <v>1</v>
      </c>
      <c r="AS332" s="158">
        <v>0.0739852556983447</v>
      </c>
      <c r="AT332" s="141">
        <v>0.0769230769230769</v>
      </c>
      <c r="AU332" s="141">
        <v>0</v>
      </c>
      <c r="AV332" s="141">
        <v>0.1</v>
      </c>
      <c r="AW332" s="141">
        <v>0.0321361058601134</v>
      </c>
      <c r="AX332" s="95"/>
      <c r="AY332" s="93"/>
    </row>
    <row r="333" ht="14.5" spans="1:51">
      <c r="A333" s="91"/>
      <c r="B333" s="95"/>
      <c r="C333" s="163" t="s">
        <v>350</v>
      </c>
      <c r="D333" s="153" t="s">
        <v>25</v>
      </c>
      <c r="E333" s="130" t="s">
        <v>351</v>
      </c>
      <c r="F333" s="171" t="s">
        <v>358</v>
      </c>
      <c r="G333" s="171" t="s">
        <v>358</v>
      </c>
      <c r="H333" s="171" t="s">
        <v>358</v>
      </c>
      <c r="I333" s="171" t="s">
        <v>358</v>
      </c>
      <c r="J333" s="132">
        <v>0.9</v>
      </c>
      <c r="K333" s="133">
        <v>0.966666666666667</v>
      </c>
      <c r="L333" s="133">
        <v>0.939393939393939</v>
      </c>
      <c r="M333" s="134">
        <v>0.96969696969697</v>
      </c>
      <c r="N333" s="133">
        <v>0.944625407166124</v>
      </c>
      <c r="O333" s="135">
        <v>0.9</v>
      </c>
      <c r="P333" s="133">
        <v>0.956369982547993</v>
      </c>
      <c r="Q333" s="133">
        <v>0.972736625514403</v>
      </c>
      <c r="R333" s="133">
        <v>0.963235294117647</v>
      </c>
      <c r="S333" s="133">
        <v>0.963881269858512</v>
      </c>
      <c r="T333" s="135">
        <v>0.9</v>
      </c>
      <c r="U333" s="133">
        <v>0.883071553228621</v>
      </c>
      <c r="V333" s="133">
        <v>0.919753086419753</v>
      </c>
      <c r="W333" s="133">
        <v>0.93947963800905</v>
      </c>
      <c r="X333" s="133">
        <v>0.924313608342612</v>
      </c>
      <c r="Y333" s="135">
        <v>0.92</v>
      </c>
      <c r="Z333" s="135">
        <v>0.927321668909825</v>
      </c>
      <c r="AA333" s="135">
        <v>0.948923076923077</v>
      </c>
      <c r="AB333" s="135">
        <v>0.95751953125</v>
      </c>
      <c r="AC333" s="135">
        <v>0.963413324743652</v>
      </c>
      <c r="AD333" s="135">
        <v>0.92</v>
      </c>
      <c r="AE333" s="133">
        <v>1</v>
      </c>
      <c r="AF333" s="133">
        <v>1</v>
      </c>
      <c r="AG333" s="133">
        <v>0.998899889988999</v>
      </c>
      <c r="AH333" s="133">
        <v>0.994404415146405</v>
      </c>
      <c r="AI333" s="135">
        <v>0.92</v>
      </c>
      <c r="AJ333" s="133">
        <v>0.946406820950061</v>
      </c>
      <c r="AK333" s="133">
        <v>0.963138788048031</v>
      </c>
      <c r="AL333" s="133">
        <v>0.968366013071895</v>
      </c>
      <c r="AM333" s="133">
        <v>0.97290232169566</v>
      </c>
      <c r="AN333" s="132">
        <v>0.99</v>
      </c>
      <c r="AO333" s="137">
        <v>1</v>
      </c>
      <c r="AP333" s="137">
        <v>1</v>
      </c>
      <c r="AQ333" s="137">
        <v>1</v>
      </c>
      <c r="AR333" s="137">
        <v>1</v>
      </c>
      <c r="AS333" s="158">
        <v>0.0739852556983447</v>
      </c>
      <c r="AT333" s="141">
        <v>0</v>
      </c>
      <c r="AU333" s="141">
        <v>0.0277777777777778</v>
      </c>
      <c r="AV333" s="141">
        <v>0</v>
      </c>
      <c r="AW333" s="141">
        <v>0.0432</v>
      </c>
      <c r="AX333" s="95"/>
      <c r="AY333" s="93"/>
    </row>
    <row r="334" ht="14.5" spans="1:51">
      <c r="A334" s="91"/>
      <c r="B334" s="95"/>
      <c r="C334" s="163" t="s">
        <v>350</v>
      </c>
      <c r="D334" s="153" t="s">
        <v>25</v>
      </c>
      <c r="E334" s="130" t="s">
        <v>351</v>
      </c>
      <c r="F334" s="171" t="s">
        <v>359</v>
      </c>
      <c r="G334" s="171" t="s">
        <v>359</v>
      </c>
      <c r="H334" s="171" t="s">
        <v>359</v>
      </c>
      <c r="I334" s="171" t="s">
        <v>359</v>
      </c>
      <c r="J334" s="132">
        <v>0.9</v>
      </c>
      <c r="K334" s="133">
        <v>0.875</v>
      </c>
      <c r="L334" s="133">
        <v>0.98</v>
      </c>
      <c r="M334" s="134">
        <v>0.872727272727273</v>
      </c>
      <c r="N334" s="133">
        <v>0.925531914893617</v>
      </c>
      <c r="O334" s="135">
        <v>0.9</v>
      </c>
      <c r="P334" s="133">
        <v>0.980418943533698</v>
      </c>
      <c r="Q334" s="133">
        <v>0.97719298245614</v>
      </c>
      <c r="R334" s="133">
        <v>0.965116279069767</v>
      </c>
      <c r="S334" s="133">
        <v>0.972185135736538</v>
      </c>
      <c r="T334" s="135">
        <v>0.9</v>
      </c>
      <c r="U334" s="133">
        <v>0.879326047358834</v>
      </c>
      <c r="V334" s="133">
        <v>0.918245614035088</v>
      </c>
      <c r="W334" s="133">
        <v>0.910852713178295</v>
      </c>
      <c r="X334" s="133">
        <v>0.905911585818128</v>
      </c>
      <c r="Y334" s="135">
        <v>0.92</v>
      </c>
      <c r="Z334" s="135">
        <v>0.880077369439072</v>
      </c>
      <c r="AA334" s="135">
        <v>0.937392795883362</v>
      </c>
      <c r="AB334" s="135">
        <v>0.964426877470356</v>
      </c>
      <c r="AC334" s="135">
        <v>0.958414824473024</v>
      </c>
      <c r="AD334" s="135">
        <v>0.92</v>
      </c>
      <c r="AE334" s="133">
        <v>0.997576345128454</v>
      </c>
      <c r="AF334" s="133">
        <v>0.998122653316646</v>
      </c>
      <c r="AG334" s="133">
        <v>0.98313554028732</v>
      </c>
      <c r="AH334" s="133">
        <v>0.988297398715258</v>
      </c>
      <c r="AI334" s="135">
        <v>0.92</v>
      </c>
      <c r="AJ334" s="133">
        <v>0.92726709996905</v>
      </c>
      <c r="AK334" s="133">
        <v>0.957082371054657</v>
      </c>
      <c r="AL334" s="133">
        <v>0.968732551647124</v>
      </c>
      <c r="AM334" s="133">
        <v>0.966010101492309</v>
      </c>
      <c r="AN334" s="132">
        <v>0.99</v>
      </c>
      <c r="AO334" s="137">
        <v>1</v>
      </c>
      <c r="AP334" s="137">
        <v>1</v>
      </c>
      <c r="AQ334" s="137">
        <v>1</v>
      </c>
      <c r="AR334" s="137">
        <v>1</v>
      </c>
      <c r="AS334" s="158">
        <v>0.0739852556983447</v>
      </c>
      <c r="AT334" s="141">
        <v>0.037037037037037</v>
      </c>
      <c r="AU334" s="141">
        <v>0.0555555555555556</v>
      </c>
      <c r="AV334" s="141">
        <v>0.0454545454545455</v>
      </c>
      <c r="AW334" s="141">
        <v>0.0455259026687598</v>
      </c>
      <c r="AX334" s="95"/>
      <c r="AY334" s="93"/>
    </row>
    <row r="335" ht="14.5" spans="1:51">
      <c r="A335" s="91"/>
      <c r="B335" s="95"/>
      <c r="C335" s="163" t="s">
        <v>350</v>
      </c>
      <c r="D335" s="153" t="s">
        <v>25</v>
      </c>
      <c r="E335" s="130" t="s">
        <v>351</v>
      </c>
      <c r="F335" s="171" t="s">
        <v>360</v>
      </c>
      <c r="G335" s="171" t="s">
        <v>360</v>
      </c>
      <c r="H335" s="171" t="s">
        <v>360</v>
      </c>
      <c r="I335" s="171" t="s">
        <v>360</v>
      </c>
      <c r="J335" s="132">
        <v>0.9</v>
      </c>
      <c r="K335" s="133">
        <v>0.884057971014493</v>
      </c>
      <c r="L335" s="133">
        <v>0.935064935064935</v>
      </c>
      <c r="M335" s="134">
        <v>0.949367088607595</v>
      </c>
      <c r="N335" s="133">
        <v>0.926470588235294</v>
      </c>
      <c r="O335" s="135">
        <v>0.9</v>
      </c>
      <c r="P335" s="133">
        <v>0.985538461538462</v>
      </c>
      <c r="Q335" s="133">
        <v>0.980045871559633</v>
      </c>
      <c r="R335" s="133">
        <v>0.973575757575758</v>
      </c>
      <c r="S335" s="133">
        <v>0.975834696721808</v>
      </c>
      <c r="T335" s="135">
        <v>0.9</v>
      </c>
      <c r="U335" s="133">
        <v>0.880923076923077</v>
      </c>
      <c r="V335" s="133">
        <v>0.911467889908257</v>
      </c>
      <c r="W335" s="133">
        <v>0.912727272727273</v>
      </c>
      <c r="X335" s="133">
        <v>0.915772889777616</v>
      </c>
      <c r="Y335" s="135">
        <v>0.92</v>
      </c>
      <c r="Z335" s="135">
        <v>0.950506186726659</v>
      </c>
      <c r="AA335" s="135">
        <v>0.940549186883498</v>
      </c>
      <c r="AB335" s="135">
        <v>0.95905325443787</v>
      </c>
      <c r="AC335" s="135">
        <v>0.96604544938362</v>
      </c>
      <c r="AD335" s="135">
        <v>0.92</v>
      </c>
      <c r="AE335" s="133">
        <v>0.990250896057348</v>
      </c>
      <c r="AF335" s="133">
        <v>0.993982844706184</v>
      </c>
      <c r="AG335" s="133">
        <v>0.974965080047276</v>
      </c>
      <c r="AH335" s="133">
        <v>0.960976972948804</v>
      </c>
      <c r="AI335" s="135">
        <v>0.92</v>
      </c>
      <c r="AJ335" s="133">
        <v>0.952863961813842</v>
      </c>
      <c r="AK335" s="133">
        <v>0.955350553505535</v>
      </c>
      <c r="AL335" s="133">
        <v>0.968424829565841</v>
      </c>
      <c r="AM335" s="133">
        <v>0.973321481700956</v>
      </c>
      <c r="AN335" s="132">
        <v>0.99</v>
      </c>
      <c r="AO335" s="137">
        <v>1</v>
      </c>
      <c r="AP335" s="137">
        <v>1</v>
      </c>
      <c r="AQ335" s="137">
        <v>1</v>
      </c>
      <c r="AR335" s="137">
        <v>1</v>
      </c>
      <c r="AS335" s="158">
        <v>0.0739852556983447</v>
      </c>
      <c r="AT335" s="141">
        <v>0.102564102564103</v>
      </c>
      <c r="AU335" s="141">
        <v>0.0222222222222222</v>
      </c>
      <c r="AV335" s="141">
        <v>0.05</v>
      </c>
      <c r="AW335" s="141">
        <v>0.0351473922902494</v>
      </c>
      <c r="AX335" s="95"/>
      <c r="AY335" s="93"/>
    </row>
    <row r="336" ht="14.5" spans="1:51">
      <c r="A336" s="91"/>
      <c r="B336" s="95"/>
      <c r="C336" s="163" t="s">
        <v>350</v>
      </c>
      <c r="D336" s="153" t="s">
        <v>125</v>
      </c>
      <c r="E336" s="130" t="s">
        <v>351</v>
      </c>
      <c r="F336" s="171" t="s">
        <v>361</v>
      </c>
      <c r="G336" s="171" t="s">
        <v>361</v>
      </c>
      <c r="H336" s="171" t="s">
        <v>361</v>
      </c>
      <c r="I336" s="171" t="s">
        <v>361</v>
      </c>
      <c r="J336" s="132">
        <v>0.9</v>
      </c>
      <c r="K336" s="133" t="s">
        <v>35</v>
      </c>
      <c r="L336" s="133" t="s">
        <v>35</v>
      </c>
      <c r="M336" s="134" t="s">
        <v>35</v>
      </c>
      <c r="N336" s="133" t="s">
        <v>35</v>
      </c>
      <c r="O336" s="135">
        <v>0.9</v>
      </c>
      <c r="P336" s="133" t="s">
        <v>35</v>
      </c>
      <c r="Q336" s="133" t="s">
        <v>35</v>
      </c>
      <c r="R336" s="133" t="s">
        <v>35</v>
      </c>
      <c r="S336" s="133" t="s">
        <v>35</v>
      </c>
      <c r="T336" s="135">
        <v>0.9</v>
      </c>
      <c r="U336" s="133" t="s">
        <v>35</v>
      </c>
      <c r="V336" s="133" t="s">
        <v>35</v>
      </c>
      <c r="W336" s="133" t="s">
        <v>35</v>
      </c>
      <c r="X336" s="133" t="s">
        <v>35</v>
      </c>
      <c r="Y336" s="135">
        <v>0.92</v>
      </c>
      <c r="Z336" s="135" t="s">
        <v>35</v>
      </c>
      <c r="AA336" s="135" t="s">
        <v>35</v>
      </c>
      <c r="AB336" s="135" t="s">
        <v>35</v>
      </c>
      <c r="AC336" s="135" t="s">
        <v>35</v>
      </c>
      <c r="AD336" s="135">
        <v>0.92</v>
      </c>
      <c r="AE336" s="133">
        <v>0.998242530755712</v>
      </c>
      <c r="AF336" s="133">
        <v>1</v>
      </c>
      <c r="AG336" s="133">
        <v>0.998475609756098</v>
      </c>
      <c r="AH336" s="133">
        <v>0.979009296920395</v>
      </c>
      <c r="AI336" s="135">
        <v>0.92</v>
      </c>
      <c r="AJ336" s="133" t="s">
        <v>35</v>
      </c>
      <c r="AK336" s="133" t="s">
        <v>35</v>
      </c>
      <c r="AL336" s="133" t="s">
        <v>35</v>
      </c>
      <c r="AM336" s="133">
        <v>1</v>
      </c>
      <c r="AN336" s="132">
        <v>0.99</v>
      </c>
      <c r="AO336" s="137" t="s">
        <v>35</v>
      </c>
      <c r="AP336" s="137" t="s">
        <v>35</v>
      </c>
      <c r="AQ336" s="137" t="s">
        <v>35</v>
      </c>
      <c r="AR336" s="137">
        <v>1</v>
      </c>
      <c r="AS336" s="158">
        <v>0.0739852556983447</v>
      </c>
      <c r="AT336" s="141" t="s">
        <v>35</v>
      </c>
      <c r="AU336" s="141" t="s">
        <v>35</v>
      </c>
      <c r="AV336" s="141" t="s">
        <v>35</v>
      </c>
      <c r="AW336" s="141" t="s">
        <v>35</v>
      </c>
      <c r="AX336" s="95"/>
      <c r="AY336" s="93"/>
    </row>
    <row r="337" ht="14.5" spans="1:51">
      <c r="A337" s="91"/>
      <c r="B337" s="95"/>
      <c r="C337" s="163" t="s">
        <v>350</v>
      </c>
      <c r="D337" s="153" t="s">
        <v>25</v>
      </c>
      <c r="E337" s="130" t="s">
        <v>351</v>
      </c>
      <c r="F337" s="171" t="s">
        <v>362</v>
      </c>
      <c r="G337" s="171" t="s">
        <v>362</v>
      </c>
      <c r="H337" s="171" t="s">
        <v>362</v>
      </c>
      <c r="I337" s="171" t="s">
        <v>362</v>
      </c>
      <c r="J337" s="132">
        <v>0.9</v>
      </c>
      <c r="K337" s="133">
        <v>0.863636363636364</v>
      </c>
      <c r="L337" s="133">
        <v>0.803418803418803</v>
      </c>
      <c r="M337" s="134">
        <v>0.858267716535433</v>
      </c>
      <c r="N337" s="133">
        <v>0.896252285191956</v>
      </c>
      <c r="O337" s="135">
        <v>0.9</v>
      </c>
      <c r="P337" s="133">
        <v>0.94960524105493</v>
      </c>
      <c r="Q337" s="133">
        <v>0.947528307097487</v>
      </c>
      <c r="R337" s="133">
        <v>0.968192627824019</v>
      </c>
      <c r="S337" s="133">
        <v>0.957794376165875</v>
      </c>
      <c r="T337" s="135">
        <v>0.9</v>
      </c>
      <c r="U337" s="133">
        <v>0.88190828153872</v>
      </c>
      <c r="V337" s="133">
        <v>0.893537696768848</v>
      </c>
      <c r="W337" s="133">
        <v>0.924197384066587</v>
      </c>
      <c r="X337" s="133">
        <v>0.917093354418233</v>
      </c>
      <c r="Y337" s="135">
        <v>0.92</v>
      </c>
      <c r="Z337" s="135">
        <v>0.879921900423039</v>
      </c>
      <c r="AA337" s="135">
        <v>0.926136363636364</v>
      </c>
      <c r="AB337" s="135">
        <v>0.951296059514123</v>
      </c>
      <c r="AC337" s="135">
        <v>0.950024997774171</v>
      </c>
      <c r="AD337" s="135">
        <v>0.92</v>
      </c>
      <c r="AE337" s="133">
        <v>0.996759559300065</v>
      </c>
      <c r="AF337" s="133">
        <v>0.992240215924426</v>
      </c>
      <c r="AG337" s="133">
        <v>0.987148238422335</v>
      </c>
      <c r="AH337" s="133">
        <v>0.985660227046405</v>
      </c>
      <c r="AI337" s="135">
        <v>0.92</v>
      </c>
      <c r="AJ337" s="133">
        <v>0.925113548244156</v>
      </c>
      <c r="AK337" s="133">
        <v>0.945124107205997</v>
      </c>
      <c r="AL337" s="133">
        <v>0.962417768514297</v>
      </c>
      <c r="AM337" s="133">
        <v>0.963014094687387</v>
      </c>
      <c r="AN337" s="132">
        <v>0.99</v>
      </c>
      <c r="AO337" s="137">
        <v>1</v>
      </c>
      <c r="AP337" s="137">
        <v>1</v>
      </c>
      <c r="AQ337" s="137">
        <v>1</v>
      </c>
      <c r="AR337" s="137">
        <v>1</v>
      </c>
      <c r="AS337" s="158">
        <v>0.0739852556983447</v>
      </c>
      <c r="AT337" s="141">
        <v>0.0731707317073171</v>
      </c>
      <c r="AU337" s="141">
        <v>0.0232558139534884</v>
      </c>
      <c r="AV337" s="141">
        <v>0.0535714285714286</v>
      </c>
      <c r="AW337" s="141">
        <v>0.0444664031620553</v>
      </c>
      <c r="AX337" s="95"/>
      <c r="AY337" s="93"/>
    </row>
    <row r="338" ht="14.5" spans="1:51">
      <c r="A338" s="91"/>
      <c r="B338" s="95"/>
      <c r="C338" s="163" t="s">
        <v>350</v>
      </c>
      <c r="D338" s="153" t="s">
        <v>25</v>
      </c>
      <c r="E338" s="130" t="s">
        <v>351</v>
      </c>
      <c r="F338" s="171" t="s">
        <v>363</v>
      </c>
      <c r="G338" s="171" t="s">
        <v>363</v>
      </c>
      <c r="H338" s="171" t="s">
        <v>363</v>
      </c>
      <c r="I338" s="171" t="s">
        <v>363</v>
      </c>
      <c r="J338" s="132">
        <v>0.9</v>
      </c>
      <c r="K338" s="133">
        <v>0.94</v>
      </c>
      <c r="L338" s="133">
        <v>0.964912280701754</v>
      </c>
      <c r="M338" s="134">
        <v>1</v>
      </c>
      <c r="N338" s="133">
        <v>0.962264150943396</v>
      </c>
      <c r="O338" s="135">
        <v>0.9</v>
      </c>
      <c r="P338" s="133">
        <v>0.954566527584608</v>
      </c>
      <c r="Q338" s="133">
        <v>0.951102941176471</v>
      </c>
      <c r="R338" s="133">
        <v>0.958653494328577</v>
      </c>
      <c r="S338" s="133">
        <v>0.961501927697379</v>
      </c>
      <c r="T338" s="135">
        <v>0.9</v>
      </c>
      <c r="U338" s="133">
        <v>0.898006490496059</v>
      </c>
      <c r="V338" s="133">
        <v>0.907720588235294</v>
      </c>
      <c r="W338" s="133">
        <v>0.909989023051592</v>
      </c>
      <c r="X338" s="133">
        <v>0.91996796483582</v>
      </c>
      <c r="Y338" s="135">
        <v>0.92</v>
      </c>
      <c r="Z338" s="135">
        <v>0.927218344965105</v>
      </c>
      <c r="AA338" s="135">
        <v>0.942324371205551</v>
      </c>
      <c r="AB338" s="135">
        <v>0.953619114546732</v>
      </c>
      <c r="AC338" s="135">
        <v>0.961520710741894</v>
      </c>
      <c r="AD338" s="135">
        <v>0.92</v>
      </c>
      <c r="AE338" s="133">
        <v>1</v>
      </c>
      <c r="AF338" s="133">
        <v>0.996057818659658</v>
      </c>
      <c r="AG338" s="133">
        <v>0.99731768650461</v>
      </c>
      <c r="AH338" s="133">
        <v>0.989173732665576</v>
      </c>
      <c r="AI338" s="135">
        <v>0.92</v>
      </c>
      <c r="AJ338" s="133">
        <v>0.947202023395511</v>
      </c>
      <c r="AK338" s="133">
        <v>0.956383822363204</v>
      </c>
      <c r="AL338" s="133">
        <v>0.962724014336918</v>
      </c>
      <c r="AM338" s="133">
        <v>0.970833057757537</v>
      </c>
      <c r="AN338" s="132">
        <v>0.99</v>
      </c>
      <c r="AO338" s="137">
        <v>1</v>
      </c>
      <c r="AP338" s="137">
        <v>1</v>
      </c>
      <c r="AQ338" s="137">
        <v>1</v>
      </c>
      <c r="AR338" s="137">
        <v>1</v>
      </c>
      <c r="AS338" s="158">
        <v>0.0739852556983447</v>
      </c>
      <c r="AT338" s="141">
        <v>0.214285714285714</v>
      </c>
      <c r="AU338" s="141">
        <v>0.0512820512820513</v>
      </c>
      <c r="AV338" s="141">
        <v>0</v>
      </c>
      <c r="AW338" s="141">
        <v>0.0545212765957447</v>
      </c>
      <c r="AX338" s="95"/>
      <c r="AY338" s="93"/>
    </row>
    <row r="339" ht="14.5" spans="1:51">
      <c r="A339" s="91"/>
      <c r="B339" s="95"/>
      <c r="C339" s="163" t="s">
        <v>350</v>
      </c>
      <c r="D339" s="153" t="s">
        <v>125</v>
      </c>
      <c r="E339" s="130" t="s">
        <v>351</v>
      </c>
      <c r="F339" s="171" t="s">
        <v>364</v>
      </c>
      <c r="G339" s="171" t="s">
        <v>364</v>
      </c>
      <c r="H339" s="171" t="s">
        <v>364</v>
      </c>
      <c r="I339" s="171" t="s">
        <v>364</v>
      </c>
      <c r="J339" s="132">
        <v>0.9</v>
      </c>
      <c r="K339" s="133" t="s">
        <v>35</v>
      </c>
      <c r="L339" s="133" t="s">
        <v>35</v>
      </c>
      <c r="M339" s="134" t="s">
        <v>35</v>
      </c>
      <c r="N339" s="133" t="s">
        <v>35</v>
      </c>
      <c r="O339" s="135">
        <v>0.9</v>
      </c>
      <c r="P339" s="133" t="s">
        <v>35</v>
      </c>
      <c r="Q339" s="133" t="s">
        <v>35</v>
      </c>
      <c r="R339" s="133" t="s">
        <v>35</v>
      </c>
      <c r="S339" s="133">
        <v>0</v>
      </c>
      <c r="T339" s="135">
        <v>0.9</v>
      </c>
      <c r="U339" s="133" t="s">
        <v>35</v>
      </c>
      <c r="V339" s="133" t="s">
        <v>35</v>
      </c>
      <c r="W339" s="133" t="s">
        <v>35</v>
      </c>
      <c r="X339" s="133">
        <v>0</v>
      </c>
      <c r="Y339" s="135">
        <v>0.92</v>
      </c>
      <c r="Z339" s="135" t="s">
        <v>35</v>
      </c>
      <c r="AA339" s="135" t="s">
        <v>35</v>
      </c>
      <c r="AB339" s="135" t="s">
        <v>35</v>
      </c>
      <c r="AC339" s="135" t="s">
        <v>35</v>
      </c>
      <c r="AD339" s="135">
        <v>0.92</v>
      </c>
      <c r="AE339" s="133">
        <v>1</v>
      </c>
      <c r="AF339" s="133">
        <v>1</v>
      </c>
      <c r="AG339" s="133">
        <v>1</v>
      </c>
      <c r="AH339" s="133">
        <v>0.999624765478424</v>
      </c>
      <c r="AI339" s="135">
        <v>0.92</v>
      </c>
      <c r="AJ339" s="133" t="s">
        <v>35</v>
      </c>
      <c r="AK339" s="133" t="s">
        <v>35</v>
      </c>
      <c r="AL339" s="133" t="s">
        <v>35</v>
      </c>
      <c r="AM339" s="133">
        <v>0</v>
      </c>
      <c r="AN339" s="132">
        <v>0.99</v>
      </c>
      <c r="AO339" s="137" t="s">
        <v>35</v>
      </c>
      <c r="AP339" s="137">
        <v>1</v>
      </c>
      <c r="AQ339" s="137" t="s">
        <v>35</v>
      </c>
      <c r="AR339" s="137">
        <v>1</v>
      </c>
      <c r="AS339" s="158">
        <v>0.0739852556983447</v>
      </c>
      <c r="AT339" s="141" t="s">
        <v>35</v>
      </c>
      <c r="AU339" s="141" t="s">
        <v>35</v>
      </c>
      <c r="AV339" s="141" t="s">
        <v>35</v>
      </c>
      <c r="AW339" s="141" t="s">
        <v>35</v>
      </c>
      <c r="AX339" s="95"/>
      <c r="AY339" s="93"/>
    </row>
    <row r="340" ht="14.5" spans="1:51">
      <c r="A340" s="91"/>
      <c r="B340" s="95"/>
      <c r="C340" s="163" t="s">
        <v>350</v>
      </c>
      <c r="D340" s="153" t="s">
        <v>25</v>
      </c>
      <c r="E340" s="130" t="s">
        <v>351</v>
      </c>
      <c r="F340" s="171" t="s">
        <v>365</v>
      </c>
      <c r="G340" s="171" t="s">
        <v>365</v>
      </c>
      <c r="H340" s="171" t="s">
        <v>365</v>
      </c>
      <c r="I340" s="171" t="s">
        <v>365</v>
      </c>
      <c r="J340" s="132">
        <v>0.9</v>
      </c>
      <c r="K340" s="133">
        <v>0.949367088607595</v>
      </c>
      <c r="L340" s="133">
        <v>0.951219512195122</v>
      </c>
      <c r="M340" s="134">
        <v>0.963855421686747</v>
      </c>
      <c r="N340" s="133">
        <v>0.969594594594595</v>
      </c>
      <c r="O340" s="135">
        <v>0.9</v>
      </c>
      <c r="P340" s="133">
        <v>0.974756831866605</v>
      </c>
      <c r="Q340" s="133">
        <v>0.975843558282209</v>
      </c>
      <c r="R340" s="133">
        <v>0.979947336439133</v>
      </c>
      <c r="S340" s="133">
        <v>0.97278373437951</v>
      </c>
      <c r="T340" s="135">
        <v>0.9</v>
      </c>
      <c r="U340" s="133">
        <v>0.919638721630384</v>
      </c>
      <c r="V340" s="133">
        <v>0.94478527607362</v>
      </c>
      <c r="W340" s="133">
        <v>0.931942475187361</v>
      </c>
      <c r="X340" s="133">
        <v>0.937678386265727</v>
      </c>
      <c r="Y340" s="135">
        <v>0.92</v>
      </c>
      <c r="Z340" s="135">
        <v>0.952298352124892</v>
      </c>
      <c r="AA340" s="135">
        <v>0.966349077640381</v>
      </c>
      <c r="AB340" s="135">
        <v>0.966520121745012</v>
      </c>
      <c r="AC340" s="135">
        <v>0.972873791222415</v>
      </c>
      <c r="AD340" s="135">
        <v>0.92</v>
      </c>
      <c r="AE340" s="133">
        <v>0.998169336384439</v>
      </c>
      <c r="AF340" s="133">
        <v>0.997247512174465</v>
      </c>
      <c r="AG340" s="133">
        <v>0.997453202597733</v>
      </c>
      <c r="AH340" s="133">
        <v>0.997790828657983</v>
      </c>
      <c r="AI340" s="135">
        <v>0.92</v>
      </c>
      <c r="AJ340" s="133">
        <v>0.962264150943396</v>
      </c>
      <c r="AK340" s="133">
        <v>0.973743730946996</v>
      </c>
      <c r="AL340" s="133">
        <v>0.97535632183908</v>
      </c>
      <c r="AM340" s="133">
        <v>0.978874867101188</v>
      </c>
      <c r="AN340" s="132">
        <v>0.99</v>
      </c>
      <c r="AO340" s="137">
        <v>1</v>
      </c>
      <c r="AP340" s="137">
        <v>1</v>
      </c>
      <c r="AQ340" s="137">
        <v>1</v>
      </c>
      <c r="AR340" s="137">
        <v>1</v>
      </c>
      <c r="AS340" s="158">
        <v>0.0739852556983447</v>
      </c>
      <c r="AT340" s="141">
        <v>0.0967741935483871</v>
      </c>
      <c r="AU340" s="141">
        <v>0.0612244897959184</v>
      </c>
      <c r="AV340" s="141">
        <v>0.0638297872340425</v>
      </c>
      <c r="AW340" s="141">
        <v>0.0593434343434343</v>
      </c>
      <c r="AX340" s="95"/>
      <c r="AY340" s="93"/>
    </row>
    <row r="341" ht="14.5" spans="1:51">
      <c r="A341" s="91"/>
      <c r="B341" s="95"/>
      <c r="C341" s="163" t="s">
        <v>350</v>
      </c>
      <c r="D341" s="153" t="s">
        <v>125</v>
      </c>
      <c r="E341" s="130" t="s">
        <v>351</v>
      </c>
      <c r="F341" s="171" t="s">
        <v>366</v>
      </c>
      <c r="G341" s="171" t="s">
        <v>366</v>
      </c>
      <c r="H341" s="171" t="s">
        <v>366</v>
      </c>
      <c r="I341" s="171" t="s">
        <v>366</v>
      </c>
      <c r="J341" s="132">
        <v>0.9</v>
      </c>
      <c r="K341" s="133" t="s">
        <v>35</v>
      </c>
      <c r="L341" s="133" t="s">
        <v>35</v>
      </c>
      <c r="M341" s="134" t="s">
        <v>35</v>
      </c>
      <c r="N341" s="133" t="s">
        <v>35</v>
      </c>
      <c r="O341" s="135">
        <v>0.9</v>
      </c>
      <c r="P341" s="133" t="s">
        <v>35</v>
      </c>
      <c r="Q341" s="133" t="s">
        <v>35</v>
      </c>
      <c r="R341" s="133" t="s">
        <v>35</v>
      </c>
      <c r="S341" s="133" t="s">
        <v>35</v>
      </c>
      <c r="T341" s="135">
        <v>0.9</v>
      </c>
      <c r="U341" s="133" t="s">
        <v>35</v>
      </c>
      <c r="V341" s="133" t="s">
        <v>35</v>
      </c>
      <c r="W341" s="133" t="s">
        <v>35</v>
      </c>
      <c r="X341" s="133" t="s">
        <v>35</v>
      </c>
      <c r="Y341" s="135">
        <v>0.92</v>
      </c>
      <c r="Z341" s="135" t="s">
        <v>35</v>
      </c>
      <c r="AA341" s="135" t="s">
        <v>35</v>
      </c>
      <c r="AB341" s="135" t="s">
        <v>35</v>
      </c>
      <c r="AC341" s="135" t="s">
        <v>35</v>
      </c>
      <c r="AD341" s="135">
        <v>0.92</v>
      </c>
      <c r="AE341" s="133">
        <v>1</v>
      </c>
      <c r="AF341" s="133">
        <v>0.991596638655462</v>
      </c>
      <c r="AG341" s="133">
        <v>0.978260869565217</v>
      </c>
      <c r="AH341" s="133">
        <v>0.98328025477707</v>
      </c>
      <c r="AI341" s="135">
        <v>0.92</v>
      </c>
      <c r="AJ341" s="133" t="s">
        <v>35</v>
      </c>
      <c r="AK341" s="133" t="s">
        <v>35</v>
      </c>
      <c r="AL341" s="133" t="s">
        <v>35</v>
      </c>
      <c r="AM341" s="133" t="s">
        <v>35</v>
      </c>
      <c r="AN341" s="132">
        <v>0.99</v>
      </c>
      <c r="AO341" s="137" t="s">
        <v>35</v>
      </c>
      <c r="AP341" s="137" t="s">
        <v>35</v>
      </c>
      <c r="AQ341" s="137" t="s">
        <v>35</v>
      </c>
      <c r="AR341" s="137" t="s">
        <v>35</v>
      </c>
      <c r="AS341" s="158">
        <v>0.0739852556983447</v>
      </c>
      <c r="AT341" s="141" t="s">
        <v>35</v>
      </c>
      <c r="AU341" s="141" t="s">
        <v>35</v>
      </c>
      <c r="AV341" s="141" t="s">
        <v>35</v>
      </c>
      <c r="AW341" s="141" t="s">
        <v>35</v>
      </c>
      <c r="AX341" s="95"/>
      <c r="AY341" s="93"/>
    </row>
    <row r="342" ht="14.5" spans="1:51">
      <c r="A342" s="91"/>
      <c r="B342" s="95"/>
      <c r="C342" s="163" t="s">
        <v>350</v>
      </c>
      <c r="D342" s="153" t="s">
        <v>25</v>
      </c>
      <c r="E342" s="130" t="s">
        <v>351</v>
      </c>
      <c r="F342" s="171" t="s">
        <v>367</v>
      </c>
      <c r="G342" s="171" t="s">
        <v>367</v>
      </c>
      <c r="H342" s="171" t="s">
        <v>367</v>
      </c>
      <c r="I342" s="171" t="s">
        <v>367</v>
      </c>
      <c r="J342" s="132">
        <v>0.9</v>
      </c>
      <c r="K342" s="133">
        <v>0.821428571428571</v>
      </c>
      <c r="L342" s="133">
        <v>0.892857142857143</v>
      </c>
      <c r="M342" s="134">
        <v>0.929824561403509</v>
      </c>
      <c r="N342" s="133">
        <v>0.894461859979101</v>
      </c>
      <c r="O342" s="135">
        <v>0.9</v>
      </c>
      <c r="P342" s="133">
        <v>0.918752142612273</v>
      </c>
      <c r="Q342" s="133">
        <v>0.916690606147659</v>
      </c>
      <c r="R342" s="133">
        <v>0.925452276980661</v>
      </c>
      <c r="S342" s="133">
        <v>0.910549024512256</v>
      </c>
      <c r="T342" s="135">
        <v>0.9</v>
      </c>
      <c r="U342" s="133">
        <v>0.888584161810079</v>
      </c>
      <c r="V342" s="133">
        <v>0.894283251939098</v>
      </c>
      <c r="W342" s="133">
        <v>0.907361197754211</v>
      </c>
      <c r="X342" s="133">
        <v>0.899668584292146</v>
      </c>
      <c r="Y342" s="135">
        <v>0.92</v>
      </c>
      <c r="Z342" s="135">
        <v>0.904196357878068</v>
      </c>
      <c r="AA342" s="135">
        <v>0.94070996978852</v>
      </c>
      <c r="AB342" s="135">
        <v>0.940397350993378</v>
      </c>
      <c r="AC342" s="135">
        <v>0.939743438860774</v>
      </c>
      <c r="AD342" s="135">
        <v>0.92</v>
      </c>
      <c r="AE342" s="133">
        <v>0.998621070049642</v>
      </c>
      <c r="AF342" s="133">
        <v>0.994279585269932</v>
      </c>
      <c r="AG342" s="133">
        <v>0.945749679624092</v>
      </c>
      <c r="AH342" s="133">
        <v>0.937717048369158</v>
      </c>
      <c r="AI342" s="135">
        <v>0.92</v>
      </c>
      <c r="AJ342" s="133">
        <v>0.934465438890218</v>
      </c>
      <c r="AK342" s="133">
        <v>0.952613580850024</v>
      </c>
      <c r="AL342" s="133">
        <v>0.952052696078431</v>
      </c>
      <c r="AM342" s="133">
        <v>0.954205637722904</v>
      </c>
      <c r="AN342" s="132">
        <v>0.99</v>
      </c>
      <c r="AO342" s="137">
        <v>1</v>
      </c>
      <c r="AP342" s="137">
        <v>1</v>
      </c>
      <c r="AQ342" s="137">
        <v>1</v>
      </c>
      <c r="AR342" s="137">
        <v>1</v>
      </c>
      <c r="AS342" s="158">
        <v>0.0739852556983447</v>
      </c>
      <c r="AT342" s="141">
        <v>0.0606060606060606</v>
      </c>
      <c r="AU342" s="141">
        <v>0</v>
      </c>
      <c r="AV342" s="141">
        <v>0</v>
      </c>
      <c r="AW342" s="141">
        <v>0.0444126074498567</v>
      </c>
      <c r="AX342" s="95"/>
      <c r="AY342" s="93"/>
    </row>
    <row r="343" ht="14.5" spans="1:51">
      <c r="A343" s="91"/>
      <c r="B343" s="95"/>
      <c r="C343" s="163" t="s">
        <v>350</v>
      </c>
      <c r="D343" s="153" t="s">
        <v>125</v>
      </c>
      <c r="E343" s="130" t="s">
        <v>351</v>
      </c>
      <c r="F343" s="171" t="s">
        <v>368</v>
      </c>
      <c r="G343" s="171" t="s">
        <v>368</v>
      </c>
      <c r="H343" s="171" t="s">
        <v>368</v>
      </c>
      <c r="I343" s="171" t="s">
        <v>368</v>
      </c>
      <c r="J343" s="132">
        <v>0.9</v>
      </c>
      <c r="K343" s="133" t="s">
        <v>35</v>
      </c>
      <c r="L343" s="133" t="s">
        <v>35</v>
      </c>
      <c r="M343" s="134" t="s">
        <v>35</v>
      </c>
      <c r="N343" s="133" t="s">
        <v>35</v>
      </c>
      <c r="O343" s="135">
        <v>0.9</v>
      </c>
      <c r="P343" s="133" t="s">
        <v>35</v>
      </c>
      <c r="Q343" s="133" t="s">
        <v>35</v>
      </c>
      <c r="R343" s="133" t="s">
        <v>35</v>
      </c>
      <c r="S343" s="133" t="s">
        <v>35</v>
      </c>
      <c r="T343" s="135">
        <v>0.9</v>
      </c>
      <c r="U343" s="133" t="s">
        <v>35</v>
      </c>
      <c r="V343" s="133" t="s">
        <v>35</v>
      </c>
      <c r="W343" s="133" t="s">
        <v>35</v>
      </c>
      <c r="X343" s="133" t="s">
        <v>35</v>
      </c>
      <c r="Y343" s="135">
        <v>0.92</v>
      </c>
      <c r="Z343" s="135" t="s">
        <v>35</v>
      </c>
      <c r="AA343" s="135" t="s">
        <v>35</v>
      </c>
      <c r="AB343" s="135" t="s">
        <v>35</v>
      </c>
      <c r="AC343" s="135" t="s">
        <v>35</v>
      </c>
      <c r="AD343" s="135">
        <v>0.92</v>
      </c>
      <c r="AE343" s="133">
        <v>1</v>
      </c>
      <c r="AF343" s="133">
        <v>1</v>
      </c>
      <c r="AG343" s="133">
        <v>1</v>
      </c>
      <c r="AH343" s="133">
        <v>0.989923869234214</v>
      </c>
      <c r="AI343" s="135">
        <v>0.92</v>
      </c>
      <c r="AJ343" s="133" t="s">
        <v>35</v>
      </c>
      <c r="AK343" s="133" t="s">
        <v>35</v>
      </c>
      <c r="AL343" s="133" t="s">
        <v>35</v>
      </c>
      <c r="AM343" s="133" t="s">
        <v>35</v>
      </c>
      <c r="AN343" s="132">
        <v>0.99</v>
      </c>
      <c r="AO343" s="137">
        <v>1</v>
      </c>
      <c r="AP343" s="137">
        <v>1</v>
      </c>
      <c r="AQ343" s="137">
        <v>1</v>
      </c>
      <c r="AR343" s="137">
        <v>1</v>
      </c>
      <c r="AS343" s="158">
        <v>0.0739852556983447</v>
      </c>
      <c r="AT343" s="141" t="s">
        <v>35</v>
      </c>
      <c r="AU343" s="141" t="s">
        <v>35</v>
      </c>
      <c r="AV343" s="141" t="s">
        <v>35</v>
      </c>
      <c r="AW343" s="141" t="s">
        <v>35</v>
      </c>
      <c r="AX343" s="95"/>
      <c r="AY343" s="93"/>
    </row>
    <row r="344" ht="14.5" spans="1:51">
      <c r="A344" s="91"/>
      <c r="B344" s="95"/>
      <c r="C344" s="163" t="s">
        <v>350</v>
      </c>
      <c r="D344" s="153" t="s">
        <v>25</v>
      </c>
      <c r="E344" s="130" t="s">
        <v>351</v>
      </c>
      <c r="F344" s="171" t="s">
        <v>369</v>
      </c>
      <c r="G344" s="171" t="s">
        <v>369</v>
      </c>
      <c r="H344" s="171" t="s">
        <v>369</v>
      </c>
      <c r="I344" s="171" t="s">
        <v>369</v>
      </c>
      <c r="J344" s="132">
        <v>0.9</v>
      </c>
      <c r="K344" s="133">
        <v>0.901639344262295</v>
      </c>
      <c r="L344" s="133">
        <v>0.929577464788732</v>
      </c>
      <c r="M344" s="134">
        <v>0.932432432432432</v>
      </c>
      <c r="N344" s="133">
        <v>0.935285053929122</v>
      </c>
      <c r="O344" s="135">
        <v>0.9</v>
      </c>
      <c r="P344" s="133">
        <v>0.920346789487944</v>
      </c>
      <c r="Q344" s="133">
        <v>0.922308319738989</v>
      </c>
      <c r="R344" s="133">
        <v>0.938924731182796</v>
      </c>
      <c r="S344" s="133">
        <v>0.934824968845587</v>
      </c>
      <c r="T344" s="135">
        <v>0.9</v>
      </c>
      <c r="U344" s="133">
        <v>0.889189921430507</v>
      </c>
      <c r="V344" s="133">
        <v>0.902732463295269</v>
      </c>
      <c r="W344" s="133">
        <v>0.913978494623656</v>
      </c>
      <c r="X344" s="133">
        <v>0.919802877534836</v>
      </c>
      <c r="Y344" s="135">
        <v>0.92</v>
      </c>
      <c r="Z344" s="135">
        <v>0.928607594936709</v>
      </c>
      <c r="AA344" s="135">
        <v>0.941121276096646</v>
      </c>
      <c r="AB344" s="135">
        <v>0.951697381183317</v>
      </c>
      <c r="AC344" s="135">
        <v>0.958399093071332</v>
      </c>
      <c r="AD344" s="135">
        <v>0.92</v>
      </c>
      <c r="AE344" s="133">
        <v>0.996630727762803</v>
      </c>
      <c r="AF344" s="133">
        <v>0.993983957219251</v>
      </c>
      <c r="AG344" s="133">
        <v>0.987902769926512</v>
      </c>
      <c r="AH344" s="133">
        <v>0.990802910123961</v>
      </c>
      <c r="AI344" s="135">
        <v>0.92</v>
      </c>
      <c r="AJ344" s="133">
        <v>0.954345143662965</v>
      </c>
      <c r="AK344" s="133">
        <v>0.956990418118467</v>
      </c>
      <c r="AL344" s="133">
        <v>0.963302752293578</v>
      </c>
      <c r="AM344" s="133">
        <v>0.969821235497443</v>
      </c>
      <c r="AN344" s="132">
        <v>0.99</v>
      </c>
      <c r="AO344" s="137">
        <v>1</v>
      </c>
      <c r="AP344" s="137">
        <v>1</v>
      </c>
      <c r="AQ344" s="137">
        <v>1</v>
      </c>
      <c r="AR344" s="137">
        <v>1</v>
      </c>
      <c r="AS344" s="158">
        <v>0.0739852556983447</v>
      </c>
      <c r="AT344" s="141">
        <v>0</v>
      </c>
      <c r="AU344" s="141">
        <v>0.115384615384615</v>
      </c>
      <c r="AV344" s="141">
        <v>0</v>
      </c>
      <c r="AW344" s="141">
        <v>0.0414878397711016</v>
      </c>
      <c r="AX344" s="95"/>
      <c r="AY344" s="93"/>
    </row>
    <row r="345" ht="14.5" spans="1:51">
      <c r="A345" s="91"/>
      <c r="B345" s="95"/>
      <c r="C345" s="163" t="s">
        <v>350</v>
      </c>
      <c r="D345" s="153" t="s">
        <v>125</v>
      </c>
      <c r="E345" s="130" t="s">
        <v>351</v>
      </c>
      <c r="F345" s="171" t="s">
        <v>370</v>
      </c>
      <c r="G345" s="171" t="s">
        <v>370</v>
      </c>
      <c r="H345" s="171" t="s">
        <v>370</v>
      </c>
      <c r="I345" s="171" t="s">
        <v>370</v>
      </c>
      <c r="J345" s="132">
        <v>0.9</v>
      </c>
      <c r="K345" s="133" t="s">
        <v>35</v>
      </c>
      <c r="L345" s="133" t="s">
        <v>35</v>
      </c>
      <c r="M345" s="134" t="s">
        <v>35</v>
      </c>
      <c r="N345" s="133" t="s">
        <v>35</v>
      </c>
      <c r="O345" s="135">
        <v>0.9</v>
      </c>
      <c r="P345" s="133">
        <v>1</v>
      </c>
      <c r="Q345" s="133">
        <v>0.5</v>
      </c>
      <c r="R345" s="133" t="s">
        <v>35</v>
      </c>
      <c r="S345" s="133">
        <v>0.928571428571429</v>
      </c>
      <c r="T345" s="135">
        <v>0.9</v>
      </c>
      <c r="U345" s="133">
        <v>1</v>
      </c>
      <c r="V345" s="133">
        <v>1</v>
      </c>
      <c r="W345" s="133" t="s">
        <v>35</v>
      </c>
      <c r="X345" s="133">
        <v>0.75</v>
      </c>
      <c r="Y345" s="135">
        <v>0.92</v>
      </c>
      <c r="Z345" s="135" t="s">
        <v>35</v>
      </c>
      <c r="AA345" s="135" t="s">
        <v>35</v>
      </c>
      <c r="AB345" s="135" t="s">
        <v>35</v>
      </c>
      <c r="AC345" s="135">
        <v>1</v>
      </c>
      <c r="AD345" s="135">
        <v>0.92</v>
      </c>
      <c r="AE345" s="133">
        <v>0.99746192893401</v>
      </c>
      <c r="AF345" s="133">
        <v>0.999091734786558</v>
      </c>
      <c r="AG345" s="133">
        <v>0.994961240310077</v>
      </c>
      <c r="AH345" s="133">
        <v>0.992568276113619</v>
      </c>
      <c r="AI345" s="135">
        <v>0.92</v>
      </c>
      <c r="AJ345" s="133">
        <v>1</v>
      </c>
      <c r="AK345" s="133">
        <v>1</v>
      </c>
      <c r="AL345" s="133" t="s">
        <v>35</v>
      </c>
      <c r="AM345" s="133">
        <v>0.833333333333333</v>
      </c>
      <c r="AN345" s="132">
        <v>0.99</v>
      </c>
      <c r="AO345" s="137">
        <v>1</v>
      </c>
      <c r="AP345" s="137">
        <v>1</v>
      </c>
      <c r="AQ345" s="137">
        <v>1</v>
      </c>
      <c r="AR345" s="137">
        <v>1</v>
      </c>
      <c r="AS345" s="158">
        <v>0.0739852556983447</v>
      </c>
      <c r="AT345" s="141">
        <v>0</v>
      </c>
      <c r="AU345" s="141" t="s">
        <v>35</v>
      </c>
      <c r="AV345" s="141" t="s">
        <v>35</v>
      </c>
      <c r="AW345" s="141">
        <v>0</v>
      </c>
      <c r="AX345" s="95"/>
      <c r="AY345" s="93"/>
    </row>
    <row r="346" ht="14.5" spans="1:51">
      <c r="A346" s="91"/>
      <c r="B346" s="95"/>
      <c r="C346" s="163" t="s">
        <v>350</v>
      </c>
      <c r="D346" s="153" t="s">
        <v>125</v>
      </c>
      <c r="E346" s="130" t="s">
        <v>351</v>
      </c>
      <c r="F346" s="171" t="s">
        <v>371</v>
      </c>
      <c r="G346" s="171" t="s">
        <v>371</v>
      </c>
      <c r="H346" s="171" t="s">
        <v>371</v>
      </c>
      <c r="I346" s="171" t="s">
        <v>371</v>
      </c>
      <c r="J346" s="132">
        <v>0.9</v>
      </c>
      <c r="K346" s="133" t="s">
        <v>35</v>
      </c>
      <c r="L346" s="133" t="s">
        <v>35</v>
      </c>
      <c r="M346" s="134" t="s">
        <v>35</v>
      </c>
      <c r="N346" s="133" t="s">
        <v>35</v>
      </c>
      <c r="O346" s="135">
        <v>0.9</v>
      </c>
      <c r="P346" s="133" t="s">
        <v>35</v>
      </c>
      <c r="Q346" s="133" t="s">
        <v>35</v>
      </c>
      <c r="R346" s="133" t="s">
        <v>35</v>
      </c>
      <c r="S346" s="133">
        <v>0.5</v>
      </c>
      <c r="T346" s="135">
        <v>0.9</v>
      </c>
      <c r="U346" s="133" t="s">
        <v>35</v>
      </c>
      <c r="V346" s="133" t="s">
        <v>35</v>
      </c>
      <c r="W346" s="133" t="s">
        <v>35</v>
      </c>
      <c r="X346" s="133">
        <v>0</v>
      </c>
      <c r="Y346" s="135">
        <v>0.92</v>
      </c>
      <c r="Z346" s="135" t="s">
        <v>35</v>
      </c>
      <c r="AA346" s="135" t="s">
        <v>35</v>
      </c>
      <c r="AB346" s="135" t="s">
        <v>35</v>
      </c>
      <c r="AC346" s="135" t="s">
        <v>35</v>
      </c>
      <c r="AD346" s="135">
        <v>0.92</v>
      </c>
      <c r="AE346" s="133">
        <v>1</v>
      </c>
      <c r="AF346" s="133">
        <v>1</v>
      </c>
      <c r="AG346" s="133">
        <v>0.994127516778524</v>
      </c>
      <c r="AH346" s="133">
        <v>0.959849716817137</v>
      </c>
      <c r="AI346" s="135">
        <v>0.92</v>
      </c>
      <c r="AJ346" s="133" t="s">
        <v>35</v>
      </c>
      <c r="AK346" s="133" t="s">
        <v>35</v>
      </c>
      <c r="AL346" s="133" t="s">
        <v>35</v>
      </c>
      <c r="AM346" s="133">
        <v>0</v>
      </c>
      <c r="AN346" s="132">
        <v>0.99</v>
      </c>
      <c r="AO346" s="137" t="s">
        <v>35</v>
      </c>
      <c r="AP346" s="137" t="s">
        <v>35</v>
      </c>
      <c r="AQ346" s="137">
        <v>1</v>
      </c>
      <c r="AR346" s="137">
        <v>1</v>
      </c>
      <c r="AS346" s="158">
        <v>0.0739852556983447</v>
      </c>
      <c r="AT346" s="141" t="s">
        <v>35</v>
      </c>
      <c r="AU346" s="141" t="s">
        <v>35</v>
      </c>
      <c r="AV346" s="141" t="s">
        <v>35</v>
      </c>
      <c r="AW346" s="141" t="s">
        <v>35</v>
      </c>
      <c r="AX346" s="95"/>
      <c r="AY346" s="93"/>
    </row>
    <row r="347" ht="14.5" spans="1:51">
      <c r="A347" s="91"/>
      <c r="B347" s="95"/>
      <c r="C347" s="163" t="s">
        <v>350</v>
      </c>
      <c r="D347" s="153" t="s">
        <v>125</v>
      </c>
      <c r="E347" s="130" t="s">
        <v>351</v>
      </c>
      <c r="F347" s="171" t="s">
        <v>372</v>
      </c>
      <c r="G347" s="171" t="s">
        <v>372</v>
      </c>
      <c r="H347" s="171" t="s">
        <v>372</v>
      </c>
      <c r="I347" s="171" t="s">
        <v>372</v>
      </c>
      <c r="J347" s="132">
        <v>0.9</v>
      </c>
      <c r="K347" s="133" t="s">
        <v>35</v>
      </c>
      <c r="L347" s="133" t="s">
        <v>35</v>
      </c>
      <c r="M347" s="134" t="s">
        <v>35</v>
      </c>
      <c r="N347" s="133" t="s">
        <v>35</v>
      </c>
      <c r="O347" s="135">
        <v>0.9</v>
      </c>
      <c r="P347" s="133" t="s">
        <v>35</v>
      </c>
      <c r="Q347" s="133" t="s">
        <v>35</v>
      </c>
      <c r="R347" s="133" t="s">
        <v>35</v>
      </c>
      <c r="S347" s="133">
        <v>0</v>
      </c>
      <c r="T347" s="135">
        <v>0.9</v>
      </c>
      <c r="U347" s="133" t="s">
        <v>35</v>
      </c>
      <c r="V347" s="133" t="s">
        <v>35</v>
      </c>
      <c r="W347" s="133" t="s">
        <v>35</v>
      </c>
      <c r="X347" s="133">
        <v>0.5</v>
      </c>
      <c r="Y347" s="135">
        <v>0.92</v>
      </c>
      <c r="Z347" s="135" t="s">
        <v>35</v>
      </c>
      <c r="AA347" s="135" t="s">
        <v>35</v>
      </c>
      <c r="AB347" s="135" t="s">
        <v>35</v>
      </c>
      <c r="AC347" s="135">
        <v>0</v>
      </c>
      <c r="AD347" s="135">
        <v>0.92</v>
      </c>
      <c r="AE347" s="133">
        <v>0.999678663239075</v>
      </c>
      <c r="AF347" s="133">
        <v>0.986343612334802</v>
      </c>
      <c r="AG347" s="133">
        <v>0.999080600674226</v>
      </c>
      <c r="AH347" s="133">
        <v>0.954951112795969</v>
      </c>
      <c r="AI347" s="135">
        <v>0.92</v>
      </c>
      <c r="AJ347" s="133" t="s">
        <v>35</v>
      </c>
      <c r="AK347" s="133" t="s">
        <v>35</v>
      </c>
      <c r="AL347" s="133" t="s">
        <v>35</v>
      </c>
      <c r="AM347" s="133">
        <v>0.5</v>
      </c>
      <c r="AN347" s="132">
        <v>0.99</v>
      </c>
      <c r="AO347" s="137" t="s">
        <v>35</v>
      </c>
      <c r="AP347" s="137" t="s">
        <v>35</v>
      </c>
      <c r="AQ347" s="137">
        <v>1</v>
      </c>
      <c r="AR347" s="137">
        <v>1</v>
      </c>
      <c r="AS347" s="158">
        <v>0.0739852556983447</v>
      </c>
      <c r="AT347" s="141" t="s">
        <v>35</v>
      </c>
      <c r="AU347" s="141" t="s">
        <v>35</v>
      </c>
      <c r="AV347" s="141" t="s">
        <v>35</v>
      </c>
      <c r="AW347" s="141">
        <v>0</v>
      </c>
      <c r="AX347" s="95"/>
      <c r="AY347" s="93"/>
    </row>
    <row r="348" ht="14.5" spans="1:51">
      <c r="A348" s="91"/>
      <c r="B348" s="95"/>
      <c r="C348" s="163" t="s">
        <v>350</v>
      </c>
      <c r="D348" s="153" t="s">
        <v>125</v>
      </c>
      <c r="E348" s="130" t="s">
        <v>351</v>
      </c>
      <c r="F348" s="171" t="s">
        <v>373</v>
      </c>
      <c r="G348" s="171" t="s">
        <v>373</v>
      </c>
      <c r="H348" s="171" t="s">
        <v>373</v>
      </c>
      <c r="I348" s="171" t="s">
        <v>373</v>
      </c>
      <c r="J348" s="132">
        <v>0.9</v>
      </c>
      <c r="K348" s="133" t="s">
        <v>35</v>
      </c>
      <c r="L348" s="133" t="s">
        <v>35</v>
      </c>
      <c r="M348" s="134" t="s">
        <v>35</v>
      </c>
      <c r="N348" s="133" t="s">
        <v>35</v>
      </c>
      <c r="O348" s="135">
        <v>0.9</v>
      </c>
      <c r="P348" s="133">
        <v>0.666666666666667</v>
      </c>
      <c r="Q348" s="133">
        <v>0</v>
      </c>
      <c r="R348" s="133">
        <v>0.666666666666667</v>
      </c>
      <c r="S348" s="133">
        <v>0.807692307692308</v>
      </c>
      <c r="T348" s="135">
        <v>0.9</v>
      </c>
      <c r="U348" s="133">
        <v>0.666666666666667</v>
      </c>
      <c r="V348" s="133">
        <v>1</v>
      </c>
      <c r="W348" s="133">
        <v>1</v>
      </c>
      <c r="X348" s="133">
        <v>0.846153846153846</v>
      </c>
      <c r="Y348" s="135">
        <v>0.92</v>
      </c>
      <c r="Z348" s="135" t="s">
        <v>35</v>
      </c>
      <c r="AA348" s="135" t="s">
        <v>35</v>
      </c>
      <c r="AB348" s="135" t="s">
        <v>35</v>
      </c>
      <c r="AC348" s="135">
        <v>0.142857142857143</v>
      </c>
      <c r="AD348" s="135">
        <v>0.92</v>
      </c>
      <c r="AE348" s="133">
        <v>0.99543812963315</v>
      </c>
      <c r="AF348" s="133">
        <v>0.994307968843619</v>
      </c>
      <c r="AG348" s="133">
        <v>0.491652860965974</v>
      </c>
      <c r="AH348" s="133">
        <v>0.816179166573132</v>
      </c>
      <c r="AI348" s="135">
        <v>0.92</v>
      </c>
      <c r="AJ348" s="133">
        <v>0.666666666666667</v>
      </c>
      <c r="AK348" s="133">
        <v>1</v>
      </c>
      <c r="AL348" s="133">
        <v>1</v>
      </c>
      <c r="AM348" s="133">
        <v>0.761904761904762</v>
      </c>
      <c r="AN348" s="132">
        <v>0.99</v>
      </c>
      <c r="AO348" s="137">
        <v>1</v>
      </c>
      <c r="AP348" s="137">
        <v>1</v>
      </c>
      <c r="AQ348" s="137">
        <v>1</v>
      </c>
      <c r="AR348" s="137">
        <v>1</v>
      </c>
      <c r="AS348" s="158">
        <v>0.0739852556983447</v>
      </c>
      <c r="AT348" s="141" t="s">
        <v>35</v>
      </c>
      <c r="AU348" s="141">
        <v>0</v>
      </c>
      <c r="AV348" s="141">
        <v>0</v>
      </c>
      <c r="AW348" s="141">
        <v>0</v>
      </c>
      <c r="AX348" s="95"/>
      <c r="AY348" s="93"/>
    </row>
    <row r="349" ht="14.5" spans="1:51">
      <c r="A349" s="91"/>
      <c r="B349" s="95"/>
      <c r="C349" s="163" t="s">
        <v>350</v>
      </c>
      <c r="D349" s="153" t="s">
        <v>125</v>
      </c>
      <c r="E349" s="130" t="s">
        <v>351</v>
      </c>
      <c r="F349" s="171" t="s">
        <v>374</v>
      </c>
      <c r="G349" s="171" t="s">
        <v>374</v>
      </c>
      <c r="H349" s="171" t="s">
        <v>374</v>
      </c>
      <c r="I349" s="171" t="s">
        <v>374</v>
      </c>
      <c r="J349" s="132">
        <v>0.9</v>
      </c>
      <c r="K349" s="133" t="s">
        <v>35</v>
      </c>
      <c r="L349" s="133" t="s">
        <v>35</v>
      </c>
      <c r="M349" s="134" t="s">
        <v>35</v>
      </c>
      <c r="N349" s="133" t="s">
        <v>35</v>
      </c>
      <c r="O349" s="135">
        <v>0.9</v>
      </c>
      <c r="P349" s="133">
        <v>1</v>
      </c>
      <c r="Q349" s="133">
        <v>1</v>
      </c>
      <c r="R349" s="133">
        <v>0.0106382978723404</v>
      </c>
      <c r="S349" s="133">
        <v>0.0240963855421687</v>
      </c>
      <c r="T349" s="135">
        <v>0.9</v>
      </c>
      <c r="U349" s="133">
        <v>1</v>
      </c>
      <c r="V349" s="133">
        <v>1</v>
      </c>
      <c r="W349" s="133">
        <v>0.0106382978723404</v>
      </c>
      <c r="X349" s="133">
        <v>0.0251004016064257</v>
      </c>
      <c r="Y349" s="135">
        <v>0.92</v>
      </c>
      <c r="Z349" s="135" t="s">
        <v>35</v>
      </c>
      <c r="AA349" s="135" t="s">
        <v>35</v>
      </c>
      <c r="AB349" s="135" t="s">
        <v>35</v>
      </c>
      <c r="AC349" s="135">
        <v>0.5</v>
      </c>
      <c r="AD349" s="135">
        <v>0.92</v>
      </c>
      <c r="AE349" s="133">
        <v>0.999074359765505</v>
      </c>
      <c r="AF349" s="133">
        <v>0.907712810261536</v>
      </c>
      <c r="AG349" s="133">
        <v>0.956159935051756</v>
      </c>
      <c r="AH349" s="133">
        <v>0.924236354085984</v>
      </c>
      <c r="AI349" s="135">
        <v>0.92</v>
      </c>
      <c r="AJ349" s="133">
        <v>1</v>
      </c>
      <c r="AK349" s="133">
        <v>1</v>
      </c>
      <c r="AL349" s="133">
        <v>0.925531914893617</v>
      </c>
      <c r="AM349" s="133">
        <v>0.780780780780781</v>
      </c>
      <c r="AN349" s="132">
        <v>0.99</v>
      </c>
      <c r="AO349" s="137" t="s">
        <v>35</v>
      </c>
      <c r="AP349" s="137">
        <v>1</v>
      </c>
      <c r="AQ349" s="137">
        <v>1</v>
      </c>
      <c r="AR349" s="137">
        <v>1</v>
      </c>
      <c r="AS349" s="158">
        <v>0.0739852556983447</v>
      </c>
      <c r="AT349" s="141" t="s">
        <v>35</v>
      </c>
      <c r="AU349" s="141" t="s">
        <v>35</v>
      </c>
      <c r="AV349" s="141">
        <v>0</v>
      </c>
      <c r="AW349" s="141">
        <v>0</v>
      </c>
      <c r="AX349" s="95"/>
      <c r="AY349" s="93"/>
    </row>
    <row r="350" ht="14.5" spans="1:51">
      <c r="A350" s="91"/>
      <c r="B350" s="95"/>
      <c r="C350" s="159"/>
      <c r="D350" s="160"/>
      <c r="E350" s="159"/>
      <c r="F350" s="159"/>
      <c r="G350" s="159"/>
      <c r="H350" s="159"/>
      <c r="I350" s="159"/>
      <c r="J350" s="162"/>
      <c r="K350" s="147"/>
      <c r="L350" s="147"/>
      <c r="M350" s="134"/>
      <c r="N350" s="147"/>
      <c r="O350" s="150"/>
      <c r="P350" s="147"/>
      <c r="Q350" s="147"/>
      <c r="R350" s="133"/>
      <c r="S350" s="147"/>
      <c r="T350" s="150"/>
      <c r="U350" s="147"/>
      <c r="V350" s="147"/>
      <c r="W350" s="133"/>
      <c r="X350" s="147"/>
      <c r="Y350" s="150"/>
      <c r="Z350" s="150"/>
      <c r="AA350" s="150"/>
      <c r="AB350" s="135"/>
      <c r="AC350" s="150"/>
      <c r="AD350" s="147"/>
      <c r="AE350" s="147"/>
      <c r="AF350" s="147"/>
      <c r="AG350" s="133"/>
      <c r="AH350" s="147"/>
      <c r="AI350" s="147"/>
      <c r="AJ350" s="147"/>
      <c r="AK350" s="147"/>
      <c r="AL350" s="133"/>
      <c r="AM350" s="147"/>
      <c r="AN350" s="146"/>
      <c r="AO350" s="146"/>
      <c r="AP350" s="146"/>
      <c r="AQ350" s="137"/>
      <c r="AR350" s="146"/>
      <c r="AS350" s="147"/>
      <c r="AT350" s="146"/>
      <c r="AU350" s="146"/>
      <c r="AV350" s="141"/>
      <c r="AW350" s="146"/>
      <c r="AX350" s="95"/>
      <c r="AY350" s="93"/>
    </row>
    <row r="351" ht="14.5" spans="1:51">
      <c r="A351" s="91"/>
      <c r="B351" s="95"/>
      <c r="C351" s="152" t="s">
        <v>375</v>
      </c>
      <c r="D351" s="153" t="s">
        <v>25</v>
      </c>
      <c r="E351" s="130" t="s">
        <v>376</v>
      </c>
      <c r="F351" s="154" t="s">
        <v>377</v>
      </c>
      <c r="G351" s="154" t="s">
        <v>377</v>
      </c>
      <c r="H351" s="154" t="s">
        <v>377</v>
      </c>
      <c r="I351" s="154" t="s">
        <v>377</v>
      </c>
      <c r="J351" s="132">
        <v>0.9</v>
      </c>
      <c r="K351" s="133">
        <v>0.973684210526316</v>
      </c>
      <c r="L351" s="133">
        <v>0.853658536585366</v>
      </c>
      <c r="M351" s="134">
        <v>0.948717948717949</v>
      </c>
      <c r="N351" s="133">
        <v>0.91583452211127</v>
      </c>
      <c r="O351" s="135">
        <v>0.9</v>
      </c>
      <c r="P351" s="133">
        <v>0.967395198853458</v>
      </c>
      <c r="Q351" s="133">
        <v>0.928592680749777</v>
      </c>
      <c r="R351" s="133">
        <v>0.982704402515723</v>
      </c>
      <c r="S351" s="133">
        <v>0.965210312075984</v>
      </c>
      <c r="T351" s="135">
        <v>0.9</v>
      </c>
      <c r="U351" s="133">
        <v>0.773557864564672</v>
      </c>
      <c r="V351" s="133">
        <v>0.843201428146385</v>
      </c>
      <c r="W351" s="133">
        <v>0.847877358490566</v>
      </c>
      <c r="X351" s="133">
        <v>0.822198100407056</v>
      </c>
      <c r="Y351" s="135">
        <v>0.92</v>
      </c>
      <c r="Z351" s="135">
        <v>0.788793103448276</v>
      </c>
      <c r="AA351" s="135">
        <v>0.843226788432268</v>
      </c>
      <c r="AB351" s="135">
        <v>0.841981132075472</v>
      </c>
      <c r="AC351" s="135">
        <v>0.855282897556794</v>
      </c>
      <c r="AD351" s="135">
        <v>0.92</v>
      </c>
      <c r="AE351" s="133">
        <v>0.982608695652174</v>
      </c>
      <c r="AF351" s="133">
        <v>0.98220640569395</v>
      </c>
      <c r="AG351" s="133">
        <v>0.978197674418605</v>
      </c>
      <c r="AH351" s="133">
        <v>0.972498767865944</v>
      </c>
      <c r="AI351" s="135">
        <v>0.92</v>
      </c>
      <c r="AJ351" s="133">
        <v>0.90346605557147</v>
      </c>
      <c r="AK351" s="133">
        <v>0.930267379679144</v>
      </c>
      <c r="AL351" s="133">
        <v>0.936320754716981</v>
      </c>
      <c r="AM351" s="133">
        <v>0.936825594288341</v>
      </c>
      <c r="AN351" s="132">
        <v>0.99</v>
      </c>
      <c r="AO351" s="137">
        <v>1</v>
      </c>
      <c r="AP351" s="137">
        <v>1</v>
      </c>
      <c r="AQ351" s="137">
        <v>1</v>
      </c>
      <c r="AR351" s="137">
        <v>1</v>
      </c>
      <c r="AS351" s="158">
        <v>0.05</v>
      </c>
      <c r="AT351" s="141">
        <v>0.25</v>
      </c>
      <c r="AU351" s="141">
        <v>0</v>
      </c>
      <c r="AV351" s="141">
        <v>0</v>
      </c>
      <c r="AW351" s="141">
        <v>0.0878661087866109</v>
      </c>
      <c r="AX351" s="95"/>
      <c r="AY351" s="93"/>
    </row>
    <row r="352" ht="14.5" spans="1:51">
      <c r="A352" s="91"/>
      <c r="B352" s="95"/>
      <c r="C352" s="152" t="s">
        <v>375</v>
      </c>
      <c r="D352" s="153" t="s">
        <v>25</v>
      </c>
      <c r="E352" s="130" t="s">
        <v>376</v>
      </c>
      <c r="F352" s="154" t="s">
        <v>378</v>
      </c>
      <c r="G352" s="154" t="s">
        <v>378</v>
      </c>
      <c r="H352" s="154" t="s">
        <v>378</v>
      </c>
      <c r="I352" s="154" t="s">
        <v>378</v>
      </c>
      <c r="J352" s="132">
        <v>0.9</v>
      </c>
      <c r="K352" s="133">
        <v>1</v>
      </c>
      <c r="L352" s="133">
        <v>0.956521739130435</v>
      </c>
      <c r="M352" s="134">
        <v>1</v>
      </c>
      <c r="N352" s="133">
        <v>0.982926829268293</v>
      </c>
      <c r="O352" s="135">
        <v>0.9</v>
      </c>
      <c r="P352" s="133">
        <v>0.988624052004334</v>
      </c>
      <c r="Q352" s="133">
        <v>0.993810786914235</v>
      </c>
      <c r="R352" s="133">
        <v>0.990634755463059</v>
      </c>
      <c r="S352" s="133">
        <v>0.994004238383212</v>
      </c>
      <c r="T352" s="135">
        <v>0.9</v>
      </c>
      <c r="U352" s="133">
        <v>0.827735644637053</v>
      </c>
      <c r="V352" s="133">
        <v>0.82316534040672</v>
      </c>
      <c r="W352" s="133">
        <v>0.905306971904266</v>
      </c>
      <c r="X352" s="133">
        <v>0.843748384762495</v>
      </c>
      <c r="Y352" s="135">
        <v>0.92</v>
      </c>
      <c r="Z352" s="135">
        <v>0.914285714285714</v>
      </c>
      <c r="AA352" s="135">
        <v>0.920837124658781</v>
      </c>
      <c r="AB352" s="135">
        <v>0.913630229419703</v>
      </c>
      <c r="AC352" s="135">
        <v>0.945393782710133</v>
      </c>
      <c r="AD352" s="135">
        <v>0.92</v>
      </c>
      <c r="AE352" s="133">
        <v>0.991643454038997</v>
      </c>
      <c r="AF352" s="133">
        <v>0.940119760479042</v>
      </c>
      <c r="AG352" s="133">
        <v>0.997019374068554</v>
      </c>
      <c r="AH352" s="133">
        <v>0.99511051041501</v>
      </c>
      <c r="AI352" s="135">
        <v>0.92</v>
      </c>
      <c r="AJ352" s="133">
        <v>0.946880269814503</v>
      </c>
      <c r="AK352" s="133">
        <v>0.962511157393633</v>
      </c>
      <c r="AL352" s="133">
        <v>0.965478424015009</v>
      </c>
      <c r="AM352" s="133">
        <v>0.973827938858546</v>
      </c>
      <c r="AN352" s="132">
        <v>0.99</v>
      </c>
      <c r="AO352" s="137">
        <v>1</v>
      </c>
      <c r="AP352" s="137">
        <v>1</v>
      </c>
      <c r="AQ352" s="137">
        <v>1</v>
      </c>
      <c r="AR352" s="137">
        <v>1</v>
      </c>
      <c r="AS352" s="158">
        <v>0.05</v>
      </c>
      <c r="AT352" s="141">
        <v>0.2</v>
      </c>
      <c r="AU352" s="141">
        <v>0.0909090909090909</v>
      </c>
      <c r="AV352" s="141">
        <v>0.1</v>
      </c>
      <c r="AW352" s="141">
        <v>0.0860927152317881</v>
      </c>
      <c r="AX352" s="95"/>
      <c r="AY352" s="93"/>
    </row>
    <row r="353" ht="14.5" spans="1:51">
      <c r="A353" s="91"/>
      <c r="B353" s="95"/>
      <c r="C353" s="152" t="s">
        <v>375</v>
      </c>
      <c r="D353" s="153" t="s">
        <v>25</v>
      </c>
      <c r="E353" s="130" t="s">
        <v>376</v>
      </c>
      <c r="F353" s="154" t="s">
        <v>379</v>
      </c>
      <c r="G353" s="154" t="s">
        <v>379</v>
      </c>
      <c r="H353" s="154" t="s">
        <v>379</v>
      </c>
      <c r="I353" s="154" t="s">
        <v>379</v>
      </c>
      <c r="J353" s="132">
        <v>0.9</v>
      </c>
      <c r="K353" s="133">
        <v>0.952380952380952</v>
      </c>
      <c r="L353" s="133">
        <v>0.951219512195122</v>
      </c>
      <c r="M353" s="134">
        <v>1</v>
      </c>
      <c r="N353" s="133">
        <v>0.963302752293578</v>
      </c>
      <c r="O353" s="135">
        <v>0.9</v>
      </c>
      <c r="P353" s="133">
        <v>0.967256637168142</v>
      </c>
      <c r="Q353" s="133">
        <v>0.935077840344485</v>
      </c>
      <c r="R353" s="133">
        <v>0.983427823811601</v>
      </c>
      <c r="S353" s="133">
        <v>0.960050015629884</v>
      </c>
      <c r="T353" s="135">
        <v>0.9</v>
      </c>
      <c r="U353" s="133">
        <v>0.708407079646018</v>
      </c>
      <c r="V353" s="133">
        <v>0.772772441205697</v>
      </c>
      <c r="W353" s="133">
        <v>0.851722634103794</v>
      </c>
      <c r="X353" s="133">
        <v>0.798770449098677</v>
      </c>
      <c r="Y353" s="135">
        <v>0.92</v>
      </c>
      <c r="Z353" s="135">
        <v>0.76083467094703</v>
      </c>
      <c r="AA353" s="135">
        <v>0.88404452690167</v>
      </c>
      <c r="AB353" s="135">
        <v>0.929411764705882</v>
      </c>
      <c r="AC353" s="135">
        <v>0.881758901263777</v>
      </c>
      <c r="AD353" s="135">
        <v>0.92</v>
      </c>
      <c r="AE353" s="133">
        <v>0.997909407665505</v>
      </c>
      <c r="AF353" s="133">
        <v>0.997502497502498</v>
      </c>
      <c r="AG353" s="133">
        <v>0.998394863563403</v>
      </c>
      <c r="AH353" s="133">
        <v>0.98526863084922</v>
      </c>
      <c r="AI353" s="135">
        <v>0.92</v>
      </c>
      <c r="AJ353" s="133">
        <v>0.913314840499307</v>
      </c>
      <c r="AK353" s="133">
        <v>0.946302172321211</v>
      </c>
      <c r="AL353" s="133">
        <v>0.968213604577241</v>
      </c>
      <c r="AM353" s="133">
        <v>0.953711215539806</v>
      </c>
      <c r="AN353" s="132">
        <v>0.99</v>
      </c>
      <c r="AO353" s="137">
        <v>1</v>
      </c>
      <c r="AP353" s="137">
        <v>1</v>
      </c>
      <c r="AQ353" s="137">
        <v>1</v>
      </c>
      <c r="AR353" s="137">
        <v>1</v>
      </c>
      <c r="AS353" s="158">
        <v>0.05</v>
      </c>
      <c r="AT353" s="141">
        <v>0.111111111111111</v>
      </c>
      <c r="AU353" s="141">
        <v>0</v>
      </c>
      <c r="AV353" s="141">
        <v>0.0833333333333333</v>
      </c>
      <c r="AW353" s="141">
        <v>0.0523809523809524</v>
      </c>
      <c r="AX353" s="95"/>
      <c r="AY353" s="93"/>
    </row>
    <row r="354" ht="14.5" spans="1:51">
      <c r="A354" s="91"/>
      <c r="B354" s="95"/>
      <c r="C354" s="152" t="s">
        <v>375</v>
      </c>
      <c r="D354" s="153" t="s">
        <v>25</v>
      </c>
      <c r="E354" s="130" t="s">
        <v>376</v>
      </c>
      <c r="F354" s="154" t="s">
        <v>380</v>
      </c>
      <c r="G354" s="154" t="s">
        <v>380</v>
      </c>
      <c r="H354" s="154" t="s">
        <v>380</v>
      </c>
      <c r="I354" s="154" t="s">
        <v>380</v>
      </c>
      <c r="J354" s="132">
        <v>0.9</v>
      </c>
      <c r="K354" s="133">
        <v>0.934782608695652</v>
      </c>
      <c r="L354" s="133">
        <v>0.901960784313726</v>
      </c>
      <c r="M354" s="134">
        <v>0.94</v>
      </c>
      <c r="N354" s="133">
        <v>0.934040047114252</v>
      </c>
      <c r="O354" s="135">
        <v>0.9</v>
      </c>
      <c r="P354" s="133">
        <v>0.93119698397738</v>
      </c>
      <c r="Q354" s="133">
        <v>0.892645607107601</v>
      </c>
      <c r="R354" s="133">
        <v>0.944461778471139</v>
      </c>
      <c r="S354" s="133">
        <v>0.918134249394849</v>
      </c>
      <c r="T354" s="135">
        <v>0.9</v>
      </c>
      <c r="U354" s="133">
        <v>0.768457430097392</v>
      </c>
      <c r="V354" s="133">
        <v>0.735192497532083</v>
      </c>
      <c r="W354" s="133">
        <v>0.824648985959438</v>
      </c>
      <c r="X354" s="133">
        <v>0.702468437912191</v>
      </c>
      <c r="Y354" s="135">
        <v>0.92</v>
      </c>
      <c r="Z354" s="135">
        <v>0.796149490373726</v>
      </c>
      <c r="AA354" s="135">
        <v>0.870146403564608</v>
      </c>
      <c r="AB354" s="135">
        <v>0.893838862559242</v>
      </c>
      <c r="AC354" s="135">
        <v>0.83824312697177</v>
      </c>
      <c r="AD354" s="135">
        <v>0.92</v>
      </c>
      <c r="AE354" s="133">
        <v>0.830275229357798</v>
      </c>
      <c r="AF354" s="133">
        <v>0.981176470588235</v>
      </c>
      <c r="AG354" s="133">
        <v>0.994891443167305</v>
      </c>
      <c r="AH354" s="133">
        <v>0.975896644812958</v>
      </c>
      <c r="AI354" s="135">
        <v>0.92</v>
      </c>
      <c r="AJ354" s="133">
        <v>0.912220309810671</v>
      </c>
      <c r="AK354" s="133">
        <v>0.941688888888889</v>
      </c>
      <c r="AL354" s="133">
        <v>0.949530516431925</v>
      </c>
      <c r="AM354" s="133">
        <v>0.93638202896689</v>
      </c>
      <c r="AN354" s="132">
        <v>0.99</v>
      </c>
      <c r="AO354" s="137">
        <v>1</v>
      </c>
      <c r="AP354" s="137">
        <v>1</v>
      </c>
      <c r="AQ354" s="137">
        <v>1</v>
      </c>
      <c r="AR354" s="137">
        <v>1</v>
      </c>
      <c r="AS354" s="158">
        <v>0.05</v>
      </c>
      <c r="AT354" s="141">
        <v>0</v>
      </c>
      <c r="AU354" s="141">
        <v>0.176470588235294</v>
      </c>
      <c r="AV354" s="141">
        <v>0</v>
      </c>
      <c r="AW354" s="141">
        <v>0.0982142857142857</v>
      </c>
      <c r="AX354" s="95"/>
      <c r="AY354" s="93"/>
    </row>
    <row r="355" ht="14.5" spans="1:51">
      <c r="A355" s="91"/>
      <c r="B355" s="95"/>
      <c r="C355" s="152" t="s">
        <v>375</v>
      </c>
      <c r="D355" s="153" t="s">
        <v>25</v>
      </c>
      <c r="E355" s="130" t="s">
        <v>376</v>
      </c>
      <c r="F355" s="154" t="s">
        <v>381</v>
      </c>
      <c r="G355" s="154" t="s">
        <v>381</v>
      </c>
      <c r="H355" s="154" t="s">
        <v>381</v>
      </c>
      <c r="I355" s="154" t="s">
        <v>381</v>
      </c>
      <c r="J355" s="132">
        <v>0.9</v>
      </c>
      <c r="K355" s="133">
        <v>0.967741935483871</v>
      </c>
      <c r="L355" s="133">
        <v>1</v>
      </c>
      <c r="M355" s="134">
        <v>1</v>
      </c>
      <c r="N355" s="133">
        <v>0.972549019607843</v>
      </c>
      <c r="O355" s="135">
        <v>0.9</v>
      </c>
      <c r="P355" s="133">
        <v>0.985059247810407</v>
      </c>
      <c r="Q355" s="133">
        <v>0.98220640569395</v>
      </c>
      <c r="R355" s="133">
        <v>0.987660668380463</v>
      </c>
      <c r="S355" s="133">
        <v>0.987200435729848</v>
      </c>
      <c r="T355" s="135">
        <v>0.9</v>
      </c>
      <c r="U355" s="133">
        <v>0.868624420401855</v>
      </c>
      <c r="V355" s="133">
        <v>0.812969553183076</v>
      </c>
      <c r="W355" s="133">
        <v>0.919794344473008</v>
      </c>
      <c r="X355" s="133">
        <v>0.858313527431175</v>
      </c>
      <c r="Y355" s="135">
        <v>0.92</v>
      </c>
      <c r="Z355" s="135">
        <v>0.665008291873963</v>
      </c>
      <c r="AA355" s="135">
        <v>0.827129859387924</v>
      </c>
      <c r="AB355" s="135">
        <v>0.893617021276596</v>
      </c>
      <c r="AC355" s="135">
        <v>0.879619597929457</v>
      </c>
      <c r="AD355" s="135">
        <v>0.92</v>
      </c>
      <c r="AE355" s="133">
        <v>0.924418604651163</v>
      </c>
      <c r="AF355" s="133">
        <v>0.997512437810945</v>
      </c>
      <c r="AG355" s="133">
        <v>0.999333333333333</v>
      </c>
      <c r="AH355" s="133">
        <v>0.997292352725942</v>
      </c>
      <c r="AI355" s="135">
        <v>0.92</v>
      </c>
      <c r="AJ355" s="133">
        <v>0.887666928515318</v>
      </c>
      <c r="AK355" s="133">
        <v>0.92776886035313</v>
      </c>
      <c r="AL355" s="133">
        <v>0.957004657828735</v>
      </c>
      <c r="AM355" s="133">
        <v>0.95285368505981</v>
      </c>
      <c r="AN355" s="132">
        <v>0.99</v>
      </c>
      <c r="AO355" s="137">
        <v>1</v>
      </c>
      <c r="AP355" s="137">
        <v>1</v>
      </c>
      <c r="AQ355" s="137">
        <v>1</v>
      </c>
      <c r="AR355" s="137">
        <v>1</v>
      </c>
      <c r="AS355" s="158">
        <v>0.05</v>
      </c>
      <c r="AT355" s="141">
        <v>0.125</v>
      </c>
      <c r="AU355" s="141">
        <v>0</v>
      </c>
      <c r="AV355" s="141">
        <v>0</v>
      </c>
      <c r="AW355" s="141">
        <v>0.0579710144927536</v>
      </c>
      <c r="AX355" s="95"/>
      <c r="AY355" s="93"/>
    </row>
    <row r="356" ht="14.5" spans="1:51">
      <c r="A356" s="91"/>
      <c r="B356" s="95"/>
      <c r="C356" s="152" t="s">
        <v>375</v>
      </c>
      <c r="D356" s="153" t="s">
        <v>25</v>
      </c>
      <c r="E356" s="130" t="s">
        <v>376</v>
      </c>
      <c r="F356" s="154" t="s">
        <v>382</v>
      </c>
      <c r="G356" s="154" t="s">
        <v>382</v>
      </c>
      <c r="H356" s="154" t="s">
        <v>382</v>
      </c>
      <c r="I356" s="154" t="s">
        <v>382</v>
      </c>
      <c r="J356" s="132">
        <v>0.9</v>
      </c>
      <c r="K356" s="133">
        <v>0.916666666666667</v>
      </c>
      <c r="L356" s="133">
        <v>0.92</v>
      </c>
      <c r="M356" s="134">
        <v>0.96078431372549</v>
      </c>
      <c r="N356" s="133">
        <v>0.934904601571268</v>
      </c>
      <c r="O356" s="135">
        <v>0.9</v>
      </c>
      <c r="P356" s="133">
        <v>0.969230769230769</v>
      </c>
      <c r="Q356" s="133">
        <v>0.983782030489783</v>
      </c>
      <c r="R356" s="133">
        <v>0.982780344393112</v>
      </c>
      <c r="S356" s="133">
        <v>0.97998766635501</v>
      </c>
      <c r="T356" s="135">
        <v>0.9</v>
      </c>
      <c r="U356" s="133">
        <v>0.824116424116424</v>
      </c>
      <c r="V356" s="133">
        <v>0.934155043788518</v>
      </c>
      <c r="W356" s="133">
        <v>0.962620747585048</v>
      </c>
      <c r="X356" s="133">
        <v>0.916608645487278</v>
      </c>
      <c r="Y356" s="135">
        <v>0.92</v>
      </c>
      <c r="Z356" s="135">
        <v>0.727272727272727</v>
      </c>
      <c r="AA356" s="135">
        <v>0.866920152091255</v>
      </c>
      <c r="AB356" s="135">
        <v>0.918541505042669</v>
      </c>
      <c r="AC356" s="135">
        <v>0.8783598353378</v>
      </c>
      <c r="AD356" s="135">
        <v>0.92</v>
      </c>
      <c r="AE356" s="133">
        <v>0.985663082437276</v>
      </c>
      <c r="AF356" s="133">
        <v>0.98</v>
      </c>
      <c r="AG356" s="133">
        <v>0.992610837438424</v>
      </c>
      <c r="AH356" s="133">
        <v>0.988777836226547</v>
      </c>
      <c r="AI356" s="135">
        <v>0.92</v>
      </c>
      <c r="AJ356" s="133">
        <v>0.88016651798989</v>
      </c>
      <c r="AK356" s="133">
        <v>0.945505256382751</v>
      </c>
      <c r="AL356" s="133">
        <v>0.962125340599455</v>
      </c>
      <c r="AM356" s="133">
        <v>0.947137033385734</v>
      </c>
      <c r="AN356" s="132">
        <v>0.99</v>
      </c>
      <c r="AO356" s="137">
        <v>1</v>
      </c>
      <c r="AP356" s="137">
        <v>1</v>
      </c>
      <c r="AQ356" s="137">
        <v>1</v>
      </c>
      <c r="AR356" s="137">
        <v>1</v>
      </c>
      <c r="AS356" s="158">
        <v>0.05</v>
      </c>
      <c r="AT356" s="141">
        <v>0</v>
      </c>
      <c r="AU356" s="141">
        <v>0.142857142857143</v>
      </c>
      <c r="AV356" s="141">
        <v>0.5</v>
      </c>
      <c r="AW356" s="141">
        <v>0.0679012345679012</v>
      </c>
      <c r="AX356" s="95"/>
      <c r="AY356" s="93"/>
    </row>
    <row r="357" ht="14.5" spans="1:51">
      <c r="A357" s="91"/>
      <c r="B357" s="95"/>
      <c r="C357" s="152" t="s">
        <v>375</v>
      </c>
      <c r="D357" s="153" t="s">
        <v>25</v>
      </c>
      <c r="E357" s="130" t="s">
        <v>376</v>
      </c>
      <c r="F357" s="154" t="s">
        <v>383</v>
      </c>
      <c r="G357" s="154" t="s">
        <v>383</v>
      </c>
      <c r="H357" s="154" t="s">
        <v>383</v>
      </c>
      <c r="I357" s="154" t="s">
        <v>383</v>
      </c>
      <c r="J357" s="132">
        <v>0.9</v>
      </c>
      <c r="K357" s="133">
        <v>1</v>
      </c>
      <c r="L357" s="133">
        <v>0.96875</v>
      </c>
      <c r="M357" s="134">
        <v>1</v>
      </c>
      <c r="N357" s="133">
        <v>0.977272727272727</v>
      </c>
      <c r="O357" s="135">
        <v>0.9</v>
      </c>
      <c r="P357" s="133">
        <v>0.980430528375734</v>
      </c>
      <c r="Q357" s="133">
        <v>0.970899470899471</v>
      </c>
      <c r="R357" s="133">
        <v>0.971838197644649</v>
      </c>
      <c r="S357" s="133">
        <v>0.977670895487709</v>
      </c>
      <c r="T357" s="135">
        <v>0.9</v>
      </c>
      <c r="U357" s="133">
        <v>0.934931506849315</v>
      </c>
      <c r="V357" s="133">
        <v>0.938775510204082</v>
      </c>
      <c r="W357" s="133">
        <v>0.942652329749104</v>
      </c>
      <c r="X357" s="133">
        <v>0.934151215205168</v>
      </c>
      <c r="Y357" s="135">
        <v>0.92</v>
      </c>
      <c r="Z357" s="135">
        <v>0.874087591240876</v>
      </c>
      <c r="AA357" s="135">
        <v>0.887353878852285</v>
      </c>
      <c r="AB357" s="135">
        <v>0.94856278366112</v>
      </c>
      <c r="AC357" s="135">
        <v>0.920384117687121</v>
      </c>
      <c r="AD357" s="135">
        <v>0.92</v>
      </c>
      <c r="AE357" s="133">
        <v>1</v>
      </c>
      <c r="AF357" s="133">
        <v>0.986928104575163</v>
      </c>
      <c r="AG357" s="133">
        <v>0.992857142857143</v>
      </c>
      <c r="AH357" s="133">
        <v>0.995317725752508</v>
      </c>
      <c r="AI357" s="135">
        <v>0.92</v>
      </c>
      <c r="AJ357" s="133">
        <v>0.941358024691358</v>
      </c>
      <c r="AK357" s="133">
        <v>0.940618901589072</v>
      </c>
      <c r="AL357" s="133">
        <v>0.968247895944912</v>
      </c>
      <c r="AM357" s="133">
        <v>0.961374579970208</v>
      </c>
      <c r="AN357" s="132">
        <v>0.99</v>
      </c>
      <c r="AO357" s="137">
        <v>1</v>
      </c>
      <c r="AP357" s="137">
        <v>1</v>
      </c>
      <c r="AQ357" s="137">
        <v>1</v>
      </c>
      <c r="AR357" s="137">
        <v>1</v>
      </c>
      <c r="AS357" s="158">
        <v>0.05</v>
      </c>
      <c r="AT357" s="141">
        <v>0</v>
      </c>
      <c r="AU357" s="141">
        <v>0.125</v>
      </c>
      <c r="AV357" s="141">
        <v>0</v>
      </c>
      <c r="AW357" s="141">
        <v>0.0437956204379562</v>
      </c>
      <c r="AX357" s="95"/>
      <c r="AY357" s="93"/>
    </row>
    <row r="358" ht="14.5" spans="1:51">
      <c r="A358" s="91"/>
      <c r="B358" s="95"/>
      <c r="C358" s="152" t="s">
        <v>375</v>
      </c>
      <c r="D358" s="153" t="s">
        <v>25</v>
      </c>
      <c r="E358" s="130" t="s">
        <v>376</v>
      </c>
      <c r="F358" s="172" t="s">
        <v>384</v>
      </c>
      <c r="G358" s="172" t="s">
        <v>384</v>
      </c>
      <c r="H358" s="172" t="s">
        <v>384</v>
      </c>
      <c r="I358" s="172" t="s">
        <v>384</v>
      </c>
      <c r="J358" s="132">
        <v>0.9</v>
      </c>
      <c r="K358" s="133">
        <v>0.761904761904762</v>
      </c>
      <c r="L358" s="133">
        <v>0.9</v>
      </c>
      <c r="M358" s="134">
        <v>0.954545454545455</v>
      </c>
      <c r="N358" s="133">
        <v>0.899696048632219</v>
      </c>
      <c r="O358" s="135">
        <v>0.9</v>
      </c>
      <c r="P358" s="133">
        <v>0.973011363636364</v>
      </c>
      <c r="Q358" s="133">
        <v>0.978364116094987</v>
      </c>
      <c r="R358" s="133">
        <v>0.981679389312977</v>
      </c>
      <c r="S358" s="133">
        <v>0.957492628300699</v>
      </c>
      <c r="T358" s="135">
        <v>0.9</v>
      </c>
      <c r="U358" s="133">
        <v>0.852272727272727</v>
      </c>
      <c r="V358" s="133">
        <v>0.847493403693931</v>
      </c>
      <c r="W358" s="133">
        <v>0.93969465648855</v>
      </c>
      <c r="X358" s="133">
        <v>0.806579862836696</v>
      </c>
      <c r="Y358" s="135">
        <v>0.92</v>
      </c>
      <c r="Z358" s="135">
        <v>0.866120218579235</v>
      </c>
      <c r="AA358" s="135">
        <v>0.828267477203647</v>
      </c>
      <c r="AB358" s="135">
        <v>0.919724770642202</v>
      </c>
      <c r="AC358" s="135">
        <v>0.831799079447669</v>
      </c>
      <c r="AD358" s="135">
        <v>0.92</v>
      </c>
      <c r="AE358" s="133">
        <v>0.928571428571429</v>
      </c>
      <c r="AF358" s="133">
        <v>0.8125</v>
      </c>
      <c r="AG358" s="133">
        <v>0.981818181818182</v>
      </c>
      <c r="AH358" s="133">
        <v>0.967596759675968</v>
      </c>
      <c r="AI358" s="135">
        <v>0.92</v>
      </c>
      <c r="AJ358" s="133">
        <v>0.946478873239437</v>
      </c>
      <c r="AK358" s="133">
        <v>0.926810176125245</v>
      </c>
      <c r="AL358" s="133">
        <v>0.965063001145475</v>
      </c>
      <c r="AM358" s="133">
        <v>0.931246422972603</v>
      </c>
      <c r="AN358" s="132">
        <v>0.99</v>
      </c>
      <c r="AO358" s="137">
        <v>1</v>
      </c>
      <c r="AP358" s="137">
        <v>1</v>
      </c>
      <c r="AQ358" s="137">
        <v>1</v>
      </c>
      <c r="AR358" s="137">
        <v>1</v>
      </c>
      <c r="AS358" s="158">
        <v>0.05</v>
      </c>
      <c r="AT358" s="141">
        <v>0</v>
      </c>
      <c r="AU358" s="141">
        <v>0</v>
      </c>
      <c r="AV358" s="141">
        <v>0</v>
      </c>
      <c r="AW358" s="141">
        <v>0.0847457627118644</v>
      </c>
      <c r="AX358" s="95"/>
      <c r="AY358" s="93"/>
    </row>
    <row r="359" ht="14.5" spans="1:51">
      <c r="A359" s="91"/>
      <c r="B359" s="95"/>
      <c r="C359" s="152" t="s">
        <v>375</v>
      </c>
      <c r="D359" s="153" t="s">
        <v>25</v>
      </c>
      <c r="E359" s="130" t="s">
        <v>376</v>
      </c>
      <c r="F359" s="154" t="s">
        <v>385</v>
      </c>
      <c r="G359" s="154" t="s">
        <v>385</v>
      </c>
      <c r="H359" s="154" t="s">
        <v>385</v>
      </c>
      <c r="I359" s="154" t="s">
        <v>385</v>
      </c>
      <c r="J359" s="132">
        <v>0.9</v>
      </c>
      <c r="K359" s="133">
        <v>0.958333333333333</v>
      </c>
      <c r="L359" s="133">
        <v>0.961538461538462</v>
      </c>
      <c r="M359" s="134">
        <v>0.96</v>
      </c>
      <c r="N359" s="133">
        <v>0.957964601769911</v>
      </c>
      <c r="O359" s="135">
        <v>0.9</v>
      </c>
      <c r="P359" s="133">
        <v>0</v>
      </c>
      <c r="Q359" s="133" t="s">
        <v>35</v>
      </c>
      <c r="R359" s="133" t="s">
        <v>35</v>
      </c>
      <c r="S359" s="133">
        <v>0.25</v>
      </c>
      <c r="T359" s="135">
        <v>0.9</v>
      </c>
      <c r="U359" s="133">
        <v>0</v>
      </c>
      <c r="V359" s="133" t="s">
        <v>35</v>
      </c>
      <c r="W359" s="133" t="s">
        <v>35</v>
      </c>
      <c r="X359" s="133">
        <v>0.25</v>
      </c>
      <c r="Y359" s="135">
        <v>0.92</v>
      </c>
      <c r="Z359" s="135">
        <v>0.5</v>
      </c>
      <c r="AA359" s="135">
        <v>0.142857142857143</v>
      </c>
      <c r="AB359" s="135" t="s">
        <v>35</v>
      </c>
      <c r="AC359" s="135">
        <v>0.696969696969697</v>
      </c>
      <c r="AD359" s="135">
        <v>0.92</v>
      </c>
      <c r="AE359" s="133">
        <v>0.996784565916399</v>
      </c>
      <c r="AF359" s="133">
        <v>1</v>
      </c>
      <c r="AG359" s="133">
        <v>1</v>
      </c>
      <c r="AH359" s="133">
        <v>0.994668697638995</v>
      </c>
      <c r="AI359" s="135">
        <v>0.92</v>
      </c>
      <c r="AJ359" s="133">
        <v>0.956617647058824</v>
      </c>
      <c r="AK359" s="133">
        <v>0.97746747064424</v>
      </c>
      <c r="AL359" s="133">
        <v>0.986449864498645</v>
      </c>
      <c r="AM359" s="133">
        <v>0.985966706437134</v>
      </c>
      <c r="AN359" s="132">
        <v>0.99</v>
      </c>
      <c r="AO359" s="137">
        <v>1</v>
      </c>
      <c r="AP359" s="137">
        <v>1</v>
      </c>
      <c r="AQ359" s="137">
        <v>1</v>
      </c>
      <c r="AR359" s="137">
        <v>1</v>
      </c>
      <c r="AS359" s="158">
        <v>0.05</v>
      </c>
      <c r="AT359" s="141">
        <v>0</v>
      </c>
      <c r="AU359" s="141">
        <v>0</v>
      </c>
      <c r="AV359" s="141">
        <v>0</v>
      </c>
      <c r="AW359" s="141">
        <v>0.0769230769230769</v>
      </c>
      <c r="AX359" s="95"/>
      <c r="AY359" s="93"/>
    </row>
    <row r="360" ht="14.5" spans="1:51">
      <c r="A360" s="91"/>
      <c r="B360" s="95"/>
      <c r="C360" s="152" t="s">
        <v>375</v>
      </c>
      <c r="D360" s="153" t="s">
        <v>25</v>
      </c>
      <c r="E360" s="130" t="s">
        <v>376</v>
      </c>
      <c r="F360" s="154" t="s">
        <v>386</v>
      </c>
      <c r="G360" s="154" t="s">
        <v>386</v>
      </c>
      <c r="H360" s="154" t="s">
        <v>386</v>
      </c>
      <c r="I360" s="154" t="s">
        <v>386</v>
      </c>
      <c r="J360" s="132">
        <v>0.9</v>
      </c>
      <c r="K360" s="133">
        <v>1</v>
      </c>
      <c r="L360" s="133">
        <v>0.948717948717949</v>
      </c>
      <c r="M360" s="134">
        <v>0.976744186046512</v>
      </c>
      <c r="N360" s="133">
        <v>0.982620320855615</v>
      </c>
      <c r="O360" s="135">
        <v>0.9</v>
      </c>
      <c r="P360" s="133">
        <v>0.972003774771941</v>
      </c>
      <c r="Q360" s="133">
        <v>0.968356058657062</v>
      </c>
      <c r="R360" s="133">
        <v>0.981751824817518</v>
      </c>
      <c r="S360" s="133">
        <v>0.969625685448621</v>
      </c>
      <c r="T360" s="135">
        <v>0.9</v>
      </c>
      <c r="U360" s="133">
        <v>0.848065429380308</v>
      </c>
      <c r="V360" s="133">
        <v>0.760998199125289</v>
      </c>
      <c r="W360" s="133">
        <v>0.918380889183809</v>
      </c>
      <c r="X360" s="133">
        <v>0.843058094254152</v>
      </c>
      <c r="Y360" s="135">
        <v>0.92</v>
      </c>
      <c r="Z360" s="135">
        <v>0.842046718576196</v>
      </c>
      <c r="AA360" s="135">
        <v>0.839102564102564</v>
      </c>
      <c r="AB360" s="135">
        <v>0.897977941176471</v>
      </c>
      <c r="AC360" s="135">
        <v>0.875317742755465</v>
      </c>
      <c r="AD360" s="135">
        <v>0.92</v>
      </c>
      <c r="AE360" s="133">
        <v>0.994989262705798</v>
      </c>
      <c r="AF360" s="133">
        <v>0.995019488956258</v>
      </c>
      <c r="AG360" s="133">
        <v>0.998267898383372</v>
      </c>
      <c r="AH360" s="133">
        <v>0.9970474953659</v>
      </c>
      <c r="AI360" s="135">
        <v>0.92</v>
      </c>
      <c r="AJ360" s="133">
        <v>0.919177075679647</v>
      </c>
      <c r="AK360" s="133">
        <v>0.914803957493587</v>
      </c>
      <c r="AL360" s="133">
        <v>0.955176613885505</v>
      </c>
      <c r="AM360" s="133">
        <v>0.943532456130217</v>
      </c>
      <c r="AN360" s="132">
        <v>0.99</v>
      </c>
      <c r="AO360" s="137">
        <v>1</v>
      </c>
      <c r="AP360" s="137">
        <v>1</v>
      </c>
      <c r="AQ360" s="137">
        <v>1</v>
      </c>
      <c r="AR360" s="137">
        <v>1</v>
      </c>
      <c r="AS360" s="158">
        <v>0.05</v>
      </c>
      <c r="AT360" s="141">
        <v>0.0135135135135135</v>
      </c>
      <c r="AU360" s="141">
        <v>0</v>
      </c>
      <c r="AV360" s="141">
        <v>0.0707964601769911</v>
      </c>
      <c r="AW360" s="141">
        <v>0.0189075630252101</v>
      </c>
      <c r="AX360" s="95"/>
      <c r="AY360" s="93"/>
    </row>
    <row r="361" ht="14.5" spans="1:51">
      <c r="A361" s="91"/>
      <c r="B361" s="95"/>
      <c r="C361" s="152" t="s">
        <v>375</v>
      </c>
      <c r="D361" s="153" t="s">
        <v>25</v>
      </c>
      <c r="E361" s="130" t="s">
        <v>376</v>
      </c>
      <c r="F361" s="154" t="s">
        <v>387</v>
      </c>
      <c r="G361" s="154" t="s">
        <v>387</v>
      </c>
      <c r="H361" s="154" t="s">
        <v>387</v>
      </c>
      <c r="I361" s="154" t="s">
        <v>387</v>
      </c>
      <c r="J361" s="132">
        <v>0.9</v>
      </c>
      <c r="K361" s="133">
        <v>0.934782608695652</v>
      </c>
      <c r="L361" s="133">
        <v>0.934782608695652</v>
      </c>
      <c r="M361" s="134">
        <v>0.92156862745098</v>
      </c>
      <c r="N361" s="133">
        <v>0.887719298245614</v>
      </c>
      <c r="O361" s="135">
        <v>0.9</v>
      </c>
      <c r="P361" s="133">
        <v>0.906816760475297</v>
      </c>
      <c r="Q361" s="133">
        <v>0.930993597344083</v>
      </c>
      <c r="R361" s="133">
        <v>0.976053349499848</v>
      </c>
      <c r="S361" s="133">
        <v>0.906502309635038</v>
      </c>
      <c r="T361" s="135">
        <v>0.9</v>
      </c>
      <c r="U361" s="133">
        <v>0.768918073796123</v>
      </c>
      <c r="V361" s="133">
        <v>0.758359023002134</v>
      </c>
      <c r="W361" s="133">
        <v>0.849045165201576</v>
      </c>
      <c r="X361" s="133">
        <v>0.735903374815164</v>
      </c>
      <c r="Y361" s="135">
        <v>0.92</v>
      </c>
      <c r="Z361" s="135">
        <v>0.842105263157895</v>
      </c>
      <c r="AA361" s="135">
        <v>0.755145493257629</v>
      </c>
      <c r="AB361" s="135">
        <v>0.907871198568873</v>
      </c>
      <c r="AC361" s="135">
        <v>0.870190895741557</v>
      </c>
      <c r="AD361" s="135">
        <v>0.92</v>
      </c>
      <c r="AE361" s="133">
        <v>0.929824561403509</v>
      </c>
      <c r="AF361" s="133">
        <v>0.994252873563218</v>
      </c>
      <c r="AG361" s="133">
        <v>0.944444444444444</v>
      </c>
      <c r="AH361" s="133">
        <v>0.981404958677686</v>
      </c>
      <c r="AI361" s="135">
        <v>0.92</v>
      </c>
      <c r="AJ361" s="133">
        <v>0.916789396170839</v>
      </c>
      <c r="AK361" s="133">
        <v>0.912208992358273</v>
      </c>
      <c r="AL361" s="133">
        <v>0.956305184514376</v>
      </c>
      <c r="AM361" s="133">
        <v>0.946264251403438</v>
      </c>
      <c r="AN361" s="132">
        <v>0.99</v>
      </c>
      <c r="AO361" s="137">
        <v>1</v>
      </c>
      <c r="AP361" s="137">
        <v>1</v>
      </c>
      <c r="AQ361" s="137">
        <v>1</v>
      </c>
      <c r="AR361" s="137">
        <v>1</v>
      </c>
      <c r="AS361" s="158">
        <v>0.05</v>
      </c>
      <c r="AT361" s="141">
        <v>0</v>
      </c>
      <c r="AU361" s="141">
        <v>0.0555555555555556</v>
      </c>
      <c r="AV361" s="141">
        <v>0.0952380952380952</v>
      </c>
      <c r="AW361" s="141">
        <v>0.0649350649350649</v>
      </c>
      <c r="AX361" s="95"/>
      <c r="AY361" s="93"/>
    </row>
    <row r="362" ht="14.5" spans="1:51">
      <c r="A362" s="91"/>
      <c r="B362" s="95"/>
      <c r="C362" s="152" t="s">
        <v>375</v>
      </c>
      <c r="D362" s="153" t="s">
        <v>25</v>
      </c>
      <c r="E362" s="130" t="s">
        <v>376</v>
      </c>
      <c r="F362" s="154" t="s">
        <v>388</v>
      </c>
      <c r="G362" s="154" t="s">
        <v>388</v>
      </c>
      <c r="H362" s="154" t="s">
        <v>388</v>
      </c>
      <c r="I362" s="154" t="s">
        <v>388</v>
      </c>
      <c r="J362" s="132">
        <v>0.9</v>
      </c>
      <c r="K362" s="133">
        <v>1</v>
      </c>
      <c r="L362" s="133">
        <v>0.978260869565217</v>
      </c>
      <c r="M362" s="134">
        <v>0.975</v>
      </c>
      <c r="N362" s="133">
        <v>0.985468956406869</v>
      </c>
      <c r="O362" s="135">
        <v>0.9</v>
      </c>
      <c r="P362" s="133">
        <v>0</v>
      </c>
      <c r="Q362" s="133" t="s">
        <v>35</v>
      </c>
      <c r="R362" s="133" t="s">
        <v>35</v>
      </c>
      <c r="S362" s="133">
        <v>0.181818181818182</v>
      </c>
      <c r="T362" s="135">
        <v>0.9</v>
      </c>
      <c r="U362" s="133">
        <v>0</v>
      </c>
      <c r="V362" s="133" t="s">
        <v>35</v>
      </c>
      <c r="W362" s="133" t="s">
        <v>35</v>
      </c>
      <c r="X362" s="133">
        <v>0.181818181818182</v>
      </c>
      <c r="Y362" s="135">
        <v>0.92</v>
      </c>
      <c r="Z362" s="135">
        <v>0</v>
      </c>
      <c r="AA362" s="135" t="s">
        <v>35</v>
      </c>
      <c r="AB362" s="135">
        <v>1</v>
      </c>
      <c r="AC362" s="135">
        <v>0.821428571428571</v>
      </c>
      <c r="AD362" s="135">
        <v>0.92</v>
      </c>
      <c r="AE362" s="133">
        <v>0.981818181818182</v>
      </c>
      <c r="AF362" s="133">
        <v>0.982638888888889</v>
      </c>
      <c r="AG362" s="133">
        <v>0.974304068522484</v>
      </c>
      <c r="AH362" s="133">
        <v>0.983261739001629</v>
      </c>
      <c r="AI362" s="135">
        <v>0.92</v>
      </c>
      <c r="AJ362" s="133">
        <v>0.967203219315895</v>
      </c>
      <c r="AK362" s="133">
        <v>0.971761114291166</v>
      </c>
      <c r="AL362" s="133">
        <v>0.968623265741729</v>
      </c>
      <c r="AM362" s="133">
        <v>0.980382012706165</v>
      </c>
      <c r="AN362" s="132">
        <v>0.99</v>
      </c>
      <c r="AO362" s="137">
        <v>1</v>
      </c>
      <c r="AP362" s="137">
        <v>1</v>
      </c>
      <c r="AQ362" s="137">
        <v>1</v>
      </c>
      <c r="AR362" s="137">
        <v>1</v>
      </c>
      <c r="AS362" s="158">
        <v>0.05</v>
      </c>
      <c r="AT362" s="141">
        <v>0</v>
      </c>
      <c r="AU362" s="141">
        <v>0</v>
      </c>
      <c r="AV362" s="141">
        <v>0.25</v>
      </c>
      <c r="AW362" s="141">
        <v>0.0726495726495727</v>
      </c>
      <c r="AX362" s="95"/>
      <c r="AY362" s="93"/>
    </row>
    <row r="363" ht="14.5" spans="1:51">
      <c r="A363" s="91"/>
      <c r="B363" s="95"/>
      <c r="C363" s="152" t="s">
        <v>375</v>
      </c>
      <c r="D363" s="153" t="s">
        <v>25</v>
      </c>
      <c r="E363" s="130" t="s">
        <v>376</v>
      </c>
      <c r="F363" s="154" t="s">
        <v>389</v>
      </c>
      <c r="G363" s="154" t="s">
        <v>389</v>
      </c>
      <c r="H363" s="154" t="s">
        <v>389</v>
      </c>
      <c r="I363" s="154" t="s">
        <v>389</v>
      </c>
      <c r="J363" s="132">
        <v>0.9</v>
      </c>
      <c r="K363" s="133">
        <v>0.980392156862745</v>
      </c>
      <c r="L363" s="133">
        <v>0.943396226415094</v>
      </c>
      <c r="M363" s="134">
        <v>0.925925925925926</v>
      </c>
      <c r="N363" s="133">
        <v>0.938393839383938</v>
      </c>
      <c r="O363" s="135">
        <v>0.9</v>
      </c>
      <c r="P363" s="133">
        <v>0.990535248041776</v>
      </c>
      <c r="Q363" s="133">
        <v>0.9921875</v>
      </c>
      <c r="R363" s="133">
        <v>0.990552834149755</v>
      </c>
      <c r="S363" s="133">
        <v>0.988407431776169</v>
      </c>
      <c r="T363" s="135">
        <v>0.9</v>
      </c>
      <c r="U363" s="133">
        <v>0.808420365535248</v>
      </c>
      <c r="V363" s="133">
        <v>0.839583333333333</v>
      </c>
      <c r="W363" s="133">
        <v>0.881385584324703</v>
      </c>
      <c r="X363" s="133">
        <v>0.822665037440862</v>
      </c>
      <c r="Y363" s="135">
        <v>0.92</v>
      </c>
      <c r="Z363" s="135">
        <v>0.795511221945137</v>
      </c>
      <c r="AA363" s="135">
        <v>0.894062078272605</v>
      </c>
      <c r="AB363" s="135">
        <v>0.901270772238514</v>
      </c>
      <c r="AC363" s="135">
        <v>0.880404093876831</v>
      </c>
      <c r="AD363" s="135">
        <v>0.92</v>
      </c>
      <c r="AE363" s="133">
        <v>0.996789727126806</v>
      </c>
      <c r="AF363" s="133">
        <v>0.997435897435897</v>
      </c>
      <c r="AG363" s="133">
        <v>0.999428571428571</v>
      </c>
      <c r="AH363" s="133">
        <v>0.997279850594779</v>
      </c>
      <c r="AI363" s="135">
        <v>0.92</v>
      </c>
      <c r="AJ363" s="133">
        <v>0.925284384694933</v>
      </c>
      <c r="AK363" s="133">
        <v>0.952461480646374</v>
      </c>
      <c r="AL363" s="133">
        <v>0.958515846431332</v>
      </c>
      <c r="AM363" s="133">
        <v>0.949613926391714</v>
      </c>
      <c r="AN363" s="132">
        <v>0.99</v>
      </c>
      <c r="AO363" s="137">
        <v>1</v>
      </c>
      <c r="AP363" s="137">
        <v>1</v>
      </c>
      <c r="AQ363" s="137">
        <v>1</v>
      </c>
      <c r="AR363" s="137">
        <v>1</v>
      </c>
      <c r="AS363" s="158">
        <v>0.05</v>
      </c>
      <c r="AT363" s="141">
        <v>0</v>
      </c>
      <c r="AU363" s="141">
        <v>0</v>
      </c>
      <c r="AV363" s="141">
        <v>0.111111111111111</v>
      </c>
      <c r="AW363" s="141">
        <v>0.05859375</v>
      </c>
      <c r="AX363" s="95"/>
      <c r="AY363" s="93"/>
    </row>
    <row r="364" ht="14.5" spans="1:51">
      <c r="A364" s="91"/>
      <c r="B364" s="95"/>
      <c r="C364" s="152" t="s">
        <v>375</v>
      </c>
      <c r="D364" s="153" t="s">
        <v>25</v>
      </c>
      <c r="E364" s="130" t="s">
        <v>376</v>
      </c>
      <c r="F364" s="154" t="s">
        <v>390</v>
      </c>
      <c r="G364" s="154" t="s">
        <v>390</v>
      </c>
      <c r="H364" s="154" t="s">
        <v>390</v>
      </c>
      <c r="I364" s="154" t="s">
        <v>390</v>
      </c>
      <c r="J364" s="132">
        <v>0.9</v>
      </c>
      <c r="K364" s="133">
        <v>0.82</v>
      </c>
      <c r="L364" s="133">
        <v>0.765957446808511</v>
      </c>
      <c r="M364" s="134">
        <v>0.883333333333333</v>
      </c>
      <c r="N364" s="133">
        <v>0.81237322515213</v>
      </c>
      <c r="O364" s="135">
        <v>0.9</v>
      </c>
      <c r="P364" s="133">
        <v>0.982288176160843</v>
      </c>
      <c r="Q364" s="133">
        <v>0.918788713007571</v>
      </c>
      <c r="R364" s="133">
        <v>0.984449381148842</v>
      </c>
      <c r="S364" s="133">
        <v>0.887804362380634</v>
      </c>
      <c r="T364" s="135">
        <v>0.9</v>
      </c>
      <c r="U364" s="133">
        <v>0.741981809478219</v>
      </c>
      <c r="V364" s="133">
        <v>0.686854783207158</v>
      </c>
      <c r="W364" s="133">
        <v>0.758489368454459</v>
      </c>
      <c r="X364" s="133">
        <v>0.718524260897142</v>
      </c>
      <c r="Y364" s="135">
        <v>0.92</v>
      </c>
      <c r="Z364" s="135">
        <v>0.801747311827957</v>
      </c>
      <c r="AA364" s="135">
        <v>0.839120998372219</v>
      </c>
      <c r="AB364" s="135">
        <v>0.884780957204356</v>
      </c>
      <c r="AC364" s="135">
        <v>0.873185580614203</v>
      </c>
      <c r="AD364" s="135">
        <v>0.92</v>
      </c>
      <c r="AE364" s="133">
        <v>0.987892838742916</v>
      </c>
      <c r="AF364" s="133">
        <v>0.982936366868112</v>
      </c>
      <c r="AG364" s="133">
        <v>0.975323149236193</v>
      </c>
      <c r="AH364" s="133">
        <v>0.958243945807</v>
      </c>
      <c r="AI364" s="135">
        <v>0.92</v>
      </c>
      <c r="AJ364" s="133">
        <v>0.854189944134078</v>
      </c>
      <c r="AK364" s="133">
        <v>0.864704990141059</v>
      </c>
      <c r="AL364" s="133">
        <v>0.91564568370652</v>
      </c>
      <c r="AM364" s="133">
        <v>0.90716702005406</v>
      </c>
      <c r="AN364" s="132">
        <v>0.99</v>
      </c>
      <c r="AO364" s="137">
        <v>1</v>
      </c>
      <c r="AP364" s="137">
        <v>1</v>
      </c>
      <c r="AQ364" s="137">
        <v>1</v>
      </c>
      <c r="AR364" s="137">
        <v>1</v>
      </c>
      <c r="AS364" s="158">
        <v>0.05</v>
      </c>
      <c r="AT364" s="141">
        <v>0.025</v>
      </c>
      <c r="AU364" s="141">
        <v>0.0188679245283019</v>
      </c>
      <c r="AV364" s="141">
        <v>0.106382978723404</v>
      </c>
      <c r="AW364" s="141">
        <v>0.0448521916411825</v>
      </c>
      <c r="AX364" s="95"/>
      <c r="AY364" s="93"/>
    </row>
    <row r="365" ht="14.5" spans="1:51">
      <c r="A365" s="91"/>
      <c r="B365" s="95"/>
      <c r="C365" s="152" t="s">
        <v>375</v>
      </c>
      <c r="D365" s="153" t="s">
        <v>25</v>
      </c>
      <c r="E365" s="130" t="s">
        <v>376</v>
      </c>
      <c r="F365" s="154" t="s">
        <v>391</v>
      </c>
      <c r="G365" s="154" t="s">
        <v>391</v>
      </c>
      <c r="H365" s="154" t="s">
        <v>391</v>
      </c>
      <c r="I365" s="154" t="s">
        <v>391</v>
      </c>
      <c r="J365" s="132">
        <v>0.9</v>
      </c>
      <c r="K365" s="133">
        <v>0.707317073170732</v>
      </c>
      <c r="L365" s="133">
        <v>0.652173913043478</v>
      </c>
      <c r="M365" s="134">
        <v>0.808510638297872</v>
      </c>
      <c r="N365" s="133">
        <v>0.724179829890644</v>
      </c>
      <c r="O365" s="135">
        <v>0.9</v>
      </c>
      <c r="P365" s="133">
        <v>0.897674418604651</v>
      </c>
      <c r="Q365" s="133">
        <v>0.632980972515856</v>
      </c>
      <c r="R365" s="133">
        <v>0.902480752780154</v>
      </c>
      <c r="S365" s="133">
        <v>0.774180755583386</v>
      </c>
      <c r="T365" s="135">
        <v>0.9</v>
      </c>
      <c r="U365" s="133">
        <v>0.794832041343669</v>
      </c>
      <c r="V365" s="133">
        <v>0.797463002114165</v>
      </c>
      <c r="W365" s="133">
        <v>0.772027373823781</v>
      </c>
      <c r="X365" s="133">
        <v>0.776706324358172</v>
      </c>
      <c r="Y365" s="135">
        <v>0.92</v>
      </c>
      <c r="Z365" s="135">
        <v>0.894117647058824</v>
      </c>
      <c r="AA365" s="135">
        <v>0.918580375782881</v>
      </c>
      <c r="AB365" s="135">
        <v>0.930451127819549</v>
      </c>
      <c r="AC365" s="135">
        <v>0.938726895760731</v>
      </c>
      <c r="AD365" s="135">
        <v>0.92</v>
      </c>
      <c r="AE365" s="133">
        <v>0.989010989010989</v>
      </c>
      <c r="AF365" s="133">
        <v>0.993476430976431</v>
      </c>
      <c r="AG365" s="133">
        <v>0.898411747078214</v>
      </c>
      <c r="AH365" s="133">
        <v>0.952919998925319</v>
      </c>
      <c r="AI365" s="135">
        <v>0.92</v>
      </c>
      <c r="AJ365" s="133">
        <v>0.917790200591911</v>
      </c>
      <c r="AK365" s="133">
        <v>0.942881142377152</v>
      </c>
      <c r="AL365" s="133">
        <v>0.948020791683327</v>
      </c>
      <c r="AM365" s="133">
        <v>0.959078489150817</v>
      </c>
      <c r="AN365" s="132">
        <v>0.99</v>
      </c>
      <c r="AO365" s="137">
        <v>1</v>
      </c>
      <c r="AP365" s="137">
        <v>1</v>
      </c>
      <c r="AQ365" s="137">
        <v>1</v>
      </c>
      <c r="AR365" s="137">
        <v>0.998188405797101</v>
      </c>
      <c r="AS365" s="158">
        <v>0.05</v>
      </c>
      <c r="AT365" s="141">
        <v>0.0833333333333333</v>
      </c>
      <c r="AU365" s="141">
        <v>0.0666666666666667</v>
      </c>
      <c r="AV365" s="141">
        <v>0.107142857142857</v>
      </c>
      <c r="AW365" s="141">
        <v>0.0697674418604651</v>
      </c>
      <c r="AX365" s="95"/>
      <c r="AY365" s="93"/>
    </row>
    <row r="366" ht="14.5" spans="1:51">
      <c r="A366" s="91"/>
      <c r="B366" s="95"/>
      <c r="C366" s="152" t="s">
        <v>375</v>
      </c>
      <c r="D366" s="153" t="s">
        <v>25</v>
      </c>
      <c r="E366" s="130" t="s">
        <v>376</v>
      </c>
      <c r="F366" s="154" t="s">
        <v>392</v>
      </c>
      <c r="G366" s="154" t="s">
        <v>392</v>
      </c>
      <c r="H366" s="154" t="s">
        <v>392</v>
      </c>
      <c r="I366" s="154" t="s">
        <v>392</v>
      </c>
      <c r="J366" s="132">
        <v>0.9</v>
      </c>
      <c r="K366" s="133">
        <v>0.450980392156863</v>
      </c>
      <c r="L366" s="133">
        <v>0.685185185185185</v>
      </c>
      <c r="M366" s="134">
        <v>0.710144927536232</v>
      </c>
      <c r="N366" s="133">
        <v>0.639575971731449</v>
      </c>
      <c r="O366" s="135">
        <v>0.9</v>
      </c>
      <c r="P366" s="133">
        <v>0.752268602540835</v>
      </c>
      <c r="Q366" s="133">
        <v>0.909560723514212</v>
      </c>
      <c r="R366" s="133">
        <v>0.860844870429535</v>
      </c>
      <c r="S366" s="133">
        <v>0.847526719649219</v>
      </c>
      <c r="T366" s="135">
        <v>0.9</v>
      </c>
      <c r="U366" s="133">
        <v>0.668330308529946</v>
      </c>
      <c r="V366" s="133">
        <v>0.693080677576802</v>
      </c>
      <c r="W366" s="133">
        <v>0.77209797657082</v>
      </c>
      <c r="X366" s="133">
        <v>0.721824472458208</v>
      </c>
      <c r="Y366" s="135">
        <v>0.92</v>
      </c>
      <c r="Z366" s="135">
        <v>0.755461165048544</v>
      </c>
      <c r="AA366" s="135">
        <v>0.777611940298507</v>
      </c>
      <c r="AB366" s="135">
        <v>0.926210350584307</v>
      </c>
      <c r="AC366" s="135">
        <v>0.904442324174847</v>
      </c>
      <c r="AD366" s="135">
        <v>0.92</v>
      </c>
      <c r="AE366" s="133">
        <v>0.9979633401222</v>
      </c>
      <c r="AF366" s="133">
        <v>0.992492492492492</v>
      </c>
      <c r="AG366" s="133">
        <v>0.957350682208367</v>
      </c>
      <c r="AH366" s="133">
        <v>0.981561687909912</v>
      </c>
      <c r="AI366" s="135">
        <v>0.92</v>
      </c>
      <c r="AJ366" s="133">
        <v>0.793407734233065</v>
      </c>
      <c r="AK366" s="133">
        <v>0.813606437454279</v>
      </c>
      <c r="AL366" s="133">
        <v>0.944434887321521</v>
      </c>
      <c r="AM366" s="133">
        <v>0.925249652855729</v>
      </c>
      <c r="AN366" s="132">
        <v>0.99</v>
      </c>
      <c r="AO366" s="137">
        <v>1</v>
      </c>
      <c r="AP366" s="137">
        <v>1</v>
      </c>
      <c r="AQ366" s="137">
        <v>1</v>
      </c>
      <c r="AR366" s="137">
        <v>1</v>
      </c>
      <c r="AS366" s="158">
        <v>0.05</v>
      </c>
      <c r="AT366" s="141">
        <v>0.114285714285714</v>
      </c>
      <c r="AU366" s="141">
        <v>0</v>
      </c>
      <c r="AV366" s="141">
        <v>0</v>
      </c>
      <c r="AW366" s="141">
        <v>0.0488095238095238</v>
      </c>
      <c r="AX366" s="95"/>
      <c r="AY366" s="93"/>
    </row>
    <row r="367" ht="14.5" spans="1:51">
      <c r="A367" s="91"/>
      <c r="B367" s="95"/>
      <c r="C367" s="152" t="s">
        <v>375</v>
      </c>
      <c r="D367" s="153" t="s">
        <v>25</v>
      </c>
      <c r="E367" s="130" t="s">
        <v>376</v>
      </c>
      <c r="F367" s="154" t="s">
        <v>393</v>
      </c>
      <c r="G367" s="154" t="s">
        <v>393</v>
      </c>
      <c r="H367" s="154" t="s">
        <v>393</v>
      </c>
      <c r="I367" s="154" t="s">
        <v>393</v>
      </c>
      <c r="J367" s="132">
        <v>0.9</v>
      </c>
      <c r="K367" s="133">
        <v>0.857142857142857</v>
      </c>
      <c r="L367" s="133">
        <v>0.864406779661017</v>
      </c>
      <c r="M367" s="134">
        <v>0.879310344827586</v>
      </c>
      <c r="N367" s="133">
        <v>0.878243512974052</v>
      </c>
      <c r="O367" s="135">
        <v>0.9</v>
      </c>
      <c r="P367" s="133">
        <v>0.94188250157928</v>
      </c>
      <c r="Q367" s="133">
        <v>0.946357085668535</v>
      </c>
      <c r="R367" s="133">
        <v>0.89196261682243</v>
      </c>
      <c r="S367" s="133">
        <v>0.95661662339617</v>
      </c>
      <c r="T367" s="135">
        <v>0.9</v>
      </c>
      <c r="U367" s="133">
        <v>0.828806064434618</v>
      </c>
      <c r="V367" s="133">
        <v>0.791433146517214</v>
      </c>
      <c r="W367" s="133">
        <v>0.787663551401869</v>
      </c>
      <c r="X367" s="133">
        <v>0.799262520224254</v>
      </c>
      <c r="Y367" s="135">
        <v>0.92</v>
      </c>
      <c r="Z367" s="135">
        <v>0.619164619164619</v>
      </c>
      <c r="AA367" s="135">
        <v>0.719498910675381</v>
      </c>
      <c r="AB367" s="135">
        <v>0.63134810710988</v>
      </c>
      <c r="AC367" s="135">
        <v>0.749260197941297</v>
      </c>
      <c r="AD367" s="135">
        <v>0.92</v>
      </c>
      <c r="AE367" s="133">
        <v>0.94051724137931</v>
      </c>
      <c r="AF367" s="133">
        <v>0.94293649791693</v>
      </c>
      <c r="AG367" s="133">
        <v>0.987985712739474</v>
      </c>
      <c r="AH367" s="133">
        <v>0.964415867448926</v>
      </c>
      <c r="AI367" s="135">
        <v>0.92</v>
      </c>
      <c r="AJ367" s="133">
        <v>0.744886677722499</v>
      </c>
      <c r="AK367" s="133">
        <v>0.806028196402528</v>
      </c>
      <c r="AL367" s="133">
        <v>0.726261762189906</v>
      </c>
      <c r="AM367" s="133">
        <v>0.828926654018488</v>
      </c>
      <c r="AN367" s="132">
        <v>0.99</v>
      </c>
      <c r="AO367" s="137">
        <v>1</v>
      </c>
      <c r="AP367" s="137">
        <v>1</v>
      </c>
      <c r="AQ367" s="137">
        <v>1</v>
      </c>
      <c r="AR367" s="137">
        <v>1</v>
      </c>
      <c r="AS367" s="158">
        <v>0.05</v>
      </c>
      <c r="AT367" s="141">
        <v>0</v>
      </c>
      <c r="AU367" s="141">
        <v>0</v>
      </c>
      <c r="AV367" s="141">
        <v>0</v>
      </c>
      <c r="AW367" s="141">
        <v>0.0658914728682171</v>
      </c>
      <c r="AX367" s="95"/>
      <c r="AY367" s="93"/>
    </row>
    <row r="368" ht="14.5" spans="1:51">
      <c r="A368" s="91"/>
      <c r="B368" s="95"/>
      <c r="C368" s="152" t="s">
        <v>375</v>
      </c>
      <c r="D368" s="153" t="s">
        <v>25</v>
      </c>
      <c r="E368" s="130" t="s">
        <v>376</v>
      </c>
      <c r="F368" s="154" t="s">
        <v>394</v>
      </c>
      <c r="G368" s="154" t="s">
        <v>394</v>
      </c>
      <c r="H368" s="154" t="s">
        <v>394</v>
      </c>
      <c r="I368" s="154" t="s">
        <v>394</v>
      </c>
      <c r="J368" s="132">
        <v>0.9</v>
      </c>
      <c r="K368" s="133">
        <v>0.80952380952381</v>
      </c>
      <c r="L368" s="133">
        <v>0.882352941176471</v>
      </c>
      <c r="M368" s="134">
        <v>0.824561403508772</v>
      </c>
      <c r="N368" s="133">
        <v>0.826039387308534</v>
      </c>
      <c r="O368" s="135">
        <v>0.9</v>
      </c>
      <c r="P368" s="133">
        <v>0.811633109619687</v>
      </c>
      <c r="Q368" s="133">
        <v>0.836853605243991</v>
      </c>
      <c r="R368" s="133">
        <v>0.97127588510354</v>
      </c>
      <c r="S368" s="133">
        <v>0.92571376942537</v>
      </c>
      <c r="T368" s="135">
        <v>0.9</v>
      </c>
      <c r="U368" s="133">
        <v>0.795973154362416</v>
      </c>
      <c r="V368" s="133">
        <v>0.826292789512017</v>
      </c>
      <c r="W368" s="133">
        <v>0.864061456245825</v>
      </c>
      <c r="X368" s="133">
        <v>0.815178894109143</v>
      </c>
      <c r="Y368" s="135">
        <v>0.92</v>
      </c>
      <c r="Z368" s="135">
        <v>0.826717557251908</v>
      </c>
      <c r="AA368" s="135">
        <v>0.933557046979866</v>
      </c>
      <c r="AB368" s="135">
        <v>0.945788964181994</v>
      </c>
      <c r="AC368" s="135">
        <v>0.935373554843097</v>
      </c>
      <c r="AD368" s="135">
        <v>0.92</v>
      </c>
      <c r="AE368" s="133">
        <v>0.994336569579288</v>
      </c>
      <c r="AF368" s="133">
        <v>0.985264321237797</v>
      </c>
      <c r="AG368" s="133">
        <v>0.992370169825252</v>
      </c>
      <c r="AH368" s="133">
        <v>0.987109098499011</v>
      </c>
      <c r="AI368" s="135">
        <v>0.92</v>
      </c>
      <c r="AJ368" s="133">
        <v>0.885504794134236</v>
      </c>
      <c r="AK368" s="133">
        <v>0.949013445084687</v>
      </c>
      <c r="AL368" s="133">
        <v>0.960636378546826</v>
      </c>
      <c r="AM368" s="133">
        <v>0.955776232415788</v>
      </c>
      <c r="AN368" s="132">
        <v>0.99</v>
      </c>
      <c r="AO368" s="137">
        <v>1</v>
      </c>
      <c r="AP368" s="137">
        <v>1</v>
      </c>
      <c r="AQ368" s="137">
        <v>1</v>
      </c>
      <c r="AR368" s="137">
        <v>1</v>
      </c>
      <c r="AS368" s="158">
        <v>0.05</v>
      </c>
      <c r="AT368" s="141">
        <v>0.04</v>
      </c>
      <c r="AU368" s="141">
        <v>0</v>
      </c>
      <c r="AV368" s="141">
        <v>0.0408163265306122</v>
      </c>
      <c r="AW368" s="141">
        <v>0.0283687943262411</v>
      </c>
      <c r="AX368" s="95"/>
      <c r="AY368" s="93"/>
    </row>
    <row r="369" ht="14.5" spans="1:51">
      <c r="A369" s="91"/>
      <c r="B369" s="95"/>
      <c r="C369" s="152" t="s">
        <v>375</v>
      </c>
      <c r="D369" s="153" t="s">
        <v>25</v>
      </c>
      <c r="E369" s="130" t="s">
        <v>376</v>
      </c>
      <c r="F369" s="154" t="s">
        <v>395</v>
      </c>
      <c r="G369" s="154" t="s">
        <v>395</v>
      </c>
      <c r="H369" s="154" t="s">
        <v>395</v>
      </c>
      <c r="I369" s="154" t="s">
        <v>395</v>
      </c>
      <c r="J369" s="132">
        <v>0.9</v>
      </c>
      <c r="K369" s="133">
        <v>0.75</v>
      </c>
      <c r="L369" s="133">
        <v>0.678571428571429</v>
      </c>
      <c r="M369" s="134">
        <v>0.741935483870968</v>
      </c>
      <c r="N369" s="133">
        <v>0.735609756097561</v>
      </c>
      <c r="O369" s="135">
        <v>0.9</v>
      </c>
      <c r="P369" s="133">
        <v>0.920809248554913</v>
      </c>
      <c r="Q369" s="133">
        <v>0.825876662636034</v>
      </c>
      <c r="R369" s="133">
        <v>0.906875227355402</v>
      </c>
      <c r="S369" s="133">
        <v>0.718024047628312</v>
      </c>
      <c r="T369" s="135">
        <v>0.9</v>
      </c>
      <c r="U369" s="133">
        <v>0.565895953757225</v>
      </c>
      <c r="V369" s="133">
        <v>0.671906489318823</v>
      </c>
      <c r="W369" s="133">
        <v>0.707166242269916</v>
      </c>
      <c r="X369" s="133">
        <v>0.634051908634577</v>
      </c>
      <c r="Y369" s="135">
        <v>0.92</v>
      </c>
      <c r="Z369" s="135">
        <v>0.61810291382517</v>
      </c>
      <c r="AA369" s="135">
        <v>0.776147959183674</v>
      </c>
      <c r="AB369" s="135">
        <v>0.843703922146859</v>
      </c>
      <c r="AC369" s="135">
        <v>0.825434892167596</v>
      </c>
      <c r="AD369" s="135">
        <v>0.92</v>
      </c>
      <c r="AE369" s="133">
        <v>0.99051724137931</v>
      </c>
      <c r="AF369" s="133">
        <v>0.98703888334995</v>
      </c>
      <c r="AG369" s="133">
        <v>0.963409192324855</v>
      </c>
      <c r="AH369" s="133">
        <v>0.968257962470343</v>
      </c>
      <c r="AI369" s="135">
        <v>0.92</v>
      </c>
      <c r="AJ369" s="133">
        <v>0.71073885731379</v>
      </c>
      <c r="AK369" s="133">
        <v>0.815203845469112</v>
      </c>
      <c r="AL369" s="133">
        <v>0.877727124715077</v>
      </c>
      <c r="AM369" s="133">
        <v>0.864226075786769</v>
      </c>
      <c r="AN369" s="132">
        <v>0.99</v>
      </c>
      <c r="AO369" s="137">
        <v>1</v>
      </c>
      <c r="AP369" s="137">
        <v>1</v>
      </c>
      <c r="AQ369" s="137">
        <v>1</v>
      </c>
      <c r="AR369" s="137">
        <v>1</v>
      </c>
      <c r="AS369" s="158">
        <v>0.05</v>
      </c>
      <c r="AT369" s="141">
        <v>0.0434782608695652</v>
      </c>
      <c r="AU369" s="141">
        <v>0.0212765957446809</v>
      </c>
      <c r="AV369" s="141">
        <v>0.0377358490566038</v>
      </c>
      <c r="AW369" s="141">
        <v>0.0446224256292906</v>
      </c>
      <c r="AX369" s="95"/>
      <c r="AY369" s="93"/>
    </row>
    <row r="370" ht="14.5" spans="1:51">
      <c r="A370" s="91"/>
      <c r="B370" s="95"/>
      <c r="C370" s="152" t="s">
        <v>375</v>
      </c>
      <c r="D370" s="153" t="s">
        <v>25</v>
      </c>
      <c r="E370" s="130" t="s">
        <v>376</v>
      </c>
      <c r="F370" s="154" t="s">
        <v>396</v>
      </c>
      <c r="G370" s="154" t="s">
        <v>396</v>
      </c>
      <c r="H370" s="154" t="s">
        <v>396</v>
      </c>
      <c r="I370" s="154" t="s">
        <v>396</v>
      </c>
      <c r="J370" s="132">
        <v>0.9</v>
      </c>
      <c r="K370" s="133">
        <v>0.671641791044776</v>
      </c>
      <c r="L370" s="133">
        <v>0.685714285714286</v>
      </c>
      <c r="M370" s="134">
        <v>0.7375</v>
      </c>
      <c r="N370" s="133">
        <v>0.773333333333333</v>
      </c>
      <c r="O370" s="135">
        <v>0.9</v>
      </c>
      <c r="P370" s="133">
        <v>0.881599581808677</v>
      </c>
      <c r="Q370" s="133">
        <v>0.832652183265218</v>
      </c>
      <c r="R370" s="133">
        <v>0.89329972694812</v>
      </c>
      <c r="S370" s="133">
        <v>0.913656707390831</v>
      </c>
      <c r="T370" s="135">
        <v>0.9</v>
      </c>
      <c r="U370" s="133">
        <v>0.798222686879247</v>
      </c>
      <c r="V370" s="133">
        <v>0.821036782103678</v>
      </c>
      <c r="W370" s="133">
        <v>0.858433102289435</v>
      </c>
      <c r="X370" s="133">
        <v>0.852594653441394</v>
      </c>
      <c r="Y370" s="135">
        <v>0.92</v>
      </c>
      <c r="Z370" s="135">
        <v>0.889871738168952</v>
      </c>
      <c r="AA370" s="135">
        <v>0.865856564212533</v>
      </c>
      <c r="AB370" s="135">
        <v>0.914090106007067</v>
      </c>
      <c r="AC370" s="135">
        <v>0.945301773848097</v>
      </c>
      <c r="AD370" s="135">
        <v>0.92</v>
      </c>
      <c r="AE370" s="133">
        <v>0.997055730809674</v>
      </c>
      <c r="AF370" s="133">
        <v>0.998502067797714</v>
      </c>
      <c r="AG370" s="133">
        <v>0.997071534174912</v>
      </c>
      <c r="AH370" s="133">
        <v>0.993221398887132</v>
      </c>
      <c r="AI370" s="135">
        <v>0.92</v>
      </c>
      <c r="AJ370" s="133">
        <v>0.920663600525624</v>
      </c>
      <c r="AK370" s="133">
        <v>0.898609698202781</v>
      </c>
      <c r="AL370" s="133">
        <v>0.943195266272189</v>
      </c>
      <c r="AM370" s="133">
        <v>0.9620913099937</v>
      </c>
      <c r="AN370" s="132">
        <v>0.99</v>
      </c>
      <c r="AO370" s="137">
        <v>1</v>
      </c>
      <c r="AP370" s="137">
        <v>1</v>
      </c>
      <c r="AQ370" s="137">
        <v>1</v>
      </c>
      <c r="AR370" s="137">
        <v>1</v>
      </c>
      <c r="AS370" s="158">
        <v>0.05</v>
      </c>
      <c r="AT370" s="141">
        <v>0.1875</v>
      </c>
      <c r="AU370" s="141">
        <v>0.08</v>
      </c>
      <c r="AV370" s="141">
        <v>0.115384615384615</v>
      </c>
      <c r="AW370" s="141">
        <v>0.0754189944134078</v>
      </c>
      <c r="AX370" s="95"/>
      <c r="AY370" s="93"/>
    </row>
    <row r="371" ht="14.5" spans="1:51">
      <c r="A371" s="91"/>
      <c r="B371" s="95"/>
      <c r="C371" s="152" t="s">
        <v>375</v>
      </c>
      <c r="D371" s="153" t="s">
        <v>25</v>
      </c>
      <c r="E371" s="130" t="s">
        <v>376</v>
      </c>
      <c r="F371" s="154" t="s">
        <v>397</v>
      </c>
      <c r="G371" s="154" t="s">
        <v>397</v>
      </c>
      <c r="H371" s="154" t="s">
        <v>397</v>
      </c>
      <c r="I371" s="154" t="s">
        <v>397</v>
      </c>
      <c r="J371" s="132">
        <v>0.9</v>
      </c>
      <c r="K371" s="133">
        <v>0.944444444444444</v>
      </c>
      <c r="L371" s="133">
        <v>0.918367346938776</v>
      </c>
      <c r="M371" s="134">
        <v>0.928571428571429</v>
      </c>
      <c r="N371" s="133">
        <v>0.930629669156884</v>
      </c>
      <c r="O371" s="135">
        <v>0.9</v>
      </c>
      <c r="P371" s="133">
        <v>0.939154348573393</v>
      </c>
      <c r="Q371" s="133">
        <v>0.952530815630737</v>
      </c>
      <c r="R371" s="133">
        <v>0.93682839465972</v>
      </c>
      <c r="S371" s="133">
        <v>0.936171696567115</v>
      </c>
      <c r="T371" s="135">
        <v>0.9</v>
      </c>
      <c r="U371" s="133">
        <v>0.892059126847714</v>
      </c>
      <c r="V371" s="133">
        <v>0.878835562549174</v>
      </c>
      <c r="W371" s="133">
        <v>0.910126994464344</v>
      </c>
      <c r="X371" s="133">
        <v>0.884233833708179</v>
      </c>
      <c r="Y371" s="135">
        <v>0.92</v>
      </c>
      <c r="Z371" s="135">
        <v>0.898034398034398</v>
      </c>
      <c r="AA371" s="135">
        <v>0.90702588483888</v>
      </c>
      <c r="AB371" s="135">
        <v>0.932717678100264</v>
      </c>
      <c r="AC371" s="135">
        <v>0.928264890862005</v>
      </c>
      <c r="AD371" s="135">
        <v>0.92</v>
      </c>
      <c r="AE371" s="133">
        <v>1</v>
      </c>
      <c r="AF371" s="133">
        <v>0.992805755395683</v>
      </c>
      <c r="AG371" s="133">
        <v>0.995495495495496</v>
      </c>
      <c r="AH371" s="133">
        <v>0.986524704708035</v>
      </c>
      <c r="AI371" s="135">
        <v>0.92</v>
      </c>
      <c r="AJ371" s="133">
        <v>0.944414607948443</v>
      </c>
      <c r="AK371" s="133">
        <v>0.948124780932352</v>
      </c>
      <c r="AL371" s="133">
        <v>0.961848702855897</v>
      </c>
      <c r="AM371" s="133">
        <v>0.960768282857007</v>
      </c>
      <c r="AN371" s="132">
        <v>0.99</v>
      </c>
      <c r="AO371" s="137">
        <v>1</v>
      </c>
      <c r="AP371" s="137">
        <v>1</v>
      </c>
      <c r="AQ371" s="137">
        <v>1</v>
      </c>
      <c r="AR371" s="137">
        <v>1</v>
      </c>
      <c r="AS371" s="158">
        <v>0.05</v>
      </c>
      <c r="AT371" s="141">
        <v>0.142857142857143</v>
      </c>
      <c r="AU371" s="141">
        <v>0.0833333333333333</v>
      </c>
      <c r="AV371" s="141">
        <v>0.105263157894737</v>
      </c>
      <c r="AW371" s="141">
        <v>0.086687306501548</v>
      </c>
      <c r="AX371" s="95"/>
      <c r="AY371" s="93"/>
    </row>
    <row r="372" ht="14.5" spans="1:51">
      <c r="A372" s="91"/>
      <c r="B372" s="95"/>
      <c r="C372" s="152" t="s">
        <v>375</v>
      </c>
      <c r="D372" s="153" t="s">
        <v>25</v>
      </c>
      <c r="E372" s="130" t="s">
        <v>376</v>
      </c>
      <c r="F372" s="154" t="s">
        <v>398</v>
      </c>
      <c r="G372" s="154" t="s">
        <v>398</v>
      </c>
      <c r="H372" s="154" t="s">
        <v>398</v>
      </c>
      <c r="I372" s="154" t="s">
        <v>398</v>
      </c>
      <c r="J372" s="132">
        <v>0.9</v>
      </c>
      <c r="K372" s="133">
        <v>0.826086956521739</v>
      </c>
      <c r="L372" s="133">
        <v>0.723684210526316</v>
      </c>
      <c r="M372" s="134">
        <v>0.771739130434783</v>
      </c>
      <c r="N372" s="133">
        <v>0.792426367461431</v>
      </c>
      <c r="O372" s="135">
        <v>0.9</v>
      </c>
      <c r="P372" s="133">
        <v>0.860230256513836</v>
      </c>
      <c r="Q372" s="133">
        <v>0.850807083529227</v>
      </c>
      <c r="R372" s="133">
        <v>0.918866080156403</v>
      </c>
      <c r="S372" s="133">
        <v>0.883907396950875</v>
      </c>
      <c r="T372" s="135">
        <v>0.9</v>
      </c>
      <c r="U372" s="133">
        <v>0.318319531407796</v>
      </c>
      <c r="V372" s="133">
        <v>0.367027111737972</v>
      </c>
      <c r="W372" s="133">
        <v>0.495014662756598</v>
      </c>
      <c r="X372" s="133">
        <v>0.341296648016016</v>
      </c>
      <c r="Y372" s="135">
        <v>0.92</v>
      </c>
      <c r="Z372" s="135">
        <v>0.201023391812865</v>
      </c>
      <c r="AA372" s="135">
        <v>0.42362313820575</v>
      </c>
      <c r="AB372" s="135">
        <v>0.558902877697842</v>
      </c>
      <c r="AC372" s="135">
        <v>0.39320114703071</v>
      </c>
      <c r="AD372" s="135">
        <v>0.92</v>
      </c>
      <c r="AE372" s="133">
        <v>1</v>
      </c>
      <c r="AF372" s="133">
        <v>0.915980230642504</v>
      </c>
      <c r="AG372" s="133">
        <v>0.997987927565392</v>
      </c>
      <c r="AH372" s="133">
        <v>0.971128852580765</v>
      </c>
      <c r="AI372" s="135">
        <v>0.92</v>
      </c>
      <c r="AJ372" s="133">
        <v>0.511867088607595</v>
      </c>
      <c r="AK372" s="133">
        <v>0.663358860964297</v>
      </c>
      <c r="AL372" s="133">
        <v>0.777686963628933</v>
      </c>
      <c r="AM372" s="133">
        <v>0.695150265813171</v>
      </c>
      <c r="AN372" s="132">
        <v>0.99</v>
      </c>
      <c r="AO372" s="137">
        <v>1</v>
      </c>
      <c r="AP372" s="137">
        <v>1</v>
      </c>
      <c r="AQ372" s="137">
        <v>1</v>
      </c>
      <c r="AR372" s="137">
        <v>1</v>
      </c>
      <c r="AS372" s="158">
        <v>0.05</v>
      </c>
      <c r="AT372" s="141">
        <v>0.121951219512195</v>
      </c>
      <c r="AU372" s="141">
        <v>0.222222222222222</v>
      </c>
      <c r="AV372" s="141">
        <v>0.0769230769230769</v>
      </c>
      <c r="AW372" s="141">
        <v>0.120556414219474</v>
      </c>
      <c r="AX372" s="95"/>
      <c r="AY372" s="93"/>
    </row>
    <row r="373" ht="14.5" spans="1:51">
      <c r="A373" s="91"/>
      <c r="B373" s="95"/>
      <c r="C373" s="152" t="s">
        <v>375</v>
      </c>
      <c r="D373" s="153" t="s">
        <v>25</v>
      </c>
      <c r="E373" s="130" t="s">
        <v>376</v>
      </c>
      <c r="F373" s="154" t="s">
        <v>399</v>
      </c>
      <c r="G373" s="154" t="s">
        <v>399</v>
      </c>
      <c r="H373" s="154" t="s">
        <v>399</v>
      </c>
      <c r="I373" s="154" t="s">
        <v>399</v>
      </c>
      <c r="J373" s="132">
        <v>0.9</v>
      </c>
      <c r="K373" s="133">
        <v>0.636363636363636</v>
      </c>
      <c r="L373" s="133">
        <v>0.638888888888889</v>
      </c>
      <c r="M373" s="134">
        <v>0.609756097560976</v>
      </c>
      <c r="N373" s="133">
        <v>0.680067001675042</v>
      </c>
      <c r="O373" s="135">
        <v>0.9</v>
      </c>
      <c r="P373" s="133">
        <v>0.892841458058849</v>
      </c>
      <c r="Q373" s="133">
        <v>0.67658659017569</v>
      </c>
      <c r="R373" s="133">
        <v>0.922818791946309</v>
      </c>
      <c r="S373" s="133">
        <v>0.712342569269521</v>
      </c>
      <c r="T373" s="135">
        <v>0.9</v>
      </c>
      <c r="U373" s="133">
        <v>0.516908212560386</v>
      </c>
      <c r="V373" s="133">
        <v>0.62352097525995</v>
      </c>
      <c r="W373" s="133">
        <v>0.680249280920422</v>
      </c>
      <c r="X373" s="133">
        <v>0.558765743073048</v>
      </c>
      <c r="Y373" s="135">
        <v>0.92</v>
      </c>
      <c r="Z373" s="135">
        <v>0.252669039145907</v>
      </c>
      <c r="AA373" s="135">
        <v>0.584800741427247</v>
      </c>
      <c r="AB373" s="135">
        <v>0.703703703703704</v>
      </c>
      <c r="AC373" s="135">
        <v>0.533112582781457</v>
      </c>
      <c r="AD373" s="135">
        <v>0.92</v>
      </c>
      <c r="AE373" s="133">
        <v>0.948717948717949</v>
      </c>
      <c r="AF373" s="133">
        <v>1</v>
      </c>
      <c r="AG373" s="133">
        <v>1</v>
      </c>
      <c r="AH373" s="133">
        <v>0.964678633468442</v>
      </c>
      <c r="AI373" s="135">
        <v>0.92</v>
      </c>
      <c r="AJ373" s="133">
        <v>0.590845070422535</v>
      </c>
      <c r="AK373" s="133">
        <v>0.745929180666839</v>
      </c>
      <c r="AL373" s="133">
        <v>0.841918294849023</v>
      </c>
      <c r="AM373" s="133">
        <v>0.749507358554208</v>
      </c>
      <c r="AN373" s="132">
        <v>0.99</v>
      </c>
      <c r="AO373" s="137">
        <v>1</v>
      </c>
      <c r="AP373" s="137">
        <v>1</v>
      </c>
      <c r="AQ373" s="137">
        <v>1</v>
      </c>
      <c r="AR373" s="137">
        <v>1</v>
      </c>
      <c r="AS373" s="158">
        <v>0.05</v>
      </c>
      <c r="AT373" s="141">
        <v>0</v>
      </c>
      <c r="AU373" s="141">
        <v>0.0909090909090909</v>
      </c>
      <c r="AV373" s="141">
        <v>0.444444444444444</v>
      </c>
      <c r="AW373" s="141">
        <v>0.127777777777778</v>
      </c>
      <c r="AX373" s="95"/>
      <c r="AY373" s="93"/>
    </row>
    <row r="374" ht="14.5" spans="1:51">
      <c r="A374" s="91"/>
      <c r="B374" s="95"/>
      <c r="C374" s="152" t="s">
        <v>375</v>
      </c>
      <c r="D374" s="153" t="s">
        <v>25</v>
      </c>
      <c r="E374" s="130" t="s">
        <v>376</v>
      </c>
      <c r="F374" s="154" t="s">
        <v>400</v>
      </c>
      <c r="G374" s="154" t="s">
        <v>400</v>
      </c>
      <c r="H374" s="154" t="s">
        <v>400</v>
      </c>
      <c r="I374" s="154" t="s">
        <v>400</v>
      </c>
      <c r="J374" s="132">
        <v>0.9</v>
      </c>
      <c r="K374" s="133">
        <v>0.918367346938776</v>
      </c>
      <c r="L374" s="133">
        <v>0.92156862745098</v>
      </c>
      <c r="M374" s="134">
        <v>0.879310344827586</v>
      </c>
      <c r="N374" s="133">
        <v>0.846659364731654</v>
      </c>
      <c r="O374" s="135">
        <v>0.9</v>
      </c>
      <c r="P374" s="133">
        <v>0</v>
      </c>
      <c r="Q374" s="133">
        <v>0</v>
      </c>
      <c r="R374" s="133" t="s">
        <v>35</v>
      </c>
      <c r="S374" s="133">
        <v>0.137931034482759</v>
      </c>
      <c r="T374" s="135">
        <v>0.9</v>
      </c>
      <c r="U374" s="133">
        <v>0</v>
      </c>
      <c r="V374" s="133">
        <v>0</v>
      </c>
      <c r="W374" s="133" t="s">
        <v>35</v>
      </c>
      <c r="X374" s="133">
        <v>0.0689655172413793</v>
      </c>
      <c r="Y374" s="135">
        <v>0.92</v>
      </c>
      <c r="Z374" s="135">
        <v>0</v>
      </c>
      <c r="AA374" s="135" t="s">
        <v>35</v>
      </c>
      <c r="AB374" s="135" t="s">
        <v>35</v>
      </c>
      <c r="AC374" s="135">
        <v>0.307692307692308</v>
      </c>
      <c r="AD374" s="135">
        <v>0.92</v>
      </c>
      <c r="AE374" s="133">
        <v>0.972027972027972</v>
      </c>
      <c r="AF374" s="133">
        <v>0.974093264248705</v>
      </c>
      <c r="AG374" s="133">
        <v>0.975247524752475</v>
      </c>
      <c r="AH374" s="133">
        <v>0.978483862897173</v>
      </c>
      <c r="AI374" s="135">
        <v>0.92</v>
      </c>
      <c r="AJ374" s="133">
        <v>0.876142794949935</v>
      </c>
      <c r="AK374" s="133">
        <v>0.946179129005752</v>
      </c>
      <c r="AL374" s="133">
        <v>0.949817295980512</v>
      </c>
      <c r="AM374" s="133">
        <v>0.947582560034911</v>
      </c>
      <c r="AN374" s="132">
        <v>0.99</v>
      </c>
      <c r="AO374" s="137">
        <v>1</v>
      </c>
      <c r="AP374" s="137">
        <v>1</v>
      </c>
      <c r="AQ374" s="137">
        <v>1</v>
      </c>
      <c r="AR374" s="137">
        <v>1</v>
      </c>
      <c r="AS374" s="158">
        <v>0.05</v>
      </c>
      <c r="AT374" s="141">
        <v>0.0909090909090909</v>
      </c>
      <c r="AU374" s="141">
        <v>0.0769230769230769</v>
      </c>
      <c r="AV374" s="141">
        <v>0.181818181818182</v>
      </c>
      <c r="AW374" s="141">
        <v>0.104761904761905</v>
      </c>
      <c r="AX374" s="95"/>
      <c r="AY374" s="93"/>
    </row>
    <row r="375" ht="14.5" spans="1:51">
      <c r="A375" s="91"/>
      <c r="B375" s="95"/>
      <c r="C375" s="152" t="s">
        <v>375</v>
      </c>
      <c r="D375" s="153" t="s">
        <v>25</v>
      </c>
      <c r="E375" s="130" t="s">
        <v>376</v>
      </c>
      <c r="F375" s="154" t="s">
        <v>401</v>
      </c>
      <c r="G375" s="154" t="s">
        <v>401</v>
      </c>
      <c r="H375" s="154" t="s">
        <v>401</v>
      </c>
      <c r="I375" s="154" t="s">
        <v>401</v>
      </c>
      <c r="J375" s="132">
        <v>0.9</v>
      </c>
      <c r="K375" s="133">
        <v>0.7</v>
      </c>
      <c r="L375" s="133">
        <v>0.785714285714286</v>
      </c>
      <c r="M375" s="134">
        <v>0.783333333333333</v>
      </c>
      <c r="N375" s="133">
        <v>0.67478813559322</v>
      </c>
      <c r="O375" s="135">
        <v>0.9</v>
      </c>
      <c r="P375" s="133">
        <v>1</v>
      </c>
      <c r="Q375" s="133" t="s">
        <v>35</v>
      </c>
      <c r="R375" s="133">
        <v>1</v>
      </c>
      <c r="S375" s="133">
        <v>0.625</v>
      </c>
      <c r="T375" s="135">
        <v>0.9</v>
      </c>
      <c r="U375" s="133">
        <v>0</v>
      </c>
      <c r="V375" s="133" t="s">
        <v>35</v>
      </c>
      <c r="W375" s="133">
        <v>1</v>
      </c>
      <c r="X375" s="133">
        <v>0.375</v>
      </c>
      <c r="Y375" s="135">
        <v>0.92</v>
      </c>
      <c r="Z375" s="135">
        <v>0</v>
      </c>
      <c r="AA375" s="135">
        <v>0</v>
      </c>
      <c r="AB375" s="135">
        <v>0.363636363636364</v>
      </c>
      <c r="AC375" s="135">
        <v>0.534883720930233</v>
      </c>
      <c r="AD375" s="135">
        <v>0.92</v>
      </c>
      <c r="AE375" s="133">
        <v>0.936507936507937</v>
      </c>
      <c r="AF375" s="133">
        <v>0.984615384615385</v>
      </c>
      <c r="AG375" s="133">
        <v>0.984210526315789</v>
      </c>
      <c r="AH375" s="133">
        <v>0.978646616541353</v>
      </c>
      <c r="AI375" s="135">
        <v>0.92</v>
      </c>
      <c r="AJ375" s="133">
        <v>0.766917293233083</v>
      </c>
      <c r="AK375" s="133">
        <v>0.838190307518918</v>
      </c>
      <c r="AL375" s="133">
        <v>0.937417281149556</v>
      </c>
      <c r="AM375" s="133">
        <v>0.888628160639535</v>
      </c>
      <c r="AN375" s="132">
        <v>0.99</v>
      </c>
      <c r="AO375" s="137">
        <v>1</v>
      </c>
      <c r="AP375" s="137">
        <v>1</v>
      </c>
      <c r="AQ375" s="137">
        <v>1</v>
      </c>
      <c r="AR375" s="137">
        <v>1</v>
      </c>
      <c r="AS375" s="158">
        <v>0.05</v>
      </c>
      <c r="AT375" s="141">
        <v>0.12</v>
      </c>
      <c r="AU375" s="141">
        <v>0.05</v>
      </c>
      <c r="AV375" s="141">
        <v>0.0416666666666667</v>
      </c>
      <c r="AW375" s="141">
        <v>0.176165803108808</v>
      </c>
      <c r="AX375" s="95"/>
      <c r="AY375" s="93"/>
    </row>
    <row r="376" ht="14.5" spans="1:51">
      <c r="A376" s="91"/>
      <c r="B376" s="95"/>
      <c r="C376" s="152" t="s">
        <v>375</v>
      </c>
      <c r="D376" s="153" t="s">
        <v>25</v>
      </c>
      <c r="E376" s="130" t="s">
        <v>376</v>
      </c>
      <c r="F376" s="154" t="s">
        <v>402</v>
      </c>
      <c r="G376" s="154" t="s">
        <v>402</v>
      </c>
      <c r="H376" s="154" t="s">
        <v>402</v>
      </c>
      <c r="I376" s="154" t="s">
        <v>402</v>
      </c>
      <c r="J376" s="132">
        <v>0.9</v>
      </c>
      <c r="K376" s="133">
        <v>1</v>
      </c>
      <c r="L376" s="133">
        <v>1</v>
      </c>
      <c r="M376" s="134">
        <v>1</v>
      </c>
      <c r="N376" s="133">
        <v>0.991026919242273</v>
      </c>
      <c r="O376" s="135">
        <v>0.9</v>
      </c>
      <c r="P376" s="133">
        <v>0.972747497219132</v>
      </c>
      <c r="Q376" s="133">
        <v>0.980699893955461</v>
      </c>
      <c r="R376" s="133">
        <v>0.982241953385128</v>
      </c>
      <c r="S376" s="133">
        <v>0.979930227785758</v>
      </c>
      <c r="T376" s="135">
        <v>0.9</v>
      </c>
      <c r="U376" s="133">
        <v>0.915461624026696</v>
      </c>
      <c r="V376" s="133">
        <v>0.899045599151644</v>
      </c>
      <c r="W376" s="133">
        <v>0.916481687014428</v>
      </c>
      <c r="X376" s="133">
        <v>0.896805527053834</v>
      </c>
      <c r="Y376" s="135">
        <v>0.92</v>
      </c>
      <c r="Z376" s="135">
        <v>0.9</v>
      </c>
      <c r="AA376" s="135">
        <v>0.921560898699251</v>
      </c>
      <c r="AB376" s="135">
        <v>0.940158259149357</v>
      </c>
      <c r="AC376" s="135">
        <v>0.937373849088948</v>
      </c>
      <c r="AD376" s="135">
        <v>0.92</v>
      </c>
      <c r="AE376" s="133">
        <v>0.993788819875776</v>
      </c>
      <c r="AF376" s="133">
        <v>0.993227990970655</v>
      </c>
      <c r="AG376" s="133">
        <v>0.995033112582781</v>
      </c>
      <c r="AH376" s="133">
        <v>0.995918367346939</v>
      </c>
      <c r="AI376" s="135">
        <v>0.92</v>
      </c>
      <c r="AJ376" s="133">
        <v>0.952652716127669</v>
      </c>
      <c r="AK376" s="133">
        <v>0.96029776674938</v>
      </c>
      <c r="AL376" s="133">
        <v>0.965701084059001</v>
      </c>
      <c r="AM376" s="133">
        <v>0.968119761355734</v>
      </c>
      <c r="AN376" s="132">
        <v>0.99</v>
      </c>
      <c r="AO376" s="137">
        <v>1</v>
      </c>
      <c r="AP376" s="137">
        <v>1</v>
      </c>
      <c r="AQ376" s="137">
        <v>1</v>
      </c>
      <c r="AR376" s="137">
        <v>1</v>
      </c>
      <c r="AS376" s="158">
        <v>0.05</v>
      </c>
      <c r="AT376" s="141">
        <v>0.333333333333333</v>
      </c>
      <c r="AU376" s="141">
        <v>0.130434782608696</v>
      </c>
      <c r="AV376" s="141">
        <v>0.0714285714285714</v>
      </c>
      <c r="AW376" s="141">
        <v>0.102649006622517</v>
      </c>
      <c r="AX376" s="95"/>
      <c r="AY376" s="93"/>
    </row>
    <row r="377" ht="14.5" spans="1:51">
      <c r="A377" s="91"/>
      <c r="B377" s="95"/>
      <c r="C377" s="152" t="s">
        <v>375</v>
      </c>
      <c r="D377" s="153" t="s">
        <v>25</v>
      </c>
      <c r="E377" s="130" t="s">
        <v>376</v>
      </c>
      <c r="F377" s="154" t="s">
        <v>403</v>
      </c>
      <c r="G377" s="154" t="s">
        <v>403</v>
      </c>
      <c r="H377" s="154" t="s">
        <v>403</v>
      </c>
      <c r="I377" s="154" t="s">
        <v>403</v>
      </c>
      <c r="J377" s="132">
        <v>0.9</v>
      </c>
      <c r="K377" s="133">
        <v>0.866666666666667</v>
      </c>
      <c r="L377" s="133">
        <v>0.845070422535211</v>
      </c>
      <c r="M377" s="134">
        <v>0.91025641025641</v>
      </c>
      <c r="N377" s="133">
        <v>0.882861635220126</v>
      </c>
      <c r="O377" s="135">
        <v>0.9</v>
      </c>
      <c r="P377" s="133">
        <v>0.911845102505695</v>
      </c>
      <c r="Q377" s="133">
        <v>0.905082893058845</v>
      </c>
      <c r="R377" s="133">
        <v>0.971318389973488</v>
      </c>
      <c r="S377" s="133">
        <v>0.904980816020962</v>
      </c>
      <c r="T377" s="135">
        <v>0.9</v>
      </c>
      <c r="U377" s="133">
        <v>0.745558086560364</v>
      </c>
      <c r="V377" s="133">
        <v>0.726361814538167</v>
      </c>
      <c r="W377" s="133">
        <v>0.819474572186069</v>
      </c>
      <c r="X377" s="133">
        <v>0.735764083848025</v>
      </c>
      <c r="Y377" s="135">
        <v>0.92</v>
      </c>
      <c r="Z377" s="135">
        <v>0.700773860705073</v>
      </c>
      <c r="AA377" s="135">
        <v>0.820589705147426</v>
      </c>
      <c r="AB377" s="135">
        <v>0.873200822481151</v>
      </c>
      <c r="AC377" s="135">
        <v>0.817721605001189</v>
      </c>
      <c r="AD377" s="135">
        <v>0.92</v>
      </c>
      <c r="AE377" s="133">
        <v>0.993630573248408</v>
      </c>
      <c r="AF377" s="133">
        <v>0.977401129943503</v>
      </c>
      <c r="AG377" s="133">
        <v>0.957671957671958</v>
      </c>
      <c r="AH377" s="133">
        <v>0.976130198915009</v>
      </c>
      <c r="AI377" s="135">
        <v>0.92</v>
      </c>
      <c r="AJ377" s="133">
        <v>0.871333453302141</v>
      </c>
      <c r="AK377" s="133">
        <v>0.915521153076204</v>
      </c>
      <c r="AL377" s="133">
        <v>0.931526390870185</v>
      </c>
      <c r="AM377" s="133">
        <v>0.921939845306559</v>
      </c>
      <c r="AN377" s="132">
        <v>0.99</v>
      </c>
      <c r="AO377" s="137">
        <v>1</v>
      </c>
      <c r="AP377" s="137">
        <v>1</v>
      </c>
      <c r="AQ377" s="137">
        <v>1</v>
      </c>
      <c r="AR377" s="137">
        <v>1</v>
      </c>
      <c r="AS377" s="158">
        <v>0.05</v>
      </c>
      <c r="AT377" s="141">
        <v>0.272727272727273</v>
      </c>
      <c r="AU377" s="141">
        <v>0.032258064516129</v>
      </c>
      <c r="AV377" s="141">
        <v>0.172413793103448</v>
      </c>
      <c r="AW377" s="141">
        <v>0.119158878504673</v>
      </c>
      <c r="AX377" s="95"/>
      <c r="AY377" s="93"/>
    </row>
    <row r="378" ht="14.5" spans="1:51">
      <c r="A378" s="91"/>
      <c r="B378" s="95"/>
      <c r="C378" s="152" t="s">
        <v>375</v>
      </c>
      <c r="D378" s="153" t="s">
        <v>25</v>
      </c>
      <c r="E378" s="130" t="s">
        <v>376</v>
      </c>
      <c r="F378" s="154" t="s">
        <v>404</v>
      </c>
      <c r="G378" s="154" t="s">
        <v>404</v>
      </c>
      <c r="H378" s="154" t="s">
        <v>404</v>
      </c>
      <c r="I378" s="154" t="s">
        <v>404</v>
      </c>
      <c r="J378" s="132">
        <v>0.9</v>
      </c>
      <c r="K378" s="133">
        <v>0.901234567901235</v>
      </c>
      <c r="L378" s="133">
        <v>0.920454545454545</v>
      </c>
      <c r="M378" s="134">
        <v>0.923076923076923</v>
      </c>
      <c r="N378" s="133">
        <v>0.941844919786096</v>
      </c>
      <c r="O378" s="135">
        <v>0.9</v>
      </c>
      <c r="P378" s="133">
        <v>0.986515641855448</v>
      </c>
      <c r="Q378" s="133">
        <v>0.974513373477104</v>
      </c>
      <c r="R378" s="133">
        <v>0.989471867449085</v>
      </c>
      <c r="S378" s="133">
        <v>0.954507214835677</v>
      </c>
      <c r="T378" s="135">
        <v>0.9</v>
      </c>
      <c r="U378" s="133">
        <v>0.758360302049622</v>
      </c>
      <c r="V378" s="133">
        <v>0.78196331046072</v>
      </c>
      <c r="W378" s="133">
        <v>0.830169140490162</v>
      </c>
      <c r="X378" s="133">
        <v>0.783765248084274</v>
      </c>
      <c r="Y378" s="135">
        <v>0.92</v>
      </c>
      <c r="Z378" s="135">
        <v>0.786831812255541</v>
      </c>
      <c r="AA378" s="135">
        <v>0.830022793878216</v>
      </c>
      <c r="AB378" s="135">
        <v>0.873758278145695</v>
      </c>
      <c r="AC378" s="135">
        <v>0.859263392857143</v>
      </c>
      <c r="AD378" s="135">
        <v>0.92</v>
      </c>
      <c r="AE378" s="133">
        <v>0.993527508090615</v>
      </c>
      <c r="AF378" s="133">
        <v>0.96031746031746</v>
      </c>
      <c r="AG378" s="133">
        <v>0.977955911823647</v>
      </c>
      <c r="AH378" s="133">
        <v>0.961265884652981</v>
      </c>
      <c r="AI378" s="135">
        <v>0.92</v>
      </c>
      <c r="AJ378" s="133">
        <v>0.900676246830093</v>
      </c>
      <c r="AK378" s="133">
        <v>0.92039557426809</v>
      </c>
      <c r="AL378" s="133">
        <v>0.935452441846304</v>
      </c>
      <c r="AM378" s="133">
        <v>0.931930652933889</v>
      </c>
      <c r="AN378" s="132">
        <v>0.99</v>
      </c>
      <c r="AO378" s="137">
        <v>1</v>
      </c>
      <c r="AP378" s="137">
        <v>1</v>
      </c>
      <c r="AQ378" s="137">
        <v>1</v>
      </c>
      <c r="AR378" s="137">
        <v>1</v>
      </c>
      <c r="AS378" s="158">
        <v>0.05</v>
      </c>
      <c r="AT378" s="141">
        <v>0.111111111111111</v>
      </c>
      <c r="AU378" s="141">
        <v>0.133333333333333</v>
      </c>
      <c r="AV378" s="141">
        <v>0.189655172413793</v>
      </c>
      <c r="AW378" s="141">
        <v>0.125179856115108</v>
      </c>
      <c r="AX378" s="95"/>
      <c r="AY378" s="93"/>
    </row>
    <row r="379" ht="14.5" spans="1:51">
      <c r="A379" s="91"/>
      <c r="B379" s="95"/>
      <c r="C379" s="152" t="s">
        <v>375</v>
      </c>
      <c r="D379" s="153" t="s">
        <v>25</v>
      </c>
      <c r="E379" s="130" t="s">
        <v>376</v>
      </c>
      <c r="F379" s="154" t="s">
        <v>405</v>
      </c>
      <c r="G379" s="154" t="s">
        <v>405</v>
      </c>
      <c r="H379" s="154" t="s">
        <v>405</v>
      </c>
      <c r="I379" s="154" t="s">
        <v>405</v>
      </c>
      <c r="J379" s="132">
        <v>0.9</v>
      </c>
      <c r="K379" s="133">
        <v>0.814814814814815</v>
      </c>
      <c r="L379" s="133">
        <v>1</v>
      </c>
      <c r="M379" s="134">
        <v>0.885714285714286</v>
      </c>
      <c r="N379" s="133">
        <v>0.905187835420394</v>
      </c>
      <c r="O379" s="135">
        <v>0.9</v>
      </c>
      <c r="P379" s="133">
        <v>0.142857142857143</v>
      </c>
      <c r="Q379" s="133" t="s">
        <v>35</v>
      </c>
      <c r="R379" s="133" t="s">
        <v>35</v>
      </c>
      <c r="S379" s="133">
        <v>0.25</v>
      </c>
      <c r="T379" s="135">
        <v>0.9</v>
      </c>
      <c r="U379" s="133">
        <v>0</v>
      </c>
      <c r="V379" s="133" t="s">
        <v>35</v>
      </c>
      <c r="W379" s="133" t="s">
        <v>35</v>
      </c>
      <c r="X379" s="133">
        <v>0.333333333333333</v>
      </c>
      <c r="Y379" s="135">
        <v>0.92</v>
      </c>
      <c r="Z379" s="135">
        <v>0</v>
      </c>
      <c r="AA379" s="135" t="s">
        <v>35</v>
      </c>
      <c r="AB379" s="135" t="s">
        <v>35</v>
      </c>
      <c r="AC379" s="135">
        <v>0.615384615384615</v>
      </c>
      <c r="AD379" s="135">
        <v>0.92</v>
      </c>
      <c r="AE379" s="133">
        <v>1</v>
      </c>
      <c r="AF379" s="133">
        <v>0.993377483443709</v>
      </c>
      <c r="AG379" s="133">
        <v>0.985074626865672</v>
      </c>
      <c r="AH379" s="133">
        <v>0.987974987974988</v>
      </c>
      <c r="AI379" s="135">
        <v>0.92</v>
      </c>
      <c r="AJ379" s="133">
        <v>0.805302833376657</v>
      </c>
      <c r="AK379" s="133">
        <v>0.812009120851279</v>
      </c>
      <c r="AL379" s="133">
        <v>0.951545778834721</v>
      </c>
      <c r="AM379" s="133">
        <v>0.904351546265738</v>
      </c>
      <c r="AN379" s="132">
        <v>0.99</v>
      </c>
      <c r="AO379" s="137">
        <v>1</v>
      </c>
      <c r="AP379" s="137">
        <v>1</v>
      </c>
      <c r="AQ379" s="137">
        <v>1</v>
      </c>
      <c r="AR379" s="137">
        <v>1</v>
      </c>
      <c r="AS379" s="158">
        <v>0.05</v>
      </c>
      <c r="AT379" s="141">
        <v>0</v>
      </c>
      <c r="AU379" s="141">
        <v>0.0625</v>
      </c>
      <c r="AV379" s="141">
        <v>0.428571428571429</v>
      </c>
      <c r="AW379" s="141">
        <v>0.150753768844221</v>
      </c>
      <c r="AX379" s="95"/>
      <c r="AY379" s="93"/>
    </row>
    <row r="380" ht="14.5" spans="1:51">
      <c r="A380" s="91"/>
      <c r="B380" s="95"/>
      <c r="C380" s="152" t="s">
        <v>375</v>
      </c>
      <c r="D380" s="153" t="s">
        <v>25</v>
      </c>
      <c r="E380" s="130" t="s">
        <v>376</v>
      </c>
      <c r="F380" s="154" t="s">
        <v>406</v>
      </c>
      <c r="G380" s="154" t="s">
        <v>406</v>
      </c>
      <c r="H380" s="154" t="s">
        <v>406</v>
      </c>
      <c r="I380" s="154" t="s">
        <v>406</v>
      </c>
      <c r="J380" s="132">
        <v>0.9</v>
      </c>
      <c r="K380" s="133">
        <v>0.977777777777778</v>
      </c>
      <c r="L380" s="133">
        <v>0.957446808510638</v>
      </c>
      <c r="M380" s="134">
        <v>0.958333333333333</v>
      </c>
      <c r="N380" s="133">
        <v>0.983647798742138</v>
      </c>
      <c r="O380" s="135">
        <v>0.9</v>
      </c>
      <c r="P380" s="133">
        <v>0.926882502728265</v>
      </c>
      <c r="Q380" s="133">
        <v>0.948207171314741</v>
      </c>
      <c r="R380" s="133">
        <v>0.931151241534989</v>
      </c>
      <c r="S380" s="133">
        <v>0.933085075909482</v>
      </c>
      <c r="T380" s="135">
        <v>0.9</v>
      </c>
      <c r="U380" s="133">
        <v>0.827937431793379</v>
      </c>
      <c r="V380" s="133">
        <v>0.87677859988617</v>
      </c>
      <c r="W380" s="133">
        <v>0.866817155756208</v>
      </c>
      <c r="X380" s="133">
        <v>0.864795187625322</v>
      </c>
      <c r="Y380" s="135">
        <v>0.92</v>
      </c>
      <c r="Z380" s="135">
        <v>0.817330210772834</v>
      </c>
      <c r="AA380" s="135">
        <v>0.881529348411416</v>
      </c>
      <c r="AB380" s="135">
        <v>0.902043692741367</v>
      </c>
      <c r="AC380" s="135">
        <v>0.904464846202134</v>
      </c>
      <c r="AD380" s="135">
        <v>0.92</v>
      </c>
      <c r="AE380" s="133">
        <v>0.992</v>
      </c>
      <c r="AF380" s="133">
        <v>0.98936170212766</v>
      </c>
      <c r="AG380" s="133">
        <v>0.975</v>
      </c>
      <c r="AH380" s="133">
        <v>0.980691056910569</v>
      </c>
      <c r="AI380" s="135">
        <v>0.92</v>
      </c>
      <c r="AJ380" s="133">
        <v>0.896446418656302</v>
      </c>
      <c r="AK380" s="133">
        <v>0.929448994787789</v>
      </c>
      <c r="AL380" s="133">
        <v>0.947278077488965</v>
      </c>
      <c r="AM380" s="133">
        <v>0.946057718241482</v>
      </c>
      <c r="AN380" s="132">
        <v>0.99</v>
      </c>
      <c r="AO380" s="137">
        <v>1</v>
      </c>
      <c r="AP380" s="137">
        <v>1</v>
      </c>
      <c r="AQ380" s="137">
        <v>1</v>
      </c>
      <c r="AR380" s="137">
        <v>1</v>
      </c>
      <c r="AS380" s="158">
        <v>0.05</v>
      </c>
      <c r="AT380" s="141">
        <v>0</v>
      </c>
      <c r="AU380" s="141">
        <v>0.25</v>
      </c>
      <c r="AV380" s="141">
        <v>0</v>
      </c>
      <c r="AW380" s="141">
        <v>0.099290780141844</v>
      </c>
      <c r="AX380" s="95"/>
      <c r="AY380" s="93"/>
    </row>
    <row r="381" ht="14.5" spans="1:51">
      <c r="A381" s="91"/>
      <c r="B381" s="95"/>
      <c r="C381" s="152" t="s">
        <v>375</v>
      </c>
      <c r="D381" s="153" t="s">
        <v>25</v>
      </c>
      <c r="E381" s="130" t="s">
        <v>376</v>
      </c>
      <c r="F381" s="154" t="s">
        <v>407</v>
      </c>
      <c r="G381" s="154" t="s">
        <v>407</v>
      </c>
      <c r="H381" s="154" t="s">
        <v>407</v>
      </c>
      <c r="I381" s="154" t="s">
        <v>407</v>
      </c>
      <c r="J381" s="132">
        <v>0.9</v>
      </c>
      <c r="K381" s="133">
        <v>0.634146341463415</v>
      </c>
      <c r="L381" s="133">
        <v>0.621621621621622</v>
      </c>
      <c r="M381" s="134">
        <v>0.702127659574468</v>
      </c>
      <c r="N381" s="133">
        <v>0.740645161290323</v>
      </c>
      <c r="O381" s="135">
        <v>0.9</v>
      </c>
      <c r="P381" s="133">
        <v>0.571428571428571</v>
      </c>
      <c r="Q381" s="133">
        <v>1</v>
      </c>
      <c r="R381" s="133">
        <v>0.5</v>
      </c>
      <c r="S381" s="133">
        <v>0.6875</v>
      </c>
      <c r="T381" s="135">
        <v>0.9</v>
      </c>
      <c r="U381" s="133">
        <v>0.142857142857143</v>
      </c>
      <c r="V381" s="133">
        <v>0</v>
      </c>
      <c r="W381" s="133">
        <v>0.5</v>
      </c>
      <c r="X381" s="133">
        <v>0.25</v>
      </c>
      <c r="Y381" s="135">
        <v>0.92</v>
      </c>
      <c r="Z381" s="135">
        <v>0</v>
      </c>
      <c r="AA381" s="135">
        <v>0</v>
      </c>
      <c r="AB381" s="135">
        <v>0</v>
      </c>
      <c r="AC381" s="135">
        <v>0.366666666666667</v>
      </c>
      <c r="AD381" s="135">
        <v>0.92</v>
      </c>
      <c r="AE381" s="133">
        <v>0.75</v>
      </c>
      <c r="AF381" s="133">
        <v>0.909090909090909</v>
      </c>
      <c r="AG381" s="133">
        <v>0.951219512195122</v>
      </c>
      <c r="AH381" s="133">
        <v>0.873801916932907</v>
      </c>
      <c r="AI381" s="135">
        <v>0.92</v>
      </c>
      <c r="AJ381" s="133">
        <v>0.728724672228844</v>
      </c>
      <c r="AK381" s="133">
        <v>0.730322297741723</v>
      </c>
      <c r="AL381" s="133">
        <v>0.890154597233523</v>
      </c>
      <c r="AM381" s="133">
        <v>0.844962299202273</v>
      </c>
      <c r="AN381" s="132">
        <v>0.99</v>
      </c>
      <c r="AO381" s="137">
        <v>1</v>
      </c>
      <c r="AP381" s="137">
        <v>1</v>
      </c>
      <c r="AQ381" s="137">
        <v>1</v>
      </c>
      <c r="AR381" s="137">
        <v>1</v>
      </c>
      <c r="AS381" s="158">
        <v>0.05</v>
      </c>
      <c r="AT381" s="141">
        <v>0.1875</v>
      </c>
      <c r="AU381" s="141">
        <v>0.230769230769231</v>
      </c>
      <c r="AV381" s="141">
        <v>0.368421052631579</v>
      </c>
      <c r="AW381" s="141">
        <v>0.149717514124294</v>
      </c>
      <c r="AX381" s="95"/>
      <c r="AY381" s="93"/>
    </row>
    <row r="382" ht="14.5" spans="1:51">
      <c r="A382" s="91"/>
      <c r="B382" s="95"/>
      <c r="C382" s="152" t="s">
        <v>375</v>
      </c>
      <c r="D382" s="153" t="s">
        <v>25</v>
      </c>
      <c r="E382" s="130" t="s">
        <v>376</v>
      </c>
      <c r="F382" s="154" t="s">
        <v>408</v>
      </c>
      <c r="G382" s="154" t="s">
        <v>408</v>
      </c>
      <c r="H382" s="154" t="s">
        <v>408</v>
      </c>
      <c r="I382" s="154" t="s">
        <v>408</v>
      </c>
      <c r="J382" s="132">
        <v>0.9</v>
      </c>
      <c r="K382" s="133">
        <v>0.567164179104478</v>
      </c>
      <c r="L382" s="133">
        <v>0.549295774647887</v>
      </c>
      <c r="M382" s="134">
        <v>0.594202898550725</v>
      </c>
      <c r="N382" s="133">
        <v>0.620661157024793</v>
      </c>
      <c r="O382" s="135">
        <v>0.9</v>
      </c>
      <c r="P382" s="133">
        <v>0.677577045696068</v>
      </c>
      <c r="Q382" s="133">
        <v>0.612251547735419</v>
      </c>
      <c r="R382" s="133">
        <v>0.711476074614761</v>
      </c>
      <c r="S382" s="133">
        <v>0.720772302162145</v>
      </c>
      <c r="T382" s="135">
        <v>0.9</v>
      </c>
      <c r="U382" s="133">
        <v>0.518597236981934</v>
      </c>
      <c r="V382" s="133">
        <v>0.578364288041707</v>
      </c>
      <c r="W382" s="133">
        <v>0.581305758313058</v>
      </c>
      <c r="X382" s="133">
        <v>0.502749765920122</v>
      </c>
      <c r="Y382" s="135">
        <v>0.92</v>
      </c>
      <c r="Z382" s="135">
        <v>0.506428571428571</v>
      </c>
      <c r="AA382" s="135">
        <v>0.583271097834205</v>
      </c>
      <c r="AB382" s="135">
        <v>0.730175625332624</v>
      </c>
      <c r="AC382" s="135">
        <v>0.667871012141769</v>
      </c>
      <c r="AD382" s="135">
        <v>0.92</v>
      </c>
      <c r="AE382" s="133">
        <v>0.991051454138702</v>
      </c>
      <c r="AF382" s="133">
        <v>0.996102883865939</v>
      </c>
      <c r="AG382" s="133">
        <v>0.996554100620262</v>
      </c>
      <c r="AH382" s="133">
        <v>0.931411280154661</v>
      </c>
      <c r="AI382" s="135">
        <v>0.92</v>
      </c>
      <c r="AJ382" s="133">
        <v>0.725935610393855</v>
      </c>
      <c r="AK382" s="133">
        <v>0.762249632228132</v>
      </c>
      <c r="AL382" s="133">
        <v>0.855866412772814</v>
      </c>
      <c r="AM382" s="133">
        <v>0.816261342469647</v>
      </c>
      <c r="AN382" s="132">
        <v>0.99</v>
      </c>
      <c r="AO382" s="137">
        <v>1</v>
      </c>
      <c r="AP382" s="137">
        <v>1</v>
      </c>
      <c r="AQ382" s="137">
        <v>1</v>
      </c>
      <c r="AR382" s="137">
        <v>1</v>
      </c>
      <c r="AS382" s="158">
        <v>0.05</v>
      </c>
      <c r="AT382" s="141">
        <v>0</v>
      </c>
      <c r="AU382" s="141">
        <v>0.285714285714286</v>
      </c>
      <c r="AV382" s="141">
        <v>0.25531914893617</v>
      </c>
      <c r="AW382" s="141">
        <v>0.1169757489301</v>
      </c>
      <c r="AX382" s="95"/>
      <c r="AY382" s="93"/>
    </row>
    <row r="383" ht="14.5" spans="1:51">
      <c r="A383" s="91"/>
      <c r="B383" s="95"/>
      <c r="C383" s="152" t="s">
        <v>375</v>
      </c>
      <c r="D383" s="153" t="s">
        <v>125</v>
      </c>
      <c r="E383" s="130" t="s">
        <v>376</v>
      </c>
      <c r="F383" s="154" t="s">
        <v>409</v>
      </c>
      <c r="G383" s="154" t="s">
        <v>409</v>
      </c>
      <c r="H383" s="154" t="s">
        <v>409</v>
      </c>
      <c r="I383" s="154" t="s">
        <v>409</v>
      </c>
      <c r="J383" s="132">
        <v>0.9</v>
      </c>
      <c r="K383" s="133" t="s">
        <v>35</v>
      </c>
      <c r="L383" s="133" t="s">
        <v>35</v>
      </c>
      <c r="M383" s="134" t="s">
        <v>35</v>
      </c>
      <c r="N383" s="133" t="s">
        <v>35</v>
      </c>
      <c r="O383" s="135">
        <v>0.9</v>
      </c>
      <c r="P383" s="133" t="s">
        <v>35</v>
      </c>
      <c r="Q383" s="133">
        <v>1</v>
      </c>
      <c r="R383" s="133">
        <v>1</v>
      </c>
      <c r="S383" s="133">
        <v>0.98936170212766</v>
      </c>
      <c r="T383" s="135">
        <v>0.9</v>
      </c>
      <c r="U383" s="133" t="s">
        <v>35</v>
      </c>
      <c r="V383" s="133">
        <v>0.777777777777778</v>
      </c>
      <c r="W383" s="133">
        <v>1</v>
      </c>
      <c r="X383" s="133">
        <v>0.978723404255319</v>
      </c>
      <c r="Y383" s="135">
        <v>0.92</v>
      </c>
      <c r="Z383" s="135" t="s">
        <v>35</v>
      </c>
      <c r="AA383" s="135" t="s">
        <v>35</v>
      </c>
      <c r="AB383" s="135" t="s">
        <v>35</v>
      </c>
      <c r="AC383" s="135">
        <v>1</v>
      </c>
      <c r="AD383" s="135">
        <v>0.92</v>
      </c>
      <c r="AE383" s="133">
        <v>1</v>
      </c>
      <c r="AF383" s="133" t="s">
        <v>35</v>
      </c>
      <c r="AG383" s="133">
        <v>1</v>
      </c>
      <c r="AH383" s="133">
        <v>0.99952741020794</v>
      </c>
      <c r="AI383" s="135">
        <v>0.92</v>
      </c>
      <c r="AJ383" s="133" t="s">
        <v>35</v>
      </c>
      <c r="AK383" s="133">
        <v>0.777777777777778</v>
      </c>
      <c r="AL383" s="133">
        <v>1</v>
      </c>
      <c r="AM383" s="133">
        <v>0.990196078431373</v>
      </c>
      <c r="AN383" s="132">
        <v>0.99</v>
      </c>
      <c r="AO383" s="137">
        <v>1</v>
      </c>
      <c r="AP383" s="137" t="s">
        <v>35</v>
      </c>
      <c r="AQ383" s="137">
        <v>1</v>
      </c>
      <c r="AR383" s="137">
        <v>1</v>
      </c>
      <c r="AS383" s="158">
        <v>0.05</v>
      </c>
      <c r="AT383" s="141" t="s">
        <v>35</v>
      </c>
      <c r="AU383" s="141" t="s">
        <v>35</v>
      </c>
      <c r="AV383" s="141" t="s">
        <v>35</v>
      </c>
      <c r="AW383" s="141" t="s">
        <v>35</v>
      </c>
      <c r="AX383" s="95"/>
      <c r="AY383" s="93"/>
    </row>
    <row r="384" ht="14.5" spans="1:51">
      <c r="A384" s="91"/>
      <c r="B384" s="95"/>
      <c r="C384" s="152" t="s">
        <v>375</v>
      </c>
      <c r="D384" s="153" t="s">
        <v>25</v>
      </c>
      <c r="E384" s="130" t="s">
        <v>376</v>
      </c>
      <c r="F384" s="154" t="s">
        <v>410</v>
      </c>
      <c r="G384" s="154" t="s">
        <v>410</v>
      </c>
      <c r="H384" s="154" t="s">
        <v>410</v>
      </c>
      <c r="I384" s="154" t="s">
        <v>410</v>
      </c>
      <c r="J384" s="132">
        <v>0.9</v>
      </c>
      <c r="K384" s="133">
        <v>1</v>
      </c>
      <c r="L384" s="133">
        <v>1</v>
      </c>
      <c r="M384" s="134">
        <v>1</v>
      </c>
      <c r="N384" s="133">
        <v>0.943238731218698</v>
      </c>
      <c r="O384" s="135">
        <v>0.9</v>
      </c>
      <c r="P384" s="133">
        <v>0.968636236348362</v>
      </c>
      <c r="Q384" s="133">
        <v>0.982440476190476</v>
      </c>
      <c r="R384" s="133">
        <v>0.983551629607067</v>
      </c>
      <c r="S384" s="133">
        <v>0.974997958683759</v>
      </c>
      <c r="T384" s="135">
        <v>0.9</v>
      </c>
      <c r="U384" s="133">
        <v>0.77793335200224</v>
      </c>
      <c r="V384" s="133">
        <v>0.895535714285714</v>
      </c>
      <c r="W384" s="133">
        <v>0.877246420956442</v>
      </c>
      <c r="X384" s="133">
        <v>0.856928227320977</v>
      </c>
      <c r="Y384" s="135">
        <v>0.92</v>
      </c>
      <c r="Z384" s="135" t="s">
        <v>35</v>
      </c>
      <c r="AA384" s="135" t="s">
        <v>35</v>
      </c>
      <c r="AB384" s="135" t="s">
        <v>35</v>
      </c>
      <c r="AC384" s="135">
        <v>0.25</v>
      </c>
      <c r="AD384" s="135">
        <v>0.92</v>
      </c>
      <c r="AE384" s="133">
        <v>0.996272828922848</v>
      </c>
      <c r="AF384" s="133">
        <v>0.990773405698779</v>
      </c>
      <c r="AG384" s="133">
        <v>0.996862334945744</v>
      </c>
      <c r="AH384" s="133">
        <v>0.957494707492126</v>
      </c>
      <c r="AI384" s="135">
        <v>0.92</v>
      </c>
      <c r="AJ384" s="133">
        <v>0.922732362821948</v>
      </c>
      <c r="AK384" s="133">
        <v>0.966706302021403</v>
      </c>
      <c r="AL384" s="133">
        <v>0.963785757760195</v>
      </c>
      <c r="AM384" s="133">
        <v>0.954337899543379</v>
      </c>
      <c r="AN384" s="132">
        <v>0.99</v>
      </c>
      <c r="AO384" s="137">
        <v>1</v>
      </c>
      <c r="AP384" s="137">
        <v>1</v>
      </c>
      <c r="AQ384" s="137">
        <v>1</v>
      </c>
      <c r="AR384" s="137">
        <v>1</v>
      </c>
      <c r="AS384" s="158">
        <v>0.05</v>
      </c>
      <c r="AT384" s="141">
        <v>0.2</v>
      </c>
      <c r="AU384" s="141">
        <v>0</v>
      </c>
      <c r="AV384" s="141">
        <v>0</v>
      </c>
      <c r="AW384" s="141">
        <v>0.0419847328244275</v>
      </c>
      <c r="AX384" s="95"/>
      <c r="AY384" s="93"/>
    </row>
    <row r="385" ht="14.5" spans="1:51">
      <c r="A385" s="91"/>
      <c r="B385" s="95"/>
      <c r="C385" s="152" t="s">
        <v>375</v>
      </c>
      <c r="D385" s="153" t="s">
        <v>25</v>
      </c>
      <c r="E385" s="130" t="s">
        <v>376</v>
      </c>
      <c r="F385" s="154" t="s">
        <v>411</v>
      </c>
      <c r="G385" s="154" t="s">
        <v>411</v>
      </c>
      <c r="H385" s="154" t="s">
        <v>411</v>
      </c>
      <c r="I385" s="154" t="s">
        <v>411</v>
      </c>
      <c r="J385" s="132">
        <v>0.9</v>
      </c>
      <c r="K385" s="133">
        <v>0.857142857142857</v>
      </c>
      <c r="L385" s="133">
        <v>0.793103448275862</v>
      </c>
      <c r="M385" s="134">
        <v>0.9</v>
      </c>
      <c r="N385" s="133">
        <v>0.891089108910891</v>
      </c>
      <c r="O385" s="135">
        <v>0.9</v>
      </c>
      <c r="P385" s="133">
        <v>1</v>
      </c>
      <c r="Q385" s="133" t="s">
        <v>35</v>
      </c>
      <c r="R385" s="133" t="s">
        <v>35</v>
      </c>
      <c r="S385" s="133">
        <v>0.333333333333333</v>
      </c>
      <c r="T385" s="135">
        <v>0.9</v>
      </c>
      <c r="U385" s="133">
        <v>0</v>
      </c>
      <c r="V385" s="133" t="s">
        <v>35</v>
      </c>
      <c r="W385" s="133" t="s">
        <v>35</v>
      </c>
      <c r="X385" s="133">
        <v>0</v>
      </c>
      <c r="Y385" s="135">
        <v>0.92</v>
      </c>
      <c r="Z385" s="135" t="s">
        <v>35</v>
      </c>
      <c r="AA385" s="135" t="s">
        <v>35</v>
      </c>
      <c r="AB385" s="135" t="s">
        <v>35</v>
      </c>
      <c r="AC385" s="135">
        <v>1</v>
      </c>
      <c r="AD385" s="135">
        <v>0.92</v>
      </c>
      <c r="AE385" s="133">
        <v>0.997571636716853</v>
      </c>
      <c r="AF385" s="133">
        <v>0.998375964271214</v>
      </c>
      <c r="AG385" s="133">
        <v>0.999352890422778</v>
      </c>
      <c r="AH385" s="133">
        <v>0.996082250101907</v>
      </c>
      <c r="AI385" s="135">
        <v>0.92</v>
      </c>
      <c r="AJ385" s="133">
        <v>0.922445255474453</v>
      </c>
      <c r="AK385" s="133">
        <v>0.953984962406015</v>
      </c>
      <c r="AL385" s="133">
        <v>0.950568850529619</v>
      </c>
      <c r="AM385" s="133">
        <v>0.967163907585956</v>
      </c>
      <c r="AN385" s="132">
        <v>0.99</v>
      </c>
      <c r="AO385" s="137">
        <v>1</v>
      </c>
      <c r="AP385" s="137">
        <v>1</v>
      </c>
      <c r="AQ385" s="137">
        <v>1</v>
      </c>
      <c r="AR385" s="137">
        <v>1</v>
      </c>
      <c r="AS385" s="158">
        <v>0.05</v>
      </c>
      <c r="AT385" s="141">
        <v>0</v>
      </c>
      <c r="AU385" s="141">
        <v>0.1</v>
      </c>
      <c r="AV385" s="141">
        <v>0.142857142857143</v>
      </c>
      <c r="AW385" s="141">
        <v>0.0612244897959184</v>
      </c>
      <c r="AX385" s="95"/>
      <c r="AY385" s="93"/>
    </row>
    <row r="386" ht="14.5" spans="1:51">
      <c r="A386" s="91"/>
      <c r="B386" s="95"/>
      <c r="C386" s="152" t="s">
        <v>375</v>
      </c>
      <c r="D386" s="153" t="s">
        <v>25</v>
      </c>
      <c r="E386" s="130" t="s">
        <v>376</v>
      </c>
      <c r="F386" s="154" t="s">
        <v>412</v>
      </c>
      <c r="G386" s="154" t="s">
        <v>412</v>
      </c>
      <c r="H386" s="154" t="s">
        <v>412</v>
      </c>
      <c r="I386" s="154" t="s">
        <v>412</v>
      </c>
      <c r="J386" s="132">
        <v>0.9</v>
      </c>
      <c r="K386" s="133">
        <v>0.916666666666667</v>
      </c>
      <c r="L386" s="133">
        <v>0.91304347826087</v>
      </c>
      <c r="M386" s="134">
        <v>0.76</v>
      </c>
      <c r="N386" s="133">
        <v>0.889140271493213</v>
      </c>
      <c r="O386" s="135">
        <v>0.9</v>
      </c>
      <c r="P386" s="133">
        <v>0</v>
      </c>
      <c r="Q386" s="133" t="s">
        <v>35</v>
      </c>
      <c r="R386" s="133" t="s">
        <v>35</v>
      </c>
      <c r="S386" s="133">
        <v>0.285714285714286</v>
      </c>
      <c r="T386" s="135">
        <v>0.9</v>
      </c>
      <c r="U386" s="133">
        <v>0</v>
      </c>
      <c r="V386" s="133" t="s">
        <v>35</v>
      </c>
      <c r="W386" s="133" t="s">
        <v>35</v>
      </c>
      <c r="X386" s="133">
        <v>0.285714285714286</v>
      </c>
      <c r="Y386" s="135">
        <v>0.92</v>
      </c>
      <c r="Z386" s="135" t="s">
        <v>35</v>
      </c>
      <c r="AA386" s="135" t="s">
        <v>35</v>
      </c>
      <c r="AB386" s="135">
        <v>1</v>
      </c>
      <c r="AC386" s="135">
        <v>0.5</v>
      </c>
      <c r="AD386" s="135">
        <v>0.92</v>
      </c>
      <c r="AE386" s="133">
        <v>0.969387755102041</v>
      </c>
      <c r="AF386" s="133">
        <v>0.967213114754098</v>
      </c>
      <c r="AG386" s="133">
        <v>1</v>
      </c>
      <c r="AH386" s="133">
        <v>0.985553772070626</v>
      </c>
      <c r="AI386" s="135">
        <v>0.92</v>
      </c>
      <c r="AJ386" s="133">
        <v>0.821173671689136</v>
      </c>
      <c r="AK386" s="133">
        <v>0.835806606031594</v>
      </c>
      <c r="AL386" s="133">
        <v>0.876807980049875</v>
      </c>
      <c r="AM386" s="133">
        <v>0.891966006225604</v>
      </c>
      <c r="AN386" s="132">
        <v>0.99</v>
      </c>
      <c r="AO386" s="137">
        <v>1</v>
      </c>
      <c r="AP386" s="137">
        <v>1</v>
      </c>
      <c r="AQ386" s="137">
        <v>1</v>
      </c>
      <c r="AR386" s="137">
        <v>1</v>
      </c>
      <c r="AS386" s="158">
        <v>0.05</v>
      </c>
      <c r="AT386" s="141">
        <v>0</v>
      </c>
      <c r="AU386" s="141">
        <v>0.666666666666667</v>
      </c>
      <c r="AV386" s="141">
        <v>0.125</v>
      </c>
      <c r="AW386" s="141">
        <v>0.126050420168067</v>
      </c>
      <c r="AX386" s="95"/>
      <c r="AY386" s="93"/>
    </row>
    <row r="387" ht="14.5" spans="1:51">
      <c r="A387" s="91"/>
      <c r="B387" s="95"/>
      <c r="C387" s="152" t="s">
        <v>375</v>
      </c>
      <c r="D387" s="153" t="s">
        <v>25</v>
      </c>
      <c r="E387" s="130" t="s">
        <v>376</v>
      </c>
      <c r="F387" s="154" t="s">
        <v>413</v>
      </c>
      <c r="G387" s="154" t="s">
        <v>413</v>
      </c>
      <c r="H387" s="154" t="s">
        <v>413</v>
      </c>
      <c r="I387" s="154" t="s">
        <v>413</v>
      </c>
      <c r="J387" s="132">
        <v>0.9</v>
      </c>
      <c r="K387" s="133">
        <v>0.810810810810811</v>
      </c>
      <c r="L387" s="133">
        <v>0.96875</v>
      </c>
      <c r="M387" s="134">
        <v>0.904761904761905</v>
      </c>
      <c r="N387" s="133">
        <v>0.911676646706587</v>
      </c>
      <c r="O387" s="135">
        <v>0.9</v>
      </c>
      <c r="P387" s="133">
        <v>1</v>
      </c>
      <c r="Q387" s="133" t="s">
        <v>35</v>
      </c>
      <c r="R387" s="133" t="s">
        <v>35</v>
      </c>
      <c r="S387" s="133">
        <v>0.315789473684211</v>
      </c>
      <c r="T387" s="135">
        <v>0.9</v>
      </c>
      <c r="U387" s="133">
        <v>1</v>
      </c>
      <c r="V387" s="133" t="s">
        <v>35</v>
      </c>
      <c r="W387" s="133" t="s">
        <v>35</v>
      </c>
      <c r="X387" s="133">
        <v>0.315789473684211</v>
      </c>
      <c r="Y387" s="135">
        <v>0.92</v>
      </c>
      <c r="Z387" s="135" t="s">
        <v>35</v>
      </c>
      <c r="AA387" s="135" t="s">
        <v>35</v>
      </c>
      <c r="AB387" s="135" t="s">
        <v>35</v>
      </c>
      <c r="AC387" s="135" t="s">
        <v>35</v>
      </c>
      <c r="AD387" s="135">
        <v>0.92</v>
      </c>
      <c r="AE387" s="133">
        <v>0.989341692789969</v>
      </c>
      <c r="AF387" s="133">
        <v>0.996876951905059</v>
      </c>
      <c r="AG387" s="133">
        <v>0.999276410998553</v>
      </c>
      <c r="AH387" s="133">
        <v>0.995924220695902</v>
      </c>
      <c r="AI387" s="135">
        <v>0.92</v>
      </c>
      <c r="AJ387" s="133">
        <v>0.881272633212623</v>
      </c>
      <c r="AK387" s="133">
        <v>0.900653923541248</v>
      </c>
      <c r="AL387" s="133">
        <v>0.960526315789474</v>
      </c>
      <c r="AM387" s="133">
        <v>0.930446777530845</v>
      </c>
      <c r="AN387" s="132">
        <v>0.99</v>
      </c>
      <c r="AO387" s="137">
        <v>1</v>
      </c>
      <c r="AP387" s="137">
        <v>1</v>
      </c>
      <c r="AQ387" s="137">
        <v>1</v>
      </c>
      <c r="AR387" s="137">
        <v>1</v>
      </c>
      <c r="AS387" s="158">
        <v>0.05</v>
      </c>
      <c r="AT387" s="141">
        <v>0</v>
      </c>
      <c r="AU387" s="141">
        <v>0</v>
      </c>
      <c r="AV387" s="141">
        <v>0</v>
      </c>
      <c r="AW387" s="141">
        <v>0.0622568093385214</v>
      </c>
      <c r="AX387" s="95"/>
      <c r="AY387" s="93"/>
    </row>
    <row r="388" ht="14.5" spans="1:51">
      <c r="A388" s="91"/>
      <c r="B388" s="95"/>
      <c r="C388" s="152" t="s">
        <v>375</v>
      </c>
      <c r="D388" s="153" t="s">
        <v>25</v>
      </c>
      <c r="E388" s="130" t="s">
        <v>376</v>
      </c>
      <c r="F388" s="154" t="s">
        <v>414</v>
      </c>
      <c r="G388" s="154" t="s">
        <v>414</v>
      </c>
      <c r="H388" s="154" t="s">
        <v>414</v>
      </c>
      <c r="I388" s="154" t="s">
        <v>414</v>
      </c>
      <c r="J388" s="132">
        <v>0.9</v>
      </c>
      <c r="K388" s="133">
        <v>0.983333333333333</v>
      </c>
      <c r="L388" s="133">
        <v>1</v>
      </c>
      <c r="M388" s="134">
        <v>0.950819672131147</v>
      </c>
      <c r="N388" s="133">
        <v>0.973293768545994</v>
      </c>
      <c r="O388" s="135">
        <v>0.9</v>
      </c>
      <c r="P388" s="133">
        <v>0.25</v>
      </c>
      <c r="Q388" s="133">
        <v>0</v>
      </c>
      <c r="R388" s="133">
        <v>0</v>
      </c>
      <c r="S388" s="133">
        <v>0.463414634146341</v>
      </c>
      <c r="T388" s="135">
        <v>0.9</v>
      </c>
      <c r="U388" s="133">
        <v>0.25</v>
      </c>
      <c r="V388" s="133">
        <v>0</v>
      </c>
      <c r="W388" s="133">
        <v>0.333333333333333</v>
      </c>
      <c r="X388" s="133">
        <v>0.414634146341463</v>
      </c>
      <c r="Y388" s="135">
        <v>0.92</v>
      </c>
      <c r="Z388" s="135" t="s">
        <v>35</v>
      </c>
      <c r="AA388" s="135">
        <v>0</v>
      </c>
      <c r="AB388" s="135" t="s">
        <v>35</v>
      </c>
      <c r="AC388" s="135">
        <v>0.571428571428571</v>
      </c>
      <c r="AD388" s="135">
        <v>0.92</v>
      </c>
      <c r="AE388" s="133">
        <v>0.987778576563623</v>
      </c>
      <c r="AF388" s="133">
        <v>0.992484526967286</v>
      </c>
      <c r="AG388" s="133">
        <v>0.996411092985318</v>
      </c>
      <c r="AH388" s="133">
        <v>0.994808170428509</v>
      </c>
      <c r="AI388" s="135">
        <v>0.92</v>
      </c>
      <c r="AJ388" s="133">
        <v>0.93756040982022</v>
      </c>
      <c r="AK388" s="133">
        <v>0.951255268462525</v>
      </c>
      <c r="AL388" s="133">
        <v>0.943201754385965</v>
      </c>
      <c r="AM388" s="133">
        <v>0.951937984496124</v>
      </c>
      <c r="AN388" s="132">
        <v>0.99</v>
      </c>
      <c r="AO388" s="137">
        <v>1</v>
      </c>
      <c r="AP388" s="137">
        <v>1</v>
      </c>
      <c r="AQ388" s="137">
        <v>1</v>
      </c>
      <c r="AR388" s="137">
        <v>1</v>
      </c>
      <c r="AS388" s="158">
        <v>0.05</v>
      </c>
      <c r="AT388" s="141">
        <v>0.0714285714285714</v>
      </c>
      <c r="AU388" s="141">
        <v>0.0769230769230769</v>
      </c>
      <c r="AV388" s="141">
        <v>0.0625</v>
      </c>
      <c r="AW388" s="141">
        <v>0.0662650602409639</v>
      </c>
      <c r="AX388" s="95"/>
      <c r="AY388" s="93"/>
    </row>
    <row r="389" ht="14.5" spans="1:51">
      <c r="A389" s="91"/>
      <c r="B389" s="95"/>
      <c r="C389" s="152" t="s">
        <v>375</v>
      </c>
      <c r="D389" s="153" t="s">
        <v>25</v>
      </c>
      <c r="E389" s="130" t="s">
        <v>376</v>
      </c>
      <c r="F389" s="154" t="s">
        <v>415</v>
      </c>
      <c r="G389" s="154" t="s">
        <v>415</v>
      </c>
      <c r="H389" s="154" t="s">
        <v>415</v>
      </c>
      <c r="I389" s="154" t="s">
        <v>415</v>
      </c>
      <c r="J389" s="132">
        <v>0.9</v>
      </c>
      <c r="K389" s="133">
        <v>0.902439024390244</v>
      </c>
      <c r="L389" s="133">
        <v>0.91304347826087</v>
      </c>
      <c r="M389" s="134">
        <v>0.851063829787234</v>
      </c>
      <c r="N389" s="133">
        <v>0.920103092783505</v>
      </c>
      <c r="O389" s="135">
        <v>0.9</v>
      </c>
      <c r="P389" s="133" t="s">
        <v>35</v>
      </c>
      <c r="Q389" s="133" t="s">
        <v>35</v>
      </c>
      <c r="R389" s="133">
        <v>0</v>
      </c>
      <c r="S389" s="133">
        <v>0.25</v>
      </c>
      <c r="T389" s="135">
        <v>0.9</v>
      </c>
      <c r="U389" s="133" t="s">
        <v>35</v>
      </c>
      <c r="V389" s="133" t="s">
        <v>35</v>
      </c>
      <c r="W389" s="133">
        <v>0</v>
      </c>
      <c r="X389" s="133">
        <v>0.25</v>
      </c>
      <c r="Y389" s="135">
        <v>0.92</v>
      </c>
      <c r="Z389" s="135" t="s">
        <v>35</v>
      </c>
      <c r="AA389" s="135" t="s">
        <v>35</v>
      </c>
      <c r="AB389" s="135" t="s">
        <v>35</v>
      </c>
      <c r="AC389" s="135">
        <v>0.5</v>
      </c>
      <c r="AD389" s="135">
        <v>0.92</v>
      </c>
      <c r="AE389" s="133">
        <v>0.984615384615385</v>
      </c>
      <c r="AF389" s="133">
        <v>0.961538461538462</v>
      </c>
      <c r="AG389" s="133">
        <v>0.965909090909091</v>
      </c>
      <c r="AH389" s="133">
        <v>0.984848484848485</v>
      </c>
      <c r="AI389" s="135">
        <v>0.92</v>
      </c>
      <c r="AJ389" s="133">
        <v>0.787431693989071</v>
      </c>
      <c r="AK389" s="133">
        <v>0.880880121396055</v>
      </c>
      <c r="AL389" s="133">
        <v>0.923297902901465</v>
      </c>
      <c r="AM389" s="133">
        <v>0.918057384328015</v>
      </c>
      <c r="AN389" s="132">
        <v>0.99</v>
      </c>
      <c r="AO389" s="137">
        <v>1</v>
      </c>
      <c r="AP389" s="137">
        <v>1</v>
      </c>
      <c r="AQ389" s="137">
        <v>1</v>
      </c>
      <c r="AR389" s="137">
        <v>1</v>
      </c>
      <c r="AS389" s="158">
        <v>0.05</v>
      </c>
      <c r="AT389" s="141">
        <v>0</v>
      </c>
      <c r="AU389" s="141">
        <v>0.0555555555555556</v>
      </c>
      <c r="AV389" s="141">
        <v>0.111111111111111</v>
      </c>
      <c r="AW389" s="141">
        <v>0.032258064516129</v>
      </c>
      <c r="AX389" s="95"/>
      <c r="AY389" s="93"/>
    </row>
    <row r="390" ht="14.5" spans="1:51">
      <c r="A390" s="91"/>
      <c r="B390" s="95"/>
      <c r="C390" s="152" t="s">
        <v>375</v>
      </c>
      <c r="D390" s="153" t="s">
        <v>25</v>
      </c>
      <c r="E390" s="130" t="s">
        <v>376</v>
      </c>
      <c r="F390" s="154" t="s">
        <v>416</v>
      </c>
      <c r="G390" s="154" t="s">
        <v>416</v>
      </c>
      <c r="H390" s="154" t="s">
        <v>416</v>
      </c>
      <c r="I390" s="154" t="s">
        <v>416</v>
      </c>
      <c r="J390" s="132">
        <v>0.9</v>
      </c>
      <c r="K390" s="133">
        <v>0.928571428571429</v>
      </c>
      <c r="L390" s="133">
        <v>0.948717948717949</v>
      </c>
      <c r="M390" s="134">
        <v>0.951219512195122</v>
      </c>
      <c r="N390" s="133">
        <v>0.954802259887006</v>
      </c>
      <c r="O390" s="135">
        <v>0.9</v>
      </c>
      <c r="P390" s="133">
        <v>1</v>
      </c>
      <c r="Q390" s="133" t="s">
        <v>35</v>
      </c>
      <c r="R390" s="133">
        <v>1</v>
      </c>
      <c r="S390" s="133">
        <v>0.538461538461538</v>
      </c>
      <c r="T390" s="135">
        <v>0.9</v>
      </c>
      <c r="U390" s="133">
        <v>0</v>
      </c>
      <c r="V390" s="133" t="s">
        <v>35</v>
      </c>
      <c r="W390" s="133">
        <v>1</v>
      </c>
      <c r="X390" s="133">
        <v>0.538461538461538</v>
      </c>
      <c r="Y390" s="135">
        <v>0.92</v>
      </c>
      <c r="Z390" s="135">
        <v>0</v>
      </c>
      <c r="AA390" s="135" t="s">
        <v>35</v>
      </c>
      <c r="AB390" s="135" t="s">
        <v>35</v>
      </c>
      <c r="AC390" s="135">
        <v>0.857142857142857</v>
      </c>
      <c r="AD390" s="135">
        <v>0.92</v>
      </c>
      <c r="AE390" s="133">
        <v>0.996646545942321</v>
      </c>
      <c r="AF390" s="133">
        <v>0.997936624907885</v>
      </c>
      <c r="AG390" s="133">
        <v>0.998366606170599</v>
      </c>
      <c r="AH390" s="133">
        <v>0.998407942488158</v>
      </c>
      <c r="AI390" s="135">
        <v>0.92</v>
      </c>
      <c r="AJ390" s="133">
        <v>0.938474504846186</v>
      </c>
      <c r="AK390" s="133">
        <v>0.928997736159704</v>
      </c>
      <c r="AL390" s="133">
        <v>0.935038876348131</v>
      </c>
      <c r="AM390" s="133">
        <v>0.944021827966453</v>
      </c>
      <c r="AN390" s="132">
        <v>0.99</v>
      </c>
      <c r="AO390" s="137">
        <v>1</v>
      </c>
      <c r="AP390" s="137">
        <v>1</v>
      </c>
      <c r="AQ390" s="137">
        <v>1</v>
      </c>
      <c r="AR390" s="137">
        <v>1</v>
      </c>
      <c r="AS390" s="158">
        <v>0.05</v>
      </c>
      <c r="AT390" s="141">
        <v>0.111111111111111</v>
      </c>
      <c r="AU390" s="141">
        <v>0.111111111111111</v>
      </c>
      <c r="AV390" s="141">
        <v>0</v>
      </c>
      <c r="AW390" s="141">
        <v>0.05</v>
      </c>
      <c r="AX390" s="95"/>
      <c r="AY390" s="93"/>
    </row>
    <row r="391" ht="14.5" spans="1:51">
      <c r="A391" s="91"/>
      <c r="B391" s="95"/>
      <c r="C391" s="152" t="s">
        <v>375</v>
      </c>
      <c r="D391" s="153" t="s">
        <v>25</v>
      </c>
      <c r="E391" s="130" t="s">
        <v>376</v>
      </c>
      <c r="F391" s="154" t="s">
        <v>417</v>
      </c>
      <c r="G391" s="154" t="s">
        <v>417</v>
      </c>
      <c r="H391" s="154" t="s">
        <v>417</v>
      </c>
      <c r="I391" s="154" t="s">
        <v>417</v>
      </c>
      <c r="J391" s="132">
        <v>0.9</v>
      </c>
      <c r="K391" s="133">
        <v>0.825</v>
      </c>
      <c r="L391" s="133">
        <v>0.951219512195122</v>
      </c>
      <c r="M391" s="134">
        <v>0.904761904761905</v>
      </c>
      <c r="N391" s="133">
        <v>0.930517711171662</v>
      </c>
      <c r="O391" s="135">
        <v>0.9</v>
      </c>
      <c r="P391" s="133">
        <v>0.934429777104523</v>
      </c>
      <c r="Q391" s="133">
        <v>0.96032311712996</v>
      </c>
      <c r="R391" s="133">
        <v>0.968203497615262</v>
      </c>
      <c r="S391" s="133">
        <v>0.952283608585723</v>
      </c>
      <c r="T391" s="135">
        <v>0.9</v>
      </c>
      <c r="U391" s="133">
        <v>0.840727115342999</v>
      </c>
      <c r="V391" s="133">
        <v>0.838441435020195</v>
      </c>
      <c r="W391" s="133">
        <v>0.911499735029147</v>
      </c>
      <c r="X391" s="133">
        <v>0.874186346764215</v>
      </c>
      <c r="Y391" s="135">
        <v>0.92</v>
      </c>
      <c r="Z391" s="135">
        <v>0</v>
      </c>
      <c r="AA391" s="135" t="s">
        <v>35</v>
      </c>
      <c r="AB391" s="135" t="s">
        <v>35</v>
      </c>
      <c r="AC391" s="135">
        <v>0.833333333333333</v>
      </c>
      <c r="AD391" s="135">
        <v>0.92</v>
      </c>
      <c r="AE391" s="133">
        <v>0.99829989799388</v>
      </c>
      <c r="AF391" s="133">
        <v>0.999206349206349</v>
      </c>
      <c r="AG391" s="133">
        <v>0.998841922408801</v>
      </c>
      <c r="AH391" s="133">
        <v>0.988570072850085</v>
      </c>
      <c r="AI391" s="135">
        <v>0.92</v>
      </c>
      <c r="AJ391" s="133">
        <v>0.90914990266061</v>
      </c>
      <c r="AK391" s="133">
        <v>0.935376574008078</v>
      </c>
      <c r="AL391" s="133">
        <v>0.965553789083201</v>
      </c>
      <c r="AM391" s="133">
        <v>0.962851419121503</v>
      </c>
      <c r="AN391" s="132">
        <v>0.99</v>
      </c>
      <c r="AO391" s="137">
        <v>1</v>
      </c>
      <c r="AP391" s="137">
        <v>1</v>
      </c>
      <c r="AQ391" s="137">
        <v>1</v>
      </c>
      <c r="AR391" s="137">
        <v>1</v>
      </c>
      <c r="AS391" s="158">
        <v>0.05</v>
      </c>
      <c r="AT391" s="141">
        <v>0.0666666666666667</v>
      </c>
      <c r="AU391" s="141">
        <v>0.0416666666666667</v>
      </c>
      <c r="AV391" s="141">
        <v>0.1</v>
      </c>
      <c r="AW391" s="141">
        <v>0.0621468926553672</v>
      </c>
      <c r="AX391" s="95"/>
      <c r="AY391" s="93"/>
    </row>
    <row r="392" ht="14.5" spans="1:51">
      <c r="A392" s="91"/>
      <c r="B392" s="95"/>
      <c r="C392" s="152" t="s">
        <v>375</v>
      </c>
      <c r="D392" s="153" t="s">
        <v>25</v>
      </c>
      <c r="E392" s="130" t="s">
        <v>376</v>
      </c>
      <c r="F392" s="154" t="s">
        <v>418</v>
      </c>
      <c r="G392" s="154" t="s">
        <v>418</v>
      </c>
      <c r="H392" s="154" t="s">
        <v>418</v>
      </c>
      <c r="I392" s="154" t="s">
        <v>418</v>
      </c>
      <c r="J392" s="132">
        <v>0.9</v>
      </c>
      <c r="K392" s="133">
        <v>0.945945945945946</v>
      </c>
      <c r="L392" s="133">
        <v>0.9</v>
      </c>
      <c r="M392" s="134">
        <v>0.897435897435897</v>
      </c>
      <c r="N392" s="133">
        <v>0.939042089985486</v>
      </c>
      <c r="O392" s="135">
        <v>0.9</v>
      </c>
      <c r="P392" s="133">
        <v>0</v>
      </c>
      <c r="Q392" s="133">
        <v>0</v>
      </c>
      <c r="R392" s="133" t="s">
        <v>35</v>
      </c>
      <c r="S392" s="133">
        <v>0</v>
      </c>
      <c r="T392" s="135">
        <v>0.9</v>
      </c>
      <c r="U392" s="133">
        <v>0</v>
      </c>
      <c r="V392" s="133">
        <v>0</v>
      </c>
      <c r="W392" s="133" t="s">
        <v>35</v>
      </c>
      <c r="X392" s="133">
        <v>0</v>
      </c>
      <c r="Y392" s="135">
        <v>0.92</v>
      </c>
      <c r="Z392" s="135" t="s">
        <v>35</v>
      </c>
      <c r="AA392" s="135">
        <v>0</v>
      </c>
      <c r="AB392" s="135" t="s">
        <v>35</v>
      </c>
      <c r="AC392" s="135">
        <v>0.333333333333333</v>
      </c>
      <c r="AD392" s="135">
        <v>0.92</v>
      </c>
      <c r="AE392" s="133">
        <v>1</v>
      </c>
      <c r="AF392" s="133">
        <v>1</v>
      </c>
      <c r="AG392" s="133">
        <v>0.972972972972973</v>
      </c>
      <c r="AH392" s="133">
        <v>0.983078162771958</v>
      </c>
      <c r="AI392" s="135">
        <v>0.92</v>
      </c>
      <c r="AJ392" s="133">
        <v>0.857222687901648</v>
      </c>
      <c r="AK392" s="133">
        <v>0.922772799156563</v>
      </c>
      <c r="AL392" s="133">
        <v>0.896494708994709</v>
      </c>
      <c r="AM392" s="133">
        <v>0.918788158046308</v>
      </c>
      <c r="AN392" s="132">
        <v>0.99</v>
      </c>
      <c r="AO392" s="137">
        <v>1</v>
      </c>
      <c r="AP392" s="137">
        <v>1</v>
      </c>
      <c r="AQ392" s="137">
        <v>1</v>
      </c>
      <c r="AR392" s="137">
        <v>1</v>
      </c>
      <c r="AS392" s="158">
        <v>0.05</v>
      </c>
      <c r="AT392" s="141">
        <v>0.125</v>
      </c>
      <c r="AU392" s="141">
        <v>0</v>
      </c>
      <c r="AV392" s="141">
        <v>0</v>
      </c>
      <c r="AW392" s="141">
        <v>0.0569620253164557</v>
      </c>
      <c r="AX392" s="95"/>
      <c r="AY392" s="93"/>
    </row>
    <row r="393" ht="14.5" spans="1:51">
      <c r="A393" s="91"/>
      <c r="B393" s="95"/>
      <c r="C393" s="152" t="s">
        <v>375</v>
      </c>
      <c r="D393" s="153" t="s">
        <v>25</v>
      </c>
      <c r="E393" s="130" t="s">
        <v>376</v>
      </c>
      <c r="F393" s="154" t="s">
        <v>419</v>
      </c>
      <c r="G393" s="154" t="s">
        <v>419</v>
      </c>
      <c r="H393" s="154" t="s">
        <v>419</v>
      </c>
      <c r="I393" s="154" t="s">
        <v>419</v>
      </c>
      <c r="J393" s="132">
        <v>0.9</v>
      </c>
      <c r="K393" s="133">
        <v>1</v>
      </c>
      <c r="L393" s="133">
        <v>1</v>
      </c>
      <c r="M393" s="134">
        <v>1</v>
      </c>
      <c r="N393" s="133">
        <v>0.974043715846995</v>
      </c>
      <c r="O393" s="135">
        <v>0.9</v>
      </c>
      <c r="P393" s="133" t="s">
        <v>35</v>
      </c>
      <c r="Q393" s="133" t="s">
        <v>35</v>
      </c>
      <c r="R393" s="133">
        <v>0</v>
      </c>
      <c r="S393" s="133">
        <v>0.145454545454545</v>
      </c>
      <c r="T393" s="135">
        <v>0.9</v>
      </c>
      <c r="U393" s="133" t="s">
        <v>35</v>
      </c>
      <c r="V393" s="133" t="s">
        <v>35</v>
      </c>
      <c r="W393" s="133">
        <v>0</v>
      </c>
      <c r="X393" s="133">
        <v>0.163636363636364</v>
      </c>
      <c r="Y393" s="135">
        <v>0.92</v>
      </c>
      <c r="Z393" s="135" t="s">
        <v>35</v>
      </c>
      <c r="AA393" s="135" t="s">
        <v>35</v>
      </c>
      <c r="AB393" s="135" t="s">
        <v>35</v>
      </c>
      <c r="AC393" s="135">
        <v>1</v>
      </c>
      <c r="AD393" s="135">
        <v>0.92</v>
      </c>
      <c r="AE393" s="133">
        <v>1</v>
      </c>
      <c r="AF393" s="133">
        <v>0.998282377189969</v>
      </c>
      <c r="AG393" s="133">
        <v>0.998830295350424</v>
      </c>
      <c r="AH393" s="133">
        <v>0.972085989394897</v>
      </c>
      <c r="AI393" s="135">
        <v>0.92</v>
      </c>
      <c r="AJ393" s="133">
        <v>0.921214608124744</v>
      </c>
      <c r="AK393" s="133">
        <v>0.967690146498093</v>
      </c>
      <c r="AL393" s="133">
        <v>0.971601489757914</v>
      </c>
      <c r="AM393" s="133">
        <v>0.966764890584996</v>
      </c>
      <c r="AN393" s="132">
        <v>0.99</v>
      </c>
      <c r="AO393" s="137">
        <v>1</v>
      </c>
      <c r="AP393" s="137">
        <v>1</v>
      </c>
      <c r="AQ393" s="137">
        <v>1</v>
      </c>
      <c r="AR393" s="137">
        <v>1</v>
      </c>
      <c r="AS393" s="158">
        <v>0.05</v>
      </c>
      <c r="AT393" s="141">
        <v>0</v>
      </c>
      <c r="AU393" s="141">
        <v>0</v>
      </c>
      <c r="AV393" s="141">
        <v>0.166666666666667</v>
      </c>
      <c r="AW393" s="141">
        <v>0.0734265734265734</v>
      </c>
      <c r="AX393" s="95"/>
      <c r="AY393" s="93"/>
    </row>
    <row r="394" ht="14.5" spans="1:51">
      <c r="A394" s="91"/>
      <c r="B394" s="95"/>
      <c r="C394" s="152" t="s">
        <v>375</v>
      </c>
      <c r="D394" s="153" t="s">
        <v>25</v>
      </c>
      <c r="E394" s="130" t="s">
        <v>376</v>
      </c>
      <c r="F394" s="154" t="s">
        <v>420</v>
      </c>
      <c r="G394" s="154" t="s">
        <v>420</v>
      </c>
      <c r="H394" s="154" t="s">
        <v>420</v>
      </c>
      <c r="I394" s="154" t="s">
        <v>420</v>
      </c>
      <c r="J394" s="132">
        <v>0.9</v>
      </c>
      <c r="K394" s="133">
        <v>0.972222222222222</v>
      </c>
      <c r="L394" s="133">
        <v>1</v>
      </c>
      <c r="M394" s="134">
        <v>0.972972972972973</v>
      </c>
      <c r="N394" s="133">
        <v>0.967889908256881</v>
      </c>
      <c r="O394" s="135">
        <v>0.9</v>
      </c>
      <c r="P394" s="133">
        <v>0.884420900553817</v>
      </c>
      <c r="Q394" s="133">
        <v>0.981949458483754</v>
      </c>
      <c r="R394" s="133">
        <v>0.984619934930494</v>
      </c>
      <c r="S394" s="133">
        <v>0.958818094984576</v>
      </c>
      <c r="T394" s="135">
        <v>0.9</v>
      </c>
      <c r="U394" s="133">
        <v>0.866602456055863</v>
      </c>
      <c r="V394" s="133">
        <v>0.91113579561233</v>
      </c>
      <c r="W394" s="133">
        <v>0.925761608991423</v>
      </c>
      <c r="X394" s="133">
        <v>0.907082348151512</v>
      </c>
      <c r="Y394" s="135">
        <v>0.92</v>
      </c>
      <c r="Z394" s="135" t="s">
        <v>35</v>
      </c>
      <c r="AA394" s="135" t="s">
        <v>35</v>
      </c>
      <c r="AB394" s="135">
        <v>1</v>
      </c>
      <c r="AC394" s="135">
        <v>1</v>
      </c>
      <c r="AD394" s="135">
        <v>0.92</v>
      </c>
      <c r="AE394" s="133">
        <v>0.998873450995118</v>
      </c>
      <c r="AF394" s="133">
        <v>0.997522708505368</v>
      </c>
      <c r="AG394" s="133">
        <v>0.997280391623606</v>
      </c>
      <c r="AH394" s="133">
        <v>0.991785184849524</v>
      </c>
      <c r="AI394" s="135">
        <v>0.92</v>
      </c>
      <c r="AJ394" s="133">
        <v>0.91967291967292</v>
      </c>
      <c r="AK394" s="133">
        <v>0.938956714761376</v>
      </c>
      <c r="AL394" s="133">
        <v>0.974002954209749</v>
      </c>
      <c r="AM394" s="133">
        <v>0.953826662287082</v>
      </c>
      <c r="AN394" s="132">
        <v>0.99</v>
      </c>
      <c r="AO394" s="137">
        <v>1</v>
      </c>
      <c r="AP394" s="137">
        <v>1</v>
      </c>
      <c r="AQ394" s="137">
        <v>1</v>
      </c>
      <c r="AR394" s="137">
        <v>1</v>
      </c>
      <c r="AS394" s="158">
        <v>0.05</v>
      </c>
      <c r="AT394" s="141">
        <v>0.0416666666666667</v>
      </c>
      <c r="AU394" s="141">
        <v>0</v>
      </c>
      <c r="AV394" s="141">
        <v>0</v>
      </c>
      <c r="AW394" s="141">
        <v>0.0325497287522604</v>
      </c>
      <c r="AX394" s="95"/>
      <c r="AY394" s="93"/>
    </row>
    <row r="395" ht="14.5" spans="1:51">
      <c r="A395" s="91"/>
      <c r="B395" s="95"/>
      <c r="C395" s="152" t="s">
        <v>375</v>
      </c>
      <c r="D395" s="153" t="s">
        <v>25</v>
      </c>
      <c r="E395" s="130" t="s">
        <v>376</v>
      </c>
      <c r="F395" s="154" t="s">
        <v>421</v>
      </c>
      <c r="G395" s="154" t="s">
        <v>421</v>
      </c>
      <c r="H395" s="154" t="s">
        <v>421</v>
      </c>
      <c r="I395" s="154" t="s">
        <v>421</v>
      </c>
      <c r="J395" s="132">
        <v>0.9</v>
      </c>
      <c r="K395" s="133">
        <v>0.96551724137931</v>
      </c>
      <c r="L395" s="133">
        <v>0.923076923076923</v>
      </c>
      <c r="M395" s="134">
        <v>0.909090909090909</v>
      </c>
      <c r="N395" s="133">
        <v>0.953398058252427</v>
      </c>
      <c r="O395" s="135">
        <v>0.9</v>
      </c>
      <c r="P395" s="133">
        <v>0</v>
      </c>
      <c r="Q395" s="133">
        <v>0.333333333333333</v>
      </c>
      <c r="R395" s="133">
        <v>0</v>
      </c>
      <c r="S395" s="133">
        <v>0.461538461538462</v>
      </c>
      <c r="T395" s="135">
        <v>0.9</v>
      </c>
      <c r="U395" s="133">
        <v>0</v>
      </c>
      <c r="V395" s="133">
        <v>0</v>
      </c>
      <c r="W395" s="133">
        <v>0</v>
      </c>
      <c r="X395" s="133">
        <v>0.461538461538462</v>
      </c>
      <c r="Y395" s="135">
        <v>0.92</v>
      </c>
      <c r="Z395" s="135" t="s">
        <v>35</v>
      </c>
      <c r="AA395" s="135" t="s">
        <v>35</v>
      </c>
      <c r="AB395" s="135" t="s">
        <v>35</v>
      </c>
      <c r="AC395" s="135" t="s">
        <v>35</v>
      </c>
      <c r="AD395" s="135">
        <v>0.92</v>
      </c>
      <c r="AE395" s="133">
        <v>0.977555110220441</v>
      </c>
      <c r="AF395" s="133">
        <v>0.998277559055118</v>
      </c>
      <c r="AG395" s="133">
        <v>0.997387518142235</v>
      </c>
      <c r="AH395" s="133">
        <v>0.993426945190835</v>
      </c>
      <c r="AI395" s="135">
        <v>0.92</v>
      </c>
      <c r="AJ395" s="133">
        <v>0.924416694051922</v>
      </c>
      <c r="AK395" s="133">
        <v>0.951081843838194</v>
      </c>
      <c r="AL395" s="133">
        <v>0.959118378954853</v>
      </c>
      <c r="AM395" s="133">
        <v>0.961871358262149</v>
      </c>
      <c r="AN395" s="132">
        <v>0.99</v>
      </c>
      <c r="AO395" s="137">
        <v>1</v>
      </c>
      <c r="AP395" s="137">
        <v>1</v>
      </c>
      <c r="AQ395" s="137">
        <v>1</v>
      </c>
      <c r="AR395" s="137">
        <v>1</v>
      </c>
      <c r="AS395" s="158">
        <v>0.05</v>
      </c>
      <c r="AT395" s="141">
        <v>0.153846153846154</v>
      </c>
      <c r="AU395" s="141">
        <v>0.0833333333333333</v>
      </c>
      <c r="AV395" s="141">
        <v>0.1</v>
      </c>
      <c r="AW395" s="141">
        <v>0.0592334494773519</v>
      </c>
      <c r="AX395" s="95"/>
      <c r="AY395" s="93"/>
    </row>
    <row r="396" ht="14.5" spans="1:51">
      <c r="A396" s="91"/>
      <c r="B396" s="95"/>
      <c r="C396" s="152" t="s">
        <v>375</v>
      </c>
      <c r="D396" s="153" t="s">
        <v>25</v>
      </c>
      <c r="E396" s="130" t="s">
        <v>376</v>
      </c>
      <c r="F396" s="154" t="s">
        <v>422</v>
      </c>
      <c r="G396" s="154" t="s">
        <v>422</v>
      </c>
      <c r="H396" s="154" t="s">
        <v>422</v>
      </c>
      <c r="I396" s="154" t="s">
        <v>422</v>
      </c>
      <c r="J396" s="132">
        <v>0.9</v>
      </c>
      <c r="K396" s="133">
        <v>1</v>
      </c>
      <c r="L396" s="133">
        <v>0.978260869565217</v>
      </c>
      <c r="M396" s="134">
        <v>0.958333333333333</v>
      </c>
      <c r="N396" s="133">
        <v>0.97911227154047</v>
      </c>
      <c r="O396" s="135">
        <v>0.9</v>
      </c>
      <c r="P396" s="133">
        <v>0.333333333333333</v>
      </c>
      <c r="Q396" s="133">
        <v>0</v>
      </c>
      <c r="R396" s="133" t="s">
        <v>35</v>
      </c>
      <c r="S396" s="133">
        <v>0.37037037037037</v>
      </c>
      <c r="T396" s="135">
        <v>0.9</v>
      </c>
      <c r="U396" s="133">
        <v>0.333333333333333</v>
      </c>
      <c r="V396" s="133">
        <v>0.5</v>
      </c>
      <c r="W396" s="133" t="s">
        <v>35</v>
      </c>
      <c r="X396" s="133">
        <v>0.37037037037037</v>
      </c>
      <c r="Y396" s="135">
        <v>0.92</v>
      </c>
      <c r="Z396" s="135" t="s">
        <v>35</v>
      </c>
      <c r="AA396" s="135">
        <v>0</v>
      </c>
      <c r="AB396" s="135" t="s">
        <v>35</v>
      </c>
      <c r="AC396" s="135">
        <v>0</v>
      </c>
      <c r="AD396" s="135">
        <v>0.92</v>
      </c>
      <c r="AE396" s="133">
        <v>0.991935483870968</v>
      </c>
      <c r="AF396" s="133">
        <v>0.994112699747687</v>
      </c>
      <c r="AG396" s="133">
        <v>0.996810207336523</v>
      </c>
      <c r="AH396" s="133">
        <v>0.994585635359116</v>
      </c>
      <c r="AI396" s="135">
        <v>0.92</v>
      </c>
      <c r="AJ396" s="133">
        <v>0.893279797125951</v>
      </c>
      <c r="AK396" s="133">
        <v>0.954015941140405</v>
      </c>
      <c r="AL396" s="133">
        <v>0.962062256809339</v>
      </c>
      <c r="AM396" s="133">
        <v>0.945325745528145</v>
      </c>
      <c r="AN396" s="132">
        <v>0.99</v>
      </c>
      <c r="AO396" s="137">
        <v>1</v>
      </c>
      <c r="AP396" s="137">
        <v>1</v>
      </c>
      <c r="AQ396" s="137">
        <v>1</v>
      </c>
      <c r="AR396" s="137">
        <v>1</v>
      </c>
      <c r="AS396" s="158">
        <v>0.05</v>
      </c>
      <c r="AT396" s="141">
        <v>0</v>
      </c>
      <c r="AU396" s="141">
        <v>0</v>
      </c>
      <c r="AV396" s="141">
        <v>0.1875</v>
      </c>
      <c r="AW396" s="141">
        <v>0.0827586206896552</v>
      </c>
      <c r="AX396" s="95"/>
      <c r="AY396" s="93"/>
    </row>
    <row r="397" ht="14.5" spans="1:51">
      <c r="A397" s="91"/>
      <c r="B397" s="95"/>
      <c r="C397" s="152" t="s">
        <v>375</v>
      </c>
      <c r="D397" s="153" t="s">
        <v>25</v>
      </c>
      <c r="E397" s="130" t="s">
        <v>376</v>
      </c>
      <c r="F397" s="154" t="s">
        <v>423</v>
      </c>
      <c r="G397" s="154" t="s">
        <v>423</v>
      </c>
      <c r="H397" s="154" t="s">
        <v>423</v>
      </c>
      <c r="I397" s="154" t="s">
        <v>423</v>
      </c>
      <c r="J397" s="132">
        <v>0.9</v>
      </c>
      <c r="K397" s="133">
        <v>0.818181818181818</v>
      </c>
      <c r="L397" s="133">
        <v>0.909090909090909</v>
      </c>
      <c r="M397" s="134">
        <v>0.833333333333333</v>
      </c>
      <c r="N397" s="133">
        <v>0.884130982367758</v>
      </c>
      <c r="O397" s="135">
        <v>0.9</v>
      </c>
      <c r="P397" s="133">
        <v>0.986496350364964</v>
      </c>
      <c r="Q397" s="133">
        <v>0.985887096774194</v>
      </c>
      <c r="R397" s="133">
        <v>0.992582897033159</v>
      </c>
      <c r="S397" s="133">
        <v>0.989630970140129</v>
      </c>
      <c r="T397" s="135">
        <v>0.9</v>
      </c>
      <c r="U397" s="133">
        <v>0.843065693430657</v>
      </c>
      <c r="V397" s="133">
        <v>0.863306451612903</v>
      </c>
      <c r="W397" s="133">
        <v>0.945462478184991</v>
      </c>
      <c r="X397" s="133">
        <v>0.894377735932112</v>
      </c>
      <c r="Y397" s="135">
        <v>0.92</v>
      </c>
      <c r="Z397" s="135" t="s">
        <v>35</v>
      </c>
      <c r="AA397" s="135" t="s">
        <v>35</v>
      </c>
      <c r="AB397" s="135" t="s">
        <v>35</v>
      </c>
      <c r="AC397" s="135" t="s">
        <v>35</v>
      </c>
      <c r="AD397" s="135">
        <v>0.92</v>
      </c>
      <c r="AE397" s="133">
        <v>0.99820788530466</v>
      </c>
      <c r="AF397" s="133">
        <v>0.98105387803434</v>
      </c>
      <c r="AG397" s="133">
        <v>0.998467432950192</v>
      </c>
      <c r="AH397" s="133">
        <v>0.989770784433046</v>
      </c>
      <c r="AI397" s="135">
        <v>0.92</v>
      </c>
      <c r="AJ397" s="133">
        <v>0.964624361779723</v>
      </c>
      <c r="AK397" s="133">
        <v>0.975060337892196</v>
      </c>
      <c r="AL397" s="133">
        <v>0.987347294938918</v>
      </c>
      <c r="AM397" s="133">
        <v>0.983088127474461</v>
      </c>
      <c r="AN397" s="132">
        <v>0.99</v>
      </c>
      <c r="AO397" s="137">
        <v>1</v>
      </c>
      <c r="AP397" s="137">
        <v>1</v>
      </c>
      <c r="AQ397" s="137">
        <v>1</v>
      </c>
      <c r="AR397" s="137">
        <v>1</v>
      </c>
      <c r="AS397" s="158">
        <v>0.05</v>
      </c>
      <c r="AT397" s="141">
        <v>0</v>
      </c>
      <c r="AU397" s="141">
        <v>0</v>
      </c>
      <c r="AV397" s="141">
        <v>0</v>
      </c>
      <c r="AW397" s="141">
        <v>0.0638297872340425</v>
      </c>
      <c r="AX397" s="95"/>
      <c r="AY397" s="93"/>
    </row>
    <row r="398" ht="14.5" spans="1:51">
      <c r="A398" s="91"/>
      <c r="B398" s="95"/>
      <c r="C398" s="152" t="s">
        <v>375</v>
      </c>
      <c r="D398" s="153" t="s">
        <v>25</v>
      </c>
      <c r="E398" s="130" t="s">
        <v>376</v>
      </c>
      <c r="F398" s="154" t="s">
        <v>424</v>
      </c>
      <c r="G398" s="154" t="s">
        <v>424</v>
      </c>
      <c r="H398" s="154" t="s">
        <v>424</v>
      </c>
      <c r="I398" s="154" t="s">
        <v>424</v>
      </c>
      <c r="J398" s="132">
        <v>0.9</v>
      </c>
      <c r="K398" s="133">
        <v>0.885714285714286</v>
      </c>
      <c r="L398" s="133">
        <v>1</v>
      </c>
      <c r="M398" s="134">
        <v>0.945945945945946</v>
      </c>
      <c r="N398" s="133">
        <v>0.932676518883415</v>
      </c>
      <c r="O398" s="135">
        <v>0.9</v>
      </c>
      <c r="P398" s="133" t="s">
        <v>35</v>
      </c>
      <c r="Q398" s="133">
        <v>0.333333333333333</v>
      </c>
      <c r="R398" s="133" t="s">
        <v>35</v>
      </c>
      <c r="S398" s="133">
        <v>0.0833333333333333</v>
      </c>
      <c r="T398" s="135">
        <v>0.9</v>
      </c>
      <c r="U398" s="133" t="s">
        <v>35</v>
      </c>
      <c r="V398" s="133">
        <v>0.333333333333333</v>
      </c>
      <c r="W398" s="133" t="s">
        <v>35</v>
      </c>
      <c r="X398" s="133">
        <v>0.416666666666667</v>
      </c>
      <c r="Y398" s="135">
        <v>0.92</v>
      </c>
      <c r="Z398" s="135" t="s">
        <v>35</v>
      </c>
      <c r="AA398" s="135" t="s">
        <v>35</v>
      </c>
      <c r="AB398" s="135" t="s">
        <v>35</v>
      </c>
      <c r="AC398" s="135">
        <v>0</v>
      </c>
      <c r="AD398" s="135">
        <v>0.92</v>
      </c>
      <c r="AE398" s="133">
        <v>0.99950149551346</v>
      </c>
      <c r="AF398" s="133">
        <v>0.997623291740939</v>
      </c>
      <c r="AG398" s="133">
        <v>0.999233422767344</v>
      </c>
      <c r="AH398" s="133">
        <v>0.985611510791367</v>
      </c>
      <c r="AI398" s="135">
        <v>0.92</v>
      </c>
      <c r="AJ398" s="133">
        <v>0.949630440733644</v>
      </c>
      <c r="AK398" s="133">
        <v>0.947204161248374</v>
      </c>
      <c r="AL398" s="133">
        <v>0.978333841928593</v>
      </c>
      <c r="AM398" s="133">
        <v>0.958448056136818</v>
      </c>
      <c r="AN398" s="132">
        <v>0.99</v>
      </c>
      <c r="AO398" s="137">
        <v>1</v>
      </c>
      <c r="AP398" s="137">
        <v>1</v>
      </c>
      <c r="AQ398" s="137">
        <v>1</v>
      </c>
      <c r="AR398" s="137">
        <v>1</v>
      </c>
      <c r="AS398" s="158">
        <v>0.05</v>
      </c>
      <c r="AT398" s="141">
        <v>0.181818181818182</v>
      </c>
      <c r="AU398" s="141">
        <v>0.0625</v>
      </c>
      <c r="AV398" s="141">
        <v>0</v>
      </c>
      <c r="AW398" s="141">
        <v>0.0861423220973783</v>
      </c>
      <c r="AX398" s="95"/>
      <c r="AY398" s="93"/>
    </row>
    <row r="399" ht="14.5" spans="1:51">
      <c r="A399" s="91"/>
      <c r="B399" s="95"/>
      <c r="C399" s="152" t="s">
        <v>375</v>
      </c>
      <c r="D399" s="153" t="s">
        <v>25</v>
      </c>
      <c r="E399" s="130" t="s">
        <v>376</v>
      </c>
      <c r="F399" s="154" t="s">
        <v>425</v>
      </c>
      <c r="G399" s="154" t="s">
        <v>425</v>
      </c>
      <c r="H399" s="154" t="s">
        <v>425</v>
      </c>
      <c r="I399" s="154" t="s">
        <v>425</v>
      </c>
      <c r="J399" s="132">
        <v>0.9</v>
      </c>
      <c r="K399" s="133">
        <v>0.954545454545455</v>
      </c>
      <c r="L399" s="133">
        <v>0.954545454545455</v>
      </c>
      <c r="M399" s="134">
        <v>0.923076923076923</v>
      </c>
      <c r="N399" s="133">
        <v>0.894601542416452</v>
      </c>
      <c r="O399" s="135">
        <v>0.9</v>
      </c>
      <c r="P399" s="133">
        <v>0</v>
      </c>
      <c r="Q399" s="133" t="s">
        <v>35</v>
      </c>
      <c r="R399" s="133">
        <v>0</v>
      </c>
      <c r="S399" s="133">
        <v>0.166666666666667</v>
      </c>
      <c r="T399" s="135">
        <v>0.9</v>
      </c>
      <c r="U399" s="133">
        <v>0</v>
      </c>
      <c r="V399" s="133" t="s">
        <v>35</v>
      </c>
      <c r="W399" s="133">
        <v>0</v>
      </c>
      <c r="X399" s="133">
        <v>0</v>
      </c>
      <c r="Y399" s="135">
        <v>0.92</v>
      </c>
      <c r="Z399" s="135" t="s">
        <v>35</v>
      </c>
      <c r="AA399" s="135" t="s">
        <v>35</v>
      </c>
      <c r="AB399" s="135" t="s">
        <v>35</v>
      </c>
      <c r="AC399" s="135" t="s">
        <v>35</v>
      </c>
      <c r="AD399" s="135">
        <v>0.92</v>
      </c>
      <c r="AE399" s="133">
        <v>1</v>
      </c>
      <c r="AF399" s="133">
        <v>1</v>
      </c>
      <c r="AG399" s="133">
        <v>1</v>
      </c>
      <c r="AH399" s="133">
        <v>0.973831775700935</v>
      </c>
      <c r="AI399" s="135">
        <v>0.92</v>
      </c>
      <c r="AJ399" s="133">
        <v>0.887576759565423</v>
      </c>
      <c r="AK399" s="133">
        <v>0.882736156351791</v>
      </c>
      <c r="AL399" s="133">
        <v>0.979357798165138</v>
      </c>
      <c r="AM399" s="133">
        <v>0.935924006908463</v>
      </c>
      <c r="AN399" s="132">
        <v>0.99</v>
      </c>
      <c r="AO399" s="137">
        <v>1</v>
      </c>
      <c r="AP399" s="137">
        <v>1</v>
      </c>
      <c r="AQ399" s="137">
        <v>1</v>
      </c>
      <c r="AR399" s="137">
        <v>1</v>
      </c>
      <c r="AS399" s="158">
        <v>0.05</v>
      </c>
      <c r="AT399" s="141">
        <v>0.142857142857143</v>
      </c>
      <c r="AU399" s="141">
        <v>0.166666666666667</v>
      </c>
      <c r="AV399" s="141">
        <v>0.2</v>
      </c>
      <c r="AW399" s="141">
        <v>0.0594059405940594</v>
      </c>
      <c r="AX399" s="95"/>
      <c r="AY399" s="93"/>
    </row>
    <row r="400" ht="14.5" spans="1:51">
      <c r="A400" s="91"/>
      <c r="B400" s="95"/>
      <c r="C400" s="152" t="s">
        <v>375</v>
      </c>
      <c r="D400" s="153" t="s">
        <v>25</v>
      </c>
      <c r="E400" s="130" t="s">
        <v>376</v>
      </c>
      <c r="F400" s="154" t="s">
        <v>426</v>
      </c>
      <c r="G400" s="154" t="s">
        <v>426</v>
      </c>
      <c r="H400" s="154" t="s">
        <v>426</v>
      </c>
      <c r="I400" s="154" t="s">
        <v>426</v>
      </c>
      <c r="J400" s="132">
        <v>0.9</v>
      </c>
      <c r="K400" s="133">
        <v>1</v>
      </c>
      <c r="L400" s="133">
        <v>0.862068965517241</v>
      </c>
      <c r="M400" s="134">
        <v>0.862068965517241</v>
      </c>
      <c r="N400" s="133">
        <v>0.902748414376321</v>
      </c>
      <c r="O400" s="135">
        <v>0.9</v>
      </c>
      <c r="P400" s="133">
        <v>0</v>
      </c>
      <c r="Q400" s="133" t="s">
        <v>35</v>
      </c>
      <c r="R400" s="133" t="s">
        <v>35</v>
      </c>
      <c r="S400" s="133">
        <v>0.2</v>
      </c>
      <c r="T400" s="135">
        <v>0.9</v>
      </c>
      <c r="U400" s="133">
        <v>0</v>
      </c>
      <c r="V400" s="133" t="s">
        <v>35</v>
      </c>
      <c r="W400" s="133" t="s">
        <v>35</v>
      </c>
      <c r="X400" s="133">
        <v>0.2</v>
      </c>
      <c r="Y400" s="135">
        <v>0.92</v>
      </c>
      <c r="Z400" s="135" t="s">
        <v>35</v>
      </c>
      <c r="AA400" s="135" t="s">
        <v>35</v>
      </c>
      <c r="AB400" s="135" t="s">
        <v>35</v>
      </c>
      <c r="AC400" s="135">
        <v>0</v>
      </c>
      <c r="AD400" s="135">
        <v>0.92</v>
      </c>
      <c r="AE400" s="133">
        <v>1</v>
      </c>
      <c r="AF400" s="133">
        <v>0.972222222222222</v>
      </c>
      <c r="AG400" s="133">
        <v>1</v>
      </c>
      <c r="AH400" s="133">
        <v>0.995698924731183</v>
      </c>
      <c r="AI400" s="135">
        <v>0.92</v>
      </c>
      <c r="AJ400" s="133">
        <v>0.937527889335118</v>
      </c>
      <c r="AK400" s="133">
        <v>0.968426245683276</v>
      </c>
      <c r="AL400" s="133">
        <v>0.967009194159005</v>
      </c>
      <c r="AM400" s="133">
        <v>0.955587474863545</v>
      </c>
      <c r="AN400" s="132">
        <v>0.99</v>
      </c>
      <c r="AO400" s="137">
        <v>1</v>
      </c>
      <c r="AP400" s="137">
        <v>1</v>
      </c>
      <c r="AQ400" s="137">
        <v>1</v>
      </c>
      <c r="AR400" s="137">
        <v>1</v>
      </c>
      <c r="AS400" s="158">
        <v>0.05</v>
      </c>
      <c r="AT400" s="141">
        <v>0</v>
      </c>
      <c r="AU400" s="141">
        <v>0</v>
      </c>
      <c r="AV400" s="141">
        <v>0</v>
      </c>
      <c r="AW400" s="141">
        <v>0.107692307692308</v>
      </c>
      <c r="AX400" s="95"/>
      <c r="AY400" s="93"/>
    </row>
    <row r="401" ht="14.5" spans="1:51">
      <c r="A401" s="91"/>
      <c r="B401" s="95"/>
      <c r="C401" s="152" t="s">
        <v>375</v>
      </c>
      <c r="D401" s="153" t="s">
        <v>25</v>
      </c>
      <c r="E401" s="130" t="s">
        <v>376</v>
      </c>
      <c r="F401" s="154" t="s">
        <v>427</v>
      </c>
      <c r="G401" s="154" t="s">
        <v>427</v>
      </c>
      <c r="H401" s="154" t="s">
        <v>427</v>
      </c>
      <c r="I401" s="154" t="s">
        <v>427</v>
      </c>
      <c r="J401" s="132">
        <v>0.9</v>
      </c>
      <c r="K401" s="133">
        <v>0.903225806451613</v>
      </c>
      <c r="L401" s="133">
        <v>0.885714285714286</v>
      </c>
      <c r="M401" s="134">
        <v>0.947368421052632</v>
      </c>
      <c r="N401" s="133">
        <v>0.932307692307692</v>
      </c>
      <c r="O401" s="135">
        <v>0.9</v>
      </c>
      <c r="P401" s="133">
        <v>0.915271435819381</v>
      </c>
      <c r="Q401" s="133">
        <v>0.914899713467049</v>
      </c>
      <c r="R401" s="133">
        <v>0.986258230747209</v>
      </c>
      <c r="S401" s="133">
        <v>0.967465518031435</v>
      </c>
      <c r="T401" s="135">
        <v>0.9</v>
      </c>
      <c r="U401" s="133">
        <v>0.779299847792998</v>
      </c>
      <c r="V401" s="133">
        <v>0.846418338108883</v>
      </c>
      <c r="W401" s="133">
        <v>0.912396221013456</v>
      </c>
      <c r="X401" s="133">
        <v>0.883089706578686</v>
      </c>
      <c r="Y401" s="135">
        <v>0.92</v>
      </c>
      <c r="Z401" s="135">
        <v>1</v>
      </c>
      <c r="AA401" s="135" t="s">
        <v>35</v>
      </c>
      <c r="AB401" s="135" t="s">
        <v>35</v>
      </c>
      <c r="AC401" s="135">
        <v>0.75</v>
      </c>
      <c r="AD401" s="135">
        <v>0.92</v>
      </c>
      <c r="AE401" s="133">
        <v>0.991111111111111</v>
      </c>
      <c r="AF401" s="133">
        <v>0.993632299146457</v>
      </c>
      <c r="AG401" s="133">
        <v>0.998604521350823</v>
      </c>
      <c r="AH401" s="133">
        <v>0.980041305819261</v>
      </c>
      <c r="AI401" s="135">
        <v>0.92</v>
      </c>
      <c r="AJ401" s="133">
        <v>0.896682704482147</v>
      </c>
      <c r="AK401" s="133">
        <v>0.918454935622318</v>
      </c>
      <c r="AL401" s="133">
        <v>0.968857142857143</v>
      </c>
      <c r="AM401" s="133">
        <v>0.961289534741727</v>
      </c>
      <c r="AN401" s="132">
        <v>0.99</v>
      </c>
      <c r="AO401" s="137">
        <v>1</v>
      </c>
      <c r="AP401" s="137">
        <v>1</v>
      </c>
      <c r="AQ401" s="137">
        <v>1</v>
      </c>
      <c r="AR401" s="137">
        <v>1</v>
      </c>
      <c r="AS401" s="158">
        <v>0.05</v>
      </c>
      <c r="AT401" s="141">
        <v>0.0909090909090909</v>
      </c>
      <c r="AU401" s="141">
        <v>0</v>
      </c>
      <c r="AV401" s="141">
        <v>0.0833333333333333</v>
      </c>
      <c r="AW401" s="141">
        <v>0.11986301369863</v>
      </c>
      <c r="AX401" s="95"/>
      <c r="AY401" s="93"/>
    </row>
    <row r="402" ht="14.5" spans="1:51">
      <c r="A402" s="91"/>
      <c r="B402" s="95"/>
      <c r="C402" s="152" t="s">
        <v>375</v>
      </c>
      <c r="D402" s="153" t="s">
        <v>25</v>
      </c>
      <c r="E402" s="130" t="s">
        <v>376</v>
      </c>
      <c r="F402" s="154" t="s">
        <v>428</v>
      </c>
      <c r="G402" s="154" t="s">
        <v>428</v>
      </c>
      <c r="H402" s="154" t="s">
        <v>428</v>
      </c>
      <c r="I402" s="154" t="s">
        <v>428</v>
      </c>
      <c r="J402" s="132">
        <v>0.9</v>
      </c>
      <c r="K402" s="133">
        <v>1</v>
      </c>
      <c r="L402" s="133">
        <v>0.914285714285714</v>
      </c>
      <c r="M402" s="134">
        <v>0.948717948717949</v>
      </c>
      <c r="N402" s="133">
        <v>0.970014992503748</v>
      </c>
      <c r="O402" s="135">
        <v>0.9</v>
      </c>
      <c r="P402" s="133">
        <v>0.285714285714286</v>
      </c>
      <c r="Q402" s="133">
        <v>0.857142857142857</v>
      </c>
      <c r="R402" s="133">
        <v>1</v>
      </c>
      <c r="S402" s="133">
        <v>0.540540540540541</v>
      </c>
      <c r="T402" s="135">
        <v>0.9</v>
      </c>
      <c r="U402" s="133">
        <v>0.857142857142857</v>
      </c>
      <c r="V402" s="133">
        <v>0.714285714285714</v>
      </c>
      <c r="W402" s="133">
        <v>1</v>
      </c>
      <c r="X402" s="133">
        <v>0.635135135135135</v>
      </c>
      <c r="Y402" s="135">
        <v>0.92</v>
      </c>
      <c r="Z402" s="135" t="s">
        <v>35</v>
      </c>
      <c r="AA402" s="135">
        <v>1</v>
      </c>
      <c r="AB402" s="135">
        <v>1</v>
      </c>
      <c r="AC402" s="135">
        <v>0.888888888888889</v>
      </c>
      <c r="AD402" s="135">
        <v>0.92</v>
      </c>
      <c r="AE402" s="133">
        <v>0.976975405546834</v>
      </c>
      <c r="AF402" s="133">
        <v>0.983498349834984</v>
      </c>
      <c r="AG402" s="133">
        <v>0.998149005090236</v>
      </c>
      <c r="AH402" s="133">
        <v>0.959639032130107</v>
      </c>
      <c r="AI402" s="135">
        <v>0.92</v>
      </c>
      <c r="AJ402" s="133">
        <v>0.898337749939774</v>
      </c>
      <c r="AK402" s="133">
        <v>0.916913271113135</v>
      </c>
      <c r="AL402" s="133">
        <v>0.961638154484189</v>
      </c>
      <c r="AM402" s="133">
        <v>0.951129913532439</v>
      </c>
      <c r="AN402" s="132">
        <v>0.99</v>
      </c>
      <c r="AO402" s="137">
        <v>1</v>
      </c>
      <c r="AP402" s="137">
        <v>1</v>
      </c>
      <c r="AQ402" s="137">
        <v>1</v>
      </c>
      <c r="AR402" s="137">
        <v>1</v>
      </c>
      <c r="AS402" s="158">
        <v>0.05</v>
      </c>
      <c r="AT402" s="141">
        <v>0.0454545454545455</v>
      </c>
      <c r="AU402" s="141">
        <v>0.121212121212121</v>
      </c>
      <c r="AV402" s="141">
        <v>0</v>
      </c>
      <c r="AW402" s="141">
        <v>0.0674846625766871</v>
      </c>
      <c r="AX402" s="95"/>
      <c r="AY402" s="93"/>
    </row>
    <row r="403" ht="14.5" spans="1:51">
      <c r="A403" s="91"/>
      <c r="B403" s="95"/>
      <c r="C403" s="152" t="s">
        <v>375</v>
      </c>
      <c r="D403" s="153" t="s">
        <v>25</v>
      </c>
      <c r="E403" s="130" t="s">
        <v>376</v>
      </c>
      <c r="F403" s="154" t="s">
        <v>429</v>
      </c>
      <c r="G403" s="154" t="s">
        <v>429</v>
      </c>
      <c r="H403" s="154" t="s">
        <v>429</v>
      </c>
      <c r="I403" s="154" t="s">
        <v>429</v>
      </c>
      <c r="J403" s="132">
        <v>0.9</v>
      </c>
      <c r="K403" s="133">
        <v>0.931818181818182</v>
      </c>
      <c r="L403" s="133">
        <v>0.975</v>
      </c>
      <c r="M403" s="134">
        <v>1</v>
      </c>
      <c r="N403" s="133">
        <v>0.989071038251366</v>
      </c>
      <c r="O403" s="135">
        <v>0.9</v>
      </c>
      <c r="P403" s="133">
        <v>1</v>
      </c>
      <c r="Q403" s="133">
        <v>0</v>
      </c>
      <c r="R403" s="133" t="s">
        <v>35</v>
      </c>
      <c r="S403" s="133">
        <v>0.555555555555556</v>
      </c>
      <c r="T403" s="135">
        <v>0.9</v>
      </c>
      <c r="U403" s="133">
        <v>0</v>
      </c>
      <c r="V403" s="133">
        <v>0</v>
      </c>
      <c r="W403" s="133" t="s">
        <v>35</v>
      </c>
      <c r="X403" s="133">
        <v>0.555555555555556</v>
      </c>
      <c r="Y403" s="135">
        <v>0.92</v>
      </c>
      <c r="Z403" s="135" t="s">
        <v>35</v>
      </c>
      <c r="AA403" s="135">
        <v>1</v>
      </c>
      <c r="AB403" s="135" t="s">
        <v>35</v>
      </c>
      <c r="AC403" s="135">
        <v>1</v>
      </c>
      <c r="AD403" s="135">
        <v>0.92</v>
      </c>
      <c r="AE403" s="133">
        <v>0.996363636363636</v>
      </c>
      <c r="AF403" s="133">
        <v>0.98914223669924</v>
      </c>
      <c r="AG403" s="133">
        <v>0.998231653404067</v>
      </c>
      <c r="AH403" s="133">
        <v>0.981599856622259</v>
      </c>
      <c r="AI403" s="135">
        <v>0.92</v>
      </c>
      <c r="AJ403" s="133">
        <v>0.951859543137625</v>
      </c>
      <c r="AK403" s="133">
        <v>0.958943751130403</v>
      </c>
      <c r="AL403" s="133">
        <v>0.966017217942909</v>
      </c>
      <c r="AM403" s="133">
        <v>0.960462356512015</v>
      </c>
      <c r="AN403" s="132">
        <v>0.99</v>
      </c>
      <c r="AO403" s="137">
        <v>1</v>
      </c>
      <c r="AP403" s="137">
        <v>1</v>
      </c>
      <c r="AQ403" s="137">
        <v>1</v>
      </c>
      <c r="AR403" s="137">
        <v>1</v>
      </c>
      <c r="AS403" s="158">
        <v>0.05</v>
      </c>
      <c r="AT403" s="141">
        <v>0</v>
      </c>
      <c r="AU403" s="141">
        <v>0</v>
      </c>
      <c r="AV403" s="141">
        <v>0</v>
      </c>
      <c r="AW403" s="141">
        <v>0.05</v>
      </c>
      <c r="AX403" s="95"/>
      <c r="AY403" s="93"/>
    </row>
    <row r="404" ht="14.5" spans="1:51">
      <c r="A404" s="91"/>
      <c r="B404" s="95"/>
      <c r="C404" s="152" t="s">
        <v>375</v>
      </c>
      <c r="D404" s="153" t="s">
        <v>25</v>
      </c>
      <c r="E404" s="130" t="s">
        <v>376</v>
      </c>
      <c r="F404" s="154" t="s">
        <v>430</v>
      </c>
      <c r="G404" s="154" t="s">
        <v>430</v>
      </c>
      <c r="H404" s="154" t="s">
        <v>430</v>
      </c>
      <c r="I404" s="154" t="s">
        <v>430</v>
      </c>
      <c r="J404" s="132">
        <v>0.9</v>
      </c>
      <c r="K404" s="133">
        <v>0.925925925925926</v>
      </c>
      <c r="L404" s="133">
        <v>0.956521739130435</v>
      </c>
      <c r="M404" s="134">
        <v>1</v>
      </c>
      <c r="N404" s="133">
        <v>0.926174496644295</v>
      </c>
      <c r="O404" s="135">
        <v>0.9</v>
      </c>
      <c r="P404" s="133">
        <v>0</v>
      </c>
      <c r="Q404" s="133">
        <v>0.666666666666667</v>
      </c>
      <c r="R404" s="133">
        <v>0</v>
      </c>
      <c r="S404" s="133">
        <v>0.411764705882353</v>
      </c>
      <c r="T404" s="135">
        <v>0.9</v>
      </c>
      <c r="U404" s="133">
        <v>0</v>
      </c>
      <c r="V404" s="133">
        <v>0.666666666666667</v>
      </c>
      <c r="W404" s="133">
        <v>1</v>
      </c>
      <c r="X404" s="133">
        <v>0.470588235294118</v>
      </c>
      <c r="Y404" s="135">
        <v>0.92</v>
      </c>
      <c r="Z404" s="135" t="s">
        <v>35</v>
      </c>
      <c r="AA404" s="135">
        <v>0</v>
      </c>
      <c r="AB404" s="135" t="s">
        <v>35</v>
      </c>
      <c r="AC404" s="135">
        <v>0.4</v>
      </c>
      <c r="AD404" s="135">
        <v>0.92</v>
      </c>
      <c r="AE404" s="133">
        <v>0.998664886515354</v>
      </c>
      <c r="AF404" s="133">
        <v>0.998468019915741</v>
      </c>
      <c r="AG404" s="133">
        <v>0.998467041389883</v>
      </c>
      <c r="AH404" s="133">
        <v>0.99734783781354</v>
      </c>
      <c r="AI404" s="135">
        <v>0.92</v>
      </c>
      <c r="AJ404" s="133">
        <v>0.93619879113499</v>
      </c>
      <c r="AK404" s="133">
        <v>0.945630420280187</v>
      </c>
      <c r="AL404" s="133">
        <v>0.975619347227684</v>
      </c>
      <c r="AM404" s="133">
        <v>0.959857868020305</v>
      </c>
      <c r="AN404" s="132">
        <v>0.99</v>
      </c>
      <c r="AO404" s="137">
        <v>1</v>
      </c>
      <c r="AP404" s="137">
        <v>1</v>
      </c>
      <c r="AQ404" s="137">
        <v>1</v>
      </c>
      <c r="AR404" s="137">
        <v>1</v>
      </c>
      <c r="AS404" s="158">
        <v>0.05</v>
      </c>
      <c r="AT404" s="141">
        <v>0</v>
      </c>
      <c r="AU404" s="141">
        <v>0</v>
      </c>
      <c r="AV404" s="141">
        <v>0</v>
      </c>
      <c r="AW404" s="141">
        <v>0.0551724137931034</v>
      </c>
      <c r="AX404" s="95"/>
      <c r="AY404" s="93"/>
    </row>
    <row r="405" ht="14.5" spans="1:51">
      <c r="A405" s="91"/>
      <c r="B405" s="95"/>
      <c r="C405" s="152" t="s">
        <v>375</v>
      </c>
      <c r="D405" s="153" t="s">
        <v>25</v>
      </c>
      <c r="E405" s="130" t="s">
        <v>376</v>
      </c>
      <c r="F405" s="154" t="s">
        <v>431</v>
      </c>
      <c r="G405" s="154" t="s">
        <v>431</v>
      </c>
      <c r="H405" s="154" t="s">
        <v>431</v>
      </c>
      <c r="I405" s="154" t="s">
        <v>431</v>
      </c>
      <c r="J405" s="132">
        <v>0.9</v>
      </c>
      <c r="K405" s="133">
        <v>1</v>
      </c>
      <c r="L405" s="133">
        <v>1</v>
      </c>
      <c r="M405" s="134">
        <v>1</v>
      </c>
      <c r="N405" s="133">
        <v>0.99644128113879</v>
      </c>
      <c r="O405" s="135">
        <v>0.9</v>
      </c>
      <c r="P405" s="133">
        <v>0</v>
      </c>
      <c r="Q405" s="133">
        <v>0</v>
      </c>
      <c r="R405" s="133">
        <v>0</v>
      </c>
      <c r="S405" s="133">
        <v>0</v>
      </c>
      <c r="T405" s="135">
        <v>0.9</v>
      </c>
      <c r="U405" s="133">
        <v>0</v>
      </c>
      <c r="V405" s="133">
        <v>0</v>
      </c>
      <c r="W405" s="133">
        <v>0.5</v>
      </c>
      <c r="X405" s="133">
        <v>0.5</v>
      </c>
      <c r="Y405" s="135">
        <v>0.92</v>
      </c>
      <c r="Z405" s="135">
        <v>0</v>
      </c>
      <c r="AA405" s="135" t="s">
        <v>35</v>
      </c>
      <c r="AB405" s="135" t="s">
        <v>35</v>
      </c>
      <c r="AC405" s="135">
        <v>0</v>
      </c>
      <c r="AD405" s="135">
        <v>0.92</v>
      </c>
      <c r="AE405" s="133">
        <v>0.558823529411765</v>
      </c>
      <c r="AF405" s="133">
        <v>0.937106918238994</v>
      </c>
      <c r="AG405" s="133">
        <v>0.984496124031008</v>
      </c>
      <c r="AH405" s="133">
        <v>0.972720746590093</v>
      </c>
      <c r="AI405" s="135">
        <v>0.92</v>
      </c>
      <c r="AJ405" s="133">
        <v>0.788090128755365</v>
      </c>
      <c r="AK405" s="133">
        <v>0.921182266009852</v>
      </c>
      <c r="AL405" s="133">
        <v>0.961674528301887</v>
      </c>
      <c r="AM405" s="133">
        <v>0.94633224636577</v>
      </c>
      <c r="AN405" s="132">
        <v>0.99</v>
      </c>
      <c r="AO405" s="137">
        <v>1</v>
      </c>
      <c r="AP405" s="137">
        <v>1</v>
      </c>
      <c r="AQ405" s="137">
        <v>1</v>
      </c>
      <c r="AR405" s="137">
        <v>1</v>
      </c>
      <c r="AS405" s="158">
        <v>0.05</v>
      </c>
      <c r="AT405" s="141">
        <v>0</v>
      </c>
      <c r="AU405" s="141">
        <v>0.25</v>
      </c>
      <c r="AV405" s="141">
        <v>0</v>
      </c>
      <c r="AW405" s="141">
        <v>0.142857142857143</v>
      </c>
      <c r="AX405" s="95"/>
      <c r="AY405" s="93"/>
    </row>
    <row r="406" ht="14.5" spans="1:51">
      <c r="A406" s="91"/>
      <c r="B406" s="95"/>
      <c r="C406" s="152" t="s">
        <v>375</v>
      </c>
      <c r="D406" s="153" t="s">
        <v>25</v>
      </c>
      <c r="E406" s="130" t="s">
        <v>376</v>
      </c>
      <c r="F406" s="154" t="s">
        <v>432</v>
      </c>
      <c r="G406" s="154" t="s">
        <v>432</v>
      </c>
      <c r="H406" s="154" t="s">
        <v>432</v>
      </c>
      <c r="I406" s="154" t="s">
        <v>432</v>
      </c>
      <c r="J406" s="132">
        <v>0.9</v>
      </c>
      <c r="K406" s="133">
        <v>1</v>
      </c>
      <c r="L406" s="133">
        <v>0.962962962962963</v>
      </c>
      <c r="M406" s="134">
        <v>1</v>
      </c>
      <c r="N406" s="133">
        <v>0.995604395604396</v>
      </c>
      <c r="O406" s="135">
        <v>0.9</v>
      </c>
      <c r="P406" s="133">
        <v>0</v>
      </c>
      <c r="Q406" s="133" t="s">
        <v>35</v>
      </c>
      <c r="R406" s="133" t="s">
        <v>35</v>
      </c>
      <c r="S406" s="133">
        <v>0</v>
      </c>
      <c r="T406" s="135">
        <v>0.9</v>
      </c>
      <c r="U406" s="133">
        <v>0</v>
      </c>
      <c r="V406" s="133" t="s">
        <v>35</v>
      </c>
      <c r="W406" s="133" t="s">
        <v>35</v>
      </c>
      <c r="X406" s="133">
        <v>0</v>
      </c>
      <c r="Y406" s="135">
        <v>0.92</v>
      </c>
      <c r="Z406" s="135" t="s">
        <v>35</v>
      </c>
      <c r="AA406" s="135">
        <v>0</v>
      </c>
      <c r="AB406" s="135" t="s">
        <v>35</v>
      </c>
      <c r="AC406" s="135">
        <v>0</v>
      </c>
      <c r="AD406" s="135">
        <v>0.92</v>
      </c>
      <c r="AE406" s="133">
        <v>0.96969696969697</v>
      </c>
      <c r="AF406" s="133">
        <v>0.964285714285714</v>
      </c>
      <c r="AG406" s="133">
        <v>1</v>
      </c>
      <c r="AH406" s="133">
        <v>0.993984962406015</v>
      </c>
      <c r="AI406" s="135">
        <v>0.92</v>
      </c>
      <c r="AJ406" s="133">
        <v>0.889526542324247</v>
      </c>
      <c r="AK406" s="133">
        <v>0.952851369555456</v>
      </c>
      <c r="AL406" s="133">
        <v>0.962087912087912</v>
      </c>
      <c r="AM406" s="133">
        <v>0.953517105046401</v>
      </c>
      <c r="AN406" s="132">
        <v>0.99</v>
      </c>
      <c r="AO406" s="137">
        <v>1</v>
      </c>
      <c r="AP406" s="137">
        <v>1</v>
      </c>
      <c r="AQ406" s="137">
        <v>1</v>
      </c>
      <c r="AR406" s="137">
        <v>1</v>
      </c>
      <c r="AS406" s="158">
        <v>0.05</v>
      </c>
      <c r="AT406" s="141">
        <v>0</v>
      </c>
      <c r="AU406" s="141">
        <v>0</v>
      </c>
      <c r="AV406" s="141">
        <v>0.2</v>
      </c>
      <c r="AW406" s="141">
        <v>0.0576923076923077</v>
      </c>
      <c r="AX406" s="95"/>
      <c r="AY406" s="93"/>
    </row>
    <row r="407" ht="14.5" spans="1:51">
      <c r="A407" s="91"/>
      <c r="B407" s="95"/>
      <c r="C407" s="152" t="s">
        <v>375</v>
      </c>
      <c r="D407" s="153" t="s">
        <v>25</v>
      </c>
      <c r="E407" s="130" t="s">
        <v>376</v>
      </c>
      <c r="F407" s="154" t="s">
        <v>433</v>
      </c>
      <c r="G407" s="154" t="s">
        <v>433</v>
      </c>
      <c r="H407" s="154" t="s">
        <v>433</v>
      </c>
      <c r="I407" s="154" t="s">
        <v>433</v>
      </c>
      <c r="J407" s="132">
        <v>0.9</v>
      </c>
      <c r="K407" s="133">
        <v>0.925</v>
      </c>
      <c r="L407" s="133">
        <v>0.903846153846154</v>
      </c>
      <c r="M407" s="134">
        <v>0.962962962962963</v>
      </c>
      <c r="N407" s="133">
        <v>0.886731391585761</v>
      </c>
      <c r="O407" s="135">
        <v>0.9</v>
      </c>
      <c r="P407" s="133">
        <v>1</v>
      </c>
      <c r="Q407" s="133">
        <v>0</v>
      </c>
      <c r="R407" s="133">
        <v>0</v>
      </c>
      <c r="S407" s="133">
        <v>0.25</v>
      </c>
      <c r="T407" s="135">
        <v>0.9</v>
      </c>
      <c r="U407" s="133">
        <v>0.5</v>
      </c>
      <c r="V407" s="133">
        <v>1</v>
      </c>
      <c r="W407" s="133">
        <v>0</v>
      </c>
      <c r="X407" s="133">
        <v>0.4375</v>
      </c>
      <c r="Y407" s="135">
        <v>0.92</v>
      </c>
      <c r="Z407" s="135" t="s">
        <v>35</v>
      </c>
      <c r="AA407" s="135">
        <v>0</v>
      </c>
      <c r="AB407" s="135" t="s">
        <v>35</v>
      </c>
      <c r="AC407" s="135">
        <v>0.25</v>
      </c>
      <c r="AD407" s="135">
        <v>0.92</v>
      </c>
      <c r="AE407" s="133">
        <v>0.806011883956658</v>
      </c>
      <c r="AF407" s="133">
        <v>0.984323040380047</v>
      </c>
      <c r="AG407" s="133">
        <v>0.995916193181818</v>
      </c>
      <c r="AH407" s="133">
        <v>0.982073736867148</v>
      </c>
      <c r="AI407" s="135">
        <v>0.92</v>
      </c>
      <c r="AJ407" s="133">
        <v>0.774037631624374</v>
      </c>
      <c r="AK407" s="133">
        <v>0.890253757879425</v>
      </c>
      <c r="AL407" s="133">
        <v>0.930555555555556</v>
      </c>
      <c r="AM407" s="133">
        <v>0.925171999963356</v>
      </c>
      <c r="AN407" s="132">
        <v>0.99</v>
      </c>
      <c r="AO407" s="137">
        <v>1</v>
      </c>
      <c r="AP407" s="137">
        <v>1</v>
      </c>
      <c r="AQ407" s="137">
        <v>1</v>
      </c>
      <c r="AR407" s="137">
        <v>1</v>
      </c>
      <c r="AS407" s="158">
        <v>0.05</v>
      </c>
      <c r="AT407" s="141">
        <v>0</v>
      </c>
      <c r="AU407" s="141">
        <v>0.117647058823529</v>
      </c>
      <c r="AV407" s="141">
        <v>0</v>
      </c>
      <c r="AW407" s="141">
        <v>0.0912052117263844</v>
      </c>
      <c r="AX407" s="95"/>
      <c r="AY407" s="93"/>
    </row>
    <row r="408" ht="14.5" spans="1:51">
      <c r="A408" s="91"/>
      <c r="B408" s="95"/>
      <c r="C408" s="152" t="s">
        <v>375</v>
      </c>
      <c r="D408" s="153" t="s">
        <v>25</v>
      </c>
      <c r="E408" s="130" t="s">
        <v>376</v>
      </c>
      <c r="F408" s="154" t="s">
        <v>434</v>
      </c>
      <c r="G408" s="154" t="s">
        <v>434</v>
      </c>
      <c r="H408" s="154" t="s">
        <v>434</v>
      </c>
      <c r="I408" s="154" t="s">
        <v>434</v>
      </c>
      <c r="J408" s="132">
        <v>0.9</v>
      </c>
      <c r="K408" s="133">
        <v>0.96</v>
      </c>
      <c r="L408" s="133">
        <v>0.96875</v>
      </c>
      <c r="M408" s="134">
        <v>1</v>
      </c>
      <c r="N408" s="133">
        <v>0.988461538461539</v>
      </c>
      <c r="O408" s="135">
        <v>0.9</v>
      </c>
      <c r="P408" s="133">
        <v>0.870641169853768</v>
      </c>
      <c r="Q408" s="133">
        <v>0.987002437043054</v>
      </c>
      <c r="R408" s="133">
        <v>0.989354151880766</v>
      </c>
      <c r="S408" s="133">
        <v>0.98327430145612</v>
      </c>
      <c r="T408" s="135">
        <v>0.9</v>
      </c>
      <c r="U408" s="133">
        <v>0.190101237345332</v>
      </c>
      <c r="V408" s="133">
        <v>0.938261575954509</v>
      </c>
      <c r="W408" s="133">
        <v>0.933995741660752</v>
      </c>
      <c r="X408" s="133">
        <v>0.909012199921291</v>
      </c>
      <c r="Y408" s="135">
        <v>0.92</v>
      </c>
      <c r="Z408" s="135">
        <v>0.492329149232915</v>
      </c>
      <c r="AA408" s="135">
        <v>0.907158836689038</v>
      </c>
      <c r="AB408" s="135">
        <v>0.942372881355932</v>
      </c>
      <c r="AC408" s="135">
        <v>0.934494576546656</v>
      </c>
      <c r="AD408" s="135">
        <v>0.92</v>
      </c>
      <c r="AE408" s="133">
        <v>1</v>
      </c>
      <c r="AF408" s="133">
        <v>0.998085758039816</v>
      </c>
      <c r="AG408" s="133">
        <v>0.997348652231551</v>
      </c>
      <c r="AH408" s="133">
        <v>0.998387140130642</v>
      </c>
      <c r="AI408" s="135">
        <v>0.92</v>
      </c>
      <c r="AJ408" s="133">
        <v>0.709215442092154</v>
      </c>
      <c r="AK408" s="133">
        <v>0.93841059602649</v>
      </c>
      <c r="AL408" s="133">
        <v>0.958620689655172</v>
      </c>
      <c r="AM408" s="133">
        <v>0.959306650796013</v>
      </c>
      <c r="AN408" s="132">
        <v>0.99</v>
      </c>
      <c r="AO408" s="137">
        <v>1</v>
      </c>
      <c r="AP408" s="137">
        <v>1</v>
      </c>
      <c r="AQ408" s="137">
        <v>1</v>
      </c>
      <c r="AR408" s="137">
        <v>1</v>
      </c>
      <c r="AS408" s="158">
        <v>0.05</v>
      </c>
      <c r="AT408" s="141">
        <v>0</v>
      </c>
      <c r="AU408" s="141">
        <v>0</v>
      </c>
      <c r="AV408" s="141">
        <v>0</v>
      </c>
      <c r="AW408" s="141">
        <v>0.0487804878048781</v>
      </c>
      <c r="AX408" s="95"/>
      <c r="AY408" s="93"/>
    </row>
    <row r="409" ht="14.5" spans="1:51">
      <c r="A409" s="91"/>
      <c r="B409" s="95"/>
      <c r="C409" s="152" t="s">
        <v>375</v>
      </c>
      <c r="D409" s="153" t="s">
        <v>25</v>
      </c>
      <c r="E409" s="130" t="s">
        <v>376</v>
      </c>
      <c r="F409" s="154" t="s">
        <v>435</v>
      </c>
      <c r="G409" s="154" t="s">
        <v>435</v>
      </c>
      <c r="H409" s="154" t="s">
        <v>435</v>
      </c>
      <c r="I409" s="154" t="s">
        <v>435</v>
      </c>
      <c r="J409" s="132">
        <v>0.9</v>
      </c>
      <c r="K409" s="133">
        <v>0.897959183673469</v>
      </c>
      <c r="L409" s="133">
        <v>0.88</v>
      </c>
      <c r="M409" s="134">
        <v>1</v>
      </c>
      <c r="N409" s="133">
        <v>0.946428571428571</v>
      </c>
      <c r="O409" s="135">
        <v>0.9</v>
      </c>
      <c r="P409" s="133">
        <v>0.871003307607497</v>
      </c>
      <c r="Q409" s="133">
        <v>0.853698811096433</v>
      </c>
      <c r="R409" s="133">
        <v>0.956657730116175</v>
      </c>
      <c r="S409" s="133">
        <v>0.948635804302627</v>
      </c>
      <c r="T409" s="135">
        <v>0.9</v>
      </c>
      <c r="U409" s="133">
        <v>0.751929437706725</v>
      </c>
      <c r="V409" s="133">
        <v>0.77113606340819</v>
      </c>
      <c r="W409" s="133">
        <v>0.87846291331546</v>
      </c>
      <c r="X409" s="133">
        <v>0.869478508083337</v>
      </c>
      <c r="Y409" s="135">
        <v>0.92</v>
      </c>
      <c r="Z409" s="135">
        <v>0.734387351778656</v>
      </c>
      <c r="AA409" s="135">
        <v>0.800512445095168</v>
      </c>
      <c r="AB409" s="135">
        <v>0.90351966873706</v>
      </c>
      <c r="AC409" s="135">
        <v>0.89060092449923</v>
      </c>
      <c r="AD409" s="135">
        <v>0.92</v>
      </c>
      <c r="AE409" s="133">
        <v>0.999169779991698</v>
      </c>
      <c r="AF409" s="133">
        <v>0.997547015535568</v>
      </c>
      <c r="AG409" s="133">
        <v>0.996692164564813</v>
      </c>
      <c r="AH409" s="133">
        <v>0.942275777473122</v>
      </c>
      <c r="AI409" s="135">
        <v>0.92</v>
      </c>
      <c r="AJ409" s="133">
        <v>0.811363636363636</v>
      </c>
      <c r="AK409" s="133">
        <v>0.84117340739455</v>
      </c>
      <c r="AL409" s="133">
        <v>0.929078014184397</v>
      </c>
      <c r="AM409" s="133">
        <v>0.922767215210097</v>
      </c>
      <c r="AN409" s="132">
        <v>0.99</v>
      </c>
      <c r="AO409" s="137">
        <v>1</v>
      </c>
      <c r="AP409" s="137">
        <v>1</v>
      </c>
      <c r="AQ409" s="137">
        <v>1</v>
      </c>
      <c r="AR409" s="137">
        <v>1</v>
      </c>
      <c r="AS409" s="158">
        <v>0.05</v>
      </c>
      <c r="AT409" s="141">
        <v>0</v>
      </c>
      <c r="AU409" s="141">
        <v>0.037037037037037</v>
      </c>
      <c r="AV409" s="141">
        <v>0.0384615384615385</v>
      </c>
      <c r="AW409" s="141">
        <v>0.0555555555555556</v>
      </c>
      <c r="AX409" s="95"/>
      <c r="AY409" s="93"/>
    </row>
    <row r="410" ht="14.5" spans="1:51">
      <c r="A410" s="91"/>
      <c r="B410" s="95"/>
      <c r="C410" s="152" t="s">
        <v>375</v>
      </c>
      <c r="D410" s="153" t="s">
        <v>25</v>
      </c>
      <c r="E410" s="130" t="s">
        <v>376</v>
      </c>
      <c r="F410" s="154" t="s">
        <v>436</v>
      </c>
      <c r="G410" s="154" t="s">
        <v>436</v>
      </c>
      <c r="H410" s="154" t="s">
        <v>436</v>
      </c>
      <c r="I410" s="154" t="s">
        <v>436</v>
      </c>
      <c r="J410" s="132">
        <v>0.9</v>
      </c>
      <c r="K410" s="133">
        <v>0.978723404255319</v>
      </c>
      <c r="L410" s="133">
        <v>0.964912280701754</v>
      </c>
      <c r="M410" s="134">
        <v>1</v>
      </c>
      <c r="N410" s="133">
        <v>0.979445015416238</v>
      </c>
      <c r="O410" s="135">
        <v>0.9</v>
      </c>
      <c r="P410" s="133">
        <v>0.94177645558861</v>
      </c>
      <c r="Q410" s="133">
        <v>0.972016183412003</v>
      </c>
      <c r="R410" s="133">
        <v>0.970404472213088</v>
      </c>
      <c r="S410" s="133">
        <v>0.966533654570095</v>
      </c>
      <c r="T410" s="135">
        <v>0.9</v>
      </c>
      <c r="U410" s="133">
        <v>0.914577135571611</v>
      </c>
      <c r="V410" s="133">
        <v>0.939312204989885</v>
      </c>
      <c r="W410" s="133">
        <v>0.948043406774087</v>
      </c>
      <c r="X410" s="133">
        <v>0.93438488179491</v>
      </c>
      <c r="Y410" s="135">
        <v>0.92</v>
      </c>
      <c r="Z410" s="135">
        <v>0.808962264150943</v>
      </c>
      <c r="AA410" s="135">
        <v>0.886107290233838</v>
      </c>
      <c r="AB410" s="135">
        <v>0.927085882065084</v>
      </c>
      <c r="AC410" s="135">
        <v>0.917544275507094</v>
      </c>
      <c r="AD410" s="135">
        <v>0.92</v>
      </c>
      <c r="AE410" s="133">
        <v>0.997545582047686</v>
      </c>
      <c r="AF410" s="133">
        <v>0.995729537366548</v>
      </c>
      <c r="AG410" s="133">
        <v>0.985303191787738</v>
      </c>
      <c r="AH410" s="133">
        <v>0.990384334640726</v>
      </c>
      <c r="AI410" s="135">
        <v>0.92</v>
      </c>
      <c r="AJ410" s="133">
        <v>0.889602370955792</v>
      </c>
      <c r="AK410" s="133">
        <v>0.924405393122254</v>
      </c>
      <c r="AL410" s="133">
        <v>0.949929873772791</v>
      </c>
      <c r="AM410" s="133">
        <v>0.945957746353373</v>
      </c>
      <c r="AN410" s="132">
        <v>0.99</v>
      </c>
      <c r="AO410" s="137">
        <v>1</v>
      </c>
      <c r="AP410" s="137">
        <v>1</v>
      </c>
      <c r="AQ410" s="137">
        <v>1</v>
      </c>
      <c r="AR410" s="137">
        <v>1</v>
      </c>
      <c r="AS410" s="158">
        <v>0.05</v>
      </c>
      <c r="AT410" s="141">
        <v>0.0588235294117647</v>
      </c>
      <c r="AU410" s="141">
        <v>0</v>
      </c>
      <c r="AV410" s="141">
        <v>0</v>
      </c>
      <c r="AW410" s="141">
        <v>0.059190031152648</v>
      </c>
      <c r="AX410" s="95"/>
      <c r="AY410" s="93"/>
    </row>
    <row r="411" ht="14.5" spans="1:51">
      <c r="A411" s="91"/>
      <c r="B411" s="95"/>
      <c r="C411" s="152" t="s">
        <v>375</v>
      </c>
      <c r="D411" s="153" t="s">
        <v>25</v>
      </c>
      <c r="E411" s="130" t="s">
        <v>376</v>
      </c>
      <c r="F411" s="154" t="s">
        <v>437</v>
      </c>
      <c r="G411" s="154" t="s">
        <v>437</v>
      </c>
      <c r="H411" s="154" t="s">
        <v>437</v>
      </c>
      <c r="I411" s="154" t="s">
        <v>437</v>
      </c>
      <c r="J411" s="132">
        <v>0.9</v>
      </c>
      <c r="K411" s="133">
        <v>0.973684210526316</v>
      </c>
      <c r="L411" s="133">
        <v>0.954545454545455</v>
      </c>
      <c r="M411" s="134">
        <v>0.98</v>
      </c>
      <c r="N411" s="133">
        <v>0.978075517661389</v>
      </c>
      <c r="O411" s="135">
        <v>0.9</v>
      </c>
      <c r="P411" s="133">
        <v>0.918872017353579</v>
      </c>
      <c r="Q411" s="133">
        <v>0.88437139561707</v>
      </c>
      <c r="R411" s="133">
        <v>0.983339241403758</v>
      </c>
      <c r="S411" s="133">
        <v>0.949795428099546</v>
      </c>
      <c r="T411" s="135">
        <v>0.9</v>
      </c>
      <c r="U411" s="133">
        <v>0.819956616052061</v>
      </c>
      <c r="V411" s="133">
        <v>0.867070357554787</v>
      </c>
      <c r="W411" s="133">
        <v>0.936192839418646</v>
      </c>
      <c r="X411" s="133">
        <v>0.907079313839571</v>
      </c>
      <c r="Y411" s="135">
        <v>0.92</v>
      </c>
      <c r="Z411" s="135">
        <v>0.518543492919757</v>
      </c>
      <c r="AA411" s="135">
        <v>0.814532183145322</v>
      </c>
      <c r="AB411" s="135">
        <v>0.875909752547307</v>
      </c>
      <c r="AC411" s="135">
        <v>0.884434849775207</v>
      </c>
      <c r="AD411" s="135">
        <v>0.92</v>
      </c>
      <c r="AE411" s="133">
        <v>0.995683701657459</v>
      </c>
      <c r="AF411" s="133">
        <v>0.961626387981711</v>
      </c>
      <c r="AG411" s="133">
        <v>0.905353267422233</v>
      </c>
      <c r="AH411" s="133">
        <v>0.921436813324638</v>
      </c>
      <c r="AI411" s="135">
        <v>0.92</v>
      </c>
      <c r="AJ411" s="133">
        <v>0.756400105568752</v>
      </c>
      <c r="AK411" s="133">
        <v>0.880937692782233</v>
      </c>
      <c r="AL411" s="133">
        <v>0.929982046678636</v>
      </c>
      <c r="AM411" s="133">
        <v>0.930329566582854</v>
      </c>
      <c r="AN411" s="132">
        <v>0.99</v>
      </c>
      <c r="AO411" s="137">
        <v>1</v>
      </c>
      <c r="AP411" s="137">
        <v>1</v>
      </c>
      <c r="AQ411" s="137">
        <v>1</v>
      </c>
      <c r="AR411" s="137">
        <v>1</v>
      </c>
      <c r="AS411" s="158">
        <v>0.05</v>
      </c>
      <c r="AT411" s="141">
        <v>0</v>
      </c>
      <c r="AU411" s="141">
        <v>0.125</v>
      </c>
      <c r="AV411" s="141">
        <v>0</v>
      </c>
      <c r="AW411" s="141">
        <v>0.0559701492537313</v>
      </c>
      <c r="AX411" s="95"/>
      <c r="AY411" s="93"/>
    </row>
    <row r="412" ht="14.5" spans="1:51">
      <c r="A412" s="91"/>
      <c r="B412" s="95"/>
      <c r="C412" s="152" t="s">
        <v>375</v>
      </c>
      <c r="D412" s="153" t="s">
        <v>25</v>
      </c>
      <c r="E412" s="130" t="s">
        <v>376</v>
      </c>
      <c r="F412" s="154" t="s">
        <v>438</v>
      </c>
      <c r="G412" s="154" t="s">
        <v>438</v>
      </c>
      <c r="H412" s="154" t="s">
        <v>438</v>
      </c>
      <c r="I412" s="154" t="s">
        <v>438</v>
      </c>
      <c r="J412" s="132">
        <v>0.9</v>
      </c>
      <c r="K412" s="133">
        <v>0.958333333333333</v>
      </c>
      <c r="L412" s="133">
        <v>0.962264150943396</v>
      </c>
      <c r="M412" s="134">
        <v>0.964285714285714</v>
      </c>
      <c r="N412" s="133">
        <v>0.975789473684211</v>
      </c>
      <c r="O412" s="135">
        <v>0.9</v>
      </c>
      <c r="P412" s="133">
        <v>0.984890878567431</v>
      </c>
      <c r="Q412" s="133">
        <v>0.990538872891814</v>
      </c>
      <c r="R412" s="133">
        <v>0.997723823975721</v>
      </c>
      <c r="S412" s="133">
        <v>0.992257857472371</v>
      </c>
      <c r="T412" s="135">
        <v>0.9</v>
      </c>
      <c r="U412" s="133">
        <v>0.857302742025741</v>
      </c>
      <c r="V412" s="133">
        <v>0.936651583710407</v>
      </c>
      <c r="W412" s="133">
        <v>0.948786039453718</v>
      </c>
      <c r="X412" s="133">
        <v>0.946105862767515</v>
      </c>
      <c r="Y412" s="135">
        <v>0.92</v>
      </c>
      <c r="Z412" s="135">
        <v>0.892324682495859</v>
      </c>
      <c r="AA412" s="135">
        <v>0.947536617842876</v>
      </c>
      <c r="AB412" s="135">
        <v>0.953499876329458</v>
      </c>
      <c r="AC412" s="135">
        <v>0.959441477241656</v>
      </c>
      <c r="AD412" s="135">
        <v>0.92</v>
      </c>
      <c r="AE412" s="133">
        <v>0.996451383960255</v>
      </c>
      <c r="AF412" s="133">
        <v>0.995511987717019</v>
      </c>
      <c r="AG412" s="133">
        <v>0.999569871917415</v>
      </c>
      <c r="AH412" s="133">
        <v>0.995899383919828</v>
      </c>
      <c r="AI412" s="135">
        <v>0.92</v>
      </c>
      <c r="AJ412" s="133">
        <v>0.917245209663982</v>
      </c>
      <c r="AK412" s="133">
        <v>0.957006626798125</v>
      </c>
      <c r="AL412" s="133">
        <v>0.967964071856287</v>
      </c>
      <c r="AM412" s="133">
        <v>0.972814885496183</v>
      </c>
      <c r="AN412" s="132">
        <v>0.99</v>
      </c>
      <c r="AO412" s="137">
        <v>1</v>
      </c>
      <c r="AP412" s="137">
        <v>1</v>
      </c>
      <c r="AQ412" s="137">
        <v>1</v>
      </c>
      <c r="AR412" s="137">
        <v>1</v>
      </c>
      <c r="AS412" s="158">
        <v>0.05</v>
      </c>
      <c r="AT412" s="141">
        <v>0</v>
      </c>
      <c r="AU412" s="141">
        <v>0</v>
      </c>
      <c r="AV412" s="141">
        <v>0.181818181818182</v>
      </c>
      <c r="AW412" s="141">
        <v>0.0553505535055351</v>
      </c>
      <c r="AX412" s="95"/>
      <c r="AY412" s="93"/>
    </row>
    <row r="413" ht="14.5" spans="1:51">
      <c r="A413" s="91"/>
      <c r="B413" s="95"/>
      <c r="C413" s="152" t="s">
        <v>375</v>
      </c>
      <c r="D413" s="153" t="s">
        <v>25</v>
      </c>
      <c r="E413" s="130" t="s">
        <v>376</v>
      </c>
      <c r="F413" s="154" t="s">
        <v>439</v>
      </c>
      <c r="G413" s="154" t="s">
        <v>439</v>
      </c>
      <c r="H413" s="154" t="s">
        <v>439</v>
      </c>
      <c r="I413" s="154" t="s">
        <v>439</v>
      </c>
      <c r="J413" s="132">
        <v>0.9</v>
      </c>
      <c r="K413" s="133">
        <v>1</v>
      </c>
      <c r="L413" s="133">
        <v>0.959183673469388</v>
      </c>
      <c r="M413" s="134">
        <v>0.98</v>
      </c>
      <c r="N413" s="133">
        <v>0.988262910798122</v>
      </c>
      <c r="O413" s="135">
        <v>0.9</v>
      </c>
      <c r="P413" s="133">
        <v>0.984738372093023</v>
      </c>
      <c r="Q413" s="133">
        <v>0.991726990692865</v>
      </c>
      <c r="R413" s="133">
        <v>0.993771234428086</v>
      </c>
      <c r="S413" s="133">
        <v>0.989025589243483</v>
      </c>
      <c r="T413" s="135">
        <v>0.9</v>
      </c>
      <c r="U413" s="133">
        <v>0.938953488372093</v>
      </c>
      <c r="V413" s="133">
        <v>0.949327817993795</v>
      </c>
      <c r="W413" s="133">
        <v>0.966024915062288</v>
      </c>
      <c r="X413" s="133">
        <v>0.963011186990142</v>
      </c>
      <c r="Y413" s="135">
        <v>0.92</v>
      </c>
      <c r="Z413" s="135">
        <v>0.933656957928803</v>
      </c>
      <c r="AA413" s="135">
        <v>0.974271012006861</v>
      </c>
      <c r="AB413" s="135">
        <v>0.974327250231983</v>
      </c>
      <c r="AC413" s="135">
        <v>0.977696106580912</v>
      </c>
      <c r="AD413" s="135">
        <v>0.92</v>
      </c>
      <c r="AE413" s="133">
        <v>0.999292786421499</v>
      </c>
      <c r="AF413" s="133">
        <v>0.997413049726933</v>
      </c>
      <c r="AG413" s="133">
        <v>0.999032414126754</v>
      </c>
      <c r="AH413" s="133">
        <v>0.997856377277599</v>
      </c>
      <c r="AI413" s="135">
        <v>0.92</v>
      </c>
      <c r="AJ413" s="133">
        <v>0.952180566182096</v>
      </c>
      <c r="AK413" s="133">
        <v>0.978973407544836</v>
      </c>
      <c r="AL413" s="133">
        <v>0.981</v>
      </c>
      <c r="AM413" s="133">
        <v>0.985108058878551</v>
      </c>
      <c r="AN413" s="132">
        <v>0.99</v>
      </c>
      <c r="AO413" s="137">
        <v>1</v>
      </c>
      <c r="AP413" s="137">
        <v>1</v>
      </c>
      <c r="AQ413" s="137">
        <v>1</v>
      </c>
      <c r="AR413" s="137">
        <v>1</v>
      </c>
      <c r="AS413" s="158">
        <v>0.05</v>
      </c>
      <c r="AT413" s="141">
        <v>0</v>
      </c>
      <c r="AU413" s="141">
        <v>0</v>
      </c>
      <c r="AV413" s="141">
        <v>0.142857142857143</v>
      </c>
      <c r="AW413" s="141">
        <v>0.0782312925170068</v>
      </c>
      <c r="AX413" s="95"/>
      <c r="AY413" s="93"/>
    </row>
    <row r="414" ht="14.5" spans="1:51">
      <c r="A414" s="91"/>
      <c r="B414" s="95"/>
      <c r="C414" s="152" t="s">
        <v>375</v>
      </c>
      <c r="D414" s="153" t="s">
        <v>25</v>
      </c>
      <c r="E414" s="130" t="s">
        <v>376</v>
      </c>
      <c r="F414" s="154" t="s">
        <v>440</v>
      </c>
      <c r="G414" s="154" t="s">
        <v>440</v>
      </c>
      <c r="H414" s="154" t="s">
        <v>440</v>
      </c>
      <c r="I414" s="154" t="s">
        <v>440</v>
      </c>
      <c r="J414" s="132">
        <v>0.9</v>
      </c>
      <c r="K414" s="133">
        <v>0.926829268292683</v>
      </c>
      <c r="L414" s="133">
        <v>0.980392156862745</v>
      </c>
      <c r="M414" s="134">
        <v>0.962264150943396</v>
      </c>
      <c r="N414" s="133">
        <v>0.96098104793757</v>
      </c>
      <c r="O414" s="135">
        <v>0.9</v>
      </c>
      <c r="P414" s="133">
        <v>0.966587112171838</v>
      </c>
      <c r="Q414" s="133">
        <v>0.970825574177529</v>
      </c>
      <c r="R414" s="133">
        <v>0.970186335403727</v>
      </c>
      <c r="S414" s="133">
        <v>0.97752555197922</v>
      </c>
      <c r="T414" s="135">
        <v>0.9</v>
      </c>
      <c r="U414" s="133">
        <v>0.921241050119332</v>
      </c>
      <c r="V414" s="133">
        <v>0.943202979515829</v>
      </c>
      <c r="W414" s="133">
        <v>0.958074534161491</v>
      </c>
      <c r="X414" s="133">
        <v>0.955427560374198</v>
      </c>
      <c r="Y414" s="135">
        <v>0.92</v>
      </c>
      <c r="Z414" s="135">
        <v>0.927517639512508</v>
      </c>
      <c r="AA414" s="135">
        <v>0.950436408977556</v>
      </c>
      <c r="AB414" s="135">
        <v>0.969862227324914</v>
      </c>
      <c r="AC414" s="135">
        <v>0.965188943522636</v>
      </c>
      <c r="AD414" s="135">
        <v>0.92</v>
      </c>
      <c r="AE414" s="133">
        <v>0.994780164625577</v>
      </c>
      <c r="AF414" s="133">
        <v>0.99366863484385</v>
      </c>
      <c r="AG414" s="133">
        <v>0.991426563598032</v>
      </c>
      <c r="AH414" s="133">
        <v>0.987967641982241</v>
      </c>
      <c r="AI414" s="135">
        <v>0.92</v>
      </c>
      <c r="AJ414" s="133">
        <v>0.938650306748466</v>
      </c>
      <c r="AK414" s="133">
        <v>0.960820895522388</v>
      </c>
      <c r="AL414" s="133">
        <v>0.975697032950649</v>
      </c>
      <c r="AM414" s="133">
        <v>0.974153639589527</v>
      </c>
      <c r="AN414" s="132">
        <v>0.99</v>
      </c>
      <c r="AO414" s="137">
        <v>1</v>
      </c>
      <c r="AP414" s="137">
        <v>1</v>
      </c>
      <c r="AQ414" s="137">
        <v>1</v>
      </c>
      <c r="AR414" s="137">
        <v>1</v>
      </c>
      <c r="AS414" s="158">
        <v>0.05</v>
      </c>
      <c r="AT414" s="141">
        <v>0.176470588235294</v>
      </c>
      <c r="AU414" s="141">
        <v>0</v>
      </c>
      <c r="AV414" s="141">
        <v>0</v>
      </c>
      <c r="AW414" s="141">
        <v>0.0376470588235294</v>
      </c>
      <c r="AX414" s="95"/>
      <c r="AY414" s="93"/>
    </row>
    <row r="415" ht="14.5" spans="1:51">
      <c r="A415" s="91"/>
      <c r="B415" s="95"/>
      <c r="C415" s="152" t="s">
        <v>375</v>
      </c>
      <c r="D415" s="153" t="s">
        <v>25</v>
      </c>
      <c r="E415" s="130" t="s">
        <v>376</v>
      </c>
      <c r="F415" s="154" t="s">
        <v>441</v>
      </c>
      <c r="G415" s="154" t="s">
        <v>441</v>
      </c>
      <c r="H415" s="154" t="s">
        <v>441</v>
      </c>
      <c r="I415" s="154" t="s">
        <v>441</v>
      </c>
      <c r="J415" s="132">
        <v>0.9</v>
      </c>
      <c r="K415" s="133">
        <v>0.962962962962963</v>
      </c>
      <c r="L415" s="133">
        <v>0.941176470588235</v>
      </c>
      <c r="M415" s="134">
        <v>0.974358974358974</v>
      </c>
      <c r="N415" s="133">
        <v>0.964630225080386</v>
      </c>
      <c r="O415" s="135">
        <v>0.9</v>
      </c>
      <c r="P415" s="133">
        <v>0.822552947910704</v>
      </c>
      <c r="Q415" s="133">
        <v>0.946554149085795</v>
      </c>
      <c r="R415" s="133">
        <v>0.948622881355932</v>
      </c>
      <c r="S415" s="133">
        <v>0.929851080506102</v>
      </c>
      <c r="T415" s="135">
        <v>0.9</v>
      </c>
      <c r="U415" s="133">
        <v>0.774470520892959</v>
      </c>
      <c r="V415" s="133">
        <v>0.914674167838725</v>
      </c>
      <c r="W415" s="133">
        <v>0.945444915254237</v>
      </c>
      <c r="X415" s="133">
        <v>0.902642481245101</v>
      </c>
      <c r="Y415" s="135">
        <v>0.92</v>
      </c>
      <c r="Z415" s="135">
        <v>0.846880907372401</v>
      </c>
      <c r="AA415" s="135">
        <v>0.975099037917374</v>
      </c>
      <c r="AB415" s="135">
        <v>0.982415005861665</v>
      </c>
      <c r="AC415" s="135">
        <v>0.971614734533256</v>
      </c>
      <c r="AD415" s="135">
        <v>0.92</v>
      </c>
      <c r="AE415" s="133">
        <v>0.99862258953168</v>
      </c>
      <c r="AF415" s="133">
        <v>0.993528505392912</v>
      </c>
      <c r="AG415" s="133">
        <v>0.981389578163772</v>
      </c>
      <c r="AH415" s="133">
        <v>0.972456122202683</v>
      </c>
      <c r="AI415" s="135">
        <v>0.92</v>
      </c>
      <c r="AJ415" s="133">
        <v>0.827868852459016</v>
      </c>
      <c r="AK415" s="133">
        <v>0.982316760635571</v>
      </c>
      <c r="AL415" s="133">
        <v>0.990818030050084</v>
      </c>
      <c r="AM415" s="133">
        <v>0.975249453150751</v>
      </c>
      <c r="AN415" s="132">
        <v>0.99</v>
      </c>
      <c r="AO415" s="137">
        <v>1</v>
      </c>
      <c r="AP415" s="137">
        <v>1</v>
      </c>
      <c r="AQ415" s="137">
        <v>1</v>
      </c>
      <c r="AR415" s="137">
        <v>1</v>
      </c>
      <c r="AS415" s="158">
        <v>0.05</v>
      </c>
      <c r="AT415" s="141">
        <v>0.00276243093922652</v>
      </c>
      <c r="AU415" s="141">
        <v>0.00506329113924051</v>
      </c>
      <c r="AV415" s="141">
        <v>0.00604229607250755</v>
      </c>
      <c r="AW415" s="141">
        <v>0.00616113744075829</v>
      </c>
      <c r="AX415" s="95"/>
      <c r="AY415" s="93"/>
    </row>
    <row r="416" ht="14.5" spans="1:51">
      <c r="A416" s="91"/>
      <c r="B416" s="95"/>
      <c r="C416" s="152" t="s">
        <v>375</v>
      </c>
      <c r="D416" s="153" t="s">
        <v>25</v>
      </c>
      <c r="E416" s="130" t="s">
        <v>376</v>
      </c>
      <c r="F416" s="154" t="s">
        <v>442</v>
      </c>
      <c r="G416" s="154" t="s">
        <v>442</v>
      </c>
      <c r="H416" s="154" t="s">
        <v>442</v>
      </c>
      <c r="I416" s="154" t="s">
        <v>442</v>
      </c>
      <c r="J416" s="132">
        <v>0.9</v>
      </c>
      <c r="K416" s="133">
        <v>0.875</v>
      </c>
      <c r="L416" s="133">
        <v>0.921052631578947</v>
      </c>
      <c r="M416" s="134">
        <v>0.936170212765957</v>
      </c>
      <c r="N416" s="133">
        <v>0.931210191082803</v>
      </c>
      <c r="O416" s="135">
        <v>0.9</v>
      </c>
      <c r="P416" s="133">
        <v>0.972767857142857</v>
      </c>
      <c r="Q416" s="133">
        <v>0.965376023827252</v>
      </c>
      <c r="R416" s="133">
        <v>0.988052136133237</v>
      </c>
      <c r="S416" s="133">
        <v>0.981580161960307</v>
      </c>
      <c r="T416" s="135">
        <v>0.9</v>
      </c>
      <c r="U416" s="133">
        <v>0.883482142857143</v>
      </c>
      <c r="V416" s="133">
        <v>0.891288160833954</v>
      </c>
      <c r="W416" s="133">
        <v>0.923606082548878</v>
      </c>
      <c r="X416" s="133">
        <v>0.919187680946587</v>
      </c>
      <c r="Y416" s="135">
        <v>0.92</v>
      </c>
      <c r="Z416" s="135">
        <v>0.9</v>
      </c>
      <c r="AA416" s="135">
        <v>0.908260524225576</v>
      </c>
      <c r="AB416" s="135">
        <v>0.939314966492926</v>
      </c>
      <c r="AC416" s="135">
        <v>0.930547725889012</v>
      </c>
      <c r="AD416" s="135">
        <v>0.92</v>
      </c>
      <c r="AE416" s="133">
        <v>0.999319110304131</v>
      </c>
      <c r="AF416" s="133">
        <v>0.998185117967332</v>
      </c>
      <c r="AG416" s="133">
        <v>0.992701873081501</v>
      </c>
      <c r="AH416" s="133">
        <v>0.979013100332003</v>
      </c>
      <c r="AI416" s="135">
        <v>0.92</v>
      </c>
      <c r="AJ416" s="133">
        <v>0.922617354196302</v>
      </c>
      <c r="AK416" s="133">
        <v>0.930710172744722</v>
      </c>
      <c r="AL416" s="133">
        <v>0.962074019787468</v>
      </c>
      <c r="AM416" s="133">
        <v>0.953117196152092</v>
      </c>
      <c r="AN416" s="132">
        <v>0.99</v>
      </c>
      <c r="AO416" s="137">
        <v>1</v>
      </c>
      <c r="AP416" s="137">
        <v>1</v>
      </c>
      <c r="AQ416" s="137">
        <v>1</v>
      </c>
      <c r="AR416" s="137">
        <v>1</v>
      </c>
      <c r="AS416" s="158">
        <v>0.05</v>
      </c>
      <c r="AT416" s="141">
        <v>0.105263157894737</v>
      </c>
      <c r="AU416" s="141">
        <v>0.0909090909090909</v>
      </c>
      <c r="AV416" s="141">
        <v>0.133333333333333</v>
      </c>
      <c r="AW416" s="141">
        <v>0.0692307692307692</v>
      </c>
      <c r="AX416" s="95"/>
      <c r="AY416" s="93"/>
    </row>
    <row r="417" ht="14.5" spans="1:51">
      <c r="A417" s="91"/>
      <c r="B417" s="95"/>
      <c r="C417" s="152" t="s">
        <v>375</v>
      </c>
      <c r="D417" s="153" t="s">
        <v>25</v>
      </c>
      <c r="E417" s="130" t="s">
        <v>376</v>
      </c>
      <c r="F417" s="154" t="s">
        <v>443</v>
      </c>
      <c r="G417" s="154" t="s">
        <v>443</v>
      </c>
      <c r="H417" s="154" t="s">
        <v>443</v>
      </c>
      <c r="I417" s="154" t="s">
        <v>443</v>
      </c>
      <c r="J417" s="132">
        <v>0.9</v>
      </c>
      <c r="K417" s="133">
        <v>0.9625</v>
      </c>
      <c r="L417" s="133">
        <v>0.977777777777778</v>
      </c>
      <c r="M417" s="134">
        <v>0.98989898989899</v>
      </c>
      <c r="N417" s="133">
        <v>0.976076555023923</v>
      </c>
      <c r="O417" s="135">
        <v>0.9</v>
      </c>
      <c r="P417" s="133">
        <v>0.97450014488554</v>
      </c>
      <c r="Q417" s="133">
        <v>0.98140770252324</v>
      </c>
      <c r="R417" s="133">
        <v>0.988041237113402</v>
      </c>
      <c r="S417" s="133">
        <v>0.982184558345571</v>
      </c>
      <c r="T417" s="135">
        <v>0.9</v>
      </c>
      <c r="U417" s="133">
        <v>0.920892494929006</v>
      </c>
      <c r="V417" s="133">
        <v>0.945772465692784</v>
      </c>
      <c r="W417" s="133">
        <v>0.970309278350516</v>
      </c>
      <c r="X417" s="133">
        <v>0.959229121024629</v>
      </c>
      <c r="Y417" s="135">
        <v>0.92</v>
      </c>
      <c r="Z417" s="135">
        <v>0.933109118086697</v>
      </c>
      <c r="AA417" s="135">
        <v>0.952762477048907</v>
      </c>
      <c r="AB417" s="135">
        <v>0.971419930440042</v>
      </c>
      <c r="AC417" s="135">
        <v>0.964439954039384</v>
      </c>
      <c r="AD417" s="135">
        <v>0.92</v>
      </c>
      <c r="AE417" s="133">
        <v>0.798810447375226</v>
      </c>
      <c r="AF417" s="133">
        <v>0.99771144278607</v>
      </c>
      <c r="AG417" s="133">
        <v>0.997859516701403</v>
      </c>
      <c r="AH417" s="133">
        <v>0.983269064817665</v>
      </c>
      <c r="AI417" s="135">
        <v>0.92</v>
      </c>
      <c r="AJ417" s="133">
        <v>0.952831728415211</v>
      </c>
      <c r="AK417" s="133">
        <v>0.966324200913242</v>
      </c>
      <c r="AL417" s="133">
        <v>0.979326587578507</v>
      </c>
      <c r="AM417" s="133">
        <v>0.975885754622214</v>
      </c>
      <c r="AN417" s="132">
        <v>0.99</v>
      </c>
      <c r="AO417" s="137">
        <v>1</v>
      </c>
      <c r="AP417" s="137">
        <v>1</v>
      </c>
      <c r="AQ417" s="137">
        <v>1</v>
      </c>
      <c r="AR417" s="137">
        <v>1</v>
      </c>
      <c r="AS417" s="158">
        <v>0.05</v>
      </c>
      <c r="AT417" s="141">
        <v>0.0555555555555556</v>
      </c>
      <c r="AU417" s="141">
        <v>0.0625</v>
      </c>
      <c r="AV417" s="141">
        <v>0.0571428571428571</v>
      </c>
      <c r="AW417" s="141">
        <v>0.0355113636363636</v>
      </c>
      <c r="AX417" s="95"/>
      <c r="AY417" s="93"/>
    </row>
    <row r="418" ht="14.5" spans="1:51">
      <c r="A418" s="91"/>
      <c r="B418" s="95"/>
      <c r="C418" s="152" t="s">
        <v>375</v>
      </c>
      <c r="D418" s="153" t="s">
        <v>25</v>
      </c>
      <c r="E418" s="130" t="s">
        <v>376</v>
      </c>
      <c r="F418" s="154" t="s">
        <v>444</v>
      </c>
      <c r="G418" s="154" t="s">
        <v>444</v>
      </c>
      <c r="H418" s="154" t="s">
        <v>444</v>
      </c>
      <c r="I418" s="154" t="s">
        <v>444</v>
      </c>
      <c r="J418" s="132">
        <v>0.9</v>
      </c>
      <c r="K418" s="133">
        <v>0.983606557377049</v>
      </c>
      <c r="L418" s="133">
        <v>1</v>
      </c>
      <c r="M418" s="134">
        <v>1</v>
      </c>
      <c r="N418" s="133">
        <v>0.992125984251969</v>
      </c>
      <c r="O418" s="135">
        <v>0.9</v>
      </c>
      <c r="P418" s="133">
        <v>0.989356040447046</v>
      </c>
      <c r="Q418" s="133">
        <v>0.995331777259086</v>
      </c>
      <c r="R418" s="133">
        <v>0.990519529768677</v>
      </c>
      <c r="S418" s="133">
        <v>0.991732579363659</v>
      </c>
      <c r="T418" s="135">
        <v>0.9</v>
      </c>
      <c r="U418" s="133">
        <v>0.925492283129324</v>
      </c>
      <c r="V418" s="133">
        <v>0.961653884628209</v>
      </c>
      <c r="W418" s="133">
        <v>0.9677664012135</v>
      </c>
      <c r="X418" s="133">
        <v>0.964657671522136</v>
      </c>
      <c r="Y418" s="135">
        <v>0.92</v>
      </c>
      <c r="Z418" s="135">
        <v>0.96476241324079</v>
      </c>
      <c r="AA418" s="135">
        <v>0.978230662343678</v>
      </c>
      <c r="AB418" s="135">
        <v>0.985872470408553</v>
      </c>
      <c r="AC418" s="135">
        <v>0.984412869607368</v>
      </c>
      <c r="AD418" s="135">
        <v>0.92</v>
      </c>
      <c r="AE418" s="133">
        <v>0.995161290322581</v>
      </c>
      <c r="AF418" s="133">
        <v>0.985739750445633</v>
      </c>
      <c r="AG418" s="133">
        <v>0.989543726235741</v>
      </c>
      <c r="AH418" s="133">
        <v>0.992661683012139</v>
      </c>
      <c r="AI418" s="135">
        <v>0.92</v>
      </c>
      <c r="AJ418" s="133">
        <v>0.974147121535181</v>
      </c>
      <c r="AK418" s="133">
        <v>0.982511272031698</v>
      </c>
      <c r="AL418" s="133">
        <v>0.989596549099213</v>
      </c>
      <c r="AM418" s="133">
        <v>0.989687763851432</v>
      </c>
      <c r="AN418" s="132">
        <v>0.99</v>
      </c>
      <c r="AO418" s="137">
        <v>1</v>
      </c>
      <c r="AP418" s="137">
        <v>1</v>
      </c>
      <c r="AQ418" s="137">
        <v>1</v>
      </c>
      <c r="AR418" s="137">
        <v>1</v>
      </c>
      <c r="AS418" s="158">
        <v>0.05</v>
      </c>
      <c r="AT418" s="141">
        <v>0.0833333333333333</v>
      </c>
      <c r="AU418" s="141">
        <v>0.0882352941176471</v>
      </c>
      <c r="AV418" s="141">
        <v>0.0588235294117647</v>
      </c>
      <c r="AW418" s="141">
        <v>0.0464135021097046</v>
      </c>
      <c r="AX418" s="95"/>
      <c r="AY418" s="93"/>
    </row>
    <row r="419" ht="14.5" spans="1:51">
      <c r="A419" s="91"/>
      <c r="B419" s="95"/>
      <c r="C419" s="152" t="s">
        <v>375</v>
      </c>
      <c r="D419" s="153" t="s">
        <v>25</v>
      </c>
      <c r="E419" s="130" t="s">
        <v>376</v>
      </c>
      <c r="F419" s="154" t="s">
        <v>445</v>
      </c>
      <c r="G419" s="154" t="s">
        <v>445</v>
      </c>
      <c r="H419" s="154" t="s">
        <v>445</v>
      </c>
      <c r="I419" s="154" t="s">
        <v>445</v>
      </c>
      <c r="J419" s="132">
        <v>0.9</v>
      </c>
      <c r="K419" s="133">
        <v>1</v>
      </c>
      <c r="L419" s="133">
        <v>1</v>
      </c>
      <c r="M419" s="134">
        <v>0.96875</v>
      </c>
      <c r="N419" s="133">
        <v>0.989651928504233</v>
      </c>
      <c r="O419" s="135">
        <v>0.9</v>
      </c>
      <c r="P419" s="133">
        <v>0.965056082830026</v>
      </c>
      <c r="Q419" s="133">
        <v>0.899234931890278</v>
      </c>
      <c r="R419" s="133">
        <v>0.922480620155039</v>
      </c>
      <c r="S419" s="133">
        <v>0.952115045384984</v>
      </c>
      <c r="T419" s="135">
        <v>0.9</v>
      </c>
      <c r="U419" s="133">
        <v>0.95060396893874</v>
      </c>
      <c r="V419" s="133">
        <v>0.943646202649748</v>
      </c>
      <c r="W419" s="133">
        <v>0.965116279069767</v>
      </c>
      <c r="X419" s="133">
        <v>0.948540320790645</v>
      </c>
      <c r="Y419" s="135">
        <v>0.92</v>
      </c>
      <c r="Z419" s="135">
        <v>0.93994575745835</v>
      </c>
      <c r="AA419" s="135">
        <v>0.938174460431655</v>
      </c>
      <c r="AB419" s="135">
        <v>0.959205933682374</v>
      </c>
      <c r="AC419" s="135">
        <v>0.950189959484656</v>
      </c>
      <c r="AD419" s="135">
        <v>0.92</v>
      </c>
      <c r="AE419" s="133">
        <v>0.988399570354458</v>
      </c>
      <c r="AF419" s="133">
        <v>0.991169097538742</v>
      </c>
      <c r="AG419" s="133">
        <v>0.984339359275525</v>
      </c>
      <c r="AH419" s="133">
        <v>0.958774443859546</v>
      </c>
      <c r="AI419" s="135">
        <v>0.92</v>
      </c>
      <c r="AJ419" s="133">
        <v>0.959828231056933</v>
      </c>
      <c r="AK419" s="133">
        <v>0.95779386277908</v>
      </c>
      <c r="AL419" s="133">
        <v>0.976807639836289</v>
      </c>
      <c r="AM419" s="133">
        <v>0.968304924966241</v>
      </c>
      <c r="AN419" s="132">
        <v>0.99</v>
      </c>
      <c r="AO419" s="137">
        <v>1</v>
      </c>
      <c r="AP419" s="137">
        <v>1</v>
      </c>
      <c r="AQ419" s="137">
        <v>1</v>
      </c>
      <c r="AR419" s="137">
        <v>1</v>
      </c>
      <c r="AS419" s="158">
        <v>0.05</v>
      </c>
      <c r="AT419" s="141">
        <v>0.0375</v>
      </c>
      <c r="AU419" s="141">
        <v>0</v>
      </c>
      <c r="AV419" s="141">
        <v>0.015625</v>
      </c>
      <c r="AW419" s="141">
        <v>0.0183028286189684</v>
      </c>
      <c r="AX419" s="95"/>
      <c r="AY419" s="93"/>
    </row>
    <row r="420" ht="14.5" spans="1:51">
      <c r="A420" s="91"/>
      <c r="B420" s="95"/>
      <c r="C420" s="152" t="s">
        <v>375</v>
      </c>
      <c r="D420" s="153" t="s">
        <v>25</v>
      </c>
      <c r="E420" s="130" t="s">
        <v>376</v>
      </c>
      <c r="F420" s="154" t="s">
        <v>446</v>
      </c>
      <c r="G420" s="154" t="s">
        <v>446</v>
      </c>
      <c r="H420" s="154" t="s">
        <v>446</v>
      </c>
      <c r="I420" s="154" t="s">
        <v>446</v>
      </c>
      <c r="J420" s="132">
        <v>0.9</v>
      </c>
      <c r="K420" s="133">
        <v>0.978260869565217</v>
      </c>
      <c r="L420" s="133">
        <v>0.980392156862745</v>
      </c>
      <c r="M420" s="134">
        <v>0.959183673469388</v>
      </c>
      <c r="N420" s="133">
        <v>0.935323383084577</v>
      </c>
      <c r="O420" s="135">
        <v>0.9</v>
      </c>
      <c r="P420" s="133">
        <v>0.916666666666667</v>
      </c>
      <c r="Q420" s="133">
        <v>0.921451104100946</v>
      </c>
      <c r="R420" s="133">
        <v>0.983477901693515</v>
      </c>
      <c r="S420" s="133">
        <v>0.928606192205458</v>
      </c>
      <c r="T420" s="135">
        <v>0.9</v>
      </c>
      <c r="U420" s="133">
        <v>0.777777777777778</v>
      </c>
      <c r="V420" s="133">
        <v>0.850473186119874</v>
      </c>
      <c r="W420" s="133">
        <v>0.932259396943412</v>
      </c>
      <c r="X420" s="133">
        <v>0.871195387668002</v>
      </c>
      <c r="Y420" s="135">
        <v>0.92</v>
      </c>
      <c r="Z420" s="135">
        <v>0.687055476529161</v>
      </c>
      <c r="AA420" s="135">
        <v>0.880044843049327</v>
      </c>
      <c r="AB420" s="135">
        <v>0.908372827804107</v>
      </c>
      <c r="AC420" s="135">
        <v>0.901879216855002</v>
      </c>
      <c r="AD420" s="135">
        <v>0.92</v>
      </c>
      <c r="AE420" s="133">
        <v>0.996223743214539</v>
      </c>
      <c r="AF420" s="133">
        <v>0.990485419786803</v>
      </c>
      <c r="AG420" s="133">
        <v>0.996704559969345</v>
      </c>
      <c r="AH420" s="133">
        <v>0.993274610286057</v>
      </c>
      <c r="AI420" s="135">
        <v>0.92</v>
      </c>
      <c r="AJ420" s="133">
        <v>0.779531568228106</v>
      </c>
      <c r="AK420" s="133">
        <v>0.908205128205128</v>
      </c>
      <c r="AL420" s="133">
        <v>0.938647830474268</v>
      </c>
      <c r="AM420" s="133">
        <v>0.930990145655844</v>
      </c>
      <c r="AN420" s="132">
        <v>0.99</v>
      </c>
      <c r="AO420" s="137">
        <v>1</v>
      </c>
      <c r="AP420" s="137">
        <v>1</v>
      </c>
      <c r="AQ420" s="137">
        <v>1</v>
      </c>
      <c r="AR420" s="137">
        <v>1</v>
      </c>
      <c r="AS420" s="158">
        <v>0.05</v>
      </c>
      <c r="AT420" s="141">
        <v>0.09375</v>
      </c>
      <c r="AU420" s="141">
        <v>0.0333333333333333</v>
      </c>
      <c r="AV420" s="141">
        <v>0</v>
      </c>
      <c r="AW420" s="141">
        <v>0.0303712035995501</v>
      </c>
      <c r="AX420" s="95"/>
      <c r="AY420" s="93"/>
    </row>
    <row r="421" ht="14.5" spans="1:51">
      <c r="A421" s="91"/>
      <c r="B421" s="95"/>
      <c r="C421" s="152" t="s">
        <v>375</v>
      </c>
      <c r="D421" s="153" t="s">
        <v>25</v>
      </c>
      <c r="E421" s="130" t="s">
        <v>376</v>
      </c>
      <c r="F421" s="154" t="s">
        <v>447</v>
      </c>
      <c r="G421" s="154" t="s">
        <v>447</v>
      </c>
      <c r="H421" s="154" t="s">
        <v>447</v>
      </c>
      <c r="I421" s="154" t="s">
        <v>447</v>
      </c>
      <c r="J421" s="132">
        <v>0.9</v>
      </c>
      <c r="K421" s="133">
        <v>1</v>
      </c>
      <c r="L421" s="133">
        <v>1</v>
      </c>
      <c r="M421" s="134">
        <v>1</v>
      </c>
      <c r="N421" s="133">
        <v>0.982503364737551</v>
      </c>
      <c r="O421" s="135">
        <v>0.9</v>
      </c>
      <c r="P421" s="133">
        <v>1</v>
      </c>
      <c r="Q421" s="133">
        <v>0.985989492119089</v>
      </c>
      <c r="R421" s="133">
        <v>0.982173663024727</v>
      </c>
      <c r="S421" s="133">
        <v>0.990273995442672</v>
      </c>
      <c r="T421" s="135">
        <v>0.9</v>
      </c>
      <c r="U421" s="133">
        <v>0.770097670924117</v>
      </c>
      <c r="V421" s="133">
        <v>0.974897840046702</v>
      </c>
      <c r="W421" s="133">
        <v>0.967222541690627</v>
      </c>
      <c r="X421" s="133">
        <v>0.966542544322792</v>
      </c>
      <c r="Y421" s="135">
        <v>0.92</v>
      </c>
      <c r="Z421" s="135">
        <v>0.933212996389892</v>
      </c>
      <c r="AA421" s="135">
        <v>0.970323065364388</v>
      </c>
      <c r="AB421" s="135">
        <v>0.97888</v>
      </c>
      <c r="AC421" s="135">
        <v>0.978469772533755</v>
      </c>
      <c r="AD421" s="135">
        <v>0.92</v>
      </c>
      <c r="AE421" s="133">
        <v>0.777777777777778</v>
      </c>
      <c r="AF421" s="133">
        <v>0.996905940594059</v>
      </c>
      <c r="AG421" s="133">
        <v>0.998632010943912</v>
      </c>
      <c r="AH421" s="133">
        <v>0.995109462697345</v>
      </c>
      <c r="AI421" s="135">
        <v>0.92</v>
      </c>
      <c r="AJ421" s="133">
        <v>0.950409836065574</v>
      </c>
      <c r="AK421" s="133">
        <v>0.978747714808044</v>
      </c>
      <c r="AL421" s="133">
        <v>0.983980283425755</v>
      </c>
      <c r="AM421" s="133">
        <v>0.984966693450144</v>
      </c>
      <c r="AN421" s="132">
        <v>0.99</v>
      </c>
      <c r="AO421" s="137">
        <v>1</v>
      </c>
      <c r="AP421" s="137">
        <v>1</v>
      </c>
      <c r="AQ421" s="137">
        <v>1</v>
      </c>
      <c r="AR421" s="137">
        <v>1</v>
      </c>
      <c r="AS421" s="158">
        <v>0.05</v>
      </c>
      <c r="AT421" s="141">
        <v>0</v>
      </c>
      <c r="AU421" s="141">
        <v>0</v>
      </c>
      <c r="AV421" s="141">
        <v>0</v>
      </c>
      <c r="AW421" s="141">
        <v>0.0171673819742489</v>
      </c>
      <c r="AX421" s="95"/>
      <c r="AY421" s="93"/>
    </row>
    <row r="422" ht="14.5" spans="1:51">
      <c r="A422" s="91"/>
      <c r="B422" s="95"/>
      <c r="C422" s="152" t="s">
        <v>375</v>
      </c>
      <c r="D422" s="153" t="s">
        <v>25</v>
      </c>
      <c r="E422" s="130" t="s">
        <v>376</v>
      </c>
      <c r="F422" s="154" t="s">
        <v>448</v>
      </c>
      <c r="G422" s="154" t="s">
        <v>448</v>
      </c>
      <c r="H422" s="154" t="s">
        <v>448</v>
      </c>
      <c r="I422" s="154" t="s">
        <v>448</v>
      </c>
      <c r="J422" s="132">
        <v>0.9</v>
      </c>
      <c r="K422" s="133">
        <v>1</v>
      </c>
      <c r="L422" s="133">
        <v>0.977777777777778</v>
      </c>
      <c r="M422" s="134">
        <v>1</v>
      </c>
      <c r="N422" s="133">
        <v>0.992537313432836</v>
      </c>
      <c r="O422" s="135">
        <v>0.9</v>
      </c>
      <c r="P422" s="133">
        <v>0.992429977289932</v>
      </c>
      <c r="Q422" s="133">
        <v>0.995071193866375</v>
      </c>
      <c r="R422" s="133">
        <v>0.991090146750524</v>
      </c>
      <c r="S422" s="133">
        <v>0.992747915365185</v>
      </c>
      <c r="T422" s="135">
        <v>0.9</v>
      </c>
      <c r="U422" s="133">
        <v>0.921271763815291</v>
      </c>
      <c r="V422" s="133">
        <v>0.968784227820372</v>
      </c>
      <c r="W422" s="133">
        <v>0.977987421383648</v>
      </c>
      <c r="X422" s="133">
        <v>0.970747209169677</v>
      </c>
      <c r="Y422" s="135">
        <v>0.92</v>
      </c>
      <c r="Z422" s="135">
        <v>0.927058823529412</v>
      </c>
      <c r="AA422" s="135">
        <v>0.968898646176363</v>
      </c>
      <c r="AB422" s="135">
        <v>0.9822263797942</v>
      </c>
      <c r="AC422" s="135">
        <v>0.97696118512818</v>
      </c>
      <c r="AD422" s="135">
        <v>0.92</v>
      </c>
      <c r="AE422" s="133">
        <v>0.999259697956766</v>
      </c>
      <c r="AF422" s="133">
        <v>0.988953783646521</v>
      </c>
      <c r="AG422" s="133">
        <v>0.992486499178211</v>
      </c>
      <c r="AH422" s="133">
        <v>0.988803045571604</v>
      </c>
      <c r="AI422" s="135">
        <v>0.92</v>
      </c>
      <c r="AJ422" s="133">
        <v>0.944572748267898</v>
      </c>
      <c r="AK422" s="133">
        <v>0.9778557333918</v>
      </c>
      <c r="AL422" s="133">
        <v>0.987101817471175</v>
      </c>
      <c r="AM422" s="133">
        <v>0.984438525164727</v>
      </c>
      <c r="AN422" s="132">
        <v>0.99</v>
      </c>
      <c r="AO422" s="137">
        <v>1</v>
      </c>
      <c r="AP422" s="137">
        <v>1</v>
      </c>
      <c r="AQ422" s="137">
        <v>1</v>
      </c>
      <c r="AR422" s="137">
        <v>1</v>
      </c>
      <c r="AS422" s="158">
        <v>0.05</v>
      </c>
      <c r="AT422" s="141">
        <v>0</v>
      </c>
      <c r="AU422" s="141">
        <v>0</v>
      </c>
      <c r="AV422" s="141">
        <v>0.0714285714285714</v>
      </c>
      <c r="AW422" s="141">
        <v>0.029126213592233</v>
      </c>
      <c r="AX422" s="95"/>
      <c r="AY422" s="93"/>
    </row>
    <row r="423" ht="14.5" spans="1:51">
      <c r="A423" s="91"/>
      <c r="B423" s="95"/>
      <c r="C423" s="152" t="s">
        <v>375</v>
      </c>
      <c r="D423" s="153" t="s">
        <v>25</v>
      </c>
      <c r="E423" s="130" t="s">
        <v>376</v>
      </c>
      <c r="F423" s="154" t="s">
        <v>449</v>
      </c>
      <c r="G423" s="154" t="s">
        <v>449</v>
      </c>
      <c r="H423" s="154" t="s">
        <v>449</v>
      </c>
      <c r="I423" s="154" t="s">
        <v>449</v>
      </c>
      <c r="J423" s="132">
        <v>0.9</v>
      </c>
      <c r="K423" s="133">
        <v>0.846153846153846</v>
      </c>
      <c r="L423" s="133">
        <v>0.966666666666667</v>
      </c>
      <c r="M423" s="134">
        <v>0.931034482758621</v>
      </c>
      <c r="N423" s="133">
        <v>0.914285714285714</v>
      </c>
      <c r="O423" s="135">
        <v>0.9</v>
      </c>
      <c r="P423" s="133">
        <v>0.947075208913649</v>
      </c>
      <c r="Q423" s="133">
        <v>0.936448598130841</v>
      </c>
      <c r="R423" s="133">
        <v>0.938320209973753</v>
      </c>
      <c r="S423" s="133">
        <v>0.94786066922655</v>
      </c>
      <c r="T423" s="135">
        <v>0.9</v>
      </c>
      <c r="U423" s="133">
        <v>0.885236768802228</v>
      </c>
      <c r="V423" s="133">
        <v>0.905607476635514</v>
      </c>
      <c r="W423" s="133">
        <v>0.915573053368329</v>
      </c>
      <c r="X423" s="133">
        <v>0.921969281404279</v>
      </c>
      <c r="Y423" s="135">
        <v>0.92</v>
      </c>
      <c r="Z423" s="135">
        <v>0.886446886446886</v>
      </c>
      <c r="AA423" s="135">
        <v>0.892788461538462</v>
      </c>
      <c r="AB423" s="135">
        <v>0.949337121212121</v>
      </c>
      <c r="AC423" s="135">
        <v>0.932675287270109</v>
      </c>
      <c r="AD423" s="135">
        <v>0.92</v>
      </c>
      <c r="AE423" s="133">
        <v>0.998374262000513</v>
      </c>
      <c r="AF423" s="133">
        <v>0.996863513844646</v>
      </c>
      <c r="AG423" s="133">
        <v>0.99765625</v>
      </c>
      <c r="AH423" s="133">
        <v>0.996570842832025</v>
      </c>
      <c r="AI423" s="135">
        <v>0.92</v>
      </c>
      <c r="AJ423" s="133">
        <v>0.910597169485675</v>
      </c>
      <c r="AK423" s="133">
        <v>0.912426035502959</v>
      </c>
      <c r="AL423" s="133">
        <v>0.958919655015887</v>
      </c>
      <c r="AM423" s="133">
        <v>0.951257186990475</v>
      </c>
      <c r="AN423" s="132">
        <v>0.99</v>
      </c>
      <c r="AO423" s="137">
        <v>1</v>
      </c>
      <c r="AP423" s="137">
        <v>1</v>
      </c>
      <c r="AQ423" s="137">
        <v>1</v>
      </c>
      <c r="AR423" s="137">
        <v>1</v>
      </c>
      <c r="AS423" s="158">
        <v>0.05</v>
      </c>
      <c r="AT423" s="141">
        <v>0</v>
      </c>
      <c r="AU423" s="141">
        <v>0.0341880341880342</v>
      </c>
      <c r="AV423" s="141">
        <v>0.00555555555555556</v>
      </c>
      <c r="AW423" s="141">
        <v>0.0076530612244898</v>
      </c>
      <c r="AX423" s="95"/>
      <c r="AY423" s="93"/>
    </row>
    <row r="424" ht="14.5" spans="1:51">
      <c r="A424" s="91"/>
      <c r="B424" s="95"/>
      <c r="C424" s="152" t="s">
        <v>375</v>
      </c>
      <c r="D424" s="153" t="s">
        <v>25</v>
      </c>
      <c r="E424" s="130" t="s">
        <v>376</v>
      </c>
      <c r="F424" s="154" t="s">
        <v>450</v>
      </c>
      <c r="G424" s="154" t="s">
        <v>450</v>
      </c>
      <c r="H424" s="154" t="s">
        <v>450</v>
      </c>
      <c r="I424" s="154" t="s">
        <v>450</v>
      </c>
      <c r="J424" s="132">
        <v>0.9</v>
      </c>
      <c r="K424" s="133">
        <v>0.909090909090909</v>
      </c>
      <c r="L424" s="133">
        <v>0.96969696969697</v>
      </c>
      <c r="M424" s="134">
        <v>0.926829268292683</v>
      </c>
      <c r="N424" s="133">
        <v>0.906295754026354</v>
      </c>
      <c r="O424" s="135">
        <v>0.9</v>
      </c>
      <c r="P424" s="133">
        <v>0.958823529411765</v>
      </c>
      <c r="Q424" s="133">
        <v>0.923312883435583</v>
      </c>
      <c r="R424" s="133">
        <v>0.940894568690096</v>
      </c>
      <c r="S424" s="133">
        <v>0.961248947655128</v>
      </c>
      <c r="T424" s="135">
        <v>0.9</v>
      </c>
      <c r="U424" s="133">
        <v>0.884313725490196</v>
      </c>
      <c r="V424" s="133">
        <v>0.919368974583698</v>
      </c>
      <c r="W424" s="133">
        <v>0.930111821086262</v>
      </c>
      <c r="X424" s="133">
        <v>0.918362798989749</v>
      </c>
      <c r="Y424" s="135">
        <v>0.92</v>
      </c>
      <c r="Z424" s="135">
        <v>0.905189620758483</v>
      </c>
      <c r="AA424" s="135">
        <v>0.937117903930131</v>
      </c>
      <c r="AB424" s="135">
        <v>0.94515612489992</v>
      </c>
      <c r="AC424" s="135">
        <v>0.93986225432555</v>
      </c>
      <c r="AD424" s="135">
        <v>0.92</v>
      </c>
      <c r="AE424" s="133">
        <v>0.991549975857074</v>
      </c>
      <c r="AF424" s="133">
        <v>0.995025563078624</v>
      </c>
      <c r="AG424" s="133">
        <v>0.998323812130127</v>
      </c>
      <c r="AH424" s="133">
        <v>0.998430015851009</v>
      </c>
      <c r="AI424" s="135">
        <v>0.92</v>
      </c>
      <c r="AJ424" s="133">
        <v>0.935589878409464</v>
      </c>
      <c r="AK424" s="133">
        <v>0.950382513661202</v>
      </c>
      <c r="AL424" s="133">
        <v>0.959040959040959</v>
      </c>
      <c r="AM424" s="133">
        <v>0.957301866484656</v>
      </c>
      <c r="AN424" s="132">
        <v>0.99</v>
      </c>
      <c r="AO424" s="137">
        <v>1</v>
      </c>
      <c r="AP424" s="137">
        <v>1</v>
      </c>
      <c r="AQ424" s="137">
        <v>1</v>
      </c>
      <c r="AR424" s="137">
        <v>1</v>
      </c>
      <c r="AS424" s="158">
        <v>0.05</v>
      </c>
      <c r="AT424" s="141">
        <v>0.222222222222222</v>
      </c>
      <c r="AU424" s="141">
        <v>0</v>
      </c>
      <c r="AV424" s="141">
        <v>0.0555555555555556</v>
      </c>
      <c r="AW424" s="141">
        <v>0.0606060606060606</v>
      </c>
      <c r="AX424" s="95"/>
      <c r="AY424" s="93"/>
    </row>
    <row r="425" ht="14.5" spans="1:51">
      <c r="A425" s="91"/>
      <c r="B425" s="95"/>
      <c r="C425" s="152" t="s">
        <v>375</v>
      </c>
      <c r="D425" s="153" t="s">
        <v>25</v>
      </c>
      <c r="E425" s="130" t="s">
        <v>376</v>
      </c>
      <c r="F425" s="154" t="s">
        <v>451</v>
      </c>
      <c r="G425" s="154" t="s">
        <v>451</v>
      </c>
      <c r="H425" s="154" t="s">
        <v>451</v>
      </c>
      <c r="I425" s="154" t="s">
        <v>451</v>
      </c>
      <c r="J425" s="132">
        <v>0.9</v>
      </c>
      <c r="K425" s="133">
        <v>1</v>
      </c>
      <c r="L425" s="133">
        <v>1</v>
      </c>
      <c r="M425" s="134">
        <v>1</v>
      </c>
      <c r="N425" s="133">
        <v>0.973684210526316</v>
      </c>
      <c r="O425" s="135">
        <v>0.9</v>
      </c>
      <c r="P425" s="133">
        <v>0.98627316403569</v>
      </c>
      <c r="Q425" s="133">
        <v>0.990362811791383</v>
      </c>
      <c r="R425" s="133">
        <v>0.991939817302526</v>
      </c>
      <c r="S425" s="133">
        <v>0.991143267011788</v>
      </c>
      <c r="T425" s="135">
        <v>0.9</v>
      </c>
      <c r="U425" s="133">
        <v>0.930679478380233</v>
      </c>
      <c r="V425" s="133">
        <v>0.952380952380952</v>
      </c>
      <c r="W425" s="133">
        <v>0.961848468565287</v>
      </c>
      <c r="X425" s="133">
        <v>0.950165284101541</v>
      </c>
      <c r="Y425" s="135">
        <v>0.92</v>
      </c>
      <c r="Z425" s="135">
        <v>0.84765625</v>
      </c>
      <c r="AA425" s="135">
        <v>0.914893617021277</v>
      </c>
      <c r="AB425" s="135">
        <v>0.936847599164927</v>
      </c>
      <c r="AC425" s="135">
        <v>0.930613233665559</v>
      </c>
      <c r="AD425" s="135">
        <v>0.92</v>
      </c>
      <c r="AE425" s="133">
        <v>0.994472084024323</v>
      </c>
      <c r="AF425" s="133">
        <v>0.995358282564549</v>
      </c>
      <c r="AG425" s="133">
        <v>0.968991470145509</v>
      </c>
      <c r="AH425" s="133">
        <v>0.983252299694272</v>
      </c>
      <c r="AI425" s="135">
        <v>0.92</v>
      </c>
      <c r="AJ425" s="133">
        <v>0.918202247191011</v>
      </c>
      <c r="AK425" s="133">
        <v>0.947323943661972</v>
      </c>
      <c r="AL425" s="133">
        <v>0.962953162212225</v>
      </c>
      <c r="AM425" s="133">
        <v>0.957837447952526</v>
      </c>
      <c r="AN425" s="132">
        <v>0.99</v>
      </c>
      <c r="AO425" s="137">
        <v>1</v>
      </c>
      <c r="AP425" s="137">
        <v>1</v>
      </c>
      <c r="AQ425" s="137">
        <v>1</v>
      </c>
      <c r="AR425" s="137">
        <v>1</v>
      </c>
      <c r="AS425" s="158">
        <v>0.05</v>
      </c>
      <c r="AT425" s="141">
        <v>0.0526315789473684</v>
      </c>
      <c r="AU425" s="141">
        <v>0.0454545454545455</v>
      </c>
      <c r="AV425" s="141">
        <v>0.0540540540540541</v>
      </c>
      <c r="AW425" s="141">
        <v>0.0561224489795918</v>
      </c>
      <c r="AX425" s="95"/>
      <c r="AY425" s="93"/>
    </row>
    <row r="426" ht="14.5" spans="1:51">
      <c r="A426" s="91"/>
      <c r="B426" s="95"/>
      <c r="C426" s="152" t="s">
        <v>375</v>
      </c>
      <c r="D426" s="153" t="s">
        <v>25</v>
      </c>
      <c r="E426" s="130" t="s">
        <v>376</v>
      </c>
      <c r="F426" s="154" t="s">
        <v>452</v>
      </c>
      <c r="G426" s="154" t="s">
        <v>452</v>
      </c>
      <c r="H426" s="154" t="s">
        <v>452</v>
      </c>
      <c r="I426" s="154" t="s">
        <v>452</v>
      </c>
      <c r="J426" s="132">
        <v>0.9</v>
      </c>
      <c r="K426" s="133">
        <v>0.96969696969697</v>
      </c>
      <c r="L426" s="133">
        <v>0.948717948717949</v>
      </c>
      <c r="M426" s="134">
        <v>0.880952380952381</v>
      </c>
      <c r="N426" s="133">
        <v>0.936671575846834</v>
      </c>
      <c r="O426" s="135">
        <v>0.9</v>
      </c>
      <c r="P426" s="133">
        <v>0.970718722271517</v>
      </c>
      <c r="Q426" s="133">
        <v>0.982883475971034</v>
      </c>
      <c r="R426" s="133">
        <v>0.981958762886598</v>
      </c>
      <c r="S426" s="133">
        <v>0.985276836939241</v>
      </c>
      <c r="T426" s="135">
        <v>0.9</v>
      </c>
      <c r="U426" s="133">
        <v>0.854480922803904</v>
      </c>
      <c r="V426" s="133">
        <v>0.889400921658986</v>
      </c>
      <c r="W426" s="133">
        <v>0.937285223367698</v>
      </c>
      <c r="X426" s="133">
        <v>0.925934886292943</v>
      </c>
      <c r="Y426" s="135">
        <v>0.92</v>
      </c>
      <c r="Z426" s="135">
        <v>0.87779552715655</v>
      </c>
      <c r="AA426" s="135">
        <v>0.914212076583211</v>
      </c>
      <c r="AB426" s="135">
        <v>0.963309103496019</v>
      </c>
      <c r="AC426" s="135">
        <v>0.949334775554354</v>
      </c>
      <c r="AD426" s="135">
        <v>0.92</v>
      </c>
      <c r="AE426" s="133">
        <v>0.967741935483871</v>
      </c>
      <c r="AF426" s="133">
        <v>0.725806451612903</v>
      </c>
      <c r="AG426" s="133">
        <v>0.795698924731183</v>
      </c>
      <c r="AH426" s="133">
        <v>0.916565900846433</v>
      </c>
      <c r="AI426" s="135">
        <v>0.92</v>
      </c>
      <c r="AJ426" s="133">
        <v>0.905882352941176</v>
      </c>
      <c r="AK426" s="133">
        <v>0.930847297616238</v>
      </c>
      <c r="AL426" s="133">
        <v>0.97089294523927</v>
      </c>
      <c r="AM426" s="133">
        <v>0.961890446673229</v>
      </c>
      <c r="AN426" s="132">
        <v>0.99</v>
      </c>
      <c r="AO426" s="137">
        <v>1</v>
      </c>
      <c r="AP426" s="137">
        <v>1</v>
      </c>
      <c r="AQ426" s="137">
        <v>1</v>
      </c>
      <c r="AR426" s="137">
        <v>1</v>
      </c>
      <c r="AS426" s="158">
        <v>0.05</v>
      </c>
      <c r="AT426" s="141">
        <v>0</v>
      </c>
      <c r="AU426" s="141">
        <v>0.125</v>
      </c>
      <c r="AV426" s="141">
        <v>0</v>
      </c>
      <c r="AW426" s="141">
        <v>0.0357142857142857</v>
      </c>
      <c r="AX426" s="95"/>
      <c r="AY426" s="93"/>
    </row>
    <row r="427" ht="14.5" spans="1:51">
      <c r="A427" s="91"/>
      <c r="B427" s="95"/>
      <c r="C427" s="152" t="s">
        <v>375</v>
      </c>
      <c r="D427" s="153" t="s">
        <v>25</v>
      </c>
      <c r="E427" s="130" t="s">
        <v>376</v>
      </c>
      <c r="F427" s="154" t="s">
        <v>453</v>
      </c>
      <c r="G427" s="154" t="s">
        <v>453</v>
      </c>
      <c r="H427" s="154" t="s">
        <v>453</v>
      </c>
      <c r="I427" s="154" t="s">
        <v>453</v>
      </c>
      <c r="J427" s="132">
        <v>0.9</v>
      </c>
      <c r="K427" s="133">
        <v>1</v>
      </c>
      <c r="L427" s="133">
        <v>1</v>
      </c>
      <c r="M427" s="134">
        <v>0.986842105263158</v>
      </c>
      <c r="N427" s="133">
        <v>0.986666666666667</v>
      </c>
      <c r="O427" s="135">
        <v>0.9</v>
      </c>
      <c r="P427" s="133">
        <v>0.972653362897265</v>
      </c>
      <c r="Q427" s="133">
        <v>0.979995060508768</v>
      </c>
      <c r="R427" s="133">
        <v>0.982673267326733</v>
      </c>
      <c r="S427" s="133">
        <v>0.983981599375693</v>
      </c>
      <c r="T427" s="135">
        <v>0.9</v>
      </c>
      <c r="U427" s="133">
        <v>0.866223207686622</v>
      </c>
      <c r="V427" s="133">
        <v>0.914052852556187</v>
      </c>
      <c r="W427" s="133">
        <v>0.913366336633663</v>
      </c>
      <c r="X427" s="133">
        <v>0.909557645705836</v>
      </c>
      <c r="Y427" s="135">
        <v>0.92</v>
      </c>
      <c r="Z427" s="135">
        <v>0.872135994087214</v>
      </c>
      <c r="AA427" s="135">
        <v>0.916268336904566</v>
      </c>
      <c r="AB427" s="135">
        <v>0.943453382699428</v>
      </c>
      <c r="AC427" s="135">
        <v>0.934667279803497</v>
      </c>
      <c r="AD427" s="135">
        <v>0.92</v>
      </c>
      <c r="AE427" s="133">
        <v>0.987405541561713</v>
      </c>
      <c r="AF427" s="133">
        <v>0.982905982905983</v>
      </c>
      <c r="AG427" s="133">
        <v>0.953416149068323</v>
      </c>
      <c r="AH427" s="133">
        <v>0.975718139977781</v>
      </c>
      <c r="AI427" s="135">
        <v>0.92</v>
      </c>
      <c r="AJ427" s="133">
        <v>0.908167036215817</v>
      </c>
      <c r="AK427" s="133">
        <v>0.940211483348157</v>
      </c>
      <c r="AL427" s="133">
        <v>0.955763310910957</v>
      </c>
      <c r="AM427" s="133">
        <v>0.955523504866158</v>
      </c>
      <c r="AN427" s="132">
        <v>0.99</v>
      </c>
      <c r="AO427" s="137">
        <v>1</v>
      </c>
      <c r="AP427" s="137">
        <v>1</v>
      </c>
      <c r="AQ427" s="137">
        <v>1</v>
      </c>
      <c r="AR427" s="137">
        <v>1</v>
      </c>
      <c r="AS427" s="158">
        <v>0.05</v>
      </c>
      <c r="AT427" s="141">
        <v>0.0909090909090909</v>
      </c>
      <c r="AU427" s="141">
        <v>0.0526315789473684</v>
      </c>
      <c r="AV427" s="141">
        <v>0.0909090909090909</v>
      </c>
      <c r="AW427" s="141">
        <v>0.0462776659959759</v>
      </c>
      <c r="AX427" s="95"/>
      <c r="AY427" s="93"/>
    </row>
    <row r="428" ht="14.5" spans="1:51">
      <c r="A428" s="91"/>
      <c r="B428" s="95"/>
      <c r="C428" s="152" t="s">
        <v>375</v>
      </c>
      <c r="D428" s="153" t="s">
        <v>25</v>
      </c>
      <c r="E428" s="130" t="s">
        <v>376</v>
      </c>
      <c r="F428" s="154" t="s">
        <v>454</v>
      </c>
      <c r="G428" s="154" t="s">
        <v>454</v>
      </c>
      <c r="H428" s="154" t="s">
        <v>454</v>
      </c>
      <c r="I428" s="154" t="s">
        <v>454</v>
      </c>
      <c r="J428" s="132">
        <v>0.9</v>
      </c>
      <c r="K428" s="133">
        <v>0.8</v>
      </c>
      <c r="L428" s="133">
        <v>0.8</v>
      </c>
      <c r="M428" s="134">
        <v>0.791666666666667</v>
      </c>
      <c r="N428" s="133">
        <v>0.805377720870679</v>
      </c>
      <c r="O428" s="135">
        <v>0.9</v>
      </c>
      <c r="P428" s="133">
        <v>0.987048665620094</v>
      </c>
      <c r="Q428" s="133">
        <v>0.985803324099723</v>
      </c>
      <c r="R428" s="133">
        <v>0.986998677831644</v>
      </c>
      <c r="S428" s="133">
        <v>0.980299102264693</v>
      </c>
      <c r="T428" s="135">
        <v>0.9</v>
      </c>
      <c r="U428" s="133">
        <v>0.818485086342229</v>
      </c>
      <c r="V428" s="133">
        <v>0.851108033240997</v>
      </c>
      <c r="W428" s="133">
        <v>0.890260026443367</v>
      </c>
      <c r="X428" s="133">
        <v>0.799273670001928</v>
      </c>
      <c r="Y428" s="135">
        <v>0.92</v>
      </c>
      <c r="Z428" s="135" t="s">
        <v>35</v>
      </c>
      <c r="AA428" s="135" t="s">
        <v>35</v>
      </c>
      <c r="AB428" s="135" t="s">
        <v>35</v>
      </c>
      <c r="AC428" s="135">
        <v>1</v>
      </c>
      <c r="AD428" s="135">
        <v>0.92</v>
      </c>
      <c r="AE428" s="133">
        <v>1</v>
      </c>
      <c r="AF428" s="133">
        <v>0.951807228915663</v>
      </c>
      <c r="AG428" s="133">
        <v>0.968421052631579</v>
      </c>
      <c r="AH428" s="133">
        <v>0.973844282238443</v>
      </c>
      <c r="AI428" s="135">
        <v>0.92</v>
      </c>
      <c r="AJ428" s="133">
        <v>0.941130298273155</v>
      </c>
      <c r="AK428" s="133">
        <v>0.979224376731302</v>
      </c>
      <c r="AL428" s="133">
        <v>0.986337593653592</v>
      </c>
      <c r="AM428" s="133">
        <v>0.974000235679775</v>
      </c>
      <c r="AN428" s="132">
        <v>0.99</v>
      </c>
      <c r="AO428" s="137">
        <v>1</v>
      </c>
      <c r="AP428" s="137">
        <v>1</v>
      </c>
      <c r="AQ428" s="137">
        <v>1</v>
      </c>
      <c r="AR428" s="137">
        <v>1</v>
      </c>
      <c r="AS428" s="158">
        <v>0.05</v>
      </c>
      <c r="AT428" s="141">
        <v>0.142857142857143</v>
      </c>
      <c r="AU428" s="141">
        <v>0.217391304347826</v>
      </c>
      <c r="AV428" s="141">
        <v>0.0625</v>
      </c>
      <c r="AW428" s="141">
        <v>0.102167182662539</v>
      </c>
      <c r="AX428" s="95"/>
      <c r="AY428" s="93"/>
    </row>
    <row r="429" ht="14.5" spans="1:51">
      <c r="A429" s="91"/>
      <c r="B429" s="95"/>
      <c r="C429" s="152" t="s">
        <v>375</v>
      </c>
      <c r="D429" s="153" t="s">
        <v>25</v>
      </c>
      <c r="E429" s="130" t="s">
        <v>376</v>
      </c>
      <c r="F429" s="154" t="s">
        <v>455</v>
      </c>
      <c r="G429" s="154" t="s">
        <v>455</v>
      </c>
      <c r="H429" s="154" t="s">
        <v>455</v>
      </c>
      <c r="I429" s="154" t="s">
        <v>455</v>
      </c>
      <c r="J429" s="132">
        <v>0.9</v>
      </c>
      <c r="K429" s="133">
        <v>1</v>
      </c>
      <c r="L429" s="133">
        <v>0.956521739130435</v>
      </c>
      <c r="M429" s="134">
        <v>1</v>
      </c>
      <c r="N429" s="133">
        <v>0.969194312796208</v>
      </c>
      <c r="O429" s="135">
        <v>0.9</v>
      </c>
      <c r="P429" s="133">
        <v>0.923243243243243</v>
      </c>
      <c r="Q429" s="133">
        <v>0.971649484536082</v>
      </c>
      <c r="R429" s="133">
        <v>0.96625</v>
      </c>
      <c r="S429" s="133">
        <v>0.974790292917059</v>
      </c>
      <c r="T429" s="135">
        <v>0.9</v>
      </c>
      <c r="U429" s="133">
        <v>0.904864864864865</v>
      </c>
      <c r="V429" s="133">
        <v>0.899484536082474</v>
      </c>
      <c r="W429" s="133">
        <v>0.94875</v>
      </c>
      <c r="X429" s="133">
        <v>0.927017449423586</v>
      </c>
      <c r="Y429" s="135">
        <v>0.92</v>
      </c>
      <c r="Z429" s="135">
        <v>0.914669223394056</v>
      </c>
      <c r="AA429" s="135">
        <v>0.907996146435453</v>
      </c>
      <c r="AB429" s="135">
        <v>0.936386768447837</v>
      </c>
      <c r="AC429" s="135">
        <v>0.957223907426132</v>
      </c>
      <c r="AD429" s="135">
        <v>0.92</v>
      </c>
      <c r="AE429" s="133">
        <v>1</v>
      </c>
      <c r="AF429" s="133">
        <v>0.993975903614458</v>
      </c>
      <c r="AG429" s="133">
        <v>0.991769547325103</v>
      </c>
      <c r="AH429" s="133">
        <v>0.973629133528673</v>
      </c>
      <c r="AI429" s="135">
        <v>0.92</v>
      </c>
      <c r="AJ429" s="133">
        <v>0.93854748603352</v>
      </c>
      <c r="AK429" s="133">
        <v>0.927205428747687</v>
      </c>
      <c r="AL429" s="133">
        <v>0.948199620972836</v>
      </c>
      <c r="AM429" s="133">
        <v>0.968673409506714</v>
      </c>
      <c r="AN429" s="132">
        <v>0.99</v>
      </c>
      <c r="AO429" s="137">
        <v>1</v>
      </c>
      <c r="AP429" s="137">
        <v>1</v>
      </c>
      <c r="AQ429" s="137">
        <v>1</v>
      </c>
      <c r="AR429" s="137">
        <v>1</v>
      </c>
      <c r="AS429" s="158">
        <v>0.05</v>
      </c>
      <c r="AT429" s="141">
        <v>0.1</v>
      </c>
      <c r="AU429" s="141">
        <v>0.1</v>
      </c>
      <c r="AV429" s="141">
        <v>0.285714285714286</v>
      </c>
      <c r="AW429" s="141">
        <v>0.0397350993377483</v>
      </c>
      <c r="AX429" s="95"/>
      <c r="AY429" s="93"/>
    </row>
    <row r="430" ht="14.5" spans="1:51">
      <c r="A430" s="91"/>
      <c r="B430" s="95"/>
      <c r="C430" s="152" t="s">
        <v>375</v>
      </c>
      <c r="D430" s="153" t="s">
        <v>25</v>
      </c>
      <c r="E430" s="130" t="s">
        <v>376</v>
      </c>
      <c r="F430" s="154" t="s">
        <v>456</v>
      </c>
      <c r="G430" s="154" t="s">
        <v>456</v>
      </c>
      <c r="H430" s="154" t="s">
        <v>456</v>
      </c>
      <c r="I430" s="154" t="s">
        <v>456</v>
      </c>
      <c r="J430" s="132">
        <v>0.9</v>
      </c>
      <c r="K430" s="133">
        <v>0.777777777777778</v>
      </c>
      <c r="L430" s="133">
        <v>0.743589743589744</v>
      </c>
      <c r="M430" s="134">
        <v>0.829268292682927</v>
      </c>
      <c r="N430" s="133">
        <v>0.784285714285714</v>
      </c>
      <c r="O430" s="135">
        <v>0.9</v>
      </c>
      <c r="P430" s="133">
        <v>0.923203963666391</v>
      </c>
      <c r="Q430" s="133">
        <v>0.92336217552534</v>
      </c>
      <c r="R430" s="133">
        <v>0.92992700729927</v>
      </c>
      <c r="S430" s="133">
        <v>0.923163307524085</v>
      </c>
      <c r="T430" s="135">
        <v>0.9</v>
      </c>
      <c r="U430" s="133">
        <v>0.737407101568951</v>
      </c>
      <c r="V430" s="133">
        <v>0.855995055624227</v>
      </c>
      <c r="W430" s="133">
        <v>0.855474452554745</v>
      </c>
      <c r="X430" s="133">
        <v>0.827028784207104</v>
      </c>
      <c r="Y430" s="135">
        <v>0.92</v>
      </c>
      <c r="Z430" s="135">
        <v>0.784985422740525</v>
      </c>
      <c r="AA430" s="135">
        <v>0.859461213891594</v>
      </c>
      <c r="AB430" s="135">
        <v>0.892734642968506</v>
      </c>
      <c r="AC430" s="135">
        <v>0.867467392324294</v>
      </c>
      <c r="AD430" s="135">
        <v>0.92</v>
      </c>
      <c r="AE430" s="133">
        <v>0.988620199146515</v>
      </c>
      <c r="AF430" s="133">
        <v>0.887133182844244</v>
      </c>
      <c r="AG430" s="133">
        <v>0.971052631578947</v>
      </c>
      <c r="AH430" s="133">
        <v>0.961973358116481</v>
      </c>
      <c r="AI430" s="135">
        <v>0.92</v>
      </c>
      <c r="AJ430" s="133">
        <v>0.83359133126935</v>
      </c>
      <c r="AK430" s="133">
        <v>0.887470750904063</v>
      </c>
      <c r="AL430" s="133">
        <v>0.913432184910598</v>
      </c>
      <c r="AM430" s="133">
        <v>0.898635946813388</v>
      </c>
      <c r="AN430" s="132">
        <v>0.99</v>
      </c>
      <c r="AO430" s="137">
        <v>1</v>
      </c>
      <c r="AP430" s="137">
        <v>1</v>
      </c>
      <c r="AQ430" s="137">
        <v>1</v>
      </c>
      <c r="AR430" s="137">
        <v>1</v>
      </c>
      <c r="AS430" s="158">
        <v>0.05</v>
      </c>
      <c r="AT430" s="141">
        <v>0.166666666666667</v>
      </c>
      <c r="AU430" s="141">
        <v>0</v>
      </c>
      <c r="AV430" s="141">
        <v>0</v>
      </c>
      <c r="AW430" s="141">
        <v>0.0346020761245675</v>
      </c>
      <c r="AX430" s="95"/>
      <c r="AY430" s="93"/>
    </row>
    <row r="431" ht="14.5" spans="1:51">
      <c r="A431" s="91"/>
      <c r="B431" s="95"/>
      <c r="C431" s="152" t="s">
        <v>375</v>
      </c>
      <c r="D431" s="153" t="s">
        <v>25</v>
      </c>
      <c r="E431" s="130" t="s">
        <v>376</v>
      </c>
      <c r="F431" s="154" t="s">
        <v>457</v>
      </c>
      <c r="G431" s="154" t="s">
        <v>457</v>
      </c>
      <c r="H431" s="154" t="s">
        <v>457</v>
      </c>
      <c r="I431" s="154" t="s">
        <v>457</v>
      </c>
      <c r="J431" s="132">
        <v>0.9</v>
      </c>
      <c r="K431" s="133">
        <v>0.915254237288136</v>
      </c>
      <c r="L431" s="133">
        <v>0.777777777777778</v>
      </c>
      <c r="M431" s="134">
        <v>0.895522388059702</v>
      </c>
      <c r="N431" s="133">
        <v>0.91324200913242</v>
      </c>
      <c r="O431" s="135">
        <v>0.9</v>
      </c>
      <c r="P431" s="133">
        <v>0.96664844177146</v>
      </c>
      <c r="Q431" s="133">
        <v>0.955178907721281</v>
      </c>
      <c r="R431" s="133">
        <v>0.987078651685393</v>
      </c>
      <c r="S431" s="133">
        <v>0.961392593855201</v>
      </c>
      <c r="T431" s="135">
        <v>0.9</v>
      </c>
      <c r="U431" s="133">
        <v>0.887370147621651</v>
      </c>
      <c r="V431" s="133">
        <v>0.91864406779661</v>
      </c>
      <c r="W431" s="133">
        <v>0.937078651685393</v>
      </c>
      <c r="X431" s="133">
        <v>0.896024204201645</v>
      </c>
      <c r="Y431" s="135">
        <v>0.92</v>
      </c>
      <c r="Z431" s="135">
        <v>0.907407407407407</v>
      </c>
      <c r="AA431" s="135">
        <v>0.896113243761996</v>
      </c>
      <c r="AB431" s="135">
        <v>0.932887568103021</v>
      </c>
      <c r="AC431" s="135">
        <v>0.924197985171151</v>
      </c>
      <c r="AD431" s="135">
        <v>0.92</v>
      </c>
      <c r="AE431" s="133">
        <v>1</v>
      </c>
      <c r="AF431" s="133">
        <v>0.977011494252874</v>
      </c>
      <c r="AG431" s="133">
        <v>0.953488372093023</v>
      </c>
      <c r="AH431" s="133">
        <v>0.978739002932551</v>
      </c>
      <c r="AI431" s="135">
        <v>0.92</v>
      </c>
      <c r="AJ431" s="133">
        <v>0.931654676258993</v>
      </c>
      <c r="AK431" s="133">
        <v>0.926072317376665</v>
      </c>
      <c r="AL431" s="133">
        <v>0.948651897647261</v>
      </c>
      <c r="AM431" s="133">
        <v>0.948429833169774</v>
      </c>
      <c r="AN431" s="132">
        <v>0.99</v>
      </c>
      <c r="AO431" s="137">
        <v>1</v>
      </c>
      <c r="AP431" s="137">
        <v>1</v>
      </c>
      <c r="AQ431" s="137">
        <v>1</v>
      </c>
      <c r="AR431" s="137">
        <v>1</v>
      </c>
      <c r="AS431" s="158">
        <v>0.05</v>
      </c>
      <c r="AT431" s="141">
        <v>0.2</v>
      </c>
      <c r="AU431" s="141">
        <v>0.0909090909090909</v>
      </c>
      <c r="AV431" s="141">
        <v>0.166666666666667</v>
      </c>
      <c r="AW431" s="141">
        <v>0.107142857142857</v>
      </c>
      <c r="AX431" s="95"/>
      <c r="AY431" s="93"/>
    </row>
    <row r="432" ht="14.5" spans="1:51">
      <c r="A432" s="91"/>
      <c r="B432" s="95"/>
      <c r="C432" s="152" t="s">
        <v>375</v>
      </c>
      <c r="D432" s="153" t="s">
        <v>25</v>
      </c>
      <c r="E432" s="130" t="s">
        <v>376</v>
      </c>
      <c r="F432" s="154" t="s">
        <v>458</v>
      </c>
      <c r="G432" s="154" t="s">
        <v>458</v>
      </c>
      <c r="H432" s="154" t="s">
        <v>458</v>
      </c>
      <c r="I432" s="154" t="s">
        <v>458</v>
      </c>
      <c r="J432" s="132">
        <v>0.9</v>
      </c>
      <c r="K432" s="133">
        <v>0.973684210526316</v>
      </c>
      <c r="L432" s="133">
        <v>1</v>
      </c>
      <c r="M432" s="134">
        <v>0.934782608695652</v>
      </c>
      <c r="N432" s="133">
        <v>0.964751958224543</v>
      </c>
      <c r="O432" s="135">
        <v>0.9</v>
      </c>
      <c r="P432" s="133">
        <v>0.95991801411979</v>
      </c>
      <c r="Q432" s="133">
        <v>0.958413926499033</v>
      </c>
      <c r="R432" s="133">
        <v>0.967581047381546</v>
      </c>
      <c r="S432" s="133">
        <v>0.961685588877173</v>
      </c>
      <c r="T432" s="135">
        <v>0.9</v>
      </c>
      <c r="U432" s="133">
        <v>0.885902983375085</v>
      </c>
      <c r="V432" s="133">
        <v>0.915473887814313</v>
      </c>
      <c r="W432" s="133">
        <v>0.929675810473815</v>
      </c>
      <c r="X432" s="133">
        <v>0.90073808881587</v>
      </c>
      <c r="Y432" s="135">
        <v>0.92</v>
      </c>
      <c r="Z432" s="135">
        <v>0</v>
      </c>
      <c r="AA432" s="135">
        <v>0</v>
      </c>
      <c r="AB432" s="135" t="s">
        <v>35</v>
      </c>
      <c r="AC432" s="135">
        <v>0</v>
      </c>
      <c r="AD432" s="135">
        <v>0.92</v>
      </c>
      <c r="AE432" s="133">
        <v>1</v>
      </c>
      <c r="AF432" s="133">
        <v>0.939393939393939</v>
      </c>
      <c r="AG432" s="133">
        <v>0.970930232558139</v>
      </c>
      <c r="AH432" s="133">
        <v>0.982289275172188</v>
      </c>
      <c r="AI432" s="135">
        <v>0.92</v>
      </c>
      <c r="AJ432" s="133">
        <v>0.948542805100182</v>
      </c>
      <c r="AK432" s="133">
        <v>0.968484145398299</v>
      </c>
      <c r="AL432" s="133">
        <v>0.982797307404637</v>
      </c>
      <c r="AM432" s="133">
        <v>0.976854519375759</v>
      </c>
      <c r="AN432" s="132">
        <v>0.99</v>
      </c>
      <c r="AO432" s="137">
        <v>1</v>
      </c>
      <c r="AP432" s="137">
        <v>1</v>
      </c>
      <c r="AQ432" s="137">
        <v>1</v>
      </c>
      <c r="AR432" s="137">
        <v>1</v>
      </c>
      <c r="AS432" s="158">
        <v>0.05</v>
      </c>
      <c r="AT432" s="141">
        <v>0.333333333333333</v>
      </c>
      <c r="AU432" s="141">
        <v>0.2</v>
      </c>
      <c r="AV432" s="141">
        <v>0</v>
      </c>
      <c r="AW432" s="141">
        <v>0.0718954248366013</v>
      </c>
      <c r="AX432" s="95"/>
      <c r="AY432" s="93"/>
    </row>
    <row r="433" ht="14.5" spans="1:51">
      <c r="A433" s="91"/>
      <c r="B433" s="95"/>
      <c r="C433" s="152" t="s">
        <v>375</v>
      </c>
      <c r="D433" s="153" t="s">
        <v>25</v>
      </c>
      <c r="E433" s="130" t="s">
        <v>376</v>
      </c>
      <c r="F433" s="154" t="s">
        <v>459</v>
      </c>
      <c r="G433" s="154" t="s">
        <v>459</v>
      </c>
      <c r="H433" s="154" t="s">
        <v>459</v>
      </c>
      <c r="I433" s="154" t="s">
        <v>459</v>
      </c>
      <c r="J433" s="132">
        <v>0.9</v>
      </c>
      <c r="K433" s="133">
        <v>0.865384615384615</v>
      </c>
      <c r="L433" s="133">
        <v>0.886792452830189</v>
      </c>
      <c r="M433" s="134">
        <v>0.9</v>
      </c>
      <c r="N433" s="133">
        <v>0.889348500517063</v>
      </c>
      <c r="O433" s="135">
        <v>0.9</v>
      </c>
      <c r="P433" s="133">
        <v>0.894574327304808</v>
      </c>
      <c r="Q433" s="133">
        <v>0.936357481381178</v>
      </c>
      <c r="R433" s="133">
        <v>0.884731670445956</v>
      </c>
      <c r="S433" s="133">
        <v>0.921480659480025</v>
      </c>
      <c r="T433" s="135">
        <v>0.9</v>
      </c>
      <c r="U433" s="133">
        <v>0.839876488751654</v>
      </c>
      <c r="V433" s="133">
        <v>0.888625592417062</v>
      </c>
      <c r="W433" s="133">
        <v>0.85978835978836</v>
      </c>
      <c r="X433" s="133">
        <v>0.857736207989854</v>
      </c>
      <c r="Y433" s="135">
        <v>0.92</v>
      </c>
      <c r="Z433" s="135">
        <v>0.902050113895216</v>
      </c>
      <c r="AA433" s="135">
        <v>0.910358565737052</v>
      </c>
      <c r="AB433" s="135">
        <v>0.95420750253464</v>
      </c>
      <c r="AC433" s="135">
        <v>0.946667603908298</v>
      </c>
      <c r="AD433" s="135">
        <v>0.92</v>
      </c>
      <c r="AE433" s="133">
        <v>0.987341772151899</v>
      </c>
      <c r="AF433" s="133">
        <v>0.96276013143483</v>
      </c>
      <c r="AG433" s="133">
        <v>0.99496475327291</v>
      </c>
      <c r="AH433" s="133">
        <v>0.987426444701504</v>
      </c>
      <c r="AI433" s="135">
        <v>0.92</v>
      </c>
      <c r="AJ433" s="133">
        <v>0.917838939857288</v>
      </c>
      <c r="AK433" s="133">
        <v>0.929950553331764</v>
      </c>
      <c r="AL433" s="133">
        <v>0.96261355695318</v>
      </c>
      <c r="AM433" s="133">
        <v>0.958546615110784</v>
      </c>
      <c r="AN433" s="132">
        <v>0.99</v>
      </c>
      <c r="AO433" s="137">
        <v>1</v>
      </c>
      <c r="AP433" s="137">
        <v>1</v>
      </c>
      <c r="AQ433" s="137">
        <v>1</v>
      </c>
      <c r="AR433" s="137">
        <v>1</v>
      </c>
      <c r="AS433" s="158">
        <v>0.05</v>
      </c>
      <c r="AT433" s="141">
        <v>0.075</v>
      </c>
      <c r="AU433" s="141">
        <v>0.0681818181818182</v>
      </c>
      <c r="AV433" s="141">
        <v>0.0754716981132075</v>
      </c>
      <c r="AW433" s="141">
        <v>0.0628778718258767</v>
      </c>
      <c r="AX433" s="95"/>
      <c r="AY433" s="93"/>
    </row>
    <row r="434" ht="14.5" spans="1:51">
      <c r="A434" s="91"/>
      <c r="B434" s="95"/>
      <c r="C434" s="152" t="s">
        <v>375</v>
      </c>
      <c r="D434" s="153" t="s">
        <v>25</v>
      </c>
      <c r="E434" s="130" t="s">
        <v>376</v>
      </c>
      <c r="F434" s="154" t="s">
        <v>460</v>
      </c>
      <c r="G434" s="154" t="s">
        <v>460</v>
      </c>
      <c r="H434" s="154" t="s">
        <v>460</v>
      </c>
      <c r="I434" s="154" t="s">
        <v>460</v>
      </c>
      <c r="J434" s="132">
        <v>0.9</v>
      </c>
      <c r="K434" s="133">
        <v>0.787878787878788</v>
      </c>
      <c r="L434" s="133">
        <v>0.825</v>
      </c>
      <c r="M434" s="134">
        <v>0.785714285714286</v>
      </c>
      <c r="N434" s="133">
        <v>0.8003003003003</v>
      </c>
      <c r="O434" s="135">
        <v>0.9</v>
      </c>
      <c r="P434" s="133">
        <v>0.945030120481928</v>
      </c>
      <c r="Q434" s="133">
        <v>0.956714761376249</v>
      </c>
      <c r="R434" s="133">
        <v>0.909672830725462</v>
      </c>
      <c r="S434" s="133">
        <v>0.918798994231623</v>
      </c>
      <c r="T434" s="135">
        <v>0.9</v>
      </c>
      <c r="U434" s="133">
        <v>0.743222891566265</v>
      </c>
      <c r="V434" s="133">
        <v>0.840732519422864</v>
      </c>
      <c r="W434" s="133">
        <v>0.90398293029872</v>
      </c>
      <c r="X434" s="133">
        <v>0.81047182369472</v>
      </c>
      <c r="Y434" s="135">
        <v>0.92</v>
      </c>
      <c r="Z434" s="135">
        <v>0.798616448885473</v>
      </c>
      <c r="AA434" s="135">
        <v>0.859528487229863</v>
      </c>
      <c r="AB434" s="135">
        <v>0.938935912938331</v>
      </c>
      <c r="AC434" s="135">
        <v>0.892830027060175</v>
      </c>
      <c r="AD434" s="135">
        <v>0.92</v>
      </c>
      <c r="AE434" s="133">
        <v>0.85</v>
      </c>
      <c r="AF434" s="133">
        <v>0.993890020366599</v>
      </c>
      <c r="AG434" s="133">
        <v>0.998374738797307</v>
      </c>
      <c r="AH434" s="133">
        <v>0.986607097936225</v>
      </c>
      <c r="AI434" s="135">
        <v>0.92</v>
      </c>
      <c r="AJ434" s="133">
        <v>0.847586469023185</v>
      </c>
      <c r="AK434" s="133">
        <v>0.896771540201522</v>
      </c>
      <c r="AL434" s="133">
        <v>0.949482139082646</v>
      </c>
      <c r="AM434" s="133">
        <v>0.918803919729932</v>
      </c>
      <c r="AN434" s="132">
        <v>0.99</v>
      </c>
      <c r="AO434" s="137">
        <v>1</v>
      </c>
      <c r="AP434" s="137">
        <v>1</v>
      </c>
      <c r="AQ434" s="137">
        <v>1</v>
      </c>
      <c r="AR434" s="137">
        <v>1</v>
      </c>
      <c r="AS434" s="158">
        <v>0.05</v>
      </c>
      <c r="AT434" s="141">
        <v>0.0769230769230769</v>
      </c>
      <c r="AU434" s="141">
        <v>0</v>
      </c>
      <c r="AV434" s="141">
        <v>0</v>
      </c>
      <c r="AW434" s="141">
        <v>0.0358306188925081</v>
      </c>
      <c r="AX434" s="95"/>
      <c r="AY434" s="93"/>
    </row>
    <row r="435" ht="14.5" spans="1:51">
      <c r="A435" s="91"/>
      <c r="B435" s="95"/>
      <c r="C435" s="152" t="s">
        <v>375</v>
      </c>
      <c r="D435" s="153" t="s">
        <v>25</v>
      </c>
      <c r="E435" s="130" t="s">
        <v>376</v>
      </c>
      <c r="F435" s="154" t="s">
        <v>461</v>
      </c>
      <c r="G435" s="154" t="s">
        <v>461</v>
      </c>
      <c r="H435" s="154" t="s">
        <v>461</v>
      </c>
      <c r="I435" s="154" t="s">
        <v>461</v>
      </c>
      <c r="J435" s="132">
        <v>0.9</v>
      </c>
      <c r="K435" s="133">
        <v>0.875</v>
      </c>
      <c r="L435" s="133">
        <v>0.859649122807018</v>
      </c>
      <c r="M435" s="134">
        <v>0.867924528301887</v>
      </c>
      <c r="N435" s="133">
        <v>0.865625</v>
      </c>
      <c r="O435" s="135">
        <v>0.9</v>
      </c>
      <c r="P435" s="133">
        <v>0.843463302752294</v>
      </c>
      <c r="Q435" s="133">
        <v>0.921847246891652</v>
      </c>
      <c r="R435" s="133">
        <v>0.948198198198198</v>
      </c>
      <c r="S435" s="133">
        <v>0.8784895845012</v>
      </c>
      <c r="T435" s="135">
        <v>0.9</v>
      </c>
      <c r="U435" s="133">
        <v>0.815366972477064</v>
      </c>
      <c r="V435" s="133">
        <v>0.896536412078153</v>
      </c>
      <c r="W435" s="133">
        <v>0.900900900900901</v>
      </c>
      <c r="X435" s="133">
        <v>0.892728210417741</v>
      </c>
      <c r="Y435" s="135">
        <v>0.92</v>
      </c>
      <c r="Z435" s="135">
        <v>0.852443154329947</v>
      </c>
      <c r="AA435" s="135">
        <v>0.890348781653129</v>
      </c>
      <c r="AB435" s="135">
        <v>0.886770785484612</v>
      </c>
      <c r="AC435" s="135">
        <v>0.923414675335641</v>
      </c>
      <c r="AD435" s="135">
        <v>0.92</v>
      </c>
      <c r="AE435" s="133">
        <v>0.993031358885017</v>
      </c>
      <c r="AF435" s="133">
        <v>0.995107263831389</v>
      </c>
      <c r="AG435" s="133">
        <v>0.994427775396485</v>
      </c>
      <c r="AH435" s="133">
        <v>0.993040381969734</v>
      </c>
      <c r="AI435" s="135">
        <v>0.92</v>
      </c>
      <c r="AJ435" s="133">
        <v>0.87149226330973</v>
      </c>
      <c r="AK435" s="133">
        <v>0.910697674418605</v>
      </c>
      <c r="AL435" s="133">
        <v>0.909120521172638</v>
      </c>
      <c r="AM435" s="133">
        <v>0.94112263311949</v>
      </c>
      <c r="AN435" s="132">
        <v>0.99</v>
      </c>
      <c r="AO435" s="137">
        <v>1</v>
      </c>
      <c r="AP435" s="137">
        <v>1</v>
      </c>
      <c r="AQ435" s="137">
        <v>1</v>
      </c>
      <c r="AR435" s="137">
        <v>1</v>
      </c>
      <c r="AS435" s="158">
        <v>0.05</v>
      </c>
      <c r="AT435" s="141">
        <v>0.1875</v>
      </c>
      <c r="AU435" s="141">
        <v>0.153846153846154</v>
      </c>
      <c r="AV435" s="141">
        <v>0.666666666666667</v>
      </c>
      <c r="AW435" s="141">
        <v>0.0855263157894737</v>
      </c>
      <c r="AX435" s="95"/>
      <c r="AY435" s="93"/>
    </row>
    <row r="436" ht="14.5" spans="1:51">
      <c r="A436" s="91"/>
      <c r="B436" s="95"/>
      <c r="C436" s="152" t="s">
        <v>375</v>
      </c>
      <c r="D436" s="153" t="s">
        <v>25</v>
      </c>
      <c r="E436" s="130" t="s">
        <v>376</v>
      </c>
      <c r="F436" s="154" t="s">
        <v>462</v>
      </c>
      <c r="G436" s="154" t="s">
        <v>462</v>
      </c>
      <c r="H436" s="154" t="s">
        <v>462</v>
      </c>
      <c r="I436" s="154" t="s">
        <v>462</v>
      </c>
      <c r="J436" s="132">
        <v>0.9</v>
      </c>
      <c r="K436" s="133">
        <v>0.588235294117647</v>
      </c>
      <c r="L436" s="133">
        <v>0.594594594594595</v>
      </c>
      <c r="M436" s="134">
        <v>0.65</v>
      </c>
      <c r="N436" s="133">
        <v>0.601744186046512</v>
      </c>
      <c r="O436" s="135">
        <v>0.9</v>
      </c>
      <c r="P436" s="133">
        <v>0.549731182795699</v>
      </c>
      <c r="Q436" s="133">
        <v>0.73803071364047</v>
      </c>
      <c r="R436" s="133">
        <v>0.715064758009543</v>
      </c>
      <c r="S436" s="133">
        <v>0.689188231123715</v>
      </c>
      <c r="T436" s="135">
        <v>0.9</v>
      </c>
      <c r="U436" s="133">
        <v>0.693548387096774</v>
      </c>
      <c r="V436" s="133">
        <v>0.764227642276423</v>
      </c>
      <c r="W436" s="133">
        <v>0.774369461486026</v>
      </c>
      <c r="X436" s="133">
        <v>0.725771003190358</v>
      </c>
      <c r="Y436" s="135">
        <v>0.92</v>
      </c>
      <c r="Z436" s="135">
        <v>0.596397598398933</v>
      </c>
      <c r="AA436" s="135">
        <v>0.809352517985611</v>
      </c>
      <c r="AB436" s="135">
        <v>0.858242083456644</v>
      </c>
      <c r="AC436" s="135">
        <v>0.760816676073882</v>
      </c>
      <c r="AD436" s="135">
        <v>0.92</v>
      </c>
      <c r="AE436" s="133">
        <v>0.561797752808989</v>
      </c>
      <c r="AF436" s="133">
        <v>0.877272727272727</v>
      </c>
      <c r="AG436" s="133">
        <v>0.862686567164179</v>
      </c>
      <c r="AH436" s="133">
        <v>0.878929079134418</v>
      </c>
      <c r="AI436" s="135">
        <v>0.92</v>
      </c>
      <c r="AJ436" s="133">
        <v>0.718446601941748</v>
      </c>
      <c r="AK436" s="133">
        <v>0.859686994063681</v>
      </c>
      <c r="AL436" s="133">
        <v>0.884132537559169</v>
      </c>
      <c r="AM436" s="133">
        <v>0.831274053068665</v>
      </c>
      <c r="AN436" s="132">
        <v>0.99</v>
      </c>
      <c r="AO436" s="137">
        <v>1</v>
      </c>
      <c r="AP436" s="137">
        <v>1</v>
      </c>
      <c r="AQ436" s="137">
        <v>1</v>
      </c>
      <c r="AR436" s="137">
        <v>0.99944382647386</v>
      </c>
      <c r="AS436" s="158">
        <v>0.05</v>
      </c>
      <c r="AT436" s="141">
        <v>0.111111111111111</v>
      </c>
      <c r="AU436" s="141">
        <v>0.0769230769230769</v>
      </c>
      <c r="AV436" s="141">
        <v>0.0588235294117647</v>
      </c>
      <c r="AW436" s="141">
        <v>0.0469798657718121</v>
      </c>
      <c r="AX436" s="95"/>
      <c r="AY436" s="93"/>
    </row>
    <row r="437" ht="14.5" spans="1:51">
      <c r="A437" s="91"/>
      <c r="B437" s="95"/>
      <c r="C437" s="152" t="s">
        <v>375</v>
      </c>
      <c r="D437" s="153" t="s">
        <v>25</v>
      </c>
      <c r="E437" s="130" t="s">
        <v>376</v>
      </c>
      <c r="F437" s="154" t="s">
        <v>463</v>
      </c>
      <c r="G437" s="154" t="s">
        <v>463</v>
      </c>
      <c r="H437" s="154" t="s">
        <v>463</v>
      </c>
      <c r="I437" s="154" t="s">
        <v>463</v>
      </c>
      <c r="J437" s="132">
        <v>0.9</v>
      </c>
      <c r="K437" s="133">
        <v>0.80952380952381</v>
      </c>
      <c r="L437" s="133">
        <v>0.775510204081633</v>
      </c>
      <c r="M437" s="134">
        <v>0.732142857142857</v>
      </c>
      <c r="N437" s="133">
        <v>0.795402298850575</v>
      </c>
      <c r="O437" s="135">
        <v>0.9</v>
      </c>
      <c r="P437" s="133">
        <v>0.764705882352941</v>
      </c>
      <c r="Q437" s="133">
        <v>0.762327854286984</v>
      </c>
      <c r="R437" s="133">
        <v>0.861726954492415</v>
      </c>
      <c r="S437" s="133">
        <v>0.83688023289928</v>
      </c>
      <c r="T437" s="135">
        <v>0.9</v>
      </c>
      <c r="U437" s="133">
        <v>0.716365754222481</v>
      </c>
      <c r="V437" s="133">
        <v>0.799200355397601</v>
      </c>
      <c r="W437" s="133">
        <v>0.871645274212369</v>
      </c>
      <c r="X437" s="133">
        <v>0.832050732323802</v>
      </c>
      <c r="Y437" s="135">
        <v>0.92</v>
      </c>
      <c r="Z437" s="135">
        <v>0.794276457883369</v>
      </c>
      <c r="AA437" s="135">
        <v>0.838725253500724</v>
      </c>
      <c r="AB437" s="135">
        <v>0.928321270137754</v>
      </c>
      <c r="AC437" s="135">
        <v>0.899871248885808</v>
      </c>
      <c r="AD437" s="135">
        <v>0.92</v>
      </c>
      <c r="AE437" s="133">
        <v>0.997880457821111</v>
      </c>
      <c r="AF437" s="133">
        <v>0.997973657548126</v>
      </c>
      <c r="AG437" s="133">
        <v>0.998624011007912</v>
      </c>
      <c r="AH437" s="133">
        <v>0.996201798244673</v>
      </c>
      <c r="AI437" s="135">
        <v>0.92</v>
      </c>
      <c r="AJ437" s="133">
        <v>0.836180341640997</v>
      </c>
      <c r="AK437" s="133">
        <v>0.86364347146208</v>
      </c>
      <c r="AL437" s="133">
        <v>0.936822803800633</v>
      </c>
      <c r="AM437" s="133">
        <v>0.920244812087597</v>
      </c>
      <c r="AN437" s="132">
        <v>0.99</v>
      </c>
      <c r="AO437" s="137">
        <v>1</v>
      </c>
      <c r="AP437" s="137">
        <v>1</v>
      </c>
      <c r="AQ437" s="137">
        <v>1</v>
      </c>
      <c r="AR437" s="137">
        <v>1</v>
      </c>
      <c r="AS437" s="158">
        <v>0.05</v>
      </c>
      <c r="AT437" s="141">
        <v>0</v>
      </c>
      <c r="AU437" s="141">
        <v>0.125</v>
      </c>
      <c r="AV437" s="141">
        <v>0</v>
      </c>
      <c r="AW437" s="141">
        <v>0.0573770491803279</v>
      </c>
      <c r="AX437" s="95"/>
      <c r="AY437" s="93"/>
    </row>
    <row r="438" ht="14.5" spans="1:51">
      <c r="A438" s="91"/>
      <c r="B438" s="95"/>
      <c r="C438" s="152" t="s">
        <v>375</v>
      </c>
      <c r="D438" s="153" t="s">
        <v>25</v>
      </c>
      <c r="E438" s="130" t="s">
        <v>376</v>
      </c>
      <c r="F438" s="154" t="s">
        <v>464</v>
      </c>
      <c r="G438" s="154" t="s">
        <v>464</v>
      </c>
      <c r="H438" s="154" t="s">
        <v>464</v>
      </c>
      <c r="I438" s="154" t="s">
        <v>464</v>
      </c>
      <c r="J438" s="132">
        <v>0.9</v>
      </c>
      <c r="K438" s="133">
        <v>0.901960784313726</v>
      </c>
      <c r="L438" s="133">
        <v>0.901960784313726</v>
      </c>
      <c r="M438" s="134">
        <v>0.9</v>
      </c>
      <c r="N438" s="133">
        <v>0.917277486910995</v>
      </c>
      <c r="O438" s="135">
        <v>0.9</v>
      </c>
      <c r="P438" s="133">
        <v>0.947700063011972</v>
      </c>
      <c r="Q438" s="133">
        <v>0.975882090218848</v>
      </c>
      <c r="R438" s="133">
        <v>0.969829950630828</v>
      </c>
      <c r="S438" s="133">
        <v>0.980417550519147</v>
      </c>
      <c r="T438" s="135">
        <v>0.9</v>
      </c>
      <c r="U438" s="133">
        <v>0.853812224322621</v>
      </c>
      <c r="V438" s="133">
        <v>0.889682894149174</v>
      </c>
      <c r="W438" s="133">
        <v>0.914975315414152</v>
      </c>
      <c r="X438" s="133">
        <v>0.904878865691638</v>
      </c>
      <c r="Y438" s="135">
        <v>0.92</v>
      </c>
      <c r="Z438" s="135">
        <v>0.896209912536443</v>
      </c>
      <c r="AA438" s="135">
        <v>0.897184190131749</v>
      </c>
      <c r="AB438" s="135">
        <v>0.933697718631179</v>
      </c>
      <c r="AC438" s="135">
        <v>0.933977180462373</v>
      </c>
      <c r="AD438" s="135">
        <v>0.92</v>
      </c>
      <c r="AE438" s="133">
        <v>0.929906542056075</v>
      </c>
      <c r="AF438" s="133">
        <v>0.962666666666667</v>
      </c>
      <c r="AG438" s="133">
        <v>0.953934740882918</v>
      </c>
      <c r="AH438" s="133">
        <v>0.958701734750979</v>
      </c>
      <c r="AI438" s="135">
        <v>0.92</v>
      </c>
      <c r="AJ438" s="133">
        <v>0.920375416288223</v>
      </c>
      <c r="AK438" s="133">
        <v>0.922511034820991</v>
      </c>
      <c r="AL438" s="133">
        <v>0.945180523352103</v>
      </c>
      <c r="AM438" s="133">
        <v>0.951571600940964</v>
      </c>
      <c r="AN438" s="132">
        <v>0.99</v>
      </c>
      <c r="AO438" s="137">
        <v>1</v>
      </c>
      <c r="AP438" s="137">
        <v>1</v>
      </c>
      <c r="AQ438" s="137">
        <v>1</v>
      </c>
      <c r="AR438" s="137">
        <v>1</v>
      </c>
      <c r="AS438" s="158">
        <v>0.05</v>
      </c>
      <c r="AT438" s="141">
        <v>0.142857142857143</v>
      </c>
      <c r="AU438" s="141">
        <v>0.0256410256410256</v>
      </c>
      <c r="AV438" s="141">
        <v>0</v>
      </c>
      <c r="AW438" s="141">
        <v>0.0375782881002088</v>
      </c>
      <c r="AX438" s="95"/>
      <c r="AY438" s="93"/>
    </row>
    <row r="439" ht="14.5" spans="1:51">
      <c r="A439" s="91"/>
      <c r="B439" s="95"/>
      <c r="C439" s="152" t="s">
        <v>375</v>
      </c>
      <c r="D439" s="153" t="s">
        <v>25</v>
      </c>
      <c r="E439" s="130" t="s">
        <v>376</v>
      </c>
      <c r="F439" s="154" t="s">
        <v>465</v>
      </c>
      <c r="G439" s="154" t="s">
        <v>465</v>
      </c>
      <c r="H439" s="154" t="s">
        <v>465</v>
      </c>
      <c r="I439" s="154" t="s">
        <v>465</v>
      </c>
      <c r="J439" s="132">
        <v>0.9</v>
      </c>
      <c r="K439" s="133">
        <v>0.880952380952381</v>
      </c>
      <c r="L439" s="133">
        <v>0.847826086956522</v>
      </c>
      <c r="M439" s="134">
        <v>0.851851851851852</v>
      </c>
      <c r="N439" s="133">
        <v>0.764309764309764</v>
      </c>
      <c r="O439" s="135">
        <v>0.9</v>
      </c>
      <c r="P439" s="133">
        <v>0.946897374701671</v>
      </c>
      <c r="Q439" s="133">
        <v>0.938775510204082</v>
      </c>
      <c r="R439" s="133">
        <v>0.944715447154472</v>
      </c>
      <c r="S439" s="133">
        <v>0.946338178105108</v>
      </c>
      <c r="T439" s="135">
        <v>0.9</v>
      </c>
      <c r="U439" s="133">
        <v>0.798926014319809</v>
      </c>
      <c r="V439" s="133">
        <v>0.860853432282004</v>
      </c>
      <c r="W439" s="133">
        <v>0.893224932249323</v>
      </c>
      <c r="X439" s="133">
        <v>0.835386386843077</v>
      </c>
      <c r="Y439" s="135">
        <v>0.92</v>
      </c>
      <c r="Z439" s="135">
        <v>0.86645126548196</v>
      </c>
      <c r="AA439" s="135">
        <v>0.938908362543816</v>
      </c>
      <c r="AB439" s="135">
        <v>0.955854126679463</v>
      </c>
      <c r="AC439" s="135">
        <v>0.92958275233294</v>
      </c>
      <c r="AD439" s="135">
        <v>0.92</v>
      </c>
      <c r="AE439" s="133">
        <v>0.99882491186839</v>
      </c>
      <c r="AF439" s="133">
        <v>0.989030276437034</v>
      </c>
      <c r="AG439" s="133">
        <v>0.999270339292229</v>
      </c>
      <c r="AH439" s="133">
        <v>0.99150016558119</v>
      </c>
      <c r="AI439" s="135">
        <v>0.92</v>
      </c>
      <c r="AJ439" s="133">
        <v>0.881969997169544</v>
      </c>
      <c r="AK439" s="133">
        <v>0.943668831168831</v>
      </c>
      <c r="AL439" s="133">
        <v>0.962132536123568</v>
      </c>
      <c r="AM439" s="133">
        <v>0.939301306426092</v>
      </c>
      <c r="AN439" s="132">
        <v>0.99</v>
      </c>
      <c r="AO439" s="137">
        <v>1</v>
      </c>
      <c r="AP439" s="137">
        <v>1</v>
      </c>
      <c r="AQ439" s="137">
        <v>1</v>
      </c>
      <c r="AR439" s="137">
        <v>1</v>
      </c>
      <c r="AS439" s="158">
        <v>0.05</v>
      </c>
      <c r="AT439" s="141">
        <v>0.161290322580645</v>
      </c>
      <c r="AU439" s="141">
        <v>0.173913043478261</v>
      </c>
      <c r="AV439" s="141">
        <v>0.0285714285714286</v>
      </c>
      <c r="AW439" s="141">
        <v>0.0568181818181818</v>
      </c>
      <c r="AX439" s="95"/>
      <c r="AY439" s="93"/>
    </row>
    <row r="440" ht="14.5" spans="1:51">
      <c r="A440" s="91"/>
      <c r="B440" s="95"/>
      <c r="C440" s="152" t="s">
        <v>375</v>
      </c>
      <c r="D440" s="153" t="s">
        <v>25</v>
      </c>
      <c r="E440" s="130" t="s">
        <v>376</v>
      </c>
      <c r="F440" s="154" t="s">
        <v>466</v>
      </c>
      <c r="G440" s="154" t="s">
        <v>466</v>
      </c>
      <c r="H440" s="154" t="s">
        <v>466</v>
      </c>
      <c r="I440" s="154" t="s">
        <v>466</v>
      </c>
      <c r="J440" s="132">
        <v>0.9</v>
      </c>
      <c r="K440" s="133">
        <v>0.463414634146341</v>
      </c>
      <c r="L440" s="133">
        <v>0.55</v>
      </c>
      <c r="M440" s="134">
        <v>0.551020408163265</v>
      </c>
      <c r="N440" s="133">
        <v>0.555834378920954</v>
      </c>
      <c r="O440" s="135">
        <v>0.9</v>
      </c>
      <c r="P440" s="133">
        <v>0.603008502289078</v>
      </c>
      <c r="Q440" s="133">
        <v>0.714363438520131</v>
      </c>
      <c r="R440" s="133">
        <v>0.744759556103576</v>
      </c>
      <c r="S440" s="133">
        <v>0.63031263150078</v>
      </c>
      <c r="T440" s="135">
        <v>0.9</v>
      </c>
      <c r="U440" s="133">
        <v>0.663178548070634</v>
      </c>
      <c r="V440" s="133">
        <v>0.681719260065288</v>
      </c>
      <c r="W440" s="133">
        <v>0.710850801479655</v>
      </c>
      <c r="X440" s="133">
        <v>0.68147726428872</v>
      </c>
      <c r="Y440" s="135">
        <v>0.92</v>
      </c>
      <c r="Z440" s="135">
        <v>0.706282722513089</v>
      </c>
      <c r="AA440" s="135">
        <v>0.706062291434928</v>
      </c>
      <c r="AB440" s="135">
        <v>0.857468932285062</v>
      </c>
      <c r="AC440" s="135">
        <v>0.755389971294204</v>
      </c>
      <c r="AD440" s="135">
        <v>0.92</v>
      </c>
      <c r="AE440" s="133">
        <v>0.986181483187471</v>
      </c>
      <c r="AF440" s="133">
        <v>0.992937853107345</v>
      </c>
      <c r="AG440" s="133">
        <v>0.99791169451074</v>
      </c>
      <c r="AH440" s="133">
        <v>0.986951304869513</v>
      </c>
      <c r="AI440" s="135">
        <v>0.92</v>
      </c>
      <c r="AJ440" s="133">
        <v>0.767286461359675</v>
      </c>
      <c r="AK440" s="133">
        <v>0.739882266372333</v>
      </c>
      <c r="AL440" s="133">
        <v>0.875</v>
      </c>
      <c r="AM440" s="133">
        <v>0.794723288653278</v>
      </c>
      <c r="AN440" s="132">
        <v>0.99</v>
      </c>
      <c r="AO440" s="137">
        <v>1</v>
      </c>
      <c r="AP440" s="137">
        <v>1</v>
      </c>
      <c r="AQ440" s="137">
        <v>1</v>
      </c>
      <c r="AR440" s="137">
        <v>1</v>
      </c>
      <c r="AS440" s="158">
        <v>0.05</v>
      </c>
      <c r="AT440" s="141">
        <v>0.0526315789473684</v>
      </c>
      <c r="AU440" s="141">
        <v>0.111111111111111</v>
      </c>
      <c r="AV440" s="141">
        <v>0.0434782608695652</v>
      </c>
      <c r="AW440" s="141">
        <v>0.0287907869481766</v>
      </c>
      <c r="AX440" s="95"/>
      <c r="AY440" s="93"/>
    </row>
    <row r="441" ht="14.5" spans="1:51">
      <c r="A441" s="91"/>
      <c r="B441" s="95"/>
      <c r="C441" s="152" t="s">
        <v>375</v>
      </c>
      <c r="D441" s="153" t="s">
        <v>25</v>
      </c>
      <c r="E441" s="130" t="s">
        <v>376</v>
      </c>
      <c r="F441" s="154" t="s">
        <v>467</v>
      </c>
      <c r="G441" s="154" t="s">
        <v>467</v>
      </c>
      <c r="H441" s="154" t="s">
        <v>467</v>
      </c>
      <c r="I441" s="154" t="s">
        <v>467</v>
      </c>
      <c r="J441" s="132">
        <v>0.9</v>
      </c>
      <c r="K441" s="133">
        <v>0.975</v>
      </c>
      <c r="L441" s="133">
        <v>0.929411764705882</v>
      </c>
      <c r="M441" s="134">
        <v>0.989247311827957</v>
      </c>
      <c r="N441" s="133">
        <v>0.953337653920933</v>
      </c>
      <c r="O441" s="135">
        <v>0.9</v>
      </c>
      <c r="P441" s="133">
        <v>0.958853783982366</v>
      </c>
      <c r="Q441" s="133">
        <v>0.975949068615892</v>
      </c>
      <c r="R441" s="133">
        <v>0.974262182566918</v>
      </c>
      <c r="S441" s="133">
        <v>0.978663991758391</v>
      </c>
      <c r="T441" s="135">
        <v>0.9</v>
      </c>
      <c r="U441" s="133">
        <v>0.88574577516532</v>
      </c>
      <c r="V441" s="133">
        <v>0.922423956614006</v>
      </c>
      <c r="W441" s="133">
        <v>0.944406314344544</v>
      </c>
      <c r="X441" s="133">
        <v>0.921514937916825</v>
      </c>
      <c r="Y441" s="135">
        <v>0.92</v>
      </c>
      <c r="Z441" s="135">
        <v>0.874247254693588</v>
      </c>
      <c r="AA441" s="135">
        <v>0.937031994554118</v>
      </c>
      <c r="AB441" s="135">
        <v>0.957723838611156</v>
      </c>
      <c r="AC441" s="135">
        <v>0.94602173151069</v>
      </c>
      <c r="AD441" s="135">
        <v>0.92</v>
      </c>
      <c r="AE441" s="133">
        <v>0.970873786407767</v>
      </c>
      <c r="AF441" s="133">
        <v>0.990654205607477</v>
      </c>
      <c r="AG441" s="133">
        <v>0.998482549317147</v>
      </c>
      <c r="AH441" s="133">
        <v>0.934771061298205</v>
      </c>
      <c r="AI441" s="135">
        <v>0.92</v>
      </c>
      <c r="AJ441" s="133">
        <v>0.912910205553552</v>
      </c>
      <c r="AK441" s="133">
        <v>0.954971857410882</v>
      </c>
      <c r="AL441" s="133">
        <v>0.967340251228837</v>
      </c>
      <c r="AM441" s="133">
        <v>0.963993904924345</v>
      </c>
      <c r="AN441" s="132">
        <v>0.99</v>
      </c>
      <c r="AO441" s="137">
        <v>1</v>
      </c>
      <c r="AP441" s="137">
        <v>1</v>
      </c>
      <c r="AQ441" s="137">
        <v>1</v>
      </c>
      <c r="AR441" s="137">
        <v>1</v>
      </c>
      <c r="AS441" s="158">
        <v>0.05</v>
      </c>
      <c r="AT441" s="141">
        <v>0.0769230769230769</v>
      </c>
      <c r="AU441" s="141">
        <v>0</v>
      </c>
      <c r="AV441" s="141">
        <v>0.04</v>
      </c>
      <c r="AW441" s="141">
        <v>0.0293501048218029</v>
      </c>
      <c r="AX441" s="95"/>
      <c r="AY441" s="93"/>
    </row>
    <row r="442" ht="14.5" spans="1:51">
      <c r="A442" s="91"/>
      <c r="B442" s="95"/>
      <c r="C442" s="152" t="s">
        <v>375</v>
      </c>
      <c r="D442" s="153" t="s">
        <v>25</v>
      </c>
      <c r="E442" s="130" t="s">
        <v>376</v>
      </c>
      <c r="F442" s="173" t="s">
        <v>468</v>
      </c>
      <c r="G442" s="173" t="s">
        <v>468</v>
      </c>
      <c r="H442" s="173" t="s">
        <v>468</v>
      </c>
      <c r="I442" s="173" t="s">
        <v>468</v>
      </c>
      <c r="J442" s="132">
        <v>0.9</v>
      </c>
      <c r="K442" s="133">
        <v>0.8</v>
      </c>
      <c r="L442" s="133">
        <v>0.888888888888889</v>
      </c>
      <c r="M442" s="134">
        <v>0.888888888888889</v>
      </c>
      <c r="N442" s="133">
        <v>0.870307167235495</v>
      </c>
      <c r="O442" s="135">
        <v>0.9</v>
      </c>
      <c r="P442" s="133">
        <v>0.985882352941176</v>
      </c>
      <c r="Q442" s="133">
        <v>0.978658536585366</v>
      </c>
      <c r="R442" s="133">
        <v>0.987492182614134</v>
      </c>
      <c r="S442" s="133">
        <v>0.978263841421736</v>
      </c>
      <c r="T442" s="135">
        <v>0.9</v>
      </c>
      <c r="U442" s="133">
        <v>0.956470588235294</v>
      </c>
      <c r="V442" s="133">
        <v>0.963922764227642</v>
      </c>
      <c r="W442" s="133">
        <v>0.973733583489681</v>
      </c>
      <c r="X442" s="133">
        <v>0.950068352699932</v>
      </c>
      <c r="Y442" s="135">
        <v>0.92</v>
      </c>
      <c r="Z442" s="135">
        <v>0</v>
      </c>
      <c r="AA442" s="135" t="s">
        <v>35</v>
      </c>
      <c r="AB442" s="135" t="s">
        <v>35</v>
      </c>
      <c r="AC442" s="135">
        <v>0</v>
      </c>
      <c r="AD442" s="135">
        <v>0.92</v>
      </c>
      <c r="AE442" s="133">
        <v>1</v>
      </c>
      <c r="AF442" s="133">
        <v>0.979591836734694</v>
      </c>
      <c r="AG442" s="133">
        <v>0.972972972972973</v>
      </c>
      <c r="AH442" s="133">
        <v>0.976539589442815</v>
      </c>
      <c r="AI442" s="135">
        <v>0.92</v>
      </c>
      <c r="AJ442" s="133">
        <v>0.981187536743092</v>
      </c>
      <c r="AK442" s="133">
        <v>0.984756097560976</v>
      </c>
      <c r="AL442" s="133">
        <v>0.991869918699187</v>
      </c>
      <c r="AM442" s="133">
        <v>0.986639330257987</v>
      </c>
      <c r="AN442" s="132">
        <v>0.99</v>
      </c>
      <c r="AO442" s="137">
        <v>1</v>
      </c>
      <c r="AP442" s="137">
        <v>1</v>
      </c>
      <c r="AQ442" s="137">
        <v>1</v>
      </c>
      <c r="AR442" s="137">
        <v>1</v>
      </c>
      <c r="AS442" s="158">
        <v>0.05</v>
      </c>
      <c r="AT442" s="141">
        <v>0</v>
      </c>
      <c r="AU442" s="141">
        <v>0</v>
      </c>
      <c r="AV442" s="141">
        <v>0</v>
      </c>
      <c r="AW442" s="141">
        <v>0.075</v>
      </c>
      <c r="AX442" s="95"/>
      <c r="AY442" s="93"/>
    </row>
    <row r="443" ht="14.5" spans="1:51">
      <c r="A443" s="91"/>
      <c r="B443" s="95"/>
      <c r="C443" s="152" t="s">
        <v>375</v>
      </c>
      <c r="D443" s="153" t="s">
        <v>25</v>
      </c>
      <c r="E443" s="130" t="s">
        <v>376</v>
      </c>
      <c r="F443" s="154" t="s">
        <v>469</v>
      </c>
      <c r="G443" s="154" t="s">
        <v>469</v>
      </c>
      <c r="H443" s="154" t="s">
        <v>469</v>
      </c>
      <c r="I443" s="154" t="s">
        <v>469</v>
      </c>
      <c r="J443" s="132">
        <v>0.9</v>
      </c>
      <c r="K443" s="133">
        <v>0.901960784313726</v>
      </c>
      <c r="L443" s="133">
        <v>0.909090909090909</v>
      </c>
      <c r="M443" s="134">
        <v>0.927272727272727</v>
      </c>
      <c r="N443" s="133">
        <v>0.892747701736466</v>
      </c>
      <c r="O443" s="135">
        <v>0.9</v>
      </c>
      <c r="P443" s="133">
        <v>0.92016317016317</v>
      </c>
      <c r="Q443" s="133">
        <v>0.954280964256027</v>
      </c>
      <c r="R443" s="133">
        <v>0.93169968717414</v>
      </c>
      <c r="S443" s="133">
        <v>0.92147135067489</v>
      </c>
      <c r="T443" s="135">
        <v>0.9</v>
      </c>
      <c r="U443" s="133">
        <v>0.84032634032634</v>
      </c>
      <c r="V443" s="133">
        <v>0.86118038237739</v>
      </c>
      <c r="W443" s="133">
        <v>0.893117831074035</v>
      </c>
      <c r="X443" s="133">
        <v>0.857647269151694</v>
      </c>
      <c r="Y443" s="135">
        <v>0.92</v>
      </c>
      <c r="Z443" s="135">
        <v>0.801959773078907</v>
      </c>
      <c r="AA443" s="135">
        <v>0.863795927919495</v>
      </c>
      <c r="AB443" s="135">
        <v>0.898447606727037</v>
      </c>
      <c r="AC443" s="135">
        <v>0.894257643770645</v>
      </c>
      <c r="AD443" s="135">
        <v>0.92</v>
      </c>
      <c r="AE443" s="133">
        <v>0.996478873239437</v>
      </c>
      <c r="AF443" s="133">
        <v>0.99109131403118</v>
      </c>
      <c r="AG443" s="133">
        <v>0.986038394415358</v>
      </c>
      <c r="AH443" s="133">
        <v>0.99475753604194</v>
      </c>
      <c r="AI443" s="135">
        <v>0.92</v>
      </c>
      <c r="AJ443" s="133">
        <v>0.863474692202462</v>
      </c>
      <c r="AK443" s="133">
        <v>0.897175310118069</v>
      </c>
      <c r="AL443" s="133">
        <v>0.91901354848531</v>
      </c>
      <c r="AM443" s="133">
        <v>0.921817207646306</v>
      </c>
      <c r="AN443" s="132">
        <v>0.99</v>
      </c>
      <c r="AO443" s="137">
        <v>1</v>
      </c>
      <c r="AP443" s="137">
        <v>1</v>
      </c>
      <c r="AQ443" s="137">
        <v>1</v>
      </c>
      <c r="AR443" s="137">
        <v>1</v>
      </c>
      <c r="AS443" s="158">
        <v>0.05</v>
      </c>
      <c r="AT443" s="141">
        <v>0</v>
      </c>
      <c r="AU443" s="141">
        <v>0</v>
      </c>
      <c r="AV443" s="141">
        <v>0</v>
      </c>
      <c r="AW443" s="141">
        <v>0.028169014084507</v>
      </c>
      <c r="AX443" s="95"/>
      <c r="AY443" s="93"/>
    </row>
    <row r="444" ht="14.5" spans="1:51">
      <c r="A444" s="91"/>
      <c r="B444" s="95"/>
      <c r="C444" s="152" t="s">
        <v>375</v>
      </c>
      <c r="D444" s="153" t="s">
        <v>25</v>
      </c>
      <c r="E444" s="130" t="s">
        <v>376</v>
      </c>
      <c r="F444" s="154" t="s">
        <v>470</v>
      </c>
      <c r="G444" s="154" t="s">
        <v>470</v>
      </c>
      <c r="H444" s="154" t="s">
        <v>470</v>
      </c>
      <c r="I444" s="154" t="s">
        <v>470</v>
      </c>
      <c r="J444" s="132">
        <v>0.9</v>
      </c>
      <c r="K444" s="133">
        <v>0.826086956521739</v>
      </c>
      <c r="L444" s="133">
        <v>0.882352941176471</v>
      </c>
      <c r="M444" s="134">
        <v>0.851851851851852</v>
      </c>
      <c r="N444" s="133">
        <v>0.851851851851852</v>
      </c>
      <c r="O444" s="135">
        <v>0.9</v>
      </c>
      <c r="P444" s="133">
        <v>0.913472706155633</v>
      </c>
      <c r="Q444" s="133">
        <v>0.922093981863149</v>
      </c>
      <c r="R444" s="133">
        <v>0.919372294372294</v>
      </c>
      <c r="S444" s="133">
        <v>0.941410297071572</v>
      </c>
      <c r="T444" s="135">
        <v>0.9</v>
      </c>
      <c r="U444" s="133">
        <v>0.849593495934959</v>
      </c>
      <c r="V444" s="133">
        <v>0.901896125309151</v>
      </c>
      <c r="W444" s="133">
        <v>0.906385281385281</v>
      </c>
      <c r="X444" s="133">
        <v>0.893392536208902</v>
      </c>
      <c r="Y444" s="135">
        <v>0.92</v>
      </c>
      <c r="Z444" s="135">
        <v>0.890022675736961</v>
      </c>
      <c r="AA444" s="135">
        <v>0.936773255813954</v>
      </c>
      <c r="AB444" s="135">
        <v>0.955187637969095</v>
      </c>
      <c r="AC444" s="135">
        <v>0.95332075980062</v>
      </c>
      <c r="AD444" s="135">
        <v>0.92</v>
      </c>
      <c r="AE444" s="133">
        <v>0.985355648535565</v>
      </c>
      <c r="AF444" s="133">
        <v>0.911991199119912</v>
      </c>
      <c r="AG444" s="133">
        <v>0.999015748031496</v>
      </c>
      <c r="AH444" s="133">
        <v>0.990589400693413</v>
      </c>
      <c r="AI444" s="135">
        <v>0.92</v>
      </c>
      <c r="AJ444" s="133">
        <v>0.919414969888156</v>
      </c>
      <c r="AK444" s="133">
        <v>0.950784702117934</v>
      </c>
      <c r="AL444" s="133">
        <v>0.963055729492799</v>
      </c>
      <c r="AM444" s="133">
        <v>0.964107160477584</v>
      </c>
      <c r="AN444" s="132">
        <v>0.99</v>
      </c>
      <c r="AO444" s="137">
        <v>1</v>
      </c>
      <c r="AP444" s="137">
        <v>1</v>
      </c>
      <c r="AQ444" s="137">
        <v>1</v>
      </c>
      <c r="AR444" s="137">
        <v>1</v>
      </c>
      <c r="AS444" s="158">
        <v>0.05</v>
      </c>
      <c r="AT444" s="141">
        <v>0.333333333333333</v>
      </c>
      <c r="AU444" s="141">
        <v>0.19047619047619</v>
      </c>
      <c r="AV444" s="141">
        <v>0.0714285714285714</v>
      </c>
      <c r="AW444" s="141">
        <v>0.0680272108843537</v>
      </c>
      <c r="AX444" s="95"/>
      <c r="AY444" s="93"/>
    </row>
    <row r="445" ht="14.5" spans="1:51">
      <c r="A445" s="91"/>
      <c r="B445" s="95"/>
      <c r="C445" s="152" t="s">
        <v>375</v>
      </c>
      <c r="D445" s="153" t="s">
        <v>25</v>
      </c>
      <c r="E445" s="130" t="s">
        <v>376</v>
      </c>
      <c r="F445" s="154" t="s">
        <v>471</v>
      </c>
      <c r="G445" s="154" t="s">
        <v>471</v>
      </c>
      <c r="H445" s="154" t="s">
        <v>471</v>
      </c>
      <c r="I445" s="154" t="s">
        <v>471</v>
      </c>
      <c r="J445" s="132">
        <v>0.9</v>
      </c>
      <c r="K445" s="133">
        <v>0.804347826086957</v>
      </c>
      <c r="L445" s="133">
        <v>0.918367346938776</v>
      </c>
      <c r="M445" s="134">
        <v>0.942307692307692</v>
      </c>
      <c r="N445" s="133">
        <v>0.91118800461361</v>
      </c>
      <c r="O445" s="135">
        <v>0.9</v>
      </c>
      <c r="P445" s="133">
        <v>0.952271420356527</v>
      </c>
      <c r="Q445" s="133">
        <v>0.970130416491376</v>
      </c>
      <c r="R445" s="133">
        <v>0.950897571277719</v>
      </c>
      <c r="S445" s="133">
        <v>0.974381571127006</v>
      </c>
      <c r="T445" s="135">
        <v>0.9</v>
      </c>
      <c r="U445" s="133">
        <v>0.848188614146061</v>
      </c>
      <c r="V445" s="133">
        <v>0.887673538073201</v>
      </c>
      <c r="W445" s="133">
        <v>0.91129883843717</v>
      </c>
      <c r="X445" s="133">
        <v>0.899432295616174</v>
      </c>
      <c r="Y445" s="135">
        <v>0.92</v>
      </c>
      <c r="Z445" s="135">
        <v>0.92122905027933</v>
      </c>
      <c r="AA445" s="135">
        <v>0.917811520848397</v>
      </c>
      <c r="AB445" s="135">
        <v>0.960465627059082</v>
      </c>
      <c r="AC445" s="135">
        <v>0.955352856457033</v>
      </c>
      <c r="AD445" s="135">
        <v>0.92</v>
      </c>
      <c r="AE445" s="133">
        <v>0.954887218045113</v>
      </c>
      <c r="AF445" s="133">
        <v>0.917241379310345</v>
      </c>
      <c r="AG445" s="133">
        <v>0.970238095238095</v>
      </c>
      <c r="AH445" s="133">
        <v>0.954302181967888</v>
      </c>
      <c r="AI445" s="135">
        <v>0.92</v>
      </c>
      <c r="AJ445" s="133">
        <v>0.939359591952394</v>
      </c>
      <c r="AK445" s="133">
        <v>0.933986827998162</v>
      </c>
      <c r="AL445" s="133">
        <v>0.965037128712871</v>
      </c>
      <c r="AM445" s="133">
        <v>0.966172781752337</v>
      </c>
      <c r="AN445" s="132">
        <v>0.99</v>
      </c>
      <c r="AO445" s="137">
        <v>1</v>
      </c>
      <c r="AP445" s="137">
        <v>1</v>
      </c>
      <c r="AQ445" s="137">
        <v>1</v>
      </c>
      <c r="AR445" s="137">
        <v>1</v>
      </c>
      <c r="AS445" s="158">
        <v>0.05</v>
      </c>
      <c r="AT445" s="141">
        <v>0.0625</v>
      </c>
      <c r="AU445" s="141">
        <v>0</v>
      </c>
      <c r="AV445" s="141">
        <v>0.105263157894737</v>
      </c>
      <c r="AW445" s="141">
        <v>0.035264483627204</v>
      </c>
      <c r="AX445" s="95"/>
      <c r="AY445" s="93"/>
    </row>
    <row r="446" ht="14.5" spans="1:51">
      <c r="A446" s="91"/>
      <c r="B446" s="95"/>
      <c r="C446" s="152" t="s">
        <v>375</v>
      </c>
      <c r="D446" s="153" t="s">
        <v>25</v>
      </c>
      <c r="E446" s="130" t="s">
        <v>376</v>
      </c>
      <c r="F446" s="154" t="s">
        <v>472</v>
      </c>
      <c r="G446" s="154" t="s">
        <v>472</v>
      </c>
      <c r="H446" s="154" t="s">
        <v>472</v>
      </c>
      <c r="I446" s="154" t="s">
        <v>472</v>
      </c>
      <c r="J446" s="132">
        <v>0.9</v>
      </c>
      <c r="K446" s="133">
        <v>0.935483870967742</v>
      </c>
      <c r="L446" s="133">
        <v>0.973684210526316</v>
      </c>
      <c r="M446" s="134">
        <v>0.931034482758621</v>
      </c>
      <c r="N446" s="133">
        <v>0.948314606741573</v>
      </c>
      <c r="O446" s="135">
        <v>0.9</v>
      </c>
      <c r="P446" s="133">
        <v>0.988581730769231</v>
      </c>
      <c r="Q446" s="133">
        <v>0.989147286821705</v>
      </c>
      <c r="R446" s="133">
        <v>0.984585109872089</v>
      </c>
      <c r="S446" s="133">
        <v>0.98312892157792</v>
      </c>
      <c r="T446" s="135">
        <v>0.9</v>
      </c>
      <c r="U446" s="133">
        <v>0.838341346153846</v>
      </c>
      <c r="V446" s="133">
        <v>0.935193798449612</v>
      </c>
      <c r="W446" s="133">
        <v>0.92817317153165</v>
      </c>
      <c r="X446" s="133">
        <v>0.921672701078612</v>
      </c>
      <c r="Y446" s="135">
        <v>0.92</v>
      </c>
      <c r="Z446" s="135">
        <v>0.83920894239037</v>
      </c>
      <c r="AA446" s="135">
        <v>0.903732809430255</v>
      </c>
      <c r="AB446" s="135">
        <v>0.899074852817494</v>
      </c>
      <c r="AC446" s="135">
        <v>0.908532433312609</v>
      </c>
      <c r="AD446" s="135">
        <v>0.92</v>
      </c>
      <c r="AE446" s="133">
        <v>0.998092816274634</v>
      </c>
      <c r="AF446" s="133">
        <v>0.997495303694427</v>
      </c>
      <c r="AG446" s="133">
        <v>0.998565622758786</v>
      </c>
      <c r="AH446" s="133">
        <v>0.995226160639694</v>
      </c>
      <c r="AI446" s="135">
        <v>0.92</v>
      </c>
      <c r="AJ446" s="133">
        <v>0.885213032581454</v>
      </c>
      <c r="AK446" s="133">
        <v>0.933808414416884</v>
      </c>
      <c r="AL446" s="133">
        <v>0.929422313308569</v>
      </c>
      <c r="AM446" s="133">
        <v>0.939300018280624</v>
      </c>
      <c r="AN446" s="132">
        <v>0.99</v>
      </c>
      <c r="AO446" s="137">
        <v>1</v>
      </c>
      <c r="AP446" s="137">
        <v>1</v>
      </c>
      <c r="AQ446" s="137">
        <v>1</v>
      </c>
      <c r="AR446" s="137">
        <v>1</v>
      </c>
      <c r="AS446" s="158">
        <v>0.05</v>
      </c>
      <c r="AT446" s="141">
        <v>0</v>
      </c>
      <c r="AU446" s="141">
        <v>0</v>
      </c>
      <c r="AV446" s="141">
        <v>0.2</v>
      </c>
      <c r="AW446" s="141">
        <v>0.0662650602409639</v>
      </c>
      <c r="AX446" s="95"/>
      <c r="AY446" s="93"/>
    </row>
    <row r="447" ht="14.5" spans="1:51">
      <c r="A447" s="91"/>
      <c r="B447" s="95"/>
      <c r="C447" s="152" t="s">
        <v>375</v>
      </c>
      <c r="D447" s="153" t="s">
        <v>25</v>
      </c>
      <c r="E447" s="130" t="s">
        <v>376</v>
      </c>
      <c r="F447" s="154" t="s">
        <v>473</v>
      </c>
      <c r="G447" s="154" t="s">
        <v>473</v>
      </c>
      <c r="H447" s="154" t="s">
        <v>473</v>
      </c>
      <c r="I447" s="154" t="s">
        <v>473</v>
      </c>
      <c r="J447" s="132">
        <v>0.9</v>
      </c>
      <c r="K447" s="133">
        <v>0.826086956521739</v>
      </c>
      <c r="L447" s="133">
        <v>0.854838709677419</v>
      </c>
      <c r="M447" s="134">
        <v>0.911764705882353</v>
      </c>
      <c r="N447" s="133">
        <v>0.880974695407685</v>
      </c>
      <c r="O447" s="135">
        <v>0.9</v>
      </c>
      <c r="P447" s="133">
        <v>0.942067907155189</v>
      </c>
      <c r="Q447" s="133">
        <v>0.984169653524492</v>
      </c>
      <c r="R447" s="133">
        <v>0.994869980541305</v>
      </c>
      <c r="S447" s="133">
        <v>0.98794128933231</v>
      </c>
      <c r="T447" s="135">
        <v>0.9</v>
      </c>
      <c r="U447" s="133">
        <v>0.786878956455016</v>
      </c>
      <c r="V447" s="133">
        <v>0.922192353643967</v>
      </c>
      <c r="W447" s="133">
        <v>0.926410755351141</v>
      </c>
      <c r="X447" s="133">
        <v>0.904988488104374</v>
      </c>
      <c r="Y447" s="135">
        <v>0.92</v>
      </c>
      <c r="Z447" s="135">
        <v>0</v>
      </c>
      <c r="AA447" s="135" t="s">
        <v>35</v>
      </c>
      <c r="AB447" s="135">
        <v>1</v>
      </c>
      <c r="AC447" s="135">
        <v>0.793103448275862</v>
      </c>
      <c r="AD447" s="135">
        <v>0.92</v>
      </c>
      <c r="AE447" s="133">
        <v>0.982758620689655</v>
      </c>
      <c r="AF447" s="133">
        <v>0.997690531177829</v>
      </c>
      <c r="AG447" s="133">
        <v>0.983805668016194</v>
      </c>
      <c r="AH447" s="133">
        <v>0.988762642027719</v>
      </c>
      <c r="AI447" s="135">
        <v>0.92</v>
      </c>
      <c r="AJ447" s="133">
        <v>0.900153315446531</v>
      </c>
      <c r="AK447" s="133">
        <v>0.974167537703449</v>
      </c>
      <c r="AL447" s="133">
        <v>0.985143261407853</v>
      </c>
      <c r="AM447" s="133">
        <v>0.979017223522191</v>
      </c>
      <c r="AN447" s="132">
        <v>0.99</v>
      </c>
      <c r="AO447" s="137">
        <v>1</v>
      </c>
      <c r="AP447" s="137">
        <v>1</v>
      </c>
      <c r="AQ447" s="137">
        <v>1</v>
      </c>
      <c r="AR447" s="137">
        <v>1</v>
      </c>
      <c r="AS447" s="158">
        <v>0.05</v>
      </c>
      <c r="AT447" s="141">
        <v>0</v>
      </c>
      <c r="AU447" s="141">
        <v>0.111111111111111</v>
      </c>
      <c r="AV447" s="141">
        <v>0</v>
      </c>
      <c r="AW447" s="141">
        <v>0.0269360269360269</v>
      </c>
      <c r="AX447" s="95"/>
      <c r="AY447" s="93"/>
    </row>
    <row r="448" ht="14.5" spans="1:51">
      <c r="A448" s="91"/>
      <c r="B448" s="95"/>
      <c r="C448" s="152" t="s">
        <v>375</v>
      </c>
      <c r="D448" s="153" t="s">
        <v>25</v>
      </c>
      <c r="E448" s="130" t="s">
        <v>376</v>
      </c>
      <c r="F448" s="154" t="s">
        <v>474</v>
      </c>
      <c r="G448" s="154" t="s">
        <v>474</v>
      </c>
      <c r="H448" s="154" t="s">
        <v>474</v>
      </c>
      <c r="I448" s="154" t="s">
        <v>474</v>
      </c>
      <c r="J448" s="132">
        <v>0.9</v>
      </c>
      <c r="K448" s="133">
        <v>0.978723404255319</v>
      </c>
      <c r="L448" s="133">
        <v>0.96</v>
      </c>
      <c r="M448" s="134">
        <v>0.963636363636364</v>
      </c>
      <c r="N448" s="133">
        <v>0.956081081081081</v>
      </c>
      <c r="O448" s="135">
        <v>0.9</v>
      </c>
      <c r="P448" s="133">
        <v>0.952324896998234</v>
      </c>
      <c r="Q448" s="133">
        <v>0.968646864686469</v>
      </c>
      <c r="R448" s="133">
        <v>0.969285999202234</v>
      </c>
      <c r="S448" s="133">
        <v>0.963741048764884</v>
      </c>
      <c r="T448" s="135">
        <v>0.9</v>
      </c>
      <c r="U448" s="133">
        <v>0.899352560329606</v>
      </c>
      <c r="V448" s="133">
        <v>0.944719471947195</v>
      </c>
      <c r="W448" s="133">
        <v>0.953729557239729</v>
      </c>
      <c r="X448" s="133">
        <v>0.947272839837382</v>
      </c>
      <c r="Y448" s="135">
        <v>0.92</v>
      </c>
      <c r="Z448" s="135">
        <v>0.90295358649789</v>
      </c>
      <c r="AA448" s="135">
        <v>0.936490250696379</v>
      </c>
      <c r="AB448" s="135">
        <v>0.953928225024248</v>
      </c>
      <c r="AC448" s="135">
        <v>0.944885250047417</v>
      </c>
      <c r="AD448" s="135">
        <v>0.92</v>
      </c>
      <c r="AE448" s="133">
        <v>0.998848589522165</v>
      </c>
      <c r="AF448" s="133">
        <v>0.993852065321806</v>
      </c>
      <c r="AG448" s="133">
        <v>0.998083242059146</v>
      </c>
      <c r="AH448" s="133">
        <v>0.993791782259283</v>
      </c>
      <c r="AI448" s="135">
        <v>0.92</v>
      </c>
      <c r="AJ448" s="133">
        <v>0.928231089934485</v>
      </c>
      <c r="AK448" s="133">
        <v>0.952610575324243</v>
      </c>
      <c r="AL448" s="133">
        <v>0.96667671893848</v>
      </c>
      <c r="AM448" s="133">
        <v>0.962171979708148</v>
      </c>
      <c r="AN448" s="132">
        <v>0.99</v>
      </c>
      <c r="AO448" s="137">
        <v>1</v>
      </c>
      <c r="AP448" s="137">
        <v>1</v>
      </c>
      <c r="AQ448" s="137">
        <v>1</v>
      </c>
      <c r="AR448" s="137">
        <v>1</v>
      </c>
      <c r="AS448" s="158">
        <v>0.05</v>
      </c>
      <c r="AT448" s="141">
        <v>0</v>
      </c>
      <c r="AU448" s="141">
        <v>0.0344827586206897</v>
      </c>
      <c r="AV448" s="141">
        <v>0.0666666666666667</v>
      </c>
      <c r="AW448" s="141">
        <v>0.043859649122807</v>
      </c>
      <c r="AX448" s="95"/>
      <c r="AY448" s="93"/>
    </row>
    <row r="449" ht="14.5" spans="1:51">
      <c r="A449" s="91"/>
      <c r="B449" s="95"/>
      <c r="C449" s="152" t="s">
        <v>375</v>
      </c>
      <c r="D449" s="153" t="s">
        <v>25</v>
      </c>
      <c r="E449" s="130" t="s">
        <v>376</v>
      </c>
      <c r="F449" s="154" t="s">
        <v>475</v>
      </c>
      <c r="G449" s="154" t="s">
        <v>475</v>
      </c>
      <c r="H449" s="154" t="s">
        <v>475</v>
      </c>
      <c r="I449" s="154" t="s">
        <v>475</v>
      </c>
      <c r="J449" s="132">
        <v>0.9</v>
      </c>
      <c r="K449" s="133">
        <v>1</v>
      </c>
      <c r="L449" s="133">
        <v>0.875</v>
      </c>
      <c r="M449" s="134">
        <v>1</v>
      </c>
      <c r="N449" s="133">
        <v>0.96415770609319</v>
      </c>
      <c r="O449" s="135">
        <v>0.9</v>
      </c>
      <c r="P449" s="133">
        <v>0.96910678307589</v>
      </c>
      <c r="Q449" s="133">
        <v>0.915263748597082</v>
      </c>
      <c r="R449" s="133">
        <v>0.998058252427184</v>
      </c>
      <c r="S449" s="133">
        <v>0.97218680802523</v>
      </c>
      <c r="T449" s="135">
        <v>0.9</v>
      </c>
      <c r="U449" s="133">
        <v>0.883814640698455</v>
      </c>
      <c r="V449" s="133">
        <v>0.866442199775533</v>
      </c>
      <c r="W449" s="133">
        <v>0.979288025889968</v>
      </c>
      <c r="X449" s="133">
        <v>0.935247936657049</v>
      </c>
      <c r="Y449" s="135">
        <v>0.92</v>
      </c>
      <c r="Z449" s="135" t="s">
        <v>35</v>
      </c>
      <c r="AA449" s="135">
        <v>0.5</v>
      </c>
      <c r="AB449" s="135" t="s">
        <v>35</v>
      </c>
      <c r="AC449" s="135">
        <v>0.571428571428571</v>
      </c>
      <c r="AD449" s="135">
        <v>0.92</v>
      </c>
      <c r="AE449" s="133">
        <v>0.979591836734694</v>
      </c>
      <c r="AF449" s="133">
        <v>0.964912280701754</v>
      </c>
      <c r="AG449" s="133">
        <v>1</v>
      </c>
      <c r="AH449" s="133">
        <v>0.992489890236857</v>
      </c>
      <c r="AI449" s="135">
        <v>0.92</v>
      </c>
      <c r="AJ449" s="133">
        <v>0.924781732706514</v>
      </c>
      <c r="AK449" s="133">
        <v>0.991031390134529</v>
      </c>
      <c r="AL449" s="133">
        <v>0.994822006472492</v>
      </c>
      <c r="AM449" s="133">
        <v>0.980209975514038</v>
      </c>
      <c r="AN449" s="132">
        <v>0.99</v>
      </c>
      <c r="AO449" s="137">
        <v>1</v>
      </c>
      <c r="AP449" s="137">
        <v>1</v>
      </c>
      <c r="AQ449" s="137">
        <v>1</v>
      </c>
      <c r="AR449" s="137">
        <v>1</v>
      </c>
      <c r="AS449" s="158">
        <v>0.05</v>
      </c>
      <c r="AT449" s="141">
        <v>0</v>
      </c>
      <c r="AU449" s="141">
        <v>0</v>
      </c>
      <c r="AV449" s="141">
        <v>0</v>
      </c>
      <c r="AW449" s="141">
        <v>0.0540540540540541</v>
      </c>
      <c r="AX449" s="95"/>
      <c r="AY449" s="93"/>
    </row>
    <row r="450" ht="14.5" spans="1:51">
      <c r="A450" s="91"/>
      <c r="B450" s="95"/>
      <c r="C450" s="152" t="s">
        <v>375</v>
      </c>
      <c r="D450" s="153" t="s">
        <v>25</v>
      </c>
      <c r="E450" s="130" t="s">
        <v>376</v>
      </c>
      <c r="F450" s="154" t="s">
        <v>476</v>
      </c>
      <c r="G450" s="154" t="s">
        <v>476</v>
      </c>
      <c r="H450" s="154" t="s">
        <v>476</v>
      </c>
      <c r="I450" s="154" t="s">
        <v>476</v>
      </c>
      <c r="J450" s="132">
        <v>0.9</v>
      </c>
      <c r="K450" s="133">
        <v>0.9</v>
      </c>
      <c r="L450" s="133">
        <v>0.885714285714286</v>
      </c>
      <c r="M450" s="134">
        <v>0.951219512195122</v>
      </c>
      <c r="N450" s="133">
        <v>0.919876733436055</v>
      </c>
      <c r="O450" s="135">
        <v>0.9</v>
      </c>
      <c r="P450" s="133">
        <v>0.933333333333333</v>
      </c>
      <c r="Q450" s="133">
        <v>0.966197697789147</v>
      </c>
      <c r="R450" s="133">
        <v>0.985682326621924</v>
      </c>
      <c r="S450" s="133">
        <v>0.975252373060117</v>
      </c>
      <c r="T450" s="135">
        <v>0.9</v>
      </c>
      <c r="U450" s="133">
        <v>0.798081534772182</v>
      </c>
      <c r="V450" s="133">
        <v>0.926365795724466</v>
      </c>
      <c r="W450" s="133">
        <v>0.967114093959732</v>
      </c>
      <c r="X450" s="133">
        <v>0.935312139018633</v>
      </c>
      <c r="Y450" s="135">
        <v>0.92</v>
      </c>
      <c r="Z450" s="135" t="s">
        <v>35</v>
      </c>
      <c r="AA450" s="135" t="s">
        <v>35</v>
      </c>
      <c r="AB450" s="135" t="s">
        <v>35</v>
      </c>
      <c r="AC450" s="135">
        <v>0.5</v>
      </c>
      <c r="AD450" s="135">
        <v>0.92</v>
      </c>
      <c r="AE450" s="133">
        <v>0.995421245421245</v>
      </c>
      <c r="AF450" s="133">
        <v>0.994715208455667</v>
      </c>
      <c r="AG450" s="133">
        <v>0.997248968363136</v>
      </c>
      <c r="AH450" s="133">
        <v>0.996509824198552</v>
      </c>
      <c r="AI450" s="135">
        <v>0.92</v>
      </c>
      <c r="AJ450" s="133">
        <v>0.892351953967873</v>
      </c>
      <c r="AK450" s="133">
        <v>0.964187831171204</v>
      </c>
      <c r="AL450" s="133">
        <v>0.982774049217002</v>
      </c>
      <c r="AM450" s="133">
        <v>0.969166258646881</v>
      </c>
      <c r="AN450" s="132">
        <v>0.99</v>
      </c>
      <c r="AO450" s="137">
        <v>1</v>
      </c>
      <c r="AP450" s="137">
        <v>1</v>
      </c>
      <c r="AQ450" s="137">
        <v>1</v>
      </c>
      <c r="AR450" s="137">
        <v>1</v>
      </c>
      <c r="AS450" s="158">
        <v>0.05</v>
      </c>
      <c r="AT450" s="141">
        <v>0.166666666666667</v>
      </c>
      <c r="AU450" s="141">
        <v>0.0909090909090909</v>
      </c>
      <c r="AV450" s="141">
        <v>0.142857142857143</v>
      </c>
      <c r="AW450" s="141">
        <v>0.0673575129533679</v>
      </c>
      <c r="AX450" s="95"/>
      <c r="AY450" s="93"/>
    </row>
    <row r="451" ht="14.5" spans="1:51">
      <c r="A451" s="91"/>
      <c r="B451" s="95"/>
      <c r="C451" s="152" t="s">
        <v>375</v>
      </c>
      <c r="D451" s="153" t="s">
        <v>25</v>
      </c>
      <c r="E451" s="130" t="s">
        <v>376</v>
      </c>
      <c r="F451" s="154" t="s">
        <v>477</v>
      </c>
      <c r="G451" s="154" t="s">
        <v>477</v>
      </c>
      <c r="H451" s="154" t="s">
        <v>477</v>
      </c>
      <c r="I451" s="154" t="s">
        <v>477</v>
      </c>
      <c r="J451" s="132">
        <v>0.9</v>
      </c>
      <c r="K451" s="133">
        <v>0.950819672131147</v>
      </c>
      <c r="L451" s="133">
        <v>0.970149253731343</v>
      </c>
      <c r="M451" s="134">
        <v>0.985915492957746</v>
      </c>
      <c r="N451" s="133">
        <v>0.97280701754386</v>
      </c>
      <c r="O451" s="135">
        <v>0.9</v>
      </c>
      <c r="P451" s="133">
        <v>0.99413357400722</v>
      </c>
      <c r="Q451" s="133">
        <v>0.991759499465893</v>
      </c>
      <c r="R451" s="133">
        <v>0.991754122938531</v>
      </c>
      <c r="S451" s="133">
        <v>0.989062620349688</v>
      </c>
      <c r="T451" s="135">
        <v>0.9</v>
      </c>
      <c r="U451" s="133">
        <v>0.936597472924188</v>
      </c>
      <c r="V451" s="133">
        <v>0.936975431100259</v>
      </c>
      <c r="W451" s="133">
        <v>0.946776611694153</v>
      </c>
      <c r="X451" s="133">
        <v>0.949043254365599</v>
      </c>
      <c r="Y451" s="135">
        <v>0.92</v>
      </c>
      <c r="Z451" s="135" t="s">
        <v>35</v>
      </c>
      <c r="AA451" s="135">
        <v>0</v>
      </c>
      <c r="AB451" s="135">
        <v>0</v>
      </c>
      <c r="AC451" s="135">
        <v>0.642857142857143</v>
      </c>
      <c r="AD451" s="135">
        <v>0.92</v>
      </c>
      <c r="AE451" s="133">
        <v>0.968085106382979</v>
      </c>
      <c r="AF451" s="133">
        <v>0.98546511627907</v>
      </c>
      <c r="AG451" s="133">
        <v>0.995833333333333</v>
      </c>
      <c r="AH451" s="133">
        <v>0.98870765370138</v>
      </c>
      <c r="AI451" s="135">
        <v>0.92</v>
      </c>
      <c r="AJ451" s="133">
        <v>0.966606498194946</v>
      </c>
      <c r="AK451" s="133">
        <v>0.984591914569031</v>
      </c>
      <c r="AL451" s="133">
        <v>0.983698707138842</v>
      </c>
      <c r="AM451" s="133">
        <v>0.983146500038503</v>
      </c>
      <c r="AN451" s="132">
        <v>0.99</v>
      </c>
      <c r="AO451" s="137">
        <v>1</v>
      </c>
      <c r="AP451" s="137">
        <v>1</v>
      </c>
      <c r="AQ451" s="137">
        <v>1</v>
      </c>
      <c r="AR451" s="137">
        <v>1</v>
      </c>
      <c r="AS451" s="158">
        <v>0.05</v>
      </c>
      <c r="AT451" s="141">
        <v>0.272727272727273</v>
      </c>
      <c r="AU451" s="141">
        <v>0.214285714285714</v>
      </c>
      <c r="AV451" s="141">
        <v>0</v>
      </c>
      <c r="AW451" s="141">
        <v>0.078125</v>
      </c>
      <c r="AX451" s="95"/>
      <c r="AY451" s="93"/>
    </row>
    <row r="452" ht="14.5" spans="1:51">
      <c r="A452" s="91"/>
      <c r="B452" s="95"/>
      <c r="C452" s="152" t="s">
        <v>375</v>
      </c>
      <c r="D452" s="153" t="s">
        <v>25</v>
      </c>
      <c r="E452" s="130" t="s">
        <v>376</v>
      </c>
      <c r="F452" s="154" t="s">
        <v>478</v>
      </c>
      <c r="G452" s="154" t="s">
        <v>478</v>
      </c>
      <c r="H452" s="154" t="s">
        <v>478</v>
      </c>
      <c r="I452" s="154" t="s">
        <v>478</v>
      </c>
      <c r="J452" s="132">
        <v>0.9</v>
      </c>
      <c r="K452" s="133">
        <v>0.915492957746479</v>
      </c>
      <c r="L452" s="133">
        <v>0.905405405405405</v>
      </c>
      <c r="M452" s="134">
        <v>0.893333333333333</v>
      </c>
      <c r="N452" s="133">
        <v>0.916309012875536</v>
      </c>
      <c r="O452" s="135">
        <v>0.9</v>
      </c>
      <c r="P452" s="133">
        <v>0.917127071823204</v>
      </c>
      <c r="Q452" s="133">
        <v>0.935105363984674</v>
      </c>
      <c r="R452" s="133">
        <v>0.93127147766323</v>
      </c>
      <c r="S452" s="133">
        <v>0.954124158164966</v>
      </c>
      <c r="T452" s="135">
        <v>0.9</v>
      </c>
      <c r="U452" s="133">
        <v>0.900552486187845</v>
      </c>
      <c r="V452" s="133">
        <v>0.855842911877395</v>
      </c>
      <c r="W452" s="133">
        <v>0.924153166421208</v>
      </c>
      <c r="X452" s="133">
        <v>0.899346535973861</v>
      </c>
      <c r="Y452" s="135">
        <v>0.92</v>
      </c>
      <c r="Z452" s="135">
        <v>0.871908453303802</v>
      </c>
      <c r="AA452" s="135">
        <v>0.888952408174932</v>
      </c>
      <c r="AB452" s="135">
        <v>0.531806615776081</v>
      </c>
      <c r="AC452" s="135">
        <v>0.879005347163591</v>
      </c>
      <c r="AD452" s="135">
        <v>0.92</v>
      </c>
      <c r="AE452" s="133">
        <v>0.996951219512195</v>
      </c>
      <c r="AF452" s="133">
        <v>0.984744186046512</v>
      </c>
      <c r="AG452" s="133">
        <v>0.987280108254398</v>
      </c>
      <c r="AH452" s="133">
        <v>0.962004627034197</v>
      </c>
      <c r="AI452" s="135">
        <v>0.92</v>
      </c>
      <c r="AJ452" s="133">
        <v>0.918312867058195</v>
      </c>
      <c r="AK452" s="133">
        <v>0.916815742397138</v>
      </c>
      <c r="AL452" s="133">
        <v>0.693714695597597</v>
      </c>
      <c r="AM452" s="133">
        <v>0.926823353261844</v>
      </c>
      <c r="AN452" s="132">
        <v>0.99</v>
      </c>
      <c r="AO452" s="137">
        <v>1</v>
      </c>
      <c r="AP452" s="137">
        <v>1</v>
      </c>
      <c r="AQ452" s="137">
        <v>1</v>
      </c>
      <c r="AR452" s="137">
        <v>1</v>
      </c>
      <c r="AS452" s="158">
        <v>0.05</v>
      </c>
      <c r="AT452" s="141">
        <v>0.0625</v>
      </c>
      <c r="AU452" s="141">
        <v>0</v>
      </c>
      <c r="AV452" s="141">
        <v>0.0882352941176471</v>
      </c>
      <c r="AW452" s="141">
        <v>0.060431654676259</v>
      </c>
      <c r="AX452" s="95"/>
      <c r="AY452" s="93"/>
    </row>
    <row r="453" ht="14.5" spans="1:51">
      <c r="A453" s="91"/>
      <c r="B453" s="95"/>
      <c r="C453" s="152" t="s">
        <v>375</v>
      </c>
      <c r="D453" s="153" t="s">
        <v>25</v>
      </c>
      <c r="E453" s="130" t="s">
        <v>376</v>
      </c>
      <c r="F453" s="154" t="s">
        <v>479</v>
      </c>
      <c r="G453" s="154" t="s">
        <v>479</v>
      </c>
      <c r="H453" s="154" t="s">
        <v>479</v>
      </c>
      <c r="I453" s="154" t="s">
        <v>479</v>
      </c>
      <c r="J453" s="132">
        <v>0.9</v>
      </c>
      <c r="K453" s="133">
        <v>0.936170212765957</v>
      </c>
      <c r="L453" s="133">
        <v>0.875</v>
      </c>
      <c r="M453" s="134">
        <v>0.962264150943396</v>
      </c>
      <c r="N453" s="133">
        <v>0.968061674008811</v>
      </c>
      <c r="O453" s="135">
        <v>0.9</v>
      </c>
      <c r="P453" s="133">
        <v>0.947614107883817</v>
      </c>
      <c r="Q453" s="133">
        <v>0.946797339866993</v>
      </c>
      <c r="R453" s="133">
        <v>0.976208749040675</v>
      </c>
      <c r="S453" s="133">
        <v>0.966266310794781</v>
      </c>
      <c r="T453" s="135">
        <v>0.9</v>
      </c>
      <c r="U453" s="133">
        <v>0.87603734439834</v>
      </c>
      <c r="V453" s="133">
        <v>0.925096254812741</v>
      </c>
      <c r="W453" s="133">
        <v>0.964313123561013</v>
      </c>
      <c r="X453" s="133">
        <v>0.942708333333333</v>
      </c>
      <c r="Y453" s="135">
        <v>0.92</v>
      </c>
      <c r="Z453" s="135">
        <v>0.877903118779031</v>
      </c>
      <c r="AA453" s="135">
        <v>0.909449929478138</v>
      </c>
      <c r="AB453" s="135">
        <v>0.959223300970874</v>
      </c>
      <c r="AC453" s="135">
        <v>0.949986937495918</v>
      </c>
      <c r="AD453" s="135">
        <v>0.92</v>
      </c>
      <c r="AE453" s="133">
        <v>0.990752972258917</v>
      </c>
      <c r="AF453" s="133">
        <v>0.998332936413432</v>
      </c>
      <c r="AG453" s="133">
        <v>0.991737244370998</v>
      </c>
      <c r="AH453" s="133">
        <v>0.995994200191689</v>
      </c>
      <c r="AI453" s="135">
        <v>0.92</v>
      </c>
      <c r="AJ453" s="133">
        <v>0.905967976710335</v>
      </c>
      <c r="AK453" s="133">
        <v>0.932375449008277</v>
      </c>
      <c r="AL453" s="133">
        <v>0.970570749108205</v>
      </c>
      <c r="AM453" s="133">
        <v>0.964920957190206</v>
      </c>
      <c r="AN453" s="132">
        <v>0.99</v>
      </c>
      <c r="AO453" s="137">
        <v>1</v>
      </c>
      <c r="AP453" s="137">
        <v>1</v>
      </c>
      <c r="AQ453" s="137">
        <v>1</v>
      </c>
      <c r="AR453" s="137">
        <v>1</v>
      </c>
      <c r="AS453" s="158">
        <v>0.05</v>
      </c>
      <c r="AT453" s="141">
        <v>0</v>
      </c>
      <c r="AU453" s="141">
        <v>0.0833333333333333</v>
      </c>
      <c r="AV453" s="141">
        <v>0.0454545454545455</v>
      </c>
      <c r="AW453" s="141">
        <v>0.0384615384615385</v>
      </c>
      <c r="AX453" s="95"/>
      <c r="AY453" s="93"/>
    </row>
    <row r="454" ht="14.5" spans="1:51">
      <c r="A454" s="91"/>
      <c r="B454" s="95"/>
      <c r="C454" s="152" t="s">
        <v>375</v>
      </c>
      <c r="D454" s="153" t="s">
        <v>25</v>
      </c>
      <c r="E454" s="130" t="s">
        <v>376</v>
      </c>
      <c r="F454" s="154" t="s">
        <v>480</v>
      </c>
      <c r="G454" s="154" t="s">
        <v>480</v>
      </c>
      <c r="H454" s="154" t="s">
        <v>480</v>
      </c>
      <c r="I454" s="154" t="s">
        <v>480</v>
      </c>
      <c r="J454" s="132">
        <v>0.9</v>
      </c>
      <c r="K454" s="133">
        <v>0.833333333333333</v>
      </c>
      <c r="L454" s="133">
        <v>1</v>
      </c>
      <c r="M454" s="134">
        <v>0.952380952380952</v>
      </c>
      <c r="N454" s="133">
        <v>0.93469387755102</v>
      </c>
      <c r="O454" s="135">
        <v>0.9</v>
      </c>
      <c r="P454" s="133">
        <v>0.878579003181336</v>
      </c>
      <c r="Q454" s="133">
        <v>0.950356095517386</v>
      </c>
      <c r="R454" s="133">
        <v>0.976380042462845</v>
      </c>
      <c r="S454" s="133">
        <v>0.970068150136817</v>
      </c>
      <c r="T454" s="135">
        <v>0.9</v>
      </c>
      <c r="U454" s="133">
        <v>0.785524920466596</v>
      </c>
      <c r="V454" s="133">
        <v>0.873481357352325</v>
      </c>
      <c r="W454" s="133">
        <v>0.895966029723992</v>
      </c>
      <c r="X454" s="133">
        <v>0.921653157106717</v>
      </c>
      <c r="Y454" s="135">
        <v>0.92</v>
      </c>
      <c r="Z454" s="135">
        <v>0.5</v>
      </c>
      <c r="AA454" s="135">
        <v>1</v>
      </c>
      <c r="AB454" s="135" t="s">
        <v>35</v>
      </c>
      <c r="AC454" s="135">
        <v>0.92</v>
      </c>
      <c r="AD454" s="135">
        <v>0.92</v>
      </c>
      <c r="AE454" s="133">
        <v>0.976</v>
      </c>
      <c r="AF454" s="133">
        <v>0.975572519083969</v>
      </c>
      <c r="AG454" s="133">
        <v>0.997725549658832</v>
      </c>
      <c r="AH454" s="133">
        <v>0.994971019434027</v>
      </c>
      <c r="AI454" s="135">
        <v>0.92</v>
      </c>
      <c r="AJ454" s="133">
        <v>0.845562913907285</v>
      </c>
      <c r="AK454" s="133">
        <v>0.942198952879581</v>
      </c>
      <c r="AL454" s="133">
        <v>0.948541114058355</v>
      </c>
      <c r="AM454" s="133">
        <v>0.970791242533318</v>
      </c>
      <c r="AN454" s="132">
        <v>0.99</v>
      </c>
      <c r="AO454" s="137">
        <v>1</v>
      </c>
      <c r="AP454" s="137">
        <v>1</v>
      </c>
      <c r="AQ454" s="137">
        <v>1</v>
      </c>
      <c r="AR454" s="137">
        <v>1</v>
      </c>
      <c r="AS454" s="158">
        <v>0.05</v>
      </c>
      <c r="AT454" s="141">
        <v>0</v>
      </c>
      <c r="AU454" s="141">
        <v>0</v>
      </c>
      <c r="AV454" s="141">
        <v>0</v>
      </c>
      <c r="AW454" s="141">
        <v>0.028169014084507</v>
      </c>
      <c r="AX454" s="95"/>
      <c r="AY454" s="93"/>
    </row>
    <row r="455" ht="14.5" spans="1:51">
      <c r="A455" s="91"/>
      <c r="B455" s="95"/>
      <c r="C455" s="152" t="s">
        <v>375</v>
      </c>
      <c r="D455" s="153" t="s">
        <v>25</v>
      </c>
      <c r="E455" s="130" t="s">
        <v>376</v>
      </c>
      <c r="F455" s="154" t="s">
        <v>481</v>
      </c>
      <c r="G455" s="154" t="s">
        <v>481</v>
      </c>
      <c r="H455" s="154" t="s">
        <v>481</v>
      </c>
      <c r="I455" s="154" t="s">
        <v>481</v>
      </c>
      <c r="J455" s="132">
        <v>0.9</v>
      </c>
      <c r="K455" s="133">
        <v>1</v>
      </c>
      <c r="L455" s="133">
        <v>1</v>
      </c>
      <c r="M455" s="134">
        <v>0.979591836734694</v>
      </c>
      <c r="N455" s="133">
        <v>0.98313878080415</v>
      </c>
      <c r="O455" s="135">
        <v>0.9</v>
      </c>
      <c r="P455" s="133">
        <v>0.985853227232538</v>
      </c>
      <c r="Q455" s="133">
        <v>0.994108194965185</v>
      </c>
      <c r="R455" s="133">
        <v>0.983723296032553</v>
      </c>
      <c r="S455" s="133">
        <v>0.987094335547276</v>
      </c>
      <c r="T455" s="135">
        <v>0.9</v>
      </c>
      <c r="U455" s="133">
        <v>0.875331564986737</v>
      </c>
      <c r="V455" s="133">
        <v>0.926084627745046</v>
      </c>
      <c r="W455" s="133">
        <v>0.965920651068159</v>
      </c>
      <c r="X455" s="133">
        <v>0.958232085965765</v>
      </c>
      <c r="Y455" s="135">
        <v>0.92</v>
      </c>
      <c r="Z455" s="135">
        <v>0.931159420289855</v>
      </c>
      <c r="AA455" s="135">
        <v>0.98095580309019</v>
      </c>
      <c r="AB455" s="135">
        <v>0.982763927362265</v>
      </c>
      <c r="AC455" s="135">
        <v>0.973348684491066</v>
      </c>
      <c r="AD455" s="135">
        <v>0.92</v>
      </c>
      <c r="AE455" s="133">
        <v>0.996214511041009</v>
      </c>
      <c r="AF455" s="133">
        <v>0.997473684210526</v>
      </c>
      <c r="AG455" s="133">
        <v>0.99738311235171</v>
      </c>
      <c r="AH455" s="133">
        <v>0.994513462806146</v>
      </c>
      <c r="AI455" s="135">
        <v>0.92</v>
      </c>
      <c r="AJ455" s="133">
        <v>0.951433121019108</v>
      </c>
      <c r="AK455" s="133">
        <v>0.986881720430108</v>
      </c>
      <c r="AL455" s="133">
        <v>0.987540732221583</v>
      </c>
      <c r="AM455" s="133">
        <v>0.982541118225311</v>
      </c>
      <c r="AN455" s="132">
        <v>0.99</v>
      </c>
      <c r="AO455" s="137">
        <v>1</v>
      </c>
      <c r="AP455" s="137">
        <v>1</v>
      </c>
      <c r="AQ455" s="137">
        <v>1</v>
      </c>
      <c r="AR455" s="137">
        <v>1</v>
      </c>
      <c r="AS455" s="158">
        <v>0.05</v>
      </c>
      <c r="AT455" s="141">
        <v>0</v>
      </c>
      <c r="AU455" s="141">
        <v>0.0769230769230769</v>
      </c>
      <c r="AV455" s="141">
        <v>0</v>
      </c>
      <c r="AW455" s="141">
        <v>0.0744186046511628</v>
      </c>
      <c r="AX455" s="95"/>
      <c r="AY455" s="93"/>
    </row>
    <row r="456" ht="14.5" spans="1:51">
      <c r="A456" s="91"/>
      <c r="B456" s="95"/>
      <c r="C456" s="152" t="s">
        <v>375</v>
      </c>
      <c r="D456" s="153" t="s">
        <v>25</v>
      </c>
      <c r="E456" s="130" t="s">
        <v>376</v>
      </c>
      <c r="F456" s="154" t="s">
        <v>482</v>
      </c>
      <c r="G456" s="154" t="s">
        <v>482</v>
      </c>
      <c r="H456" s="154" t="s">
        <v>482</v>
      </c>
      <c r="I456" s="154" t="s">
        <v>482</v>
      </c>
      <c r="J456" s="132">
        <v>0.9</v>
      </c>
      <c r="K456" s="133">
        <v>0.935483870967742</v>
      </c>
      <c r="L456" s="133">
        <v>0.96875</v>
      </c>
      <c r="M456" s="134">
        <v>0.96969696969697</v>
      </c>
      <c r="N456" s="133">
        <v>0.981324278438031</v>
      </c>
      <c r="O456" s="135">
        <v>0.9</v>
      </c>
      <c r="P456" s="133">
        <v>0.997332542975697</v>
      </c>
      <c r="Q456" s="133">
        <v>0.99749373433584</v>
      </c>
      <c r="R456" s="133">
        <v>0.997104945717732</v>
      </c>
      <c r="S456" s="133">
        <v>0.996131501227104</v>
      </c>
      <c r="T456" s="135">
        <v>0.9</v>
      </c>
      <c r="U456" s="133">
        <v>0.962655601659751</v>
      </c>
      <c r="V456" s="133">
        <v>0.953842940685046</v>
      </c>
      <c r="W456" s="133">
        <v>0.961881785283474</v>
      </c>
      <c r="X456" s="133">
        <v>0.969301590382829</v>
      </c>
      <c r="Y456" s="135">
        <v>0.92</v>
      </c>
      <c r="Z456" s="135">
        <v>0.970377936670072</v>
      </c>
      <c r="AA456" s="135">
        <v>0.833333333333333</v>
      </c>
      <c r="AB456" s="135" t="s">
        <v>35</v>
      </c>
      <c r="AC456" s="135">
        <v>0.969879518072289</v>
      </c>
      <c r="AD456" s="135">
        <v>0.92</v>
      </c>
      <c r="AE456" s="133">
        <v>1</v>
      </c>
      <c r="AF456" s="133">
        <v>0.995746691871456</v>
      </c>
      <c r="AG456" s="133">
        <v>0.998403406067057</v>
      </c>
      <c r="AH456" s="133">
        <v>0.984704901577148</v>
      </c>
      <c r="AI456" s="135">
        <v>0.92</v>
      </c>
      <c r="AJ456" s="133">
        <v>0.988748564867968</v>
      </c>
      <c r="AK456" s="133">
        <v>0.995619524405507</v>
      </c>
      <c r="AL456" s="133">
        <v>0.99372738238842</v>
      </c>
      <c r="AM456" s="133">
        <v>0.997087537944048</v>
      </c>
      <c r="AN456" s="132">
        <v>0.99</v>
      </c>
      <c r="AO456" s="137">
        <v>1</v>
      </c>
      <c r="AP456" s="137">
        <v>1</v>
      </c>
      <c r="AQ456" s="137">
        <v>1</v>
      </c>
      <c r="AR456" s="137">
        <v>1</v>
      </c>
      <c r="AS456" s="158">
        <v>0.05</v>
      </c>
      <c r="AT456" s="141">
        <v>0</v>
      </c>
      <c r="AU456" s="141">
        <v>0.25</v>
      </c>
      <c r="AV456" s="141">
        <v>0.4</v>
      </c>
      <c r="AW456" s="141">
        <v>0.0532544378698225</v>
      </c>
      <c r="AX456" s="95"/>
      <c r="AY456" s="93"/>
    </row>
    <row r="457" ht="14.5" spans="1:51">
      <c r="A457" s="91"/>
      <c r="B457" s="95"/>
      <c r="C457" s="152" t="s">
        <v>375</v>
      </c>
      <c r="D457" s="153" t="s">
        <v>25</v>
      </c>
      <c r="E457" s="130" t="s">
        <v>376</v>
      </c>
      <c r="F457" s="154" t="s">
        <v>483</v>
      </c>
      <c r="G457" s="154" t="s">
        <v>483</v>
      </c>
      <c r="H457" s="154" t="s">
        <v>483</v>
      </c>
      <c r="I457" s="154" t="s">
        <v>483</v>
      </c>
      <c r="J457" s="132">
        <v>0.9</v>
      </c>
      <c r="K457" s="133">
        <v>0.967741935483871</v>
      </c>
      <c r="L457" s="133">
        <v>0.838235294117647</v>
      </c>
      <c r="M457" s="134">
        <v>0.904109589041096</v>
      </c>
      <c r="N457" s="133">
        <v>0.915102040816327</v>
      </c>
      <c r="O457" s="135">
        <v>0.9</v>
      </c>
      <c r="P457" s="133">
        <v>0.333333333333333</v>
      </c>
      <c r="Q457" s="133" t="s">
        <v>35</v>
      </c>
      <c r="R457" s="133">
        <v>1</v>
      </c>
      <c r="S457" s="133">
        <v>0.733333333333333</v>
      </c>
      <c r="T457" s="135">
        <v>0.9</v>
      </c>
      <c r="U457" s="133">
        <v>0</v>
      </c>
      <c r="V457" s="133" t="s">
        <v>35</v>
      </c>
      <c r="W457" s="133">
        <v>1</v>
      </c>
      <c r="X457" s="133">
        <v>0.7</v>
      </c>
      <c r="Y457" s="135">
        <v>0.92</v>
      </c>
      <c r="Z457" s="135">
        <v>0.25</v>
      </c>
      <c r="AA457" s="135">
        <v>0.333333333333333</v>
      </c>
      <c r="AB457" s="135" t="s">
        <v>35</v>
      </c>
      <c r="AC457" s="135">
        <v>0.25</v>
      </c>
      <c r="AD457" s="135">
        <v>0.92</v>
      </c>
      <c r="AE457" s="133">
        <v>0.995505617977528</v>
      </c>
      <c r="AF457" s="133">
        <v>0.987341772151899</v>
      </c>
      <c r="AG457" s="133">
        <v>0.996451383960255</v>
      </c>
      <c r="AH457" s="133">
        <v>0.993459423429428</v>
      </c>
      <c r="AI457" s="135">
        <v>0.92</v>
      </c>
      <c r="AJ457" s="133">
        <v>0.927431906614786</v>
      </c>
      <c r="AK457" s="133">
        <v>0.977541853817885</v>
      </c>
      <c r="AL457" s="133">
        <v>0.982357930449533</v>
      </c>
      <c r="AM457" s="133">
        <v>0.974850885782961</v>
      </c>
      <c r="AN457" s="132">
        <v>0.99</v>
      </c>
      <c r="AO457" s="137">
        <v>1</v>
      </c>
      <c r="AP457" s="137">
        <v>1</v>
      </c>
      <c r="AQ457" s="137">
        <v>1</v>
      </c>
      <c r="AR457" s="137">
        <v>1</v>
      </c>
      <c r="AS457" s="158">
        <v>0.05</v>
      </c>
      <c r="AT457" s="141">
        <v>0</v>
      </c>
      <c r="AU457" s="141">
        <v>0</v>
      </c>
      <c r="AV457" s="141">
        <v>0.0476190476190476</v>
      </c>
      <c r="AW457" s="141">
        <v>0.056657223796034</v>
      </c>
      <c r="AX457" s="95"/>
      <c r="AY457" s="93"/>
    </row>
    <row r="458" ht="14.5" spans="1:51">
      <c r="A458" s="91"/>
      <c r="B458" s="95"/>
      <c r="C458" s="152" t="s">
        <v>375</v>
      </c>
      <c r="D458" s="153" t="s">
        <v>25</v>
      </c>
      <c r="E458" s="130" t="s">
        <v>376</v>
      </c>
      <c r="F458" s="154" t="s">
        <v>484</v>
      </c>
      <c r="G458" s="154" t="s">
        <v>484</v>
      </c>
      <c r="H458" s="154" t="s">
        <v>484</v>
      </c>
      <c r="I458" s="154" t="s">
        <v>484</v>
      </c>
      <c r="J458" s="132">
        <v>0.9</v>
      </c>
      <c r="K458" s="133">
        <v>0.813559322033898</v>
      </c>
      <c r="L458" s="133">
        <v>0.828125</v>
      </c>
      <c r="M458" s="134">
        <v>0.928571428571429</v>
      </c>
      <c r="N458" s="133">
        <v>0.898172323759791</v>
      </c>
      <c r="O458" s="135">
        <v>0.9</v>
      </c>
      <c r="P458" s="133">
        <v>0.905241935483871</v>
      </c>
      <c r="Q458" s="133">
        <v>0.964685314685315</v>
      </c>
      <c r="R458" s="133">
        <v>0.98</v>
      </c>
      <c r="S458" s="133">
        <v>0.965302806775103</v>
      </c>
      <c r="T458" s="135">
        <v>0.9</v>
      </c>
      <c r="U458" s="133">
        <v>0.861391129032258</v>
      </c>
      <c r="V458" s="133">
        <v>0.938811188811189</v>
      </c>
      <c r="W458" s="133">
        <v>0.96188679245283</v>
      </c>
      <c r="X458" s="133">
        <v>0.930400194214644</v>
      </c>
      <c r="Y458" s="135">
        <v>0.92</v>
      </c>
      <c r="Z458" s="135">
        <v>0.793085385018334</v>
      </c>
      <c r="AA458" s="135">
        <v>0.912978617603183</v>
      </c>
      <c r="AB458" s="135">
        <v>0.912611306688755</v>
      </c>
      <c r="AC458" s="135">
        <v>0.917143107169943</v>
      </c>
      <c r="AD458" s="135">
        <v>0.92</v>
      </c>
      <c r="AE458" s="133">
        <v>0.999724821133737</v>
      </c>
      <c r="AF458" s="133">
        <v>0.996208674552624</v>
      </c>
      <c r="AG458" s="133">
        <v>0.893528183716075</v>
      </c>
      <c r="AH458" s="133">
        <v>0.9852077257935</v>
      </c>
      <c r="AI458" s="135">
        <v>0.92</v>
      </c>
      <c r="AJ458" s="133">
        <v>0.861289493963524</v>
      </c>
      <c r="AK458" s="133">
        <v>0.93999709429028</v>
      </c>
      <c r="AL458" s="133">
        <v>0.938284798290142</v>
      </c>
      <c r="AM458" s="133">
        <v>0.942663534957566</v>
      </c>
      <c r="AN458" s="132">
        <v>0.99</v>
      </c>
      <c r="AO458" s="137">
        <v>1</v>
      </c>
      <c r="AP458" s="137">
        <v>1</v>
      </c>
      <c r="AQ458" s="137">
        <v>1</v>
      </c>
      <c r="AR458" s="137">
        <v>1</v>
      </c>
      <c r="AS458" s="158">
        <v>0.05</v>
      </c>
      <c r="AT458" s="141">
        <v>0</v>
      </c>
      <c r="AU458" s="141">
        <v>0.0555555555555556</v>
      </c>
      <c r="AV458" s="141">
        <v>0</v>
      </c>
      <c r="AW458" s="141">
        <v>0.0463917525773196</v>
      </c>
      <c r="AX458" s="95"/>
      <c r="AY458" s="93"/>
    </row>
    <row r="459" ht="14.5" spans="1:51">
      <c r="A459" s="91"/>
      <c r="B459" s="95"/>
      <c r="C459" s="152" t="s">
        <v>375</v>
      </c>
      <c r="D459" s="153" t="s">
        <v>25</v>
      </c>
      <c r="E459" s="130" t="s">
        <v>376</v>
      </c>
      <c r="F459" s="154" t="s">
        <v>485</v>
      </c>
      <c r="G459" s="154" t="s">
        <v>485</v>
      </c>
      <c r="H459" s="154" t="s">
        <v>485</v>
      </c>
      <c r="I459" s="154" t="s">
        <v>485</v>
      </c>
      <c r="J459" s="132">
        <v>0.9</v>
      </c>
      <c r="K459" s="133">
        <v>0.957446808510638</v>
      </c>
      <c r="L459" s="133">
        <v>0.934782608695652</v>
      </c>
      <c r="M459" s="134">
        <v>0.928571428571429</v>
      </c>
      <c r="N459" s="133">
        <v>0.941860465116279</v>
      </c>
      <c r="O459" s="135">
        <v>0.9</v>
      </c>
      <c r="P459" s="133">
        <v>0.949472402597403</v>
      </c>
      <c r="Q459" s="133">
        <v>0.934819605173587</v>
      </c>
      <c r="R459" s="133">
        <v>0.964621753857734</v>
      </c>
      <c r="S459" s="133">
        <v>0.962750689007353</v>
      </c>
      <c r="T459" s="135">
        <v>0.9</v>
      </c>
      <c r="U459" s="133">
        <v>0.893060064935065</v>
      </c>
      <c r="V459" s="133">
        <v>0.896017699115044</v>
      </c>
      <c r="W459" s="133">
        <v>0.940158073014678</v>
      </c>
      <c r="X459" s="133">
        <v>0.92892495780128</v>
      </c>
      <c r="Y459" s="135">
        <v>0.92</v>
      </c>
      <c r="Z459" s="135">
        <v>1</v>
      </c>
      <c r="AA459" s="135">
        <v>0</v>
      </c>
      <c r="AB459" s="135">
        <v>0</v>
      </c>
      <c r="AC459" s="135">
        <v>0.473684210526316</v>
      </c>
      <c r="AD459" s="135">
        <v>0.92</v>
      </c>
      <c r="AE459" s="133">
        <v>0.991831177671886</v>
      </c>
      <c r="AF459" s="133">
        <v>0.99373321396598</v>
      </c>
      <c r="AG459" s="133">
        <v>0.985420650095602</v>
      </c>
      <c r="AH459" s="133">
        <v>0.987652939942669</v>
      </c>
      <c r="AI459" s="135">
        <v>0.92</v>
      </c>
      <c r="AJ459" s="133">
        <v>0.926992496451024</v>
      </c>
      <c r="AK459" s="133">
        <v>0.925667630549413</v>
      </c>
      <c r="AL459" s="133">
        <v>0.974604966139955</v>
      </c>
      <c r="AM459" s="133">
        <v>0.965714503642119</v>
      </c>
      <c r="AN459" s="132">
        <v>0.99</v>
      </c>
      <c r="AO459" s="137">
        <v>1</v>
      </c>
      <c r="AP459" s="137">
        <v>1</v>
      </c>
      <c r="AQ459" s="137">
        <v>1</v>
      </c>
      <c r="AR459" s="137">
        <v>1</v>
      </c>
      <c r="AS459" s="158">
        <v>0.05</v>
      </c>
      <c r="AT459" s="141">
        <v>0</v>
      </c>
      <c r="AU459" s="141">
        <v>0.0909090909090909</v>
      </c>
      <c r="AV459" s="141">
        <v>0.142857142857143</v>
      </c>
      <c r="AW459" s="141">
        <v>0.0523415977961433</v>
      </c>
      <c r="AX459" s="95"/>
      <c r="AY459" s="93"/>
    </row>
    <row r="460" ht="14.5" spans="1:51">
      <c r="A460" s="91"/>
      <c r="B460" s="95"/>
      <c r="C460" s="152" t="s">
        <v>375</v>
      </c>
      <c r="D460" s="153" t="s">
        <v>25</v>
      </c>
      <c r="E460" s="130" t="s">
        <v>376</v>
      </c>
      <c r="F460" s="154" t="s">
        <v>486</v>
      </c>
      <c r="G460" s="154" t="s">
        <v>486</v>
      </c>
      <c r="H460" s="154" t="s">
        <v>486</v>
      </c>
      <c r="I460" s="154" t="s">
        <v>486</v>
      </c>
      <c r="J460" s="132">
        <v>0.9</v>
      </c>
      <c r="K460" s="133">
        <v>0.80952380952381</v>
      </c>
      <c r="L460" s="133">
        <v>1</v>
      </c>
      <c r="M460" s="134">
        <v>0.925925925925926</v>
      </c>
      <c r="N460" s="133">
        <v>0.970521541950113</v>
      </c>
      <c r="O460" s="135">
        <v>0.9</v>
      </c>
      <c r="P460" s="133">
        <v>0.981279251170047</v>
      </c>
      <c r="Q460" s="133">
        <v>0.974293059125964</v>
      </c>
      <c r="R460" s="133">
        <v>0.984387838948233</v>
      </c>
      <c r="S460" s="133">
        <v>0.983884498211842</v>
      </c>
      <c r="T460" s="135">
        <v>0.9</v>
      </c>
      <c r="U460" s="133">
        <v>0.93603744149766</v>
      </c>
      <c r="V460" s="133">
        <v>0.962296486718081</v>
      </c>
      <c r="W460" s="133">
        <v>0.950698438783895</v>
      </c>
      <c r="X460" s="133">
        <v>0.967901452602764</v>
      </c>
      <c r="Y460" s="135">
        <v>0.92</v>
      </c>
      <c r="Z460" s="135">
        <v>0.940854326396495</v>
      </c>
      <c r="AA460" s="135">
        <v>0.956547619047619</v>
      </c>
      <c r="AB460" s="135">
        <v>0.97037037037037</v>
      </c>
      <c r="AC460" s="135">
        <v>0.976019184652278</v>
      </c>
      <c r="AD460" s="135">
        <v>0.92</v>
      </c>
      <c r="AE460" s="133">
        <v>0.990654205607477</v>
      </c>
      <c r="AF460" s="133">
        <v>0.993150684931507</v>
      </c>
      <c r="AG460" s="133">
        <v>0.998296422487223</v>
      </c>
      <c r="AH460" s="133">
        <v>0.98629289910337</v>
      </c>
      <c r="AI460" s="135">
        <v>0.92</v>
      </c>
      <c r="AJ460" s="133">
        <v>0.955627009646302</v>
      </c>
      <c r="AK460" s="133">
        <v>0.966631541974008</v>
      </c>
      <c r="AL460" s="133">
        <v>0.978736517719569</v>
      </c>
      <c r="AM460" s="133">
        <v>0.982698108554192</v>
      </c>
      <c r="AN460" s="132">
        <v>0.99</v>
      </c>
      <c r="AO460" s="137">
        <v>1</v>
      </c>
      <c r="AP460" s="137">
        <v>1</v>
      </c>
      <c r="AQ460" s="137">
        <v>1</v>
      </c>
      <c r="AR460" s="137">
        <v>1</v>
      </c>
      <c r="AS460" s="158">
        <v>0.05</v>
      </c>
      <c r="AT460" s="141">
        <v>0</v>
      </c>
      <c r="AU460" s="141">
        <v>0.222222222222222</v>
      </c>
      <c r="AV460" s="141">
        <v>0.153846153846154</v>
      </c>
      <c r="AW460" s="141">
        <v>0.0478260869565217</v>
      </c>
      <c r="AX460" s="95"/>
      <c r="AY460" s="93"/>
    </row>
    <row r="461" ht="14.5" spans="1:51">
      <c r="A461" s="91"/>
      <c r="B461" s="95"/>
      <c r="C461" s="152" t="s">
        <v>375</v>
      </c>
      <c r="D461" s="153" t="s">
        <v>25</v>
      </c>
      <c r="E461" s="130" t="s">
        <v>376</v>
      </c>
      <c r="F461" s="154" t="s">
        <v>487</v>
      </c>
      <c r="G461" s="154" t="s">
        <v>487</v>
      </c>
      <c r="H461" s="154" t="s">
        <v>487</v>
      </c>
      <c r="I461" s="154" t="s">
        <v>487</v>
      </c>
      <c r="J461" s="132">
        <v>0.9</v>
      </c>
      <c r="K461" s="133">
        <v>1</v>
      </c>
      <c r="L461" s="133">
        <v>1</v>
      </c>
      <c r="M461" s="134">
        <v>0.985714285714286</v>
      </c>
      <c r="N461" s="133">
        <v>0.997395833333333</v>
      </c>
      <c r="O461" s="135">
        <v>0.9</v>
      </c>
      <c r="P461" s="133">
        <v>0.982517482517482</v>
      </c>
      <c r="Q461" s="133">
        <v>0.99013219139825</v>
      </c>
      <c r="R461" s="133">
        <v>0.990326209223847</v>
      </c>
      <c r="S461" s="133">
        <v>0.989497895239335</v>
      </c>
      <c r="T461" s="135">
        <v>0.9</v>
      </c>
      <c r="U461" s="133">
        <v>0.71722027972028</v>
      </c>
      <c r="V461" s="133">
        <v>0.937069447030348</v>
      </c>
      <c r="W461" s="133">
        <v>0.95095613048369</v>
      </c>
      <c r="X461" s="133">
        <v>0.919563424901272</v>
      </c>
      <c r="Y461" s="135">
        <v>0.92</v>
      </c>
      <c r="Z461" s="135">
        <v>0.796610169491525</v>
      </c>
      <c r="AA461" s="135">
        <v>0.875438596491228</v>
      </c>
      <c r="AB461" s="135">
        <v>0.870521172638437</v>
      </c>
      <c r="AC461" s="135">
        <v>0.886646750465025</v>
      </c>
      <c r="AD461" s="135">
        <v>0.92</v>
      </c>
      <c r="AE461" s="133">
        <v>0.99789029535865</v>
      </c>
      <c r="AF461" s="133">
        <v>0.988199076449461</v>
      </c>
      <c r="AG461" s="133">
        <v>0.997582205029014</v>
      </c>
      <c r="AH461" s="133">
        <v>0.992347445835818</v>
      </c>
      <c r="AI461" s="135">
        <v>0.92</v>
      </c>
      <c r="AJ461" s="133">
        <v>0.938424106307318</v>
      </c>
      <c r="AK461" s="133">
        <v>0.962997082757562</v>
      </c>
      <c r="AL461" s="133">
        <v>0.961755375396546</v>
      </c>
      <c r="AM461" s="133">
        <v>0.969859349697047</v>
      </c>
      <c r="AN461" s="132">
        <v>0.99</v>
      </c>
      <c r="AO461" s="137">
        <v>1</v>
      </c>
      <c r="AP461" s="137">
        <v>1</v>
      </c>
      <c r="AQ461" s="137">
        <v>1</v>
      </c>
      <c r="AR461" s="137">
        <v>1</v>
      </c>
      <c r="AS461" s="158">
        <v>0.05</v>
      </c>
      <c r="AT461" s="141">
        <v>0.0769230769230769</v>
      </c>
      <c r="AU461" s="141">
        <v>0.125</v>
      </c>
      <c r="AV461" s="141">
        <v>0.142857142857143</v>
      </c>
      <c r="AW461" s="141">
        <v>0.0763636363636364</v>
      </c>
      <c r="AX461" s="95"/>
      <c r="AY461" s="93"/>
    </row>
    <row r="462" ht="14.5" spans="1:51">
      <c r="A462" s="91"/>
      <c r="B462" s="95"/>
      <c r="C462" s="152" t="s">
        <v>375</v>
      </c>
      <c r="D462" s="153" t="s">
        <v>25</v>
      </c>
      <c r="E462" s="130" t="s">
        <v>376</v>
      </c>
      <c r="F462" s="154" t="s">
        <v>488</v>
      </c>
      <c r="G462" s="154" t="s">
        <v>488</v>
      </c>
      <c r="H462" s="154" t="s">
        <v>488</v>
      </c>
      <c r="I462" s="154" t="s">
        <v>488</v>
      </c>
      <c r="J462" s="132">
        <v>0.9</v>
      </c>
      <c r="K462" s="133">
        <v>1</v>
      </c>
      <c r="L462" s="133">
        <v>1</v>
      </c>
      <c r="M462" s="134">
        <v>1</v>
      </c>
      <c r="N462" s="133">
        <v>0.998281786941581</v>
      </c>
      <c r="O462" s="135">
        <v>0.9</v>
      </c>
      <c r="P462" s="133">
        <v>0.995042141794745</v>
      </c>
      <c r="Q462" s="133">
        <v>0.994131209390065</v>
      </c>
      <c r="R462" s="133">
        <v>0.997771725674672</v>
      </c>
      <c r="S462" s="133">
        <v>0.992756509185045</v>
      </c>
      <c r="T462" s="135">
        <v>0.9</v>
      </c>
      <c r="U462" s="133">
        <v>0.687902825979177</v>
      </c>
      <c r="V462" s="133">
        <v>0.936700901278558</v>
      </c>
      <c r="W462" s="133">
        <v>0.909135924733845</v>
      </c>
      <c r="X462" s="133">
        <v>0.922151142529995</v>
      </c>
      <c r="Y462" s="135">
        <v>0.92</v>
      </c>
      <c r="Z462" s="135">
        <v>0.62876254180602</v>
      </c>
      <c r="AA462" s="135">
        <v>0.837037037037037</v>
      </c>
      <c r="AB462" s="135">
        <v>0.833333333333333</v>
      </c>
      <c r="AC462" s="135">
        <v>0.84186257464661</v>
      </c>
      <c r="AD462" s="135">
        <v>0.92</v>
      </c>
      <c r="AE462" s="133">
        <v>1</v>
      </c>
      <c r="AF462" s="133">
        <v>0.99</v>
      </c>
      <c r="AG462" s="133">
        <v>0.999191592562652</v>
      </c>
      <c r="AH462" s="133">
        <v>0.994427106553723</v>
      </c>
      <c r="AI462" s="135">
        <v>0.92</v>
      </c>
      <c r="AJ462" s="133">
        <v>0.893134715025907</v>
      </c>
      <c r="AK462" s="133">
        <v>0.956459415875291</v>
      </c>
      <c r="AL462" s="133">
        <v>0.961611474372495</v>
      </c>
      <c r="AM462" s="133">
        <v>0.960815951444691</v>
      </c>
      <c r="AN462" s="132">
        <v>0.99</v>
      </c>
      <c r="AO462" s="137">
        <v>1</v>
      </c>
      <c r="AP462" s="137">
        <v>1</v>
      </c>
      <c r="AQ462" s="137">
        <v>1</v>
      </c>
      <c r="AR462" s="137">
        <v>1</v>
      </c>
      <c r="AS462" s="158">
        <v>0.05</v>
      </c>
      <c r="AT462" s="141">
        <v>0.25</v>
      </c>
      <c r="AU462" s="141">
        <v>0</v>
      </c>
      <c r="AV462" s="141">
        <v>0</v>
      </c>
      <c r="AW462" s="141">
        <v>0.0671936758893281</v>
      </c>
      <c r="AX462" s="95"/>
      <c r="AY462" s="93"/>
    </row>
    <row r="463" ht="14.5" spans="1:51">
      <c r="A463" s="91"/>
      <c r="B463" s="95"/>
      <c r="C463" s="152" t="s">
        <v>375</v>
      </c>
      <c r="D463" s="153" t="s">
        <v>25</v>
      </c>
      <c r="E463" s="130" t="s">
        <v>376</v>
      </c>
      <c r="F463" s="154" t="s">
        <v>489</v>
      </c>
      <c r="G463" s="154" t="s">
        <v>489</v>
      </c>
      <c r="H463" s="154" t="s">
        <v>489</v>
      </c>
      <c r="I463" s="154" t="s">
        <v>489</v>
      </c>
      <c r="J463" s="132">
        <v>0.9</v>
      </c>
      <c r="K463" s="133">
        <v>0.979591836734694</v>
      </c>
      <c r="L463" s="133">
        <v>1</v>
      </c>
      <c r="M463" s="134">
        <v>1</v>
      </c>
      <c r="N463" s="133">
        <v>0.995510662177329</v>
      </c>
      <c r="O463" s="135">
        <v>0.9</v>
      </c>
      <c r="P463" s="133">
        <v>0.984726688102894</v>
      </c>
      <c r="Q463" s="133">
        <v>0.984483557202409</v>
      </c>
      <c r="R463" s="133">
        <v>0.99235807860262</v>
      </c>
      <c r="S463" s="133">
        <v>0.983732708641426</v>
      </c>
      <c r="T463" s="135">
        <v>0.9</v>
      </c>
      <c r="U463" s="133">
        <v>0.840836012861736</v>
      </c>
      <c r="V463" s="133">
        <v>0.952061139416396</v>
      </c>
      <c r="W463" s="133">
        <v>0.959879912663755</v>
      </c>
      <c r="X463" s="133">
        <v>0.947311250997893</v>
      </c>
      <c r="Y463" s="135">
        <v>0.92</v>
      </c>
      <c r="Z463" s="135">
        <v>0.806349206349206</v>
      </c>
      <c r="AA463" s="135">
        <v>0.872747747747748</v>
      </c>
      <c r="AB463" s="135">
        <v>0.876508820798514</v>
      </c>
      <c r="AC463" s="135">
        <v>0.875796178343949</v>
      </c>
      <c r="AD463" s="135">
        <v>0.92</v>
      </c>
      <c r="AE463" s="133">
        <v>0.9979633401222</v>
      </c>
      <c r="AF463" s="133">
        <v>0.998078155028828</v>
      </c>
      <c r="AG463" s="133">
        <v>0.994959042218021</v>
      </c>
      <c r="AH463" s="133">
        <v>0.972215913392384</v>
      </c>
      <c r="AI463" s="135">
        <v>0.92</v>
      </c>
      <c r="AJ463" s="133">
        <v>0.944533577813431</v>
      </c>
      <c r="AK463" s="133">
        <v>0.965623199539082</v>
      </c>
      <c r="AL463" s="133">
        <v>0.964150147617039</v>
      </c>
      <c r="AM463" s="133">
        <v>0.969347406947485</v>
      </c>
      <c r="AN463" s="132">
        <v>0.99</v>
      </c>
      <c r="AO463" s="137">
        <v>1</v>
      </c>
      <c r="AP463" s="137">
        <v>1</v>
      </c>
      <c r="AQ463" s="137">
        <v>1</v>
      </c>
      <c r="AR463" s="137">
        <v>1</v>
      </c>
      <c r="AS463" s="158">
        <v>0.05</v>
      </c>
      <c r="AT463" s="141">
        <v>0</v>
      </c>
      <c r="AU463" s="141">
        <v>0.0588235294117647</v>
      </c>
      <c r="AV463" s="141">
        <v>0</v>
      </c>
      <c r="AW463" s="141">
        <v>0.0472972972972973</v>
      </c>
      <c r="AX463" s="95"/>
      <c r="AY463" s="93"/>
    </row>
    <row r="464" ht="14.5" spans="1:51">
      <c r="A464" s="91"/>
      <c r="B464" s="95"/>
      <c r="C464" s="152" t="s">
        <v>375</v>
      </c>
      <c r="D464" s="153" t="s">
        <v>25</v>
      </c>
      <c r="E464" s="130" t="s">
        <v>376</v>
      </c>
      <c r="F464" s="154" t="s">
        <v>490</v>
      </c>
      <c r="G464" s="154" t="s">
        <v>490</v>
      </c>
      <c r="H464" s="154" t="s">
        <v>490</v>
      </c>
      <c r="I464" s="154" t="s">
        <v>490</v>
      </c>
      <c r="J464" s="132">
        <v>0.9</v>
      </c>
      <c r="K464" s="133">
        <v>1</v>
      </c>
      <c r="L464" s="133">
        <v>1</v>
      </c>
      <c r="M464" s="134">
        <v>1</v>
      </c>
      <c r="N464" s="133">
        <v>0.994606256742179</v>
      </c>
      <c r="O464" s="135">
        <v>0.9</v>
      </c>
      <c r="P464" s="133">
        <v>0.970896696381751</v>
      </c>
      <c r="Q464" s="133">
        <v>0.984600099354198</v>
      </c>
      <c r="R464" s="133">
        <v>0.985842635447863</v>
      </c>
      <c r="S464" s="133">
        <v>0.981205011996801</v>
      </c>
      <c r="T464" s="135">
        <v>0.9</v>
      </c>
      <c r="U464" s="133">
        <v>0.745936025170425</v>
      </c>
      <c r="V464" s="133">
        <v>0.951316443119722</v>
      </c>
      <c r="W464" s="133">
        <v>0.945004083855159</v>
      </c>
      <c r="X464" s="133">
        <v>0.928645694481472</v>
      </c>
      <c r="Y464" s="135">
        <v>0.92</v>
      </c>
      <c r="Z464" s="135">
        <v>0.822254335260116</v>
      </c>
      <c r="AA464" s="135">
        <v>0.854237288135593</v>
      </c>
      <c r="AB464" s="135">
        <v>0.85812133072407</v>
      </c>
      <c r="AC464" s="135">
        <v>0.862524916943522</v>
      </c>
      <c r="AD464" s="135">
        <v>0.92</v>
      </c>
      <c r="AE464" s="133">
        <v>0.97691500524659</v>
      </c>
      <c r="AF464" s="133">
        <v>0.991582491582492</v>
      </c>
      <c r="AG464" s="133">
        <v>0.990391214824983</v>
      </c>
      <c r="AH464" s="133">
        <v>0.985237511103591</v>
      </c>
      <c r="AI464" s="135">
        <v>0.92</v>
      </c>
      <c r="AJ464" s="133">
        <v>0.940980696694032</v>
      </c>
      <c r="AK464" s="133">
        <v>0.958867847688862</v>
      </c>
      <c r="AL464" s="133">
        <v>0.956123535676251</v>
      </c>
      <c r="AM464" s="133">
        <v>0.964329329218198</v>
      </c>
      <c r="AN464" s="132">
        <v>0.99</v>
      </c>
      <c r="AO464" s="137">
        <v>1</v>
      </c>
      <c r="AP464" s="137">
        <v>1</v>
      </c>
      <c r="AQ464" s="137">
        <v>1</v>
      </c>
      <c r="AR464" s="137">
        <v>1</v>
      </c>
      <c r="AS464" s="158">
        <v>0.05</v>
      </c>
      <c r="AT464" s="141">
        <v>0.1</v>
      </c>
      <c r="AU464" s="141">
        <v>0.0714285714285714</v>
      </c>
      <c r="AV464" s="141">
        <v>0</v>
      </c>
      <c r="AW464" s="141">
        <v>0.0548387096774194</v>
      </c>
      <c r="AX464" s="95"/>
      <c r="AY464" s="93"/>
    </row>
    <row r="465" ht="14.5" spans="1:51">
      <c r="A465" s="91"/>
      <c r="B465" s="95"/>
      <c r="C465" s="152" t="s">
        <v>375</v>
      </c>
      <c r="D465" s="153" t="s">
        <v>25</v>
      </c>
      <c r="E465" s="130" t="s">
        <v>376</v>
      </c>
      <c r="F465" s="154" t="s">
        <v>491</v>
      </c>
      <c r="G465" s="154" t="s">
        <v>491</v>
      </c>
      <c r="H465" s="154" t="s">
        <v>491</v>
      </c>
      <c r="I465" s="154" t="s">
        <v>491</v>
      </c>
      <c r="J465" s="132">
        <v>0.9</v>
      </c>
      <c r="K465" s="133">
        <v>1</v>
      </c>
      <c r="L465" s="133">
        <v>1</v>
      </c>
      <c r="M465" s="134">
        <v>1</v>
      </c>
      <c r="N465" s="133">
        <v>0.99384236453202</v>
      </c>
      <c r="O465" s="135">
        <v>0.9</v>
      </c>
      <c r="P465" s="133">
        <v>0.982300884955752</v>
      </c>
      <c r="Q465" s="133">
        <v>0.98067188219052</v>
      </c>
      <c r="R465" s="133">
        <v>0.983315098468271</v>
      </c>
      <c r="S465" s="133">
        <v>0.984952969944754</v>
      </c>
      <c r="T465" s="135">
        <v>0.9</v>
      </c>
      <c r="U465" s="133">
        <v>0.901093180635086</v>
      </c>
      <c r="V465" s="133">
        <v>0.936953520478601</v>
      </c>
      <c r="W465" s="133">
        <v>0.960339168490153</v>
      </c>
      <c r="X465" s="133">
        <v>0.937107813328848</v>
      </c>
      <c r="Y465" s="135">
        <v>0.92</v>
      </c>
      <c r="Z465" s="135">
        <v>0.91970802919708</v>
      </c>
      <c r="AA465" s="135">
        <v>0.940163191296464</v>
      </c>
      <c r="AB465" s="135">
        <v>0.951107715813598</v>
      </c>
      <c r="AC465" s="135">
        <v>0.957380341403548</v>
      </c>
      <c r="AD465" s="135">
        <v>0.92</v>
      </c>
      <c r="AE465" s="133">
        <v>0.997967479674797</v>
      </c>
      <c r="AF465" s="133">
        <v>0.998336798336798</v>
      </c>
      <c r="AG465" s="133">
        <v>0.999019415571681</v>
      </c>
      <c r="AH465" s="133">
        <v>0.997269673361447</v>
      </c>
      <c r="AI465" s="135">
        <v>0.92</v>
      </c>
      <c r="AJ465" s="133">
        <v>0.954505300353357</v>
      </c>
      <c r="AK465" s="133">
        <v>0.969535694622867</v>
      </c>
      <c r="AL465" s="133">
        <v>0.979657603222558</v>
      </c>
      <c r="AM465" s="133">
        <v>0.97993131911408</v>
      </c>
      <c r="AN465" s="132">
        <v>0.99</v>
      </c>
      <c r="AO465" s="137">
        <v>1</v>
      </c>
      <c r="AP465" s="137">
        <v>1</v>
      </c>
      <c r="AQ465" s="137">
        <v>1</v>
      </c>
      <c r="AR465" s="137">
        <v>1</v>
      </c>
      <c r="AS465" s="158">
        <v>0.05</v>
      </c>
      <c r="AT465" s="141">
        <v>0.133333333333333</v>
      </c>
      <c r="AU465" s="141">
        <v>0.285714285714286</v>
      </c>
      <c r="AV465" s="141">
        <v>0.0555555555555556</v>
      </c>
      <c r="AW465" s="141">
        <v>0.0806916426512968</v>
      </c>
      <c r="AX465" s="95"/>
      <c r="AY465" s="93"/>
    </row>
    <row r="466" ht="14.5" spans="1:51">
      <c r="A466" s="91"/>
      <c r="B466" s="95"/>
      <c r="C466" s="152" t="s">
        <v>375</v>
      </c>
      <c r="D466" s="153" t="s">
        <v>25</v>
      </c>
      <c r="E466" s="130" t="s">
        <v>376</v>
      </c>
      <c r="F466" s="154" t="s">
        <v>492</v>
      </c>
      <c r="G466" s="154" t="s">
        <v>492</v>
      </c>
      <c r="H466" s="154" t="s">
        <v>492</v>
      </c>
      <c r="I466" s="154" t="s">
        <v>492</v>
      </c>
      <c r="J466" s="132">
        <v>0.9</v>
      </c>
      <c r="K466" s="133">
        <v>1</v>
      </c>
      <c r="L466" s="133">
        <v>1</v>
      </c>
      <c r="M466" s="134">
        <v>1</v>
      </c>
      <c r="N466" s="133">
        <v>0.985537190082645</v>
      </c>
      <c r="O466" s="135">
        <v>0.9</v>
      </c>
      <c r="P466" s="133">
        <v>0.994047619047619</v>
      </c>
      <c r="Q466" s="133">
        <v>0.995379283788987</v>
      </c>
      <c r="R466" s="133">
        <v>0.992207792207792</v>
      </c>
      <c r="S466" s="133">
        <v>0.99444973409814</v>
      </c>
      <c r="T466" s="135">
        <v>0.9</v>
      </c>
      <c r="U466" s="133">
        <v>0.945054945054945</v>
      </c>
      <c r="V466" s="133">
        <v>0.964959568733154</v>
      </c>
      <c r="W466" s="133">
        <v>0.97038961038961</v>
      </c>
      <c r="X466" s="133">
        <v>0.960219223891689</v>
      </c>
      <c r="Y466" s="135">
        <v>0.92</v>
      </c>
      <c r="Z466" s="135">
        <v>0.936170212765957</v>
      </c>
      <c r="AA466" s="135">
        <v>0.964387464387464</v>
      </c>
      <c r="AB466" s="135">
        <v>0.967289719626168</v>
      </c>
      <c r="AC466" s="135">
        <v>0.965101914762199</v>
      </c>
      <c r="AD466" s="135">
        <v>0.92</v>
      </c>
      <c r="AE466" s="133">
        <v>0.997821350762527</v>
      </c>
      <c r="AF466" s="133">
        <v>0.997183979974969</v>
      </c>
      <c r="AG466" s="133">
        <v>0.997941539728283</v>
      </c>
      <c r="AH466" s="133">
        <v>0.996922083512699</v>
      </c>
      <c r="AI466" s="135">
        <v>0.92</v>
      </c>
      <c r="AJ466" s="133">
        <v>0.9671875</v>
      </c>
      <c r="AK466" s="133">
        <v>0.983025159139133</v>
      </c>
      <c r="AL466" s="133">
        <v>0.985975847292559</v>
      </c>
      <c r="AM466" s="133">
        <v>0.984539012467316</v>
      </c>
      <c r="AN466" s="132">
        <v>0.99</v>
      </c>
      <c r="AO466" s="137">
        <v>1</v>
      </c>
      <c r="AP466" s="137">
        <v>1</v>
      </c>
      <c r="AQ466" s="137">
        <v>1</v>
      </c>
      <c r="AR466" s="137">
        <v>1</v>
      </c>
      <c r="AS466" s="158">
        <v>0.05</v>
      </c>
      <c r="AT466" s="141">
        <v>0.0666666666666667</v>
      </c>
      <c r="AU466" s="141">
        <v>0.0833333333333333</v>
      </c>
      <c r="AV466" s="141">
        <v>0</v>
      </c>
      <c r="AW466" s="141">
        <v>0.0353982300884956</v>
      </c>
      <c r="AX466" s="95"/>
      <c r="AY466" s="93"/>
    </row>
    <row r="467" ht="14.5" spans="1:51">
      <c r="A467" s="91"/>
      <c r="B467" s="95"/>
      <c r="C467" s="152" t="s">
        <v>375</v>
      </c>
      <c r="D467" s="153" t="s">
        <v>25</v>
      </c>
      <c r="E467" s="130" t="s">
        <v>376</v>
      </c>
      <c r="F467" s="154" t="s">
        <v>493</v>
      </c>
      <c r="G467" s="154" t="s">
        <v>493</v>
      </c>
      <c r="H467" s="154" t="s">
        <v>493</v>
      </c>
      <c r="I467" s="154" t="s">
        <v>493</v>
      </c>
      <c r="J467" s="132">
        <v>0.9</v>
      </c>
      <c r="K467" s="133">
        <v>0.91304347826087</v>
      </c>
      <c r="L467" s="133">
        <v>0.956521739130435</v>
      </c>
      <c r="M467" s="134">
        <v>0.978260869565217</v>
      </c>
      <c r="N467" s="133">
        <v>0.973484848484849</v>
      </c>
      <c r="O467" s="135">
        <v>0.9</v>
      </c>
      <c r="P467" s="133">
        <v>0.975198728139905</v>
      </c>
      <c r="Q467" s="133">
        <v>0.986852917009039</v>
      </c>
      <c r="R467" s="133">
        <v>0.988875526157547</v>
      </c>
      <c r="S467" s="133">
        <v>0.983820475000753</v>
      </c>
      <c r="T467" s="135">
        <v>0.9</v>
      </c>
      <c r="U467" s="133">
        <v>0.689348171701113</v>
      </c>
      <c r="V467" s="133">
        <v>0.884963023829088</v>
      </c>
      <c r="W467" s="133">
        <v>0.920024052916416</v>
      </c>
      <c r="X467" s="133">
        <v>0.883326811354264</v>
      </c>
      <c r="Y467" s="135">
        <v>0.92</v>
      </c>
      <c r="Z467" s="135">
        <v>0.743288590604027</v>
      </c>
      <c r="AA467" s="135">
        <v>0.759640102827764</v>
      </c>
      <c r="AB467" s="135">
        <v>0.814398200224972</v>
      </c>
      <c r="AC467" s="135">
        <v>0.803467754589675</v>
      </c>
      <c r="AD467" s="135">
        <v>0.92</v>
      </c>
      <c r="AE467" s="133">
        <v>0.976525821596244</v>
      </c>
      <c r="AF467" s="133">
        <v>0.998116760828625</v>
      </c>
      <c r="AG467" s="133">
        <v>0.99135446685879</v>
      </c>
      <c r="AH467" s="133">
        <v>0.994371118012422</v>
      </c>
      <c r="AI467" s="135">
        <v>0.92</v>
      </c>
      <c r="AJ467" s="133">
        <v>0.89227479283614</v>
      </c>
      <c r="AK467" s="133">
        <v>0.930458342741025</v>
      </c>
      <c r="AL467" s="133">
        <v>0.936892052194543</v>
      </c>
      <c r="AM467" s="133">
        <v>0.945552805697257</v>
      </c>
      <c r="AN467" s="132">
        <v>0.99</v>
      </c>
      <c r="AO467" s="137">
        <v>1</v>
      </c>
      <c r="AP467" s="137">
        <v>1</v>
      </c>
      <c r="AQ467" s="137">
        <v>1</v>
      </c>
      <c r="AR467" s="137">
        <v>1</v>
      </c>
      <c r="AS467" s="158">
        <v>0.05</v>
      </c>
      <c r="AT467" s="141">
        <v>0.0625</v>
      </c>
      <c r="AU467" s="141">
        <v>0.0555555555555556</v>
      </c>
      <c r="AV467" s="141">
        <v>0.0588235294117647</v>
      </c>
      <c r="AW467" s="141">
        <v>0.0465116279069767</v>
      </c>
      <c r="AX467" s="95"/>
      <c r="AY467" s="93"/>
    </row>
    <row r="468" ht="14.5" spans="1:51">
      <c r="A468" s="91"/>
      <c r="B468" s="95"/>
      <c r="C468" s="152" t="s">
        <v>375</v>
      </c>
      <c r="D468" s="153" t="s">
        <v>25</v>
      </c>
      <c r="E468" s="130" t="s">
        <v>376</v>
      </c>
      <c r="F468" s="154" t="s">
        <v>494</v>
      </c>
      <c r="G468" s="154" t="s">
        <v>494</v>
      </c>
      <c r="H468" s="154" t="s">
        <v>494</v>
      </c>
      <c r="I468" s="154" t="s">
        <v>494</v>
      </c>
      <c r="J468" s="132">
        <v>0.9</v>
      </c>
      <c r="K468" s="133">
        <v>0.977777777777778</v>
      </c>
      <c r="L468" s="133">
        <v>0.978723404255319</v>
      </c>
      <c r="M468" s="134">
        <v>1</v>
      </c>
      <c r="N468" s="133">
        <v>0.991686460807601</v>
      </c>
      <c r="O468" s="135">
        <v>0.9</v>
      </c>
      <c r="P468" s="133">
        <v>0.984193548387097</v>
      </c>
      <c r="Q468" s="133">
        <v>0.983728994398506</v>
      </c>
      <c r="R468" s="133">
        <v>0.988814317673378</v>
      </c>
      <c r="S468" s="133">
        <v>0.987528053863418</v>
      </c>
      <c r="T468" s="135">
        <v>0.9</v>
      </c>
      <c r="U468" s="133">
        <v>0.678064516129032</v>
      </c>
      <c r="V468" s="133">
        <v>0.900506801813817</v>
      </c>
      <c r="W468" s="133">
        <v>0.945349952061361</v>
      </c>
      <c r="X468" s="133">
        <v>0.921224751522924</v>
      </c>
      <c r="Y468" s="135">
        <v>0.92</v>
      </c>
      <c r="Z468" s="135">
        <v>0.847122302158273</v>
      </c>
      <c r="AA468" s="135">
        <v>0.927756653992395</v>
      </c>
      <c r="AB468" s="135">
        <v>0.925638179800222</v>
      </c>
      <c r="AC468" s="135">
        <v>0.914618369987063</v>
      </c>
      <c r="AD468" s="135">
        <v>0.92</v>
      </c>
      <c r="AE468" s="133">
        <v>0.997944501541624</v>
      </c>
      <c r="AF468" s="133">
        <v>0.994920174165457</v>
      </c>
      <c r="AG468" s="133">
        <v>0.997160435399905</v>
      </c>
      <c r="AH468" s="133">
        <v>0.989813289401428</v>
      </c>
      <c r="AI468" s="135">
        <v>0.92</v>
      </c>
      <c r="AJ468" s="133">
        <v>0.932184850970741</v>
      </c>
      <c r="AK468" s="133">
        <v>0.97465843984134</v>
      </c>
      <c r="AL468" s="133">
        <v>0.974937965260546</v>
      </c>
      <c r="AM468" s="133">
        <v>0.973875006688426</v>
      </c>
      <c r="AN468" s="132">
        <v>0.99</v>
      </c>
      <c r="AO468" s="137">
        <v>1</v>
      </c>
      <c r="AP468" s="137">
        <v>1</v>
      </c>
      <c r="AQ468" s="137">
        <v>1</v>
      </c>
      <c r="AR468" s="137">
        <v>1</v>
      </c>
      <c r="AS468" s="158">
        <v>0.05</v>
      </c>
      <c r="AT468" s="141">
        <v>0</v>
      </c>
      <c r="AU468" s="141">
        <v>0</v>
      </c>
      <c r="AV468" s="141">
        <v>0</v>
      </c>
      <c r="AW468" s="141">
        <v>0.0253807106598985</v>
      </c>
      <c r="AX468" s="95"/>
      <c r="AY468" s="93"/>
    </row>
    <row r="469" ht="14.5" spans="1:51">
      <c r="A469" s="91"/>
      <c r="B469" s="95"/>
      <c r="C469" s="152" t="s">
        <v>375</v>
      </c>
      <c r="D469" s="153" t="s">
        <v>25</v>
      </c>
      <c r="E469" s="130" t="s">
        <v>376</v>
      </c>
      <c r="F469" s="154" t="s">
        <v>495</v>
      </c>
      <c r="G469" s="154" t="s">
        <v>495</v>
      </c>
      <c r="H469" s="154" t="s">
        <v>495</v>
      </c>
      <c r="I469" s="154" t="s">
        <v>495</v>
      </c>
      <c r="J469" s="132">
        <v>0.9</v>
      </c>
      <c r="K469" s="133">
        <v>0.944444444444444</v>
      </c>
      <c r="L469" s="133">
        <v>0.925925925925926</v>
      </c>
      <c r="M469" s="134">
        <v>0.943396226415094</v>
      </c>
      <c r="N469" s="133">
        <v>0.979978925184405</v>
      </c>
      <c r="O469" s="135">
        <v>0.9</v>
      </c>
      <c r="P469" s="133">
        <v>0.986802309595821</v>
      </c>
      <c r="Q469" s="133">
        <v>0.984312807305081</v>
      </c>
      <c r="R469" s="133">
        <v>0.991275899672846</v>
      </c>
      <c r="S469" s="133">
        <v>0.988631844548359</v>
      </c>
      <c r="T469" s="135">
        <v>0.9</v>
      </c>
      <c r="U469" s="133">
        <v>0.725598020346439</v>
      </c>
      <c r="V469" s="133">
        <v>0.926480917817841</v>
      </c>
      <c r="W469" s="133">
        <v>0.950109051254089</v>
      </c>
      <c r="X469" s="133">
        <v>0.930570601867723</v>
      </c>
      <c r="Y469" s="135">
        <v>0.92</v>
      </c>
      <c r="Z469" s="135">
        <v>0.813314037626628</v>
      </c>
      <c r="AA469" s="135">
        <v>0.876288659793814</v>
      </c>
      <c r="AB469" s="135">
        <v>0.925311203319502</v>
      </c>
      <c r="AC469" s="135">
        <v>0.919460367089341</v>
      </c>
      <c r="AD469" s="135">
        <v>0.92</v>
      </c>
      <c r="AE469" s="133">
        <v>0.998671096345515</v>
      </c>
      <c r="AF469" s="133">
        <v>0.996253602305476</v>
      </c>
      <c r="AG469" s="133">
        <v>0.997929606625259</v>
      </c>
      <c r="AH469" s="133">
        <v>0.995750006877012</v>
      </c>
      <c r="AI469" s="135">
        <v>0.92</v>
      </c>
      <c r="AJ469" s="133">
        <v>0.932763401109057</v>
      </c>
      <c r="AK469" s="133">
        <v>0.956749672346003</v>
      </c>
      <c r="AL469" s="133">
        <v>0.971065052329161</v>
      </c>
      <c r="AM469" s="133">
        <v>0.971984478935698</v>
      </c>
      <c r="AN469" s="132">
        <v>0.99</v>
      </c>
      <c r="AO469" s="137">
        <v>1</v>
      </c>
      <c r="AP469" s="137">
        <v>1</v>
      </c>
      <c r="AQ469" s="137">
        <v>1</v>
      </c>
      <c r="AR469" s="137">
        <v>1</v>
      </c>
      <c r="AS469" s="158">
        <v>0.05</v>
      </c>
      <c r="AT469" s="141">
        <v>0</v>
      </c>
      <c r="AU469" s="141">
        <v>0.0588235294117647</v>
      </c>
      <c r="AV469" s="141">
        <v>0</v>
      </c>
      <c r="AW469" s="141">
        <v>0.0476190476190476</v>
      </c>
      <c r="AX469" s="95"/>
      <c r="AY469" s="93"/>
    </row>
    <row r="470" ht="14.5" spans="1:51">
      <c r="A470" s="91"/>
      <c r="B470" s="95"/>
      <c r="C470" s="152" t="s">
        <v>375</v>
      </c>
      <c r="D470" s="153" t="s">
        <v>25</v>
      </c>
      <c r="E470" s="130" t="s">
        <v>376</v>
      </c>
      <c r="F470" s="154" t="s">
        <v>496</v>
      </c>
      <c r="G470" s="154" t="s">
        <v>496</v>
      </c>
      <c r="H470" s="154" t="s">
        <v>496</v>
      </c>
      <c r="I470" s="154" t="s">
        <v>496</v>
      </c>
      <c r="J470" s="132">
        <v>0.9</v>
      </c>
      <c r="K470" s="133">
        <v>0.983606557377049</v>
      </c>
      <c r="L470" s="133">
        <v>1</v>
      </c>
      <c r="M470" s="134">
        <v>0.986111111111111</v>
      </c>
      <c r="N470" s="133">
        <v>0.975806451612903</v>
      </c>
      <c r="O470" s="135">
        <v>0.9</v>
      </c>
      <c r="P470" s="133">
        <v>0.973842592592593</v>
      </c>
      <c r="Q470" s="133">
        <v>0.990244835501148</v>
      </c>
      <c r="R470" s="133">
        <v>0.991294387170676</v>
      </c>
      <c r="S470" s="133">
        <v>0.986987068764297</v>
      </c>
      <c r="T470" s="135">
        <v>0.9</v>
      </c>
      <c r="U470" s="133">
        <v>0.782638888888889</v>
      </c>
      <c r="V470" s="133">
        <v>0.935921958684009</v>
      </c>
      <c r="W470" s="133">
        <v>0.951890034364261</v>
      </c>
      <c r="X470" s="133">
        <v>0.923988142477009</v>
      </c>
      <c r="Y470" s="135">
        <v>0.92</v>
      </c>
      <c r="Z470" s="135">
        <v>0.730555555555556</v>
      </c>
      <c r="AA470" s="135">
        <v>0.909901873327386</v>
      </c>
      <c r="AB470" s="135">
        <v>0.922810060711188</v>
      </c>
      <c r="AC470" s="135">
        <v>0.896762744018114</v>
      </c>
      <c r="AD470" s="135">
        <v>0.92</v>
      </c>
      <c r="AE470" s="133">
        <v>0.998245614035088</v>
      </c>
      <c r="AF470" s="133">
        <v>0.994845360824742</v>
      </c>
      <c r="AG470" s="133">
        <v>0.99580472921434</v>
      </c>
      <c r="AH470" s="133">
        <v>0.974283555507583</v>
      </c>
      <c r="AI470" s="135">
        <v>0.92</v>
      </c>
      <c r="AJ470" s="133">
        <v>0.924007936507937</v>
      </c>
      <c r="AK470" s="133">
        <v>0.969128996692392</v>
      </c>
      <c r="AL470" s="133">
        <v>0.971003986951794</v>
      </c>
      <c r="AM470" s="133">
        <v>0.970596306896146</v>
      </c>
      <c r="AN470" s="132">
        <v>0.99</v>
      </c>
      <c r="AO470" s="137">
        <v>1</v>
      </c>
      <c r="AP470" s="137">
        <v>1</v>
      </c>
      <c r="AQ470" s="137">
        <v>1</v>
      </c>
      <c r="AR470" s="137">
        <v>1</v>
      </c>
      <c r="AS470" s="158">
        <v>0.05</v>
      </c>
      <c r="AT470" s="141">
        <v>0</v>
      </c>
      <c r="AU470" s="141">
        <v>0.0769230769230769</v>
      </c>
      <c r="AV470" s="141">
        <v>0</v>
      </c>
      <c r="AW470" s="141">
        <v>0.0260869565217391</v>
      </c>
      <c r="AX470" s="95"/>
      <c r="AY470" s="93"/>
    </row>
    <row r="471" ht="14.5" spans="1:51">
      <c r="A471" s="91"/>
      <c r="B471" s="95"/>
      <c r="C471" s="152" t="s">
        <v>375</v>
      </c>
      <c r="D471" s="153" t="s">
        <v>25</v>
      </c>
      <c r="E471" s="130" t="s">
        <v>376</v>
      </c>
      <c r="F471" s="154" t="s">
        <v>497</v>
      </c>
      <c r="G471" s="154" t="s">
        <v>497</v>
      </c>
      <c r="H471" s="154" t="s">
        <v>497</v>
      </c>
      <c r="I471" s="154" t="s">
        <v>497</v>
      </c>
      <c r="J471" s="132">
        <v>0.9</v>
      </c>
      <c r="K471" s="133">
        <v>1</v>
      </c>
      <c r="L471" s="133">
        <v>1</v>
      </c>
      <c r="M471" s="134">
        <v>1</v>
      </c>
      <c r="N471" s="133">
        <v>0.992647058823529</v>
      </c>
      <c r="O471" s="135">
        <v>0.9</v>
      </c>
      <c r="P471" s="133">
        <v>0.995164410058027</v>
      </c>
      <c r="Q471" s="133">
        <v>0.994664634146341</v>
      </c>
      <c r="R471" s="133">
        <v>1</v>
      </c>
      <c r="S471" s="133">
        <v>0.997197106690778</v>
      </c>
      <c r="T471" s="135">
        <v>0.9</v>
      </c>
      <c r="U471" s="133">
        <v>0.908123791102515</v>
      </c>
      <c r="V471" s="133">
        <v>0.97484756097561</v>
      </c>
      <c r="W471" s="133">
        <v>0.958781362007168</v>
      </c>
      <c r="X471" s="133">
        <v>0.957188065099458</v>
      </c>
      <c r="Y471" s="135">
        <v>0.92</v>
      </c>
      <c r="Z471" s="135">
        <v>0.857954545454545</v>
      </c>
      <c r="AA471" s="135">
        <v>0.932142857142857</v>
      </c>
      <c r="AB471" s="135">
        <v>0.922509225092251</v>
      </c>
      <c r="AC471" s="135">
        <v>0.923206143508519</v>
      </c>
      <c r="AD471" s="135">
        <v>0.92</v>
      </c>
      <c r="AE471" s="133">
        <v>1</v>
      </c>
      <c r="AF471" s="133">
        <v>1</v>
      </c>
      <c r="AG471" s="133">
        <v>1</v>
      </c>
      <c r="AH471" s="133">
        <v>0.995601173020528</v>
      </c>
      <c r="AI471" s="135">
        <v>0.92</v>
      </c>
      <c r="AJ471" s="133">
        <v>0.956234516928159</v>
      </c>
      <c r="AK471" s="133">
        <v>0.978643216080402</v>
      </c>
      <c r="AL471" s="133">
        <v>0.977649603460707</v>
      </c>
      <c r="AM471" s="133">
        <v>0.981246195982958</v>
      </c>
      <c r="AN471" s="132">
        <v>0.99</v>
      </c>
      <c r="AO471" s="137">
        <v>1</v>
      </c>
      <c r="AP471" s="137">
        <v>1</v>
      </c>
      <c r="AQ471" s="137">
        <v>1</v>
      </c>
      <c r="AR471" s="137">
        <v>1</v>
      </c>
      <c r="AS471" s="158">
        <v>0.05</v>
      </c>
      <c r="AT471" s="141">
        <v>1</v>
      </c>
      <c r="AU471" s="141">
        <v>0</v>
      </c>
      <c r="AV471" s="141">
        <v>0</v>
      </c>
      <c r="AW471" s="141">
        <v>0.0294117647058824</v>
      </c>
      <c r="AX471" s="95"/>
      <c r="AY471" s="93"/>
    </row>
    <row r="472" ht="14.5" spans="1:51">
      <c r="A472" s="91"/>
      <c r="B472" s="95"/>
      <c r="C472" s="152" t="s">
        <v>375</v>
      </c>
      <c r="D472" s="153" t="s">
        <v>25</v>
      </c>
      <c r="E472" s="130" t="s">
        <v>376</v>
      </c>
      <c r="F472" s="154" t="s">
        <v>498</v>
      </c>
      <c r="G472" s="154" t="s">
        <v>498</v>
      </c>
      <c r="H472" s="154" t="s">
        <v>498</v>
      </c>
      <c r="I472" s="154" t="s">
        <v>498</v>
      </c>
      <c r="J472" s="132">
        <v>0.9</v>
      </c>
      <c r="K472" s="133">
        <v>0.985507246376812</v>
      </c>
      <c r="L472" s="133">
        <v>1</v>
      </c>
      <c r="M472" s="134">
        <v>0.957746478873239</v>
      </c>
      <c r="N472" s="133">
        <v>0.978021978021978</v>
      </c>
      <c r="O472" s="135">
        <v>0.9</v>
      </c>
      <c r="P472" s="133">
        <v>0.975186104218362</v>
      </c>
      <c r="Q472" s="133">
        <v>0.986306969139587</v>
      </c>
      <c r="R472" s="133">
        <v>0.985759111754767</v>
      </c>
      <c r="S472" s="133">
        <v>0.982442280027357</v>
      </c>
      <c r="T472" s="135">
        <v>0.9</v>
      </c>
      <c r="U472" s="133">
        <v>0.858560794044665</v>
      </c>
      <c r="V472" s="133">
        <v>0.912323727774372</v>
      </c>
      <c r="W472" s="133">
        <v>0.954139512430606</v>
      </c>
      <c r="X472" s="133">
        <v>0.931868028205551</v>
      </c>
      <c r="Y472" s="135">
        <v>0.92</v>
      </c>
      <c r="Z472" s="135">
        <v>0.770700636942675</v>
      </c>
      <c r="AA472" s="135">
        <v>0.808411214953271</v>
      </c>
      <c r="AB472" s="135">
        <v>0.852428964252979</v>
      </c>
      <c r="AC472" s="135">
        <v>0.83606657691837</v>
      </c>
      <c r="AD472" s="135">
        <v>0.92</v>
      </c>
      <c r="AE472" s="133">
        <v>0.998632478632479</v>
      </c>
      <c r="AF472" s="133">
        <v>0.993141877411059</v>
      </c>
      <c r="AG472" s="133">
        <v>0.987387387387387</v>
      </c>
      <c r="AH472" s="133">
        <v>0.989133930622559</v>
      </c>
      <c r="AI472" s="135">
        <v>0.92</v>
      </c>
      <c r="AJ472" s="133">
        <v>0.914926231078751</v>
      </c>
      <c r="AK472" s="133">
        <v>0.93459667952373</v>
      </c>
      <c r="AL472" s="133">
        <v>0.953954910202522</v>
      </c>
      <c r="AM472" s="133">
        <v>0.951955395626557</v>
      </c>
      <c r="AN472" s="132">
        <v>0.99</v>
      </c>
      <c r="AO472" s="137">
        <v>1</v>
      </c>
      <c r="AP472" s="137">
        <v>1</v>
      </c>
      <c r="AQ472" s="137">
        <v>1</v>
      </c>
      <c r="AR472" s="137">
        <v>1</v>
      </c>
      <c r="AS472" s="158">
        <v>0.05</v>
      </c>
      <c r="AT472" s="141">
        <v>0</v>
      </c>
      <c r="AU472" s="141">
        <v>0</v>
      </c>
      <c r="AV472" s="141">
        <v>0.166666666666667</v>
      </c>
      <c r="AW472" s="141">
        <v>0.0384615384615385</v>
      </c>
      <c r="AX472" s="95"/>
      <c r="AY472" s="93"/>
    </row>
    <row r="473" ht="14.5" spans="1:51">
      <c r="A473" s="91"/>
      <c r="B473" s="95"/>
      <c r="C473" s="152" t="s">
        <v>375</v>
      </c>
      <c r="D473" s="153" t="s">
        <v>25</v>
      </c>
      <c r="E473" s="130" t="s">
        <v>376</v>
      </c>
      <c r="F473" s="154" t="s">
        <v>499</v>
      </c>
      <c r="G473" s="154" t="s">
        <v>499</v>
      </c>
      <c r="H473" s="154" t="s">
        <v>499</v>
      </c>
      <c r="I473" s="154" t="s">
        <v>499</v>
      </c>
      <c r="J473" s="132">
        <v>0.9</v>
      </c>
      <c r="K473" s="133">
        <v>1</v>
      </c>
      <c r="L473" s="133">
        <v>1</v>
      </c>
      <c r="M473" s="134">
        <v>0.981481481481482</v>
      </c>
      <c r="N473" s="133">
        <v>0.995550611790879</v>
      </c>
      <c r="O473" s="135">
        <v>0.9</v>
      </c>
      <c r="P473" s="133">
        <v>0.981425702811245</v>
      </c>
      <c r="Q473" s="133">
        <v>0.991118196310635</v>
      </c>
      <c r="R473" s="133">
        <v>0.98452810727179</v>
      </c>
      <c r="S473" s="133">
        <v>0.985918201926115</v>
      </c>
      <c r="T473" s="135">
        <v>0.9</v>
      </c>
      <c r="U473" s="133">
        <v>0.569528112449799</v>
      </c>
      <c r="V473" s="133">
        <v>0.949897517649738</v>
      </c>
      <c r="W473" s="133">
        <v>0.969056214543579</v>
      </c>
      <c r="X473" s="133">
        <v>0.925277171001113</v>
      </c>
      <c r="Y473" s="135">
        <v>0.92</v>
      </c>
      <c r="Z473" s="135">
        <v>0.903092783505155</v>
      </c>
      <c r="AA473" s="135">
        <v>0.923928077455048</v>
      </c>
      <c r="AB473" s="135">
        <v>0.936018957345972</v>
      </c>
      <c r="AC473" s="135">
        <v>0.919331742243437</v>
      </c>
      <c r="AD473" s="135">
        <v>0.92</v>
      </c>
      <c r="AE473" s="133">
        <v>0.986577181208054</v>
      </c>
      <c r="AF473" s="133">
        <v>0.991253644314869</v>
      </c>
      <c r="AG473" s="133">
        <v>0.991586538461538</v>
      </c>
      <c r="AH473" s="133">
        <v>0.990842362810206</v>
      </c>
      <c r="AI473" s="135">
        <v>0.92</v>
      </c>
      <c r="AJ473" s="133">
        <v>0.957708659655404</v>
      </c>
      <c r="AK473" s="133">
        <v>0.977517106549365</v>
      </c>
      <c r="AL473" s="133">
        <v>0.983058026260059</v>
      </c>
      <c r="AM473" s="133">
        <v>0.978444488700929</v>
      </c>
      <c r="AN473" s="132">
        <v>0.99</v>
      </c>
      <c r="AO473" s="137">
        <v>1</v>
      </c>
      <c r="AP473" s="137">
        <v>1</v>
      </c>
      <c r="AQ473" s="137">
        <v>1</v>
      </c>
      <c r="AR473" s="137">
        <v>1</v>
      </c>
      <c r="AS473" s="158">
        <v>0.05</v>
      </c>
      <c r="AT473" s="141">
        <v>0</v>
      </c>
      <c r="AU473" s="141">
        <v>0</v>
      </c>
      <c r="AV473" s="141">
        <v>0.166666666666667</v>
      </c>
      <c r="AW473" s="141">
        <v>0.062780269058296</v>
      </c>
      <c r="AX473" s="95"/>
      <c r="AY473" s="93"/>
    </row>
    <row r="474" ht="14.5" spans="1:51">
      <c r="A474" s="91"/>
      <c r="B474" s="95"/>
      <c r="C474" s="152" t="s">
        <v>375</v>
      </c>
      <c r="D474" s="153" t="s">
        <v>25</v>
      </c>
      <c r="E474" s="130" t="s">
        <v>376</v>
      </c>
      <c r="F474" s="154" t="s">
        <v>500</v>
      </c>
      <c r="G474" s="154" t="s">
        <v>500</v>
      </c>
      <c r="H474" s="154" t="s">
        <v>500</v>
      </c>
      <c r="I474" s="154" t="s">
        <v>500</v>
      </c>
      <c r="J474" s="132">
        <v>0.9</v>
      </c>
      <c r="K474" s="133">
        <v>0.942857142857143</v>
      </c>
      <c r="L474" s="133">
        <v>0.941176470588235</v>
      </c>
      <c r="M474" s="134">
        <v>0.972972972972973</v>
      </c>
      <c r="N474" s="133">
        <v>0.957345971563981</v>
      </c>
      <c r="O474" s="135">
        <v>0.9</v>
      </c>
      <c r="P474" s="133">
        <v>0.981512605042017</v>
      </c>
      <c r="Q474" s="133">
        <v>0.984358706986444</v>
      </c>
      <c r="R474" s="133">
        <v>0.986218078638022</v>
      </c>
      <c r="S474" s="133">
        <v>0.982335087009308</v>
      </c>
      <c r="T474" s="135">
        <v>0.9</v>
      </c>
      <c r="U474" s="133">
        <v>0.523529411764706</v>
      </c>
      <c r="V474" s="133">
        <v>0.920750782064651</v>
      </c>
      <c r="W474" s="133">
        <v>0.934333198216457</v>
      </c>
      <c r="X474" s="133">
        <v>0.905281262646702</v>
      </c>
      <c r="Y474" s="135">
        <v>0.92</v>
      </c>
      <c r="Z474" s="135">
        <v>0.370813397129187</v>
      </c>
      <c r="AA474" s="135">
        <v>0.845170454545455</v>
      </c>
      <c r="AB474" s="135">
        <v>0.875420875420875</v>
      </c>
      <c r="AC474" s="135">
        <v>0.745663531870428</v>
      </c>
      <c r="AD474" s="135">
        <v>0.92</v>
      </c>
      <c r="AE474" s="133">
        <v>0.989690721649485</v>
      </c>
      <c r="AF474" s="133">
        <v>0.994038748137109</v>
      </c>
      <c r="AG474" s="133">
        <v>0.93717277486911</v>
      </c>
      <c r="AH474" s="133">
        <v>0.95921871646276</v>
      </c>
      <c r="AI474" s="135">
        <v>0.92</v>
      </c>
      <c r="AJ474" s="133">
        <v>0.836370132190068</v>
      </c>
      <c r="AK474" s="133">
        <v>0.950013962580285</v>
      </c>
      <c r="AL474" s="133">
        <v>0.958510290754655</v>
      </c>
      <c r="AM474" s="133">
        <v>0.938720504475183</v>
      </c>
      <c r="AN474" s="132">
        <v>0.99</v>
      </c>
      <c r="AO474" s="137">
        <v>1</v>
      </c>
      <c r="AP474" s="137">
        <v>1</v>
      </c>
      <c r="AQ474" s="137">
        <v>1</v>
      </c>
      <c r="AR474" s="137">
        <v>1</v>
      </c>
      <c r="AS474" s="158">
        <v>0.05</v>
      </c>
      <c r="AT474" s="141">
        <v>0</v>
      </c>
      <c r="AU474" s="141">
        <v>0</v>
      </c>
      <c r="AV474" s="141">
        <v>0.181818181818182</v>
      </c>
      <c r="AW474" s="141">
        <v>0.0501792114695341</v>
      </c>
      <c r="AX474" s="95"/>
      <c r="AY474" s="93"/>
    </row>
    <row r="475" ht="14.5" spans="1:51">
      <c r="A475" s="91"/>
      <c r="B475" s="95"/>
      <c r="C475" s="152" t="s">
        <v>375</v>
      </c>
      <c r="D475" s="153" t="s">
        <v>25</v>
      </c>
      <c r="E475" s="130" t="s">
        <v>376</v>
      </c>
      <c r="F475" s="154" t="s">
        <v>501</v>
      </c>
      <c r="G475" s="154" t="s">
        <v>501</v>
      </c>
      <c r="H475" s="154" t="s">
        <v>501</v>
      </c>
      <c r="I475" s="154" t="s">
        <v>501</v>
      </c>
      <c r="J475" s="132">
        <v>0.9</v>
      </c>
      <c r="K475" s="133">
        <v>0.91304347826087</v>
      </c>
      <c r="L475" s="133">
        <v>1</v>
      </c>
      <c r="M475" s="134">
        <v>0.958333333333333</v>
      </c>
      <c r="N475" s="133">
        <v>0.981351981351981</v>
      </c>
      <c r="O475" s="135">
        <v>0.9</v>
      </c>
      <c r="P475" s="133">
        <v>0.843381389252949</v>
      </c>
      <c r="Q475" s="133">
        <v>0.970070422535211</v>
      </c>
      <c r="R475" s="133">
        <v>0.984783931832015</v>
      </c>
      <c r="S475" s="133">
        <v>0.973053311793215</v>
      </c>
      <c r="T475" s="135">
        <v>0.9</v>
      </c>
      <c r="U475" s="133">
        <v>0.484272608125819</v>
      </c>
      <c r="V475" s="133">
        <v>0.880868544600939</v>
      </c>
      <c r="W475" s="133">
        <v>0.883140596469872</v>
      </c>
      <c r="X475" s="133">
        <v>0.850823909531502</v>
      </c>
      <c r="Y475" s="135">
        <v>0.92</v>
      </c>
      <c r="Z475" s="135" t="s">
        <v>35</v>
      </c>
      <c r="AA475" s="135" t="s">
        <v>35</v>
      </c>
      <c r="AB475" s="135">
        <v>1</v>
      </c>
      <c r="AC475" s="135">
        <v>1</v>
      </c>
      <c r="AD475" s="135">
        <v>0.92</v>
      </c>
      <c r="AE475" s="133">
        <v>0.99202657807309</v>
      </c>
      <c r="AF475" s="133">
        <v>0.994394618834081</v>
      </c>
      <c r="AG475" s="133">
        <v>0.992500585891727</v>
      </c>
      <c r="AH475" s="133">
        <v>0.988394765458022</v>
      </c>
      <c r="AI475" s="135">
        <v>0.92</v>
      </c>
      <c r="AJ475" s="133">
        <v>0.808775376555337</v>
      </c>
      <c r="AK475" s="133">
        <v>0.961921499707089</v>
      </c>
      <c r="AL475" s="133">
        <v>0.970802919708029</v>
      </c>
      <c r="AM475" s="133">
        <v>0.955272081382206</v>
      </c>
      <c r="AN475" s="132">
        <v>0.99</v>
      </c>
      <c r="AO475" s="137">
        <v>1</v>
      </c>
      <c r="AP475" s="137">
        <v>1</v>
      </c>
      <c r="AQ475" s="137">
        <v>1</v>
      </c>
      <c r="AR475" s="137">
        <v>1</v>
      </c>
      <c r="AS475" s="158">
        <v>0.05</v>
      </c>
      <c r="AT475" s="141">
        <v>0</v>
      </c>
      <c r="AU475" s="141">
        <v>0</v>
      </c>
      <c r="AV475" s="141">
        <v>0</v>
      </c>
      <c r="AW475" s="141">
        <v>0.0784313725490196</v>
      </c>
      <c r="AX475" s="95"/>
      <c r="AY475" s="93"/>
    </row>
    <row r="476" ht="14.5" spans="1:51">
      <c r="A476" s="91"/>
      <c r="B476" s="95"/>
      <c r="C476" s="152" t="s">
        <v>375</v>
      </c>
      <c r="D476" s="153" t="s">
        <v>25</v>
      </c>
      <c r="E476" s="130" t="s">
        <v>376</v>
      </c>
      <c r="F476" s="154" t="s">
        <v>502</v>
      </c>
      <c r="G476" s="154" t="s">
        <v>502</v>
      </c>
      <c r="H476" s="154" t="s">
        <v>502</v>
      </c>
      <c r="I476" s="154" t="s">
        <v>502</v>
      </c>
      <c r="J476" s="132">
        <v>0.9</v>
      </c>
      <c r="K476" s="133">
        <v>1</v>
      </c>
      <c r="L476" s="133">
        <v>1</v>
      </c>
      <c r="M476" s="134">
        <v>1</v>
      </c>
      <c r="N476" s="133">
        <v>1</v>
      </c>
      <c r="O476" s="135">
        <v>0.9</v>
      </c>
      <c r="P476" s="133">
        <v>0.967637540453074</v>
      </c>
      <c r="Q476" s="133">
        <v>0.996521739130435</v>
      </c>
      <c r="R476" s="133">
        <v>0.990220048899755</v>
      </c>
      <c r="S476" s="133">
        <v>0.992429861128871</v>
      </c>
      <c r="T476" s="135">
        <v>0.9</v>
      </c>
      <c r="U476" s="133">
        <v>0.825705039297272</v>
      </c>
      <c r="V476" s="133">
        <v>0.958695652173913</v>
      </c>
      <c r="W476" s="133">
        <v>0.971638141809291</v>
      </c>
      <c r="X476" s="133">
        <v>0.949745530804839</v>
      </c>
      <c r="Y476" s="135">
        <v>0.92</v>
      </c>
      <c r="Z476" s="135">
        <v>0.904907975460123</v>
      </c>
      <c r="AA476" s="135">
        <v>0.934579439252336</v>
      </c>
      <c r="AB476" s="135">
        <v>0.957307060755337</v>
      </c>
      <c r="AC476" s="135">
        <v>0.955523843501011</v>
      </c>
      <c r="AD476" s="135">
        <v>0.92</v>
      </c>
      <c r="AE476" s="133">
        <v>0.996491228070175</v>
      </c>
      <c r="AF476" s="133">
        <v>0.995232856618995</v>
      </c>
      <c r="AG476" s="133">
        <v>0.996119016817594</v>
      </c>
      <c r="AH476" s="133">
        <v>0.995608039580559</v>
      </c>
      <c r="AI476" s="135">
        <v>0.92</v>
      </c>
      <c r="AJ476" s="133">
        <v>0.94817195660908</v>
      </c>
      <c r="AK476" s="133">
        <v>0.974603174603175</v>
      </c>
      <c r="AL476" s="133">
        <v>0.984928409947249</v>
      </c>
      <c r="AM476" s="133">
        <v>0.9823420465547</v>
      </c>
      <c r="AN476" s="132">
        <v>0.99</v>
      </c>
      <c r="AO476" s="137">
        <v>1</v>
      </c>
      <c r="AP476" s="137">
        <v>1</v>
      </c>
      <c r="AQ476" s="137">
        <v>1</v>
      </c>
      <c r="AR476" s="137">
        <v>1</v>
      </c>
      <c r="AS476" s="158">
        <v>0.05</v>
      </c>
      <c r="AT476" s="141">
        <v>0</v>
      </c>
      <c r="AU476" s="141">
        <v>0</v>
      </c>
      <c r="AV476" s="141">
        <v>0.111111111111111</v>
      </c>
      <c r="AW476" s="141">
        <v>0.0390243902439024</v>
      </c>
      <c r="AX476" s="95"/>
      <c r="AY476" s="93"/>
    </row>
    <row r="477" ht="14.5" spans="1:51">
      <c r="A477" s="91"/>
      <c r="B477" s="95"/>
      <c r="C477" s="152" t="s">
        <v>375</v>
      </c>
      <c r="D477" s="153" t="s">
        <v>25</v>
      </c>
      <c r="E477" s="130" t="s">
        <v>376</v>
      </c>
      <c r="F477" s="154" t="s">
        <v>503</v>
      </c>
      <c r="G477" s="154" t="s">
        <v>503</v>
      </c>
      <c r="H477" s="154" t="s">
        <v>503</v>
      </c>
      <c r="I477" s="154" t="s">
        <v>503</v>
      </c>
      <c r="J477" s="132">
        <v>0.9</v>
      </c>
      <c r="K477" s="133">
        <v>0.944444444444444</v>
      </c>
      <c r="L477" s="133">
        <v>0.947368421052632</v>
      </c>
      <c r="M477" s="134">
        <v>0.853658536585366</v>
      </c>
      <c r="N477" s="133">
        <v>0.896602658788774</v>
      </c>
      <c r="O477" s="135">
        <v>0.9</v>
      </c>
      <c r="P477" s="133">
        <v>0.928057553956835</v>
      </c>
      <c r="Q477" s="133">
        <v>0.982749873160832</v>
      </c>
      <c r="R477" s="133">
        <v>0.986293706293706</v>
      </c>
      <c r="S477" s="133">
        <v>0.982051766484035</v>
      </c>
      <c r="T477" s="135">
        <v>0.9</v>
      </c>
      <c r="U477" s="133">
        <v>0.425059952038369</v>
      </c>
      <c r="V477" s="133">
        <v>0.882293252156266</v>
      </c>
      <c r="W477" s="133">
        <v>0.95020979020979</v>
      </c>
      <c r="X477" s="133">
        <v>0.868781700068305</v>
      </c>
      <c r="Y477" s="135">
        <v>0.92</v>
      </c>
      <c r="Z477" s="135">
        <v>0</v>
      </c>
      <c r="AA477" s="135" t="s">
        <v>35</v>
      </c>
      <c r="AB477" s="135" t="s">
        <v>35</v>
      </c>
      <c r="AC477" s="135">
        <v>0</v>
      </c>
      <c r="AD477" s="135">
        <v>0.92</v>
      </c>
      <c r="AE477" s="133">
        <v>0.967532467532468</v>
      </c>
      <c r="AF477" s="133">
        <v>0.987786259541985</v>
      </c>
      <c r="AG477" s="133">
        <v>0.993779160186625</v>
      </c>
      <c r="AH477" s="133">
        <v>0.991672064402702</v>
      </c>
      <c r="AI477" s="135">
        <v>0.92</v>
      </c>
      <c r="AJ477" s="133">
        <v>0.937986818454164</v>
      </c>
      <c r="AK477" s="133">
        <v>0.966260781329275</v>
      </c>
      <c r="AL477" s="133">
        <v>0.977628635346756</v>
      </c>
      <c r="AM477" s="133">
        <v>0.975004359704703</v>
      </c>
      <c r="AN477" s="132">
        <v>0.99</v>
      </c>
      <c r="AO477" s="137">
        <v>1</v>
      </c>
      <c r="AP477" s="137">
        <v>1</v>
      </c>
      <c r="AQ477" s="137">
        <v>1</v>
      </c>
      <c r="AR477" s="137">
        <v>1</v>
      </c>
      <c r="AS477" s="158">
        <v>0.05</v>
      </c>
      <c r="AT477" s="141">
        <v>0</v>
      </c>
      <c r="AU477" s="141">
        <v>0.153846153846154</v>
      </c>
      <c r="AV477" s="141">
        <v>0.0833333333333333</v>
      </c>
      <c r="AW477" s="141">
        <v>0.0597609561752988</v>
      </c>
      <c r="AX477" s="95"/>
      <c r="AY477" s="93"/>
    </row>
    <row r="478" ht="14.5" spans="1:51">
      <c r="A478" s="91"/>
      <c r="B478" s="95"/>
      <c r="C478" s="152" t="s">
        <v>375</v>
      </c>
      <c r="D478" s="153" t="s">
        <v>25</v>
      </c>
      <c r="E478" s="130" t="s">
        <v>376</v>
      </c>
      <c r="F478" s="154" t="s">
        <v>504</v>
      </c>
      <c r="G478" s="154" t="s">
        <v>504</v>
      </c>
      <c r="H478" s="154" t="s">
        <v>504</v>
      </c>
      <c r="I478" s="154" t="s">
        <v>504</v>
      </c>
      <c r="J478" s="132">
        <v>0.9</v>
      </c>
      <c r="K478" s="133">
        <v>0.961538461538462</v>
      </c>
      <c r="L478" s="133">
        <v>0.888888888888889</v>
      </c>
      <c r="M478" s="134">
        <v>0.966666666666667</v>
      </c>
      <c r="N478" s="133">
        <v>0.953684210526316</v>
      </c>
      <c r="O478" s="135">
        <v>0.9</v>
      </c>
      <c r="P478" s="133">
        <v>0.988662131519274</v>
      </c>
      <c r="Q478" s="133">
        <v>0.991341991341991</v>
      </c>
      <c r="R478" s="133">
        <v>0.984615384615385</v>
      </c>
      <c r="S478" s="133">
        <v>0.988099721322588</v>
      </c>
      <c r="T478" s="135">
        <v>0.9</v>
      </c>
      <c r="U478" s="133">
        <v>0.901360544217687</v>
      </c>
      <c r="V478" s="133">
        <v>0.901515151515151</v>
      </c>
      <c r="W478" s="133">
        <v>0.933653846153846</v>
      </c>
      <c r="X478" s="133">
        <v>0.878059802666265</v>
      </c>
      <c r="Y478" s="135">
        <v>0.92</v>
      </c>
      <c r="Z478" s="135">
        <v>0.921081081081081</v>
      </c>
      <c r="AA478" s="135">
        <v>0.900254452926209</v>
      </c>
      <c r="AB478" s="135">
        <v>0.923839009287926</v>
      </c>
      <c r="AC478" s="135">
        <v>0.909398172098638</v>
      </c>
      <c r="AD478" s="135">
        <v>0.92</v>
      </c>
      <c r="AE478" s="133">
        <v>1</v>
      </c>
      <c r="AF478" s="133">
        <v>1</v>
      </c>
      <c r="AG478" s="133">
        <v>1</v>
      </c>
      <c r="AH478" s="133">
        <v>0.998565691336776</v>
      </c>
      <c r="AI478" s="135">
        <v>0.92</v>
      </c>
      <c r="AJ478" s="133">
        <v>0.945213060320974</v>
      </c>
      <c r="AK478" s="133">
        <v>0.934697088906373</v>
      </c>
      <c r="AL478" s="133">
        <v>0.945386064030132</v>
      </c>
      <c r="AM478" s="133">
        <v>0.94191655567155</v>
      </c>
      <c r="AN478" s="132">
        <v>0.99</v>
      </c>
      <c r="AO478" s="137">
        <v>1</v>
      </c>
      <c r="AP478" s="137">
        <v>1</v>
      </c>
      <c r="AQ478" s="137">
        <v>1</v>
      </c>
      <c r="AR478" s="137">
        <v>1</v>
      </c>
      <c r="AS478" s="158">
        <v>0.05</v>
      </c>
      <c r="AT478" s="141">
        <v>0</v>
      </c>
      <c r="AU478" s="141">
        <v>0</v>
      </c>
      <c r="AV478" s="141">
        <v>0.25</v>
      </c>
      <c r="AW478" s="141">
        <v>0.0657894736842105</v>
      </c>
      <c r="AX478" s="95"/>
      <c r="AY478" s="93"/>
    </row>
    <row r="479" ht="14.5" spans="1:51">
      <c r="A479" s="91"/>
      <c r="B479" s="95"/>
      <c r="C479" s="152" t="s">
        <v>375</v>
      </c>
      <c r="D479" s="153" t="s">
        <v>25</v>
      </c>
      <c r="E479" s="130" t="s">
        <v>376</v>
      </c>
      <c r="F479" s="154" t="s">
        <v>505</v>
      </c>
      <c r="G479" s="154" t="s">
        <v>505</v>
      </c>
      <c r="H479" s="154" t="s">
        <v>505</v>
      </c>
      <c r="I479" s="154" t="s">
        <v>505</v>
      </c>
      <c r="J479" s="132">
        <v>0.9</v>
      </c>
      <c r="K479" s="133">
        <v>0.923076923076923</v>
      </c>
      <c r="L479" s="133">
        <v>0.916666666666667</v>
      </c>
      <c r="M479" s="134">
        <v>0.923076923076923</v>
      </c>
      <c r="N479" s="133">
        <v>0.892070484581498</v>
      </c>
      <c r="O479" s="135">
        <v>0.9</v>
      </c>
      <c r="P479" s="133">
        <v>0.996512641673932</v>
      </c>
      <c r="Q479" s="133">
        <v>0.995578481945468</v>
      </c>
      <c r="R479" s="133">
        <v>0.992376111817027</v>
      </c>
      <c r="S479" s="133">
        <v>0.99241383820548</v>
      </c>
      <c r="T479" s="135">
        <v>0.9</v>
      </c>
      <c r="U479" s="133">
        <v>0.940278988666085</v>
      </c>
      <c r="V479" s="133">
        <v>0.871407516580693</v>
      </c>
      <c r="W479" s="133">
        <v>0.908089792460822</v>
      </c>
      <c r="X479" s="133">
        <v>0.910143221502845</v>
      </c>
      <c r="Y479" s="135">
        <v>0.92</v>
      </c>
      <c r="Z479" s="135">
        <v>0</v>
      </c>
      <c r="AA479" s="135" t="s">
        <v>35</v>
      </c>
      <c r="AB479" s="135" t="s">
        <v>35</v>
      </c>
      <c r="AC479" s="135">
        <v>0</v>
      </c>
      <c r="AD479" s="135">
        <v>0.92</v>
      </c>
      <c r="AE479" s="133">
        <v>1</v>
      </c>
      <c r="AF479" s="133">
        <v>1</v>
      </c>
      <c r="AG479" s="133">
        <v>1</v>
      </c>
      <c r="AH479" s="133">
        <v>0.993961021136426</v>
      </c>
      <c r="AI479" s="135">
        <v>0.92</v>
      </c>
      <c r="AJ479" s="133">
        <v>0.979094076655052</v>
      </c>
      <c r="AK479" s="133">
        <v>0.974207811348563</v>
      </c>
      <c r="AL479" s="133">
        <v>0.98009318085557</v>
      </c>
      <c r="AM479" s="133">
        <v>0.986965145933692</v>
      </c>
      <c r="AN479" s="132">
        <v>0.99</v>
      </c>
      <c r="AO479" s="137">
        <v>1</v>
      </c>
      <c r="AP479" s="137">
        <v>1</v>
      </c>
      <c r="AQ479" s="137">
        <v>1</v>
      </c>
      <c r="AR479" s="137">
        <v>1</v>
      </c>
      <c r="AS479" s="158">
        <v>0.05</v>
      </c>
      <c r="AT479" s="141">
        <v>0</v>
      </c>
      <c r="AU479" s="141">
        <v>0</v>
      </c>
      <c r="AV479" s="141">
        <v>0.2</v>
      </c>
      <c r="AW479" s="141">
        <v>0.0504201680672269</v>
      </c>
      <c r="AX479" s="95"/>
      <c r="AY479" s="93"/>
    </row>
    <row r="480" ht="14.5" spans="1:51">
      <c r="A480" s="91"/>
      <c r="B480" s="95"/>
      <c r="C480" s="152" t="s">
        <v>375</v>
      </c>
      <c r="D480" s="153" t="s">
        <v>25</v>
      </c>
      <c r="E480" s="130" t="s">
        <v>376</v>
      </c>
      <c r="F480" s="154" t="s">
        <v>506</v>
      </c>
      <c r="G480" s="154" t="s">
        <v>506</v>
      </c>
      <c r="H480" s="154" t="s">
        <v>506</v>
      </c>
      <c r="I480" s="154" t="s">
        <v>506</v>
      </c>
      <c r="J480" s="132">
        <v>0.9</v>
      </c>
      <c r="K480" s="133">
        <v>0.75609756097561</v>
      </c>
      <c r="L480" s="133">
        <v>0.893617021276596</v>
      </c>
      <c r="M480" s="134">
        <v>0.702127659574468</v>
      </c>
      <c r="N480" s="133">
        <v>0.774968394437421</v>
      </c>
      <c r="O480" s="135">
        <v>0.9</v>
      </c>
      <c r="P480" s="133">
        <v>0.991863905325444</v>
      </c>
      <c r="Q480" s="133">
        <v>0.98462783171521</v>
      </c>
      <c r="R480" s="133">
        <v>0.982529699510832</v>
      </c>
      <c r="S480" s="133">
        <v>0.984931834489357</v>
      </c>
      <c r="T480" s="135">
        <v>0.9</v>
      </c>
      <c r="U480" s="133">
        <v>0.899408284023669</v>
      </c>
      <c r="V480" s="133">
        <v>0.88915857605178</v>
      </c>
      <c r="W480" s="133">
        <v>0.893780573025856</v>
      </c>
      <c r="X480" s="133">
        <v>0.890157856972016</v>
      </c>
      <c r="Y480" s="135">
        <v>0.92</v>
      </c>
      <c r="Z480" s="135">
        <v>0.778115501519757</v>
      </c>
      <c r="AA480" s="135">
        <v>0.867287543655413</v>
      </c>
      <c r="AB480" s="135">
        <v>0.888888888888889</v>
      </c>
      <c r="AC480" s="135">
        <v>0.854533056794613</v>
      </c>
      <c r="AD480" s="135">
        <v>0.92</v>
      </c>
      <c r="AE480" s="133">
        <v>0.964912280701754</v>
      </c>
      <c r="AF480" s="133">
        <v>0.996138996138996</v>
      </c>
      <c r="AG480" s="133">
        <v>0.997566909975669</v>
      </c>
      <c r="AH480" s="133">
        <v>0.994511331444759</v>
      </c>
      <c r="AI480" s="135">
        <v>0.92</v>
      </c>
      <c r="AJ480" s="133">
        <v>0.864743349569127</v>
      </c>
      <c r="AK480" s="133">
        <v>0.913895486935867</v>
      </c>
      <c r="AL480" s="133">
        <v>0.919621749408983</v>
      </c>
      <c r="AM480" s="133">
        <v>0.912264604360554</v>
      </c>
      <c r="AN480" s="132">
        <v>0.99</v>
      </c>
      <c r="AO480" s="137">
        <v>1</v>
      </c>
      <c r="AP480" s="137">
        <v>1</v>
      </c>
      <c r="AQ480" s="137">
        <v>1</v>
      </c>
      <c r="AR480" s="137">
        <v>1</v>
      </c>
      <c r="AS480" s="158">
        <v>0.05</v>
      </c>
      <c r="AT480" s="141">
        <v>0.333333333333333</v>
      </c>
      <c r="AU480" s="141">
        <v>0.0833333333333333</v>
      </c>
      <c r="AV480" s="141">
        <v>0</v>
      </c>
      <c r="AW480" s="141">
        <v>0.0532544378698225</v>
      </c>
      <c r="AX480" s="95"/>
      <c r="AY480" s="93"/>
    </row>
    <row r="481" ht="14.5" spans="1:51">
      <c r="A481" s="91"/>
      <c r="B481" s="95"/>
      <c r="C481" s="152" t="s">
        <v>375</v>
      </c>
      <c r="D481" s="153" t="s">
        <v>25</v>
      </c>
      <c r="E481" s="130" t="s">
        <v>376</v>
      </c>
      <c r="F481" s="154" t="s">
        <v>507</v>
      </c>
      <c r="G481" s="154" t="s">
        <v>507</v>
      </c>
      <c r="H481" s="154" t="s">
        <v>507</v>
      </c>
      <c r="I481" s="154" t="s">
        <v>507</v>
      </c>
      <c r="J481" s="132">
        <v>0.9</v>
      </c>
      <c r="K481" s="133">
        <v>0.967741935483871</v>
      </c>
      <c r="L481" s="133">
        <v>0.970588235294118</v>
      </c>
      <c r="M481" s="134">
        <v>0.970588235294118</v>
      </c>
      <c r="N481" s="133">
        <v>0.983050847457627</v>
      </c>
      <c r="O481" s="135">
        <v>0.9</v>
      </c>
      <c r="P481" s="133">
        <v>0.992647058823529</v>
      </c>
      <c r="Q481" s="133">
        <v>0.992857142857143</v>
      </c>
      <c r="R481" s="133">
        <v>0.993055555555556</v>
      </c>
      <c r="S481" s="133">
        <v>0.995839593204669</v>
      </c>
      <c r="T481" s="135">
        <v>0.9</v>
      </c>
      <c r="U481" s="133">
        <v>0.923319327731092</v>
      </c>
      <c r="V481" s="133">
        <v>0.899404761904762</v>
      </c>
      <c r="W481" s="133">
        <v>0.927469135802469</v>
      </c>
      <c r="X481" s="133">
        <v>0.921260449169845</v>
      </c>
      <c r="Y481" s="135">
        <v>0.92</v>
      </c>
      <c r="Z481" s="135">
        <v>0.913649025069638</v>
      </c>
      <c r="AA481" s="135">
        <v>0.942441492726123</v>
      </c>
      <c r="AB481" s="135">
        <v>0.953040800615858</v>
      </c>
      <c r="AC481" s="135">
        <v>0.951731460307089</v>
      </c>
      <c r="AD481" s="135">
        <v>0.92</v>
      </c>
      <c r="AE481" s="133">
        <v>0.907915993537964</v>
      </c>
      <c r="AF481" s="133">
        <v>0.998986828774063</v>
      </c>
      <c r="AG481" s="133">
        <v>0.987709497206704</v>
      </c>
      <c r="AH481" s="133">
        <v>0.989216467463479</v>
      </c>
      <c r="AI481" s="135">
        <v>0.92</v>
      </c>
      <c r="AJ481" s="133">
        <v>0.946107784431138</v>
      </c>
      <c r="AK481" s="133">
        <v>0.959521619135235</v>
      </c>
      <c r="AL481" s="133">
        <v>0.967630057803468</v>
      </c>
      <c r="AM481" s="133">
        <v>0.967810350637252</v>
      </c>
      <c r="AN481" s="132">
        <v>0.99</v>
      </c>
      <c r="AO481" s="137">
        <v>1</v>
      </c>
      <c r="AP481" s="137">
        <v>1</v>
      </c>
      <c r="AQ481" s="137">
        <v>1</v>
      </c>
      <c r="AR481" s="137">
        <v>1</v>
      </c>
      <c r="AS481" s="158">
        <v>0.05</v>
      </c>
      <c r="AT481" s="141">
        <v>0</v>
      </c>
      <c r="AU481" s="141">
        <v>0</v>
      </c>
      <c r="AV481" s="141">
        <v>0</v>
      </c>
      <c r="AW481" s="141">
        <v>0.0392156862745098</v>
      </c>
      <c r="AX481" s="95"/>
      <c r="AY481" s="93"/>
    </row>
    <row r="482" ht="14.5" spans="1:51">
      <c r="A482" s="91"/>
      <c r="B482" s="95"/>
      <c r="C482" s="152" t="s">
        <v>375</v>
      </c>
      <c r="D482" s="153" t="s">
        <v>25</v>
      </c>
      <c r="E482" s="130" t="s">
        <v>376</v>
      </c>
      <c r="F482" s="154" t="s">
        <v>508</v>
      </c>
      <c r="G482" s="154" t="s">
        <v>508</v>
      </c>
      <c r="H482" s="154" t="s">
        <v>508</v>
      </c>
      <c r="I482" s="154" t="s">
        <v>508</v>
      </c>
      <c r="J482" s="132">
        <v>0.9</v>
      </c>
      <c r="K482" s="133">
        <v>0.947368421052632</v>
      </c>
      <c r="L482" s="133">
        <v>0.954545454545455</v>
      </c>
      <c r="M482" s="134">
        <v>0.904761904761905</v>
      </c>
      <c r="N482" s="133">
        <v>0.936746987951807</v>
      </c>
      <c r="O482" s="135">
        <v>0.9</v>
      </c>
      <c r="P482" s="133">
        <v>0.994475138121547</v>
      </c>
      <c r="Q482" s="133">
        <v>0.991769547325103</v>
      </c>
      <c r="R482" s="133">
        <v>0.996789727126806</v>
      </c>
      <c r="S482" s="133">
        <v>0.99434628975265</v>
      </c>
      <c r="T482" s="135">
        <v>0.9</v>
      </c>
      <c r="U482" s="133">
        <v>0.906077348066298</v>
      </c>
      <c r="V482" s="133">
        <v>0.943415637860082</v>
      </c>
      <c r="W482" s="133">
        <v>0.906902086677368</v>
      </c>
      <c r="X482" s="133">
        <v>0.930870542884677</v>
      </c>
      <c r="Y482" s="135">
        <v>0.92</v>
      </c>
      <c r="Z482" s="135">
        <v>0.959839357429719</v>
      </c>
      <c r="AA482" s="135">
        <v>0.958614051973051</v>
      </c>
      <c r="AB482" s="135">
        <v>0.976893453145058</v>
      </c>
      <c r="AC482" s="135">
        <v>0.963066396704601</v>
      </c>
      <c r="AD482" s="135">
        <v>0.92</v>
      </c>
      <c r="AE482" s="133">
        <v>1</v>
      </c>
      <c r="AF482" s="133">
        <v>0.846153846153846</v>
      </c>
      <c r="AG482" s="133">
        <v>1</v>
      </c>
      <c r="AH482" s="133">
        <v>0.988034188034188</v>
      </c>
      <c r="AI482" s="135">
        <v>0.92</v>
      </c>
      <c r="AJ482" s="133">
        <v>0.976967370441459</v>
      </c>
      <c r="AK482" s="133">
        <v>0.973147687717553</v>
      </c>
      <c r="AL482" s="133">
        <v>0.98716119828816</v>
      </c>
      <c r="AM482" s="133">
        <v>0.978289957851074</v>
      </c>
      <c r="AN482" s="132">
        <v>0.99</v>
      </c>
      <c r="AO482" s="137">
        <v>1</v>
      </c>
      <c r="AP482" s="137">
        <v>1</v>
      </c>
      <c r="AQ482" s="137">
        <v>1</v>
      </c>
      <c r="AR482" s="137">
        <v>1</v>
      </c>
      <c r="AS482" s="158">
        <v>0.05</v>
      </c>
      <c r="AT482" s="141">
        <v>0.333333333333333</v>
      </c>
      <c r="AU482" s="141">
        <v>0.166666666666667</v>
      </c>
      <c r="AV482" s="141" t="s">
        <v>35</v>
      </c>
      <c r="AW482" s="141">
        <v>0.0963855421686747</v>
      </c>
      <c r="AX482" s="95"/>
      <c r="AY482" s="93"/>
    </row>
    <row r="483" ht="14.5" spans="1:51">
      <c r="A483" s="91"/>
      <c r="B483" s="95"/>
      <c r="C483" s="152" t="s">
        <v>375</v>
      </c>
      <c r="D483" s="153" t="s">
        <v>25</v>
      </c>
      <c r="E483" s="130" t="s">
        <v>376</v>
      </c>
      <c r="F483" s="154" t="s">
        <v>509</v>
      </c>
      <c r="G483" s="154" t="s">
        <v>509</v>
      </c>
      <c r="H483" s="154" t="s">
        <v>509</v>
      </c>
      <c r="I483" s="154" t="s">
        <v>509</v>
      </c>
      <c r="J483" s="132">
        <v>0.9</v>
      </c>
      <c r="K483" s="133">
        <v>0.923076923076923</v>
      </c>
      <c r="L483" s="133">
        <v>0.951219512195122</v>
      </c>
      <c r="M483" s="134">
        <v>0.979591836734694</v>
      </c>
      <c r="N483" s="133">
        <v>0.886998784933171</v>
      </c>
      <c r="O483" s="135">
        <v>0.9</v>
      </c>
      <c r="P483" s="133">
        <v>0.960772833723653</v>
      </c>
      <c r="Q483" s="133">
        <v>0.939137444578799</v>
      </c>
      <c r="R483" s="133">
        <v>0.995296331138288</v>
      </c>
      <c r="S483" s="133">
        <v>0.951129150246596</v>
      </c>
      <c r="T483" s="135">
        <v>0.9</v>
      </c>
      <c r="U483" s="133">
        <v>0.868852459016393</v>
      </c>
      <c r="V483" s="133">
        <v>0.833131801692866</v>
      </c>
      <c r="W483" s="133">
        <v>0.896048918156162</v>
      </c>
      <c r="X483" s="133">
        <v>0.851476036529249</v>
      </c>
      <c r="Y483" s="135">
        <v>0.92</v>
      </c>
      <c r="Z483" s="135">
        <v>0.832288401253918</v>
      </c>
      <c r="AA483" s="135">
        <v>0.872039589961117</v>
      </c>
      <c r="AB483" s="135">
        <v>0.915184678522572</v>
      </c>
      <c r="AC483" s="135">
        <v>0.883124940345519</v>
      </c>
      <c r="AD483" s="135">
        <v>0.92</v>
      </c>
      <c r="AE483" s="133">
        <v>0.998836871183484</v>
      </c>
      <c r="AF483" s="133">
        <v>0.987647831800263</v>
      </c>
      <c r="AG483" s="133">
        <v>0.985842796047781</v>
      </c>
      <c r="AH483" s="133">
        <v>0.932587752366591</v>
      </c>
      <c r="AI483" s="135">
        <v>0.92</v>
      </c>
      <c r="AJ483" s="133">
        <v>0.903485254691689</v>
      </c>
      <c r="AK483" s="133">
        <v>0.913370998116761</v>
      </c>
      <c r="AL483" s="133">
        <v>0.945589256772401</v>
      </c>
      <c r="AM483" s="133">
        <v>0.926718154963163</v>
      </c>
      <c r="AN483" s="132">
        <v>0.99</v>
      </c>
      <c r="AO483" s="137">
        <v>1</v>
      </c>
      <c r="AP483" s="137">
        <v>1</v>
      </c>
      <c r="AQ483" s="137">
        <v>1</v>
      </c>
      <c r="AR483" s="137">
        <v>1</v>
      </c>
      <c r="AS483" s="158">
        <v>0.05</v>
      </c>
      <c r="AT483" s="141">
        <v>0.0476190476190476</v>
      </c>
      <c r="AU483" s="141">
        <v>0.0645161290322581</v>
      </c>
      <c r="AV483" s="141">
        <v>0</v>
      </c>
      <c r="AW483" s="141">
        <v>0.0615384615384615</v>
      </c>
      <c r="AX483" s="95"/>
      <c r="AY483" s="93"/>
    </row>
    <row r="484" ht="14.5" spans="1:51">
      <c r="A484" s="91"/>
      <c r="B484" s="95"/>
      <c r="C484" s="152" t="s">
        <v>375</v>
      </c>
      <c r="D484" s="153" t="s">
        <v>25</v>
      </c>
      <c r="E484" s="130" t="s">
        <v>376</v>
      </c>
      <c r="F484" s="154" t="s">
        <v>510</v>
      </c>
      <c r="G484" s="154" t="s">
        <v>510</v>
      </c>
      <c r="H484" s="154" t="s">
        <v>510</v>
      </c>
      <c r="I484" s="154" t="s">
        <v>510</v>
      </c>
      <c r="J484" s="132">
        <v>0.9</v>
      </c>
      <c r="K484" s="133">
        <v>0.838709677419355</v>
      </c>
      <c r="L484" s="133">
        <v>0.911764705882353</v>
      </c>
      <c r="M484" s="134">
        <v>0.810810810810811</v>
      </c>
      <c r="N484" s="133">
        <v>0.844771241830065</v>
      </c>
      <c r="O484" s="135">
        <v>0.9</v>
      </c>
      <c r="P484" s="133">
        <v>0.923625254582485</v>
      </c>
      <c r="Q484" s="133">
        <v>0.960975609756098</v>
      </c>
      <c r="R484" s="133">
        <v>0.930980392156863</v>
      </c>
      <c r="S484" s="133">
        <v>0.941266751516059</v>
      </c>
      <c r="T484" s="135">
        <v>0.9</v>
      </c>
      <c r="U484" s="133">
        <v>0.815682281059063</v>
      </c>
      <c r="V484" s="133">
        <v>0.889634146341463</v>
      </c>
      <c r="W484" s="133">
        <v>0.923137254901961</v>
      </c>
      <c r="X484" s="133">
        <v>0.889571011454668</v>
      </c>
      <c r="Y484" s="135">
        <v>0.92</v>
      </c>
      <c r="Z484" s="135">
        <v>0.841059602649007</v>
      </c>
      <c r="AA484" s="135">
        <v>0.892857142857143</v>
      </c>
      <c r="AB484" s="135">
        <v>0.933333333333333</v>
      </c>
      <c r="AC484" s="135">
        <v>0.89115890083632</v>
      </c>
      <c r="AD484" s="135">
        <v>0.92</v>
      </c>
      <c r="AE484" s="133">
        <v>0.995610184372256</v>
      </c>
      <c r="AF484" s="133">
        <v>0.997423787033061</v>
      </c>
      <c r="AG484" s="133">
        <v>0.998179453836151</v>
      </c>
      <c r="AH484" s="133">
        <v>0.996256174711847</v>
      </c>
      <c r="AI484" s="135">
        <v>0.92</v>
      </c>
      <c r="AJ484" s="133">
        <v>0.8762233736327</v>
      </c>
      <c r="AK484" s="133">
        <v>0.92797695262484</v>
      </c>
      <c r="AL484" s="133">
        <v>0.950607604860839</v>
      </c>
      <c r="AM484" s="133">
        <v>0.929173660550636</v>
      </c>
      <c r="AN484" s="132">
        <v>0.99</v>
      </c>
      <c r="AO484" s="137">
        <v>1</v>
      </c>
      <c r="AP484" s="137">
        <v>1</v>
      </c>
      <c r="AQ484" s="137">
        <v>1</v>
      </c>
      <c r="AR484" s="137">
        <v>1</v>
      </c>
      <c r="AS484" s="158">
        <v>0.05</v>
      </c>
      <c r="AT484" s="141">
        <v>0.142857142857143</v>
      </c>
      <c r="AU484" s="141">
        <v>0</v>
      </c>
      <c r="AV484" s="141">
        <v>0</v>
      </c>
      <c r="AW484" s="141">
        <v>0.0593220338983051</v>
      </c>
      <c r="AX484" s="95"/>
      <c r="AY484" s="93"/>
    </row>
    <row r="485" ht="14.5" spans="1:51">
      <c r="A485" s="91"/>
      <c r="B485" s="95"/>
      <c r="C485" s="152" t="s">
        <v>375</v>
      </c>
      <c r="D485" s="153" t="s">
        <v>25</v>
      </c>
      <c r="E485" s="130" t="s">
        <v>376</v>
      </c>
      <c r="F485" s="154" t="s">
        <v>511</v>
      </c>
      <c r="G485" s="154" t="s">
        <v>511</v>
      </c>
      <c r="H485" s="154" t="s">
        <v>511</v>
      </c>
      <c r="I485" s="154" t="s">
        <v>511</v>
      </c>
      <c r="J485" s="132">
        <v>0.9</v>
      </c>
      <c r="K485" s="133">
        <v>0.666666666666667</v>
      </c>
      <c r="L485" s="133">
        <v>0.794871794871795</v>
      </c>
      <c r="M485" s="134">
        <v>0.738095238095238</v>
      </c>
      <c r="N485" s="133">
        <v>0.756132756132756</v>
      </c>
      <c r="O485" s="135">
        <v>0.9</v>
      </c>
      <c r="P485" s="133">
        <v>0.8885523924894</v>
      </c>
      <c r="Q485" s="133">
        <v>0.97242497972425</v>
      </c>
      <c r="R485" s="133">
        <v>0.967270896273917</v>
      </c>
      <c r="S485" s="133">
        <v>0.949613997725128</v>
      </c>
      <c r="T485" s="135">
        <v>0.9</v>
      </c>
      <c r="U485" s="133">
        <v>0.792852816474864</v>
      </c>
      <c r="V485" s="133">
        <v>0.82360097323601</v>
      </c>
      <c r="W485" s="133">
        <v>0.900302114803625</v>
      </c>
      <c r="X485" s="133">
        <v>0.82669828900559</v>
      </c>
      <c r="Y485" s="135">
        <v>0.92</v>
      </c>
      <c r="Z485" s="135">
        <v>0.805498281786942</v>
      </c>
      <c r="AA485" s="135">
        <v>0.866393747673986</v>
      </c>
      <c r="AB485" s="135">
        <v>0.898602974312753</v>
      </c>
      <c r="AC485" s="135">
        <v>0.85959467284308</v>
      </c>
      <c r="AD485" s="135">
        <v>0.92</v>
      </c>
      <c r="AE485" s="133">
        <v>0.97000599880024</v>
      </c>
      <c r="AF485" s="133">
        <v>0.995970063327576</v>
      </c>
      <c r="AG485" s="133">
        <v>0.931233933161954</v>
      </c>
      <c r="AH485" s="133">
        <v>0.977725041799256</v>
      </c>
      <c r="AI485" s="135">
        <v>0.92</v>
      </c>
      <c r="AJ485" s="133">
        <v>0.860592401802962</v>
      </c>
      <c r="AK485" s="133">
        <v>0.912090044634194</v>
      </c>
      <c r="AL485" s="133">
        <v>0.937009745661992</v>
      </c>
      <c r="AM485" s="133">
        <v>0.908549860381466</v>
      </c>
      <c r="AN485" s="132">
        <v>0.99</v>
      </c>
      <c r="AO485" s="137">
        <v>1</v>
      </c>
      <c r="AP485" s="137">
        <v>1</v>
      </c>
      <c r="AQ485" s="137">
        <v>1</v>
      </c>
      <c r="AR485" s="137">
        <v>1</v>
      </c>
      <c r="AS485" s="158">
        <v>0.05</v>
      </c>
      <c r="AT485" s="141">
        <v>0.00222222222222222</v>
      </c>
      <c r="AU485" s="141">
        <v>0</v>
      </c>
      <c r="AV485" s="141">
        <v>0.00804289544235925</v>
      </c>
      <c r="AW485" s="141">
        <v>0.00521609538002981</v>
      </c>
      <c r="AX485" s="95"/>
      <c r="AY485" s="93"/>
    </row>
    <row r="486" ht="14.5" spans="1:51">
      <c r="A486" s="91"/>
      <c r="B486" s="95"/>
      <c r="C486" s="152" t="s">
        <v>375</v>
      </c>
      <c r="D486" s="153" t="s">
        <v>25</v>
      </c>
      <c r="E486" s="130" t="s">
        <v>376</v>
      </c>
      <c r="F486" s="154" t="s">
        <v>512</v>
      </c>
      <c r="G486" s="154" t="s">
        <v>512</v>
      </c>
      <c r="H486" s="154" t="s">
        <v>512</v>
      </c>
      <c r="I486" s="154" t="s">
        <v>512</v>
      </c>
      <c r="J486" s="132">
        <v>0.9</v>
      </c>
      <c r="K486" s="133">
        <v>1</v>
      </c>
      <c r="L486" s="133">
        <v>0.971428571428571</v>
      </c>
      <c r="M486" s="134">
        <v>1</v>
      </c>
      <c r="N486" s="133">
        <v>0.986842105263158</v>
      </c>
      <c r="O486" s="135">
        <v>0.9</v>
      </c>
      <c r="P486" s="133">
        <v>0.999158957106812</v>
      </c>
      <c r="Q486" s="133">
        <v>0.990817263544536</v>
      </c>
      <c r="R486" s="133">
        <v>0.998071979434447</v>
      </c>
      <c r="S486" s="133">
        <v>0.994205426960341</v>
      </c>
      <c r="T486" s="135">
        <v>0.9</v>
      </c>
      <c r="U486" s="133">
        <v>0.925147182506308</v>
      </c>
      <c r="V486" s="133">
        <v>0.90633608815427</v>
      </c>
      <c r="W486" s="133">
        <v>0.938303341902314</v>
      </c>
      <c r="X486" s="133">
        <v>0.92535593009128</v>
      </c>
      <c r="Y486" s="135">
        <v>0.92</v>
      </c>
      <c r="Z486" s="135">
        <v>0.905869324473976</v>
      </c>
      <c r="AA486" s="135">
        <v>0.91304347826087</v>
      </c>
      <c r="AB486" s="135">
        <v>0.938391699092088</v>
      </c>
      <c r="AC486" s="135">
        <v>0.936821718369119</v>
      </c>
      <c r="AD486" s="135">
        <v>0.92</v>
      </c>
      <c r="AE486" s="133">
        <v>1</v>
      </c>
      <c r="AF486" s="133">
        <v>0.997536945812808</v>
      </c>
      <c r="AG486" s="133">
        <v>0.995550611790879</v>
      </c>
      <c r="AH486" s="133">
        <v>0.997413321394817</v>
      </c>
      <c r="AI486" s="135">
        <v>0.92</v>
      </c>
      <c r="AJ486" s="133">
        <v>0.946940726577438</v>
      </c>
      <c r="AK486" s="133">
        <v>0.947495765787564</v>
      </c>
      <c r="AL486" s="133">
        <v>0.963536624717651</v>
      </c>
      <c r="AM486" s="133">
        <v>0.962820306204674</v>
      </c>
      <c r="AN486" s="132">
        <v>0.99</v>
      </c>
      <c r="AO486" s="137">
        <v>1</v>
      </c>
      <c r="AP486" s="137">
        <v>1</v>
      </c>
      <c r="AQ486" s="137">
        <v>1</v>
      </c>
      <c r="AR486" s="137">
        <v>1</v>
      </c>
      <c r="AS486" s="158">
        <v>0.05</v>
      </c>
      <c r="AT486" s="141">
        <v>0.142857142857143</v>
      </c>
      <c r="AU486" s="141">
        <v>0.0769230769230769</v>
      </c>
      <c r="AV486" s="141">
        <v>0.1</v>
      </c>
      <c r="AW486" s="141">
        <v>0.0669144981412639</v>
      </c>
      <c r="AX486" s="95"/>
      <c r="AY486" s="93"/>
    </row>
    <row r="487" ht="14.5" spans="1:51">
      <c r="A487" s="91"/>
      <c r="B487" s="95"/>
      <c r="C487" s="152" t="s">
        <v>375</v>
      </c>
      <c r="D487" s="153" t="s">
        <v>25</v>
      </c>
      <c r="E487" s="130" t="s">
        <v>376</v>
      </c>
      <c r="F487" s="154" t="s">
        <v>513</v>
      </c>
      <c r="G487" s="154" t="s">
        <v>513</v>
      </c>
      <c r="H487" s="154" t="s">
        <v>513</v>
      </c>
      <c r="I487" s="154" t="s">
        <v>513</v>
      </c>
      <c r="J487" s="132">
        <v>0.9</v>
      </c>
      <c r="K487" s="133">
        <v>1</v>
      </c>
      <c r="L487" s="133">
        <v>1</v>
      </c>
      <c r="M487" s="134">
        <v>0.92</v>
      </c>
      <c r="N487" s="133">
        <v>0.952853598014888</v>
      </c>
      <c r="O487" s="135">
        <v>0.9</v>
      </c>
      <c r="P487" s="133">
        <v>0.96866485013624</v>
      </c>
      <c r="Q487" s="133">
        <v>0.913191489361702</v>
      </c>
      <c r="R487" s="133">
        <v>0.920454545454545</v>
      </c>
      <c r="S487" s="133">
        <v>0.927026263767297</v>
      </c>
      <c r="T487" s="135">
        <v>0.9</v>
      </c>
      <c r="U487" s="133">
        <v>0.877384196185286</v>
      </c>
      <c r="V487" s="133">
        <v>0.825531914893617</v>
      </c>
      <c r="W487" s="133">
        <v>0.864772727272727</v>
      </c>
      <c r="X487" s="133">
        <v>0.865009884213499</v>
      </c>
      <c r="Y487" s="135">
        <v>0.92</v>
      </c>
      <c r="Z487" s="135">
        <v>0.86078431372549</v>
      </c>
      <c r="AA487" s="135">
        <v>0.837324525185797</v>
      </c>
      <c r="AB487" s="135">
        <v>0.923830250272035</v>
      </c>
      <c r="AC487" s="135">
        <v>0.89648033126294</v>
      </c>
      <c r="AD487" s="135">
        <v>0.92</v>
      </c>
      <c r="AE487" s="133">
        <v>0.98780487804878</v>
      </c>
      <c r="AF487" s="133">
        <v>0.935483870967742</v>
      </c>
      <c r="AG487" s="133">
        <v>1</v>
      </c>
      <c r="AH487" s="133">
        <v>0.992950977250881</v>
      </c>
      <c r="AI487" s="135">
        <v>0.92</v>
      </c>
      <c r="AJ487" s="133">
        <v>0.915594855305466</v>
      </c>
      <c r="AK487" s="133">
        <v>0.887678122380553</v>
      </c>
      <c r="AL487" s="133">
        <v>0.949972206781545</v>
      </c>
      <c r="AM487" s="133">
        <v>0.932993466350239</v>
      </c>
      <c r="AN487" s="132">
        <v>0.99</v>
      </c>
      <c r="AO487" s="137">
        <v>1</v>
      </c>
      <c r="AP487" s="137">
        <v>1</v>
      </c>
      <c r="AQ487" s="137">
        <v>1</v>
      </c>
      <c r="AR487" s="137">
        <v>1</v>
      </c>
      <c r="AS487" s="158">
        <v>0.05</v>
      </c>
      <c r="AT487" s="141">
        <v>0</v>
      </c>
      <c r="AU487" s="141">
        <v>0</v>
      </c>
      <c r="AV487" s="141">
        <v>0</v>
      </c>
      <c r="AW487" s="141">
        <v>0.00573300573300573</v>
      </c>
      <c r="AX487" s="95"/>
      <c r="AY487" s="93"/>
    </row>
    <row r="488" ht="14.5" spans="1:51">
      <c r="A488" s="91"/>
      <c r="B488" s="95"/>
      <c r="C488" s="152" t="s">
        <v>375</v>
      </c>
      <c r="D488" s="153" t="s">
        <v>25</v>
      </c>
      <c r="E488" s="130" t="s">
        <v>376</v>
      </c>
      <c r="F488" s="154" t="s">
        <v>514</v>
      </c>
      <c r="G488" s="154" t="s">
        <v>514</v>
      </c>
      <c r="H488" s="154" t="s">
        <v>514</v>
      </c>
      <c r="I488" s="154" t="s">
        <v>514</v>
      </c>
      <c r="J488" s="132">
        <v>0.9</v>
      </c>
      <c r="K488" s="133">
        <v>0.794117647058823</v>
      </c>
      <c r="L488" s="133">
        <v>0.75</v>
      </c>
      <c r="M488" s="134">
        <v>0.852941176470588</v>
      </c>
      <c r="N488" s="133">
        <v>0.727272727272727</v>
      </c>
      <c r="O488" s="135">
        <v>0.9</v>
      </c>
      <c r="P488" s="133">
        <v>0.928723404255319</v>
      </c>
      <c r="Q488" s="133">
        <v>0.983342289091886</v>
      </c>
      <c r="R488" s="133">
        <v>0.933212996389892</v>
      </c>
      <c r="S488" s="133">
        <v>0.960373397315738</v>
      </c>
      <c r="T488" s="135">
        <v>0.9</v>
      </c>
      <c r="U488" s="133">
        <v>0.908510638297872</v>
      </c>
      <c r="V488" s="133">
        <v>0.85169263836647</v>
      </c>
      <c r="W488" s="133">
        <v>0.918772563176895</v>
      </c>
      <c r="X488" s="133">
        <v>0.836994826422734</v>
      </c>
      <c r="Y488" s="135">
        <v>0.92</v>
      </c>
      <c r="Z488" s="135">
        <v>0.859110169491525</v>
      </c>
      <c r="AA488" s="135">
        <v>0.819590481460985</v>
      </c>
      <c r="AB488" s="135">
        <v>0.885333333333333</v>
      </c>
      <c r="AC488" s="135">
        <v>0.865282117257857</v>
      </c>
      <c r="AD488" s="135">
        <v>0.92</v>
      </c>
      <c r="AE488" s="133">
        <v>0.98</v>
      </c>
      <c r="AF488" s="133">
        <v>0.993548387096774</v>
      </c>
      <c r="AG488" s="133">
        <v>0.986798679867987</v>
      </c>
      <c r="AH488" s="133">
        <v>0.985308915274703</v>
      </c>
      <c r="AI488" s="135">
        <v>0.92</v>
      </c>
      <c r="AJ488" s="133">
        <v>0.915074309978769</v>
      </c>
      <c r="AK488" s="133">
        <v>0.897491821155943</v>
      </c>
      <c r="AL488" s="133">
        <v>0.925258719816021</v>
      </c>
      <c r="AM488" s="133">
        <v>0.917682417765904</v>
      </c>
      <c r="AN488" s="132">
        <v>0.99</v>
      </c>
      <c r="AO488" s="137">
        <v>1</v>
      </c>
      <c r="AP488" s="137">
        <v>1</v>
      </c>
      <c r="AQ488" s="137">
        <v>1</v>
      </c>
      <c r="AR488" s="137">
        <v>1</v>
      </c>
      <c r="AS488" s="158">
        <v>0.05</v>
      </c>
      <c r="AT488" s="141">
        <v>0.25</v>
      </c>
      <c r="AU488" s="141">
        <v>0</v>
      </c>
      <c r="AV488" s="141">
        <v>0.25</v>
      </c>
      <c r="AW488" s="141">
        <v>0.100719424460432</v>
      </c>
      <c r="AX488" s="95"/>
      <c r="AY488" s="93"/>
    </row>
    <row r="489" ht="14.5" spans="1:51">
      <c r="A489" s="91"/>
      <c r="B489" s="95"/>
      <c r="C489" s="152" t="s">
        <v>375</v>
      </c>
      <c r="D489" s="153" t="s">
        <v>25</v>
      </c>
      <c r="E489" s="130" t="s">
        <v>376</v>
      </c>
      <c r="F489" s="154" t="s">
        <v>515</v>
      </c>
      <c r="G489" s="154" t="s">
        <v>515</v>
      </c>
      <c r="H489" s="154" t="s">
        <v>515</v>
      </c>
      <c r="I489" s="154" t="s">
        <v>515</v>
      </c>
      <c r="J489" s="132">
        <v>0.9</v>
      </c>
      <c r="K489" s="133">
        <v>0.971428571428571</v>
      </c>
      <c r="L489" s="133">
        <v>0.971428571428571</v>
      </c>
      <c r="M489" s="134">
        <v>0.972972972972973</v>
      </c>
      <c r="N489" s="133">
        <v>0.968133535660091</v>
      </c>
      <c r="O489" s="135">
        <v>0.9</v>
      </c>
      <c r="P489" s="133">
        <v>0.978242677824268</v>
      </c>
      <c r="Q489" s="133">
        <v>0.975433526011561</v>
      </c>
      <c r="R489" s="133">
        <v>0.988649940262843</v>
      </c>
      <c r="S489" s="133">
        <v>0.981097166116747</v>
      </c>
      <c r="T489" s="135">
        <v>0.9</v>
      </c>
      <c r="U489" s="133">
        <v>0.867782426778243</v>
      </c>
      <c r="V489" s="133">
        <v>0.915221579961464</v>
      </c>
      <c r="W489" s="133">
        <v>0.913381123058542</v>
      </c>
      <c r="X489" s="133">
        <v>0.917727959542385</v>
      </c>
      <c r="Y489" s="135">
        <v>0.92</v>
      </c>
      <c r="Z489" s="135">
        <v>0.900763358778626</v>
      </c>
      <c r="AA489" s="135">
        <v>0.884656084656085</v>
      </c>
      <c r="AB489" s="135">
        <v>0.900455062571104</v>
      </c>
      <c r="AC489" s="135">
        <v>0.91560235286471</v>
      </c>
      <c r="AD489" s="135">
        <v>0.92</v>
      </c>
      <c r="AE489" s="133">
        <v>0.993713733075435</v>
      </c>
      <c r="AF489" s="133">
        <v>0.995680345572354</v>
      </c>
      <c r="AG489" s="133">
        <v>0.995642701525055</v>
      </c>
      <c r="AH489" s="133">
        <v>0.989747028345017</v>
      </c>
      <c r="AI489" s="135">
        <v>0.92</v>
      </c>
      <c r="AJ489" s="133">
        <v>0.924715909090909</v>
      </c>
      <c r="AK489" s="133">
        <v>0.929165616334762</v>
      </c>
      <c r="AL489" s="133">
        <v>0.940285464608214</v>
      </c>
      <c r="AM489" s="133">
        <v>0.948201120146821</v>
      </c>
      <c r="AN489" s="132">
        <v>0.99</v>
      </c>
      <c r="AO489" s="137">
        <v>1</v>
      </c>
      <c r="AP489" s="137">
        <v>1</v>
      </c>
      <c r="AQ489" s="137">
        <v>1</v>
      </c>
      <c r="AR489" s="137">
        <v>1</v>
      </c>
      <c r="AS489" s="158">
        <v>0.05</v>
      </c>
      <c r="AT489" s="141">
        <v>0</v>
      </c>
      <c r="AU489" s="141">
        <v>0</v>
      </c>
      <c r="AV489" s="141">
        <v>0.0476190476190476</v>
      </c>
      <c r="AW489" s="141">
        <v>0.0507936507936508</v>
      </c>
      <c r="AX489" s="95"/>
      <c r="AY489" s="93"/>
    </row>
    <row r="490" ht="14.5" spans="1:51">
      <c r="A490" s="91"/>
      <c r="B490" s="95"/>
      <c r="C490" s="152" t="s">
        <v>375</v>
      </c>
      <c r="D490" s="153" t="s">
        <v>25</v>
      </c>
      <c r="E490" s="130" t="s">
        <v>376</v>
      </c>
      <c r="F490" s="154" t="s">
        <v>516</v>
      </c>
      <c r="G490" s="154" t="s">
        <v>516</v>
      </c>
      <c r="H490" s="154" t="s">
        <v>516</v>
      </c>
      <c r="I490" s="154" t="s">
        <v>516</v>
      </c>
      <c r="J490" s="132">
        <v>0.9</v>
      </c>
      <c r="K490" s="133">
        <v>0.923076923076923</v>
      </c>
      <c r="L490" s="133">
        <v>0.906976744186046</v>
      </c>
      <c r="M490" s="134">
        <v>0.92156862745098</v>
      </c>
      <c r="N490" s="133">
        <v>0.910866910866911</v>
      </c>
      <c r="O490" s="135">
        <v>0.9</v>
      </c>
      <c r="P490" s="133">
        <v>0.96168108776267</v>
      </c>
      <c r="Q490" s="133">
        <v>0.953725961538462</v>
      </c>
      <c r="R490" s="133">
        <v>0.961590296495957</v>
      </c>
      <c r="S490" s="133">
        <v>0.958456114054063</v>
      </c>
      <c r="T490" s="135">
        <v>0.9</v>
      </c>
      <c r="U490" s="133">
        <v>0.916254635352287</v>
      </c>
      <c r="V490" s="133">
        <v>0.940504807692308</v>
      </c>
      <c r="W490" s="133">
        <v>0.963611859838275</v>
      </c>
      <c r="X490" s="133">
        <v>0.93413275647686</v>
      </c>
      <c r="Y490" s="135">
        <v>0.92</v>
      </c>
      <c r="Z490" s="135">
        <v>0.899769585253456</v>
      </c>
      <c r="AA490" s="135">
        <v>0.926174496644295</v>
      </c>
      <c r="AB490" s="135">
        <v>0.942046855733662</v>
      </c>
      <c r="AC490" s="135">
        <v>0.946565694010486</v>
      </c>
      <c r="AD490" s="135">
        <v>0.92</v>
      </c>
      <c r="AE490" s="133">
        <v>0.996108949416342</v>
      </c>
      <c r="AF490" s="133">
        <v>0.978313253012048</v>
      </c>
      <c r="AG490" s="133">
        <v>0.994117647058824</v>
      </c>
      <c r="AH490" s="133">
        <v>0.993862341078474</v>
      </c>
      <c r="AI490" s="135">
        <v>0.92</v>
      </c>
      <c r="AJ490" s="133">
        <v>0.960545543107647</v>
      </c>
      <c r="AK490" s="133">
        <v>0.974388291790533</v>
      </c>
      <c r="AL490" s="133">
        <v>0.984395662523142</v>
      </c>
      <c r="AM490" s="133">
        <v>0.980233487101513</v>
      </c>
      <c r="AN490" s="132">
        <v>0.99</v>
      </c>
      <c r="AO490" s="137">
        <v>1</v>
      </c>
      <c r="AP490" s="137">
        <v>1</v>
      </c>
      <c r="AQ490" s="137">
        <v>1</v>
      </c>
      <c r="AR490" s="137">
        <v>1</v>
      </c>
      <c r="AS490" s="158">
        <v>0.05</v>
      </c>
      <c r="AT490" s="141">
        <v>0.214285714285714</v>
      </c>
      <c r="AU490" s="141">
        <v>0.166666666666667</v>
      </c>
      <c r="AV490" s="141">
        <v>0.0588235294117647</v>
      </c>
      <c r="AW490" s="141">
        <v>0.0875420875420875</v>
      </c>
      <c r="AX490" s="95"/>
      <c r="AY490" s="93"/>
    </row>
    <row r="491" ht="14.5" spans="1:51">
      <c r="A491" s="91"/>
      <c r="B491" s="95"/>
      <c r="C491" s="152" t="s">
        <v>375</v>
      </c>
      <c r="D491" s="153" t="s">
        <v>25</v>
      </c>
      <c r="E491" s="130" t="s">
        <v>376</v>
      </c>
      <c r="F491" s="154" t="s">
        <v>517</v>
      </c>
      <c r="G491" s="154" t="s">
        <v>517</v>
      </c>
      <c r="H491" s="154" t="s">
        <v>517</v>
      </c>
      <c r="I491" s="154" t="s">
        <v>517</v>
      </c>
      <c r="J491" s="132">
        <v>0.9</v>
      </c>
      <c r="K491" s="133">
        <v>0.810810810810811</v>
      </c>
      <c r="L491" s="133">
        <v>0.764705882352941</v>
      </c>
      <c r="M491" s="134">
        <v>0.775</v>
      </c>
      <c r="N491" s="133">
        <v>0.874388254486134</v>
      </c>
      <c r="O491" s="135">
        <v>0.9</v>
      </c>
      <c r="P491" s="133">
        <v>0.949661908339594</v>
      </c>
      <c r="Q491" s="133">
        <v>0.977023683280311</v>
      </c>
      <c r="R491" s="133">
        <v>0.992223950233281</v>
      </c>
      <c r="S491" s="133">
        <v>0.960437491236153</v>
      </c>
      <c r="T491" s="135">
        <v>0.9</v>
      </c>
      <c r="U491" s="133">
        <v>0.879413974455297</v>
      </c>
      <c r="V491" s="133">
        <v>0.925415341109933</v>
      </c>
      <c r="W491" s="133">
        <v>0.948289269051322</v>
      </c>
      <c r="X491" s="133">
        <v>0.90985757496845</v>
      </c>
      <c r="Y491" s="135">
        <v>0.92</v>
      </c>
      <c r="Z491" s="135">
        <v>0.876623376623377</v>
      </c>
      <c r="AA491" s="135">
        <v>0.862445414847162</v>
      </c>
      <c r="AB491" s="135">
        <v>0.949579831932773</v>
      </c>
      <c r="AC491" s="135">
        <v>0.91108545034642</v>
      </c>
      <c r="AD491" s="135">
        <v>0.92</v>
      </c>
      <c r="AE491" s="133">
        <v>0.998345740281224</v>
      </c>
      <c r="AF491" s="133">
        <v>0.990255785627284</v>
      </c>
      <c r="AG491" s="133">
        <v>0.999372450580483</v>
      </c>
      <c r="AH491" s="133">
        <v>0.998494969487053</v>
      </c>
      <c r="AI491" s="135">
        <v>0.92</v>
      </c>
      <c r="AJ491" s="133">
        <v>0.916715200931858</v>
      </c>
      <c r="AK491" s="133">
        <v>0.93228472407358</v>
      </c>
      <c r="AL491" s="133">
        <v>0.9671432917554</v>
      </c>
      <c r="AM491" s="133">
        <v>0.95441364996032</v>
      </c>
      <c r="AN491" s="132">
        <v>0.99</v>
      </c>
      <c r="AO491" s="137">
        <v>1</v>
      </c>
      <c r="AP491" s="137">
        <v>1</v>
      </c>
      <c r="AQ491" s="137">
        <v>1</v>
      </c>
      <c r="AR491" s="137">
        <v>1</v>
      </c>
      <c r="AS491" s="158">
        <v>0.05</v>
      </c>
      <c r="AT491" s="141">
        <v>0.0666666666666667</v>
      </c>
      <c r="AU491" s="141">
        <v>0</v>
      </c>
      <c r="AV491" s="141">
        <v>0.0769230769230769</v>
      </c>
      <c r="AW491" s="141">
        <v>0.0389972144846797</v>
      </c>
      <c r="AX491" s="95"/>
      <c r="AY491" s="93"/>
    </row>
    <row r="492" ht="14.5" spans="1:51">
      <c r="A492" s="91"/>
      <c r="B492" s="95"/>
      <c r="C492" s="152" t="s">
        <v>375</v>
      </c>
      <c r="D492" s="153" t="s">
        <v>25</v>
      </c>
      <c r="E492" s="130" t="s">
        <v>376</v>
      </c>
      <c r="F492" s="154" t="s">
        <v>518</v>
      </c>
      <c r="G492" s="154" t="s">
        <v>518</v>
      </c>
      <c r="H492" s="154" t="s">
        <v>518</v>
      </c>
      <c r="I492" s="154" t="s">
        <v>518</v>
      </c>
      <c r="J492" s="132">
        <v>0.9</v>
      </c>
      <c r="K492" s="133">
        <v>0.953488372093023</v>
      </c>
      <c r="L492" s="133">
        <v>0.954545454545455</v>
      </c>
      <c r="M492" s="134">
        <v>0.977777777777778</v>
      </c>
      <c r="N492" s="133">
        <v>0.965161290322581</v>
      </c>
      <c r="O492" s="135">
        <v>0.9</v>
      </c>
      <c r="P492" s="133">
        <v>1</v>
      </c>
      <c r="Q492" s="133">
        <v>1</v>
      </c>
      <c r="R492" s="133" t="s">
        <v>35</v>
      </c>
      <c r="S492" s="133">
        <v>0.846153846153846</v>
      </c>
      <c r="T492" s="135">
        <v>0.9</v>
      </c>
      <c r="U492" s="133">
        <v>0</v>
      </c>
      <c r="V492" s="133">
        <v>0</v>
      </c>
      <c r="W492" s="133" t="s">
        <v>35</v>
      </c>
      <c r="X492" s="133">
        <v>0.307692307692308</v>
      </c>
      <c r="Y492" s="135">
        <v>0.92</v>
      </c>
      <c r="Z492" s="135" t="s">
        <v>35</v>
      </c>
      <c r="AA492" s="135" t="s">
        <v>35</v>
      </c>
      <c r="AB492" s="135" t="s">
        <v>35</v>
      </c>
      <c r="AC492" s="135" t="s">
        <v>35</v>
      </c>
      <c r="AD492" s="135">
        <v>0.92</v>
      </c>
      <c r="AE492" s="133">
        <v>1</v>
      </c>
      <c r="AF492" s="133">
        <v>0.982222222222222</v>
      </c>
      <c r="AG492" s="133">
        <v>0.994974874371859</v>
      </c>
      <c r="AH492" s="133">
        <v>0.98997380543763</v>
      </c>
      <c r="AI492" s="135">
        <v>0.92</v>
      </c>
      <c r="AJ492" s="133">
        <v>0.942979490646833</v>
      </c>
      <c r="AK492" s="133">
        <v>0.954128440366973</v>
      </c>
      <c r="AL492" s="133">
        <v>0.960932577189666</v>
      </c>
      <c r="AM492" s="133">
        <v>0.971284548468795</v>
      </c>
      <c r="AN492" s="132">
        <v>0.99</v>
      </c>
      <c r="AO492" s="137">
        <v>1</v>
      </c>
      <c r="AP492" s="137">
        <v>1</v>
      </c>
      <c r="AQ492" s="137">
        <v>1</v>
      </c>
      <c r="AR492" s="137">
        <v>1</v>
      </c>
      <c r="AS492" s="158">
        <v>0.05</v>
      </c>
      <c r="AT492" s="141">
        <v>0</v>
      </c>
      <c r="AU492" s="141">
        <v>0</v>
      </c>
      <c r="AV492" s="141">
        <v>0</v>
      </c>
      <c r="AW492" s="141">
        <v>0.0614334470989761</v>
      </c>
      <c r="AX492" s="95"/>
      <c r="AY492" s="93"/>
    </row>
    <row r="493" ht="14.5" spans="1:51">
      <c r="A493" s="91"/>
      <c r="B493" s="95"/>
      <c r="C493" s="152" t="s">
        <v>375</v>
      </c>
      <c r="D493" s="153" t="s">
        <v>25</v>
      </c>
      <c r="E493" s="130" t="s">
        <v>376</v>
      </c>
      <c r="F493" s="154" t="s">
        <v>519</v>
      </c>
      <c r="G493" s="154" t="s">
        <v>519</v>
      </c>
      <c r="H493" s="154" t="s">
        <v>519</v>
      </c>
      <c r="I493" s="154" t="s">
        <v>519</v>
      </c>
      <c r="J493" s="132">
        <v>0.9</v>
      </c>
      <c r="K493" s="133">
        <v>0.880952380952381</v>
      </c>
      <c r="L493" s="133">
        <v>0.916666666666667</v>
      </c>
      <c r="M493" s="134">
        <v>0.938775510204082</v>
      </c>
      <c r="N493" s="133">
        <v>0.902612826603325</v>
      </c>
      <c r="O493" s="135">
        <v>0.9</v>
      </c>
      <c r="P493" s="133">
        <v>0</v>
      </c>
      <c r="Q493" s="133">
        <v>0</v>
      </c>
      <c r="R493" s="133">
        <v>0</v>
      </c>
      <c r="S493" s="133">
        <v>0.0285714285714286</v>
      </c>
      <c r="T493" s="135">
        <v>0.9</v>
      </c>
      <c r="U493" s="133">
        <v>0</v>
      </c>
      <c r="V493" s="133">
        <v>0</v>
      </c>
      <c r="W493" s="133">
        <v>0</v>
      </c>
      <c r="X493" s="133">
        <v>0.228571428571429</v>
      </c>
      <c r="Y493" s="135">
        <v>0.92</v>
      </c>
      <c r="Z493" s="135">
        <v>0</v>
      </c>
      <c r="AA493" s="135">
        <v>0</v>
      </c>
      <c r="AB493" s="135">
        <v>1</v>
      </c>
      <c r="AC493" s="135">
        <v>0.333333333333333</v>
      </c>
      <c r="AD493" s="135">
        <v>0.92</v>
      </c>
      <c r="AE493" s="133">
        <v>0.985148514851485</v>
      </c>
      <c r="AF493" s="133">
        <v>0.997652582159624</v>
      </c>
      <c r="AG493" s="133">
        <v>0.997856377277599</v>
      </c>
      <c r="AH493" s="133">
        <v>0.988614573346117</v>
      </c>
      <c r="AI493" s="135">
        <v>0.92</v>
      </c>
      <c r="AJ493" s="133">
        <v>0.798387096774194</v>
      </c>
      <c r="AK493" s="133">
        <v>0.915949702183984</v>
      </c>
      <c r="AL493" s="133">
        <v>0.884827240861292</v>
      </c>
      <c r="AM493" s="133">
        <v>0.912764305732819</v>
      </c>
      <c r="AN493" s="132">
        <v>0.99</v>
      </c>
      <c r="AO493" s="137">
        <v>1</v>
      </c>
      <c r="AP493" s="137">
        <v>1</v>
      </c>
      <c r="AQ493" s="137">
        <v>1</v>
      </c>
      <c r="AR493" s="137">
        <v>1</v>
      </c>
      <c r="AS493" s="158">
        <v>0.05</v>
      </c>
      <c r="AT493" s="141">
        <v>0.0769230769230769</v>
      </c>
      <c r="AU493" s="141">
        <v>0</v>
      </c>
      <c r="AV493" s="141">
        <v>0</v>
      </c>
      <c r="AW493" s="141">
        <v>0.0555555555555556</v>
      </c>
      <c r="AX493" s="95"/>
      <c r="AY493" s="93"/>
    </row>
    <row r="494" ht="14.5" spans="1:51">
      <c r="A494" s="91"/>
      <c r="B494" s="95"/>
      <c r="C494" s="152" t="s">
        <v>375</v>
      </c>
      <c r="D494" s="153" t="s">
        <v>25</v>
      </c>
      <c r="E494" s="130" t="s">
        <v>376</v>
      </c>
      <c r="F494" s="154" t="s">
        <v>520</v>
      </c>
      <c r="G494" s="154" t="s">
        <v>520</v>
      </c>
      <c r="H494" s="154" t="s">
        <v>520</v>
      </c>
      <c r="I494" s="154" t="s">
        <v>520</v>
      </c>
      <c r="J494" s="132">
        <v>0.9</v>
      </c>
      <c r="K494" s="133">
        <v>0.875</v>
      </c>
      <c r="L494" s="133">
        <v>0.966666666666667</v>
      </c>
      <c r="M494" s="134">
        <v>0.972222222222222</v>
      </c>
      <c r="N494" s="133">
        <v>0.924398625429553</v>
      </c>
      <c r="O494" s="135">
        <v>0.9</v>
      </c>
      <c r="P494" s="133">
        <v>0.883200490496628</v>
      </c>
      <c r="Q494" s="133">
        <v>0.930144745122719</v>
      </c>
      <c r="R494" s="133">
        <v>0.944629349470499</v>
      </c>
      <c r="S494" s="133">
        <v>0.931479051867401</v>
      </c>
      <c r="T494" s="135">
        <v>0.9</v>
      </c>
      <c r="U494" s="133">
        <v>0.826486817903127</v>
      </c>
      <c r="V494" s="133">
        <v>0.851793580868471</v>
      </c>
      <c r="W494" s="133">
        <v>0.91285930408472</v>
      </c>
      <c r="X494" s="133">
        <v>0.871477302545264</v>
      </c>
      <c r="Y494" s="135">
        <v>0.92</v>
      </c>
      <c r="Z494" s="135">
        <v>0</v>
      </c>
      <c r="AA494" s="135">
        <v>0</v>
      </c>
      <c r="AB494" s="135" t="s">
        <v>35</v>
      </c>
      <c r="AC494" s="135">
        <v>0.125</v>
      </c>
      <c r="AD494" s="135">
        <v>0.92</v>
      </c>
      <c r="AE494" s="133">
        <v>0.997797356828194</v>
      </c>
      <c r="AF494" s="133">
        <v>0.996794871794872</v>
      </c>
      <c r="AG494" s="133">
        <v>0.990378833433554</v>
      </c>
      <c r="AH494" s="133">
        <v>0.996316879871091</v>
      </c>
      <c r="AI494" s="135">
        <v>0.92</v>
      </c>
      <c r="AJ494" s="133">
        <v>0.920391916717697</v>
      </c>
      <c r="AK494" s="133">
        <v>0.917295597484277</v>
      </c>
      <c r="AL494" s="133">
        <v>0.973676248108926</v>
      </c>
      <c r="AM494" s="133">
        <v>0.962240721955997</v>
      </c>
      <c r="AN494" s="132">
        <v>0.99</v>
      </c>
      <c r="AO494" s="137">
        <v>1</v>
      </c>
      <c r="AP494" s="137">
        <v>1</v>
      </c>
      <c r="AQ494" s="137">
        <v>1</v>
      </c>
      <c r="AR494" s="137">
        <v>1</v>
      </c>
      <c r="AS494" s="158">
        <v>0.05</v>
      </c>
      <c r="AT494" s="141">
        <v>0</v>
      </c>
      <c r="AU494" s="141">
        <v>0.181818181818182</v>
      </c>
      <c r="AV494" s="141">
        <v>0</v>
      </c>
      <c r="AW494" s="141">
        <v>0.0666666666666667</v>
      </c>
      <c r="AX494" s="95"/>
      <c r="AY494" s="93"/>
    </row>
    <row r="495" ht="14.5" spans="1:51">
      <c r="A495" s="91"/>
      <c r="B495" s="95"/>
      <c r="C495" s="152" t="s">
        <v>375</v>
      </c>
      <c r="D495" s="153" t="s">
        <v>25</v>
      </c>
      <c r="E495" s="130" t="s">
        <v>376</v>
      </c>
      <c r="F495" s="154" t="s">
        <v>521</v>
      </c>
      <c r="G495" s="154" t="s">
        <v>521</v>
      </c>
      <c r="H495" s="154" t="s">
        <v>521</v>
      </c>
      <c r="I495" s="154" t="s">
        <v>521</v>
      </c>
      <c r="J495" s="132">
        <v>0.9</v>
      </c>
      <c r="K495" s="133">
        <v>0.930232558139535</v>
      </c>
      <c r="L495" s="133">
        <v>0.945945945945946</v>
      </c>
      <c r="M495" s="134">
        <v>0.9375</v>
      </c>
      <c r="N495" s="133">
        <v>0.959404600811908</v>
      </c>
      <c r="O495" s="135">
        <v>0.9</v>
      </c>
      <c r="P495" s="133">
        <v>0.960732984293194</v>
      </c>
      <c r="Q495" s="133">
        <v>0.960298507462687</v>
      </c>
      <c r="R495" s="133">
        <v>0.980065359477124</v>
      </c>
      <c r="S495" s="133">
        <v>0.964647454747435</v>
      </c>
      <c r="T495" s="135">
        <v>0.9</v>
      </c>
      <c r="U495" s="133">
        <v>0.89848749272833</v>
      </c>
      <c r="V495" s="133">
        <v>0.924477611940299</v>
      </c>
      <c r="W495" s="133">
        <v>0.941176470588235</v>
      </c>
      <c r="X495" s="133">
        <v>0.919623603215056</v>
      </c>
      <c r="Y495" s="135">
        <v>0.92</v>
      </c>
      <c r="Z495" s="135">
        <v>0.851774530271399</v>
      </c>
      <c r="AA495" s="135">
        <v>0.889087656529517</v>
      </c>
      <c r="AB495" s="135">
        <v>0.935555555555556</v>
      </c>
      <c r="AC495" s="135">
        <v>0.905351658863213</v>
      </c>
      <c r="AD495" s="135">
        <v>0.92</v>
      </c>
      <c r="AE495" s="133">
        <v>0.998579545454545</v>
      </c>
      <c r="AF495" s="133">
        <v>0.971428571428571</v>
      </c>
      <c r="AG495" s="133">
        <v>0.984334203655353</v>
      </c>
      <c r="AH495" s="133">
        <v>0.992028764288864</v>
      </c>
      <c r="AI495" s="135">
        <v>0.92</v>
      </c>
      <c r="AJ495" s="133">
        <v>0.923094373865699</v>
      </c>
      <c r="AK495" s="133">
        <v>0.944755088347126</v>
      </c>
      <c r="AL495" s="133">
        <v>0.968442312547336</v>
      </c>
      <c r="AM495" s="133">
        <v>0.956140026387502</v>
      </c>
      <c r="AN495" s="132">
        <v>0.99</v>
      </c>
      <c r="AO495" s="137">
        <v>1</v>
      </c>
      <c r="AP495" s="137">
        <v>1</v>
      </c>
      <c r="AQ495" s="137">
        <v>1</v>
      </c>
      <c r="AR495" s="137">
        <v>1</v>
      </c>
      <c r="AS495" s="158">
        <v>0.05</v>
      </c>
      <c r="AT495" s="141">
        <v>0.0588235294117647</v>
      </c>
      <c r="AU495" s="141">
        <v>0.130434782608696</v>
      </c>
      <c r="AV495" s="141">
        <v>0.0344827586206897</v>
      </c>
      <c r="AW495" s="141">
        <v>0.0403022670025189</v>
      </c>
      <c r="AX495" s="95"/>
      <c r="AY495" s="93"/>
    </row>
    <row r="496" ht="14.5" spans="1:51">
      <c r="A496" s="91"/>
      <c r="B496" s="95"/>
      <c r="C496" s="152" t="s">
        <v>375</v>
      </c>
      <c r="D496" s="153" t="s">
        <v>25</v>
      </c>
      <c r="E496" s="130" t="s">
        <v>376</v>
      </c>
      <c r="F496" s="154" t="s">
        <v>522</v>
      </c>
      <c r="G496" s="154" t="s">
        <v>522</v>
      </c>
      <c r="H496" s="154" t="s">
        <v>522</v>
      </c>
      <c r="I496" s="154" t="s">
        <v>522</v>
      </c>
      <c r="J496" s="132">
        <v>0.9</v>
      </c>
      <c r="K496" s="133">
        <v>0.951219512195122</v>
      </c>
      <c r="L496" s="133">
        <v>1</v>
      </c>
      <c r="M496" s="134">
        <v>0.925</v>
      </c>
      <c r="N496" s="133">
        <v>0.971153846153846</v>
      </c>
      <c r="O496" s="135">
        <v>0.9</v>
      </c>
      <c r="P496" s="133">
        <v>0.973743195645213</v>
      </c>
      <c r="Q496" s="133">
        <v>0.960530191458027</v>
      </c>
      <c r="R496" s="133">
        <v>0.982268317162931</v>
      </c>
      <c r="S496" s="133">
        <v>0.97428716904277</v>
      </c>
      <c r="T496" s="135">
        <v>0.9</v>
      </c>
      <c r="U496" s="133">
        <v>0.906820365033622</v>
      </c>
      <c r="V496" s="133">
        <v>0.90839469808542</v>
      </c>
      <c r="W496" s="133">
        <v>0.930411508865841</v>
      </c>
      <c r="X496" s="133">
        <v>0.919351905731743</v>
      </c>
      <c r="Y496" s="135">
        <v>0.92</v>
      </c>
      <c r="Z496" s="135">
        <v>0.898364485981308</v>
      </c>
      <c r="AA496" s="135">
        <v>0.898622047244094</v>
      </c>
      <c r="AB496" s="135">
        <v>0.920289855072464</v>
      </c>
      <c r="AC496" s="135">
        <v>0.93045920999828</v>
      </c>
      <c r="AD496" s="135">
        <v>0.92</v>
      </c>
      <c r="AE496" s="133">
        <v>1</v>
      </c>
      <c r="AF496" s="133">
        <v>0.995945945945946</v>
      </c>
      <c r="AG496" s="133">
        <v>0.9983429991715</v>
      </c>
      <c r="AH496" s="133">
        <v>0.998408186469585</v>
      </c>
      <c r="AI496" s="135">
        <v>0.92</v>
      </c>
      <c r="AJ496" s="133">
        <v>0.951256281407035</v>
      </c>
      <c r="AK496" s="133">
        <v>0.957842248413418</v>
      </c>
      <c r="AL496" s="133">
        <v>0.971705527901493</v>
      </c>
      <c r="AM496" s="133">
        <v>0.971370199607962</v>
      </c>
      <c r="AN496" s="132">
        <v>0.99</v>
      </c>
      <c r="AO496" s="137">
        <v>1</v>
      </c>
      <c r="AP496" s="137">
        <v>1</v>
      </c>
      <c r="AQ496" s="137">
        <v>1</v>
      </c>
      <c r="AR496" s="137">
        <v>1</v>
      </c>
      <c r="AS496" s="158">
        <v>0.05</v>
      </c>
      <c r="AT496" s="141">
        <v>0.142857142857143</v>
      </c>
      <c r="AU496" s="141">
        <v>0.2</v>
      </c>
      <c r="AV496" s="141">
        <v>0.125</v>
      </c>
      <c r="AW496" s="141">
        <v>0.0535714285714286</v>
      </c>
      <c r="AX496" s="95"/>
      <c r="AY496" s="93"/>
    </row>
    <row r="497" ht="14.5" spans="1:51">
      <c r="A497" s="91"/>
      <c r="B497" s="95"/>
      <c r="C497" s="152" t="s">
        <v>375</v>
      </c>
      <c r="D497" s="153" t="s">
        <v>25</v>
      </c>
      <c r="E497" s="130" t="s">
        <v>376</v>
      </c>
      <c r="F497" s="154" t="s">
        <v>523</v>
      </c>
      <c r="G497" s="154" t="s">
        <v>523</v>
      </c>
      <c r="H497" s="154" t="s">
        <v>523</v>
      </c>
      <c r="I497" s="154" t="s">
        <v>523</v>
      </c>
      <c r="J497" s="132">
        <v>0.9</v>
      </c>
      <c r="K497" s="133">
        <v>0.987341772151899</v>
      </c>
      <c r="L497" s="133">
        <v>0.96551724137931</v>
      </c>
      <c r="M497" s="134">
        <v>0.97752808988764</v>
      </c>
      <c r="N497" s="133">
        <v>0.978082191780822</v>
      </c>
      <c r="O497" s="135">
        <v>0.9</v>
      </c>
      <c r="P497" s="133">
        <v>0.97592197500762</v>
      </c>
      <c r="Q497" s="133">
        <v>0.968247000292654</v>
      </c>
      <c r="R497" s="133">
        <v>0.986101459346769</v>
      </c>
      <c r="S497" s="133">
        <v>0.979653788492518</v>
      </c>
      <c r="T497" s="135">
        <v>0.9</v>
      </c>
      <c r="U497" s="133">
        <v>0.942243218530936</v>
      </c>
      <c r="V497" s="133">
        <v>0.962686567164179</v>
      </c>
      <c r="W497" s="133">
        <v>0.960736622654621</v>
      </c>
      <c r="X497" s="133">
        <v>0.951150468847483</v>
      </c>
      <c r="Y497" s="135">
        <v>0.92</v>
      </c>
      <c r="Z497" s="135">
        <v>0.804347826086957</v>
      </c>
      <c r="AA497" s="135">
        <v>0.967777777777778</v>
      </c>
      <c r="AB497" s="135">
        <v>0.962833099579243</v>
      </c>
      <c r="AC497" s="135">
        <v>0.9402175790019</v>
      </c>
      <c r="AD497" s="135">
        <v>0.92</v>
      </c>
      <c r="AE497" s="133">
        <v>0.98972602739726</v>
      </c>
      <c r="AF497" s="133">
        <v>0.968253968253968</v>
      </c>
      <c r="AG497" s="133">
        <v>0.991394148020654</v>
      </c>
      <c r="AH497" s="133">
        <v>0.984242424242424</v>
      </c>
      <c r="AI497" s="135">
        <v>0.92</v>
      </c>
      <c r="AJ497" s="133">
        <v>0.952471242573632</v>
      </c>
      <c r="AK497" s="133">
        <v>0.98691978238222</v>
      </c>
      <c r="AL497" s="133">
        <v>0.986219376391982</v>
      </c>
      <c r="AM497" s="133">
        <v>0.98103108204222</v>
      </c>
      <c r="AN497" s="132">
        <v>0.99</v>
      </c>
      <c r="AO497" s="137">
        <v>1</v>
      </c>
      <c r="AP497" s="137">
        <v>1</v>
      </c>
      <c r="AQ497" s="137">
        <v>1</v>
      </c>
      <c r="AR497" s="137">
        <v>1</v>
      </c>
      <c r="AS497" s="158">
        <v>0.05</v>
      </c>
      <c r="AT497" s="141">
        <v>0.05</v>
      </c>
      <c r="AU497" s="141">
        <v>0.0666666666666667</v>
      </c>
      <c r="AV497" s="141">
        <v>0.0384615384615385</v>
      </c>
      <c r="AW497" s="141">
        <v>0.0522727272727273</v>
      </c>
      <c r="AX497" s="95"/>
      <c r="AY497" s="93"/>
    </row>
    <row r="498" ht="14.5" spans="1:51">
      <c r="A498" s="91"/>
      <c r="B498" s="95"/>
      <c r="C498" s="152" t="s">
        <v>375</v>
      </c>
      <c r="D498" s="153" t="s">
        <v>25</v>
      </c>
      <c r="E498" s="130" t="s">
        <v>376</v>
      </c>
      <c r="F498" s="154" t="s">
        <v>524</v>
      </c>
      <c r="G498" s="154" t="s">
        <v>524</v>
      </c>
      <c r="H498" s="154" t="s">
        <v>524</v>
      </c>
      <c r="I498" s="154" t="s">
        <v>524</v>
      </c>
      <c r="J498" s="132">
        <v>0.9</v>
      </c>
      <c r="K498" s="133">
        <v>1</v>
      </c>
      <c r="L498" s="133">
        <v>1</v>
      </c>
      <c r="M498" s="134">
        <v>1</v>
      </c>
      <c r="N498" s="133">
        <v>0.973128598848369</v>
      </c>
      <c r="O498" s="135">
        <v>0.9</v>
      </c>
      <c r="P498" s="133">
        <v>0</v>
      </c>
      <c r="Q498" s="133" t="s">
        <v>35</v>
      </c>
      <c r="R498" s="133" t="s">
        <v>35</v>
      </c>
      <c r="S498" s="133">
        <v>0</v>
      </c>
      <c r="T498" s="135">
        <v>0.9</v>
      </c>
      <c r="U498" s="133">
        <v>0</v>
      </c>
      <c r="V498" s="133" t="s">
        <v>35</v>
      </c>
      <c r="W498" s="133" t="s">
        <v>35</v>
      </c>
      <c r="X498" s="133">
        <v>0.125</v>
      </c>
      <c r="Y498" s="135">
        <v>0.92</v>
      </c>
      <c r="Z498" s="135">
        <v>0</v>
      </c>
      <c r="AA498" s="135" t="s">
        <v>35</v>
      </c>
      <c r="AB498" s="135" t="s">
        <v>35</v>
      </c>
      <c r="AC498" s="135">
        <v>0.333333333333333</v>
      </c>
      <c r="AD498" s="135">
        <v>0.92</v>
      </c>
      <c r="AE498" s="133">
        <v>0.978260869565217</v>
      </c>
      <c r="AF498" s="133">
        <v>0.948717948717949</v>
      </c>
      <c r="AG498" s="133">
        <v>0.951807228915663</v>
      </c>
      <c r="AH498" s="133">
        <v>0.963272120200334</v>
      </c>
      <c r="AI498" s="135">
        <v>0.92</v>
      </c>
      <c r="AJ498" s="133">
        <v>0.966040224200462</v>
      </c>
      <c r="AK498" s="133">
        <v>0.9794921875</v>
      </c>
      <c r="AL498" s="133">
        <v>0.982449725776965</v>
      </c>
      <c r="AM498" s="133">
        <v>0.98417868776175</v>
      </c>
      <c r="AN498" s="132">
        <v>0.99</v>
      </c>
      <c r="AO498" s="137">
        <v>1</v>
      </c>
      <c r="AP498" s="137">
        <v>1</v>
      </c>
      <c r="AQ498" s="137">
        <v>1</v>
      </c>
      <c r="AR498" s="137">
        <v>1</v>
      </c>
      <c r="AS498" s="158">
        <v>0.05</v>
      </c>
      <c r="AT498" s="141">
        <v>0</v>
      </c>
      <c r="AU498" s="141">
        <v>0</v>
      </c>
      <c r="AV498" s="141">
        <v>0.4</v>
      </c>
      <c r="AW498" s="141">
        <v>0.0442477876106195</v>
      </c>
      <c r="AX498" s="95"/>
      <c r="AY498" s="93"/>
    </row>
    <row r="499" ht="14.5" spans="1:51">
      <c r="A499" s="91"/>
      <c r="B499" s="95"/>
      <c r="C499" s="152" t="s">
        <v>375</v>
      </c>
      <c r="D499" s="153" t="s">
        <v>25</v>
      </c>
      <c r="E499" s="130" t="s">
        <v>376</v>
      </c>
      <c r="F499" s="154" t="s">
        <v>525</v>
      </c>
      <c r="G499" s="154" t="s">
        <v>525</v>
      </c>
      <c r="H499" s="154" t="s">
        <v>525</v>
      </c>
      <c r="I499" s="154" t="s">
        <v>525</v>
      </c>
      <c r="J499" s="132">
        <v>0.9</v>
      </c>
      <c r="K499" s="133">
        <v>0.892857142857143</v>
      </c>
      <c r="L499" s="133">
        <v>0.979166666666667</v>
      </c>
      <c r="M499" s="134">
        <v>0.948275862068966</v>
      </c>
      <c r="N499" s="133">
        <v>0.925886143931257</v>
      </c>
      <c r="O499" s="135">
        <v>0.9</v>
      </c>
      <c r="P499" s="133">
        <v>1</v>
      </c>
      <c r="Q499" s="133">
        <v>1</v>
      </c>
      <c r="R499" s="133">
        <v>1</v>
      </c>
      <c r="S499" s="133">
        <v>0.75</v>
      </c>
      <c r="T499" s="135">
        <v>0.9</v>
      </c>
      <c r="U499" s="133">
        <v>0</v>
      </c>
      <c r="V499" s="133">
        <v>1</v>
      </c>
      <c r="W499" s="133">
        <v>0</v>
      </c>
      <c r="X499" s="133">
        <v>0.333333333333333</v>
      </c>
      <c r="Y499" s="135">
        <v>0.92</v>
      </c>
      <c r="Z499" s="135" t="s">
        <v>35</v>
      </c>
      <c r="AA499" s="135" t="s">
        <v>35</v>
      </c>
      <c r="AB499" s="135" t="s">
        <v>35</v>
      </c>
      <c r="AC499" s="135" t="s">
        <v>35</v>
      </c>
      <c r="AD499" s="135">
        <v>0.92</v>
      </c>
      <c r="AE499" s="133">
        <v>0.985507246376812</v>
      </c>
      <c r="AF499" s="133">
        <v>0.973404255319149</v>
      </c>
      <c r="AG499" s="133">
        <v>0.990610328638498</v>
      </c>
      <c r="AH499" s="133">
        <v>0.988085782366958</v>
      </c>
      <c r="AI499" s="135">
        <v>0.92</v>
      </c>
      <c r="AJ499" s="133">
        <v>0.955856966707768</v>
      </c>
      <c r="AK499" s="133">
        <v>0.946415094339623</v>
      </c>
      <c r="AL499" s="133">
        <v>0.980760206475833</v>
      </c>
      <c r="AM499" s="133">
        <v>0.967265608794856</v>
      </c>
      <c r="AN499" s="132">
        <v>0.99</v>
      </c>
      <c r="AO499" s="137">
        <v>1</v>
      </c>
      <c r="AP499" s="137">
        <v>1</v>
      </c>
      <c r="AQ499" s="137">
        <v>1</v>
      </c>
      <c r="AR499" s="137">
        <v>1</v>
      </c>
      <c r="AS499" s="158">
        <v>0.05</v>
      </c>
      <c r="AT499" s="141">
        <v>0</v>
      </c>
      <c r="AU499" s="141">
        <v>0</v>
      </c>
      <c r="AV499" s="141">
        <v>0.176470588235294</v>
      </c>
      <c r="AW499" s="141">
        <v>0.044280442804428</v>
      </c>
      <c r="AX499" s="95"/>
      <c r="AY499" s="93"/>
    </row>
    <row r="500" ht="14.5" spans="1:51">
      <c r="A500" s="91"/>
      <c r="B500" s="95"/>
      <c r="C500" s="152" t="s">
        <v>375</v>
      </c>
      <c r="D500" s="153" t="s">
        <v>25</v>
      </c>
      <c r="E500" s="130" t="s">
        <v>376</v>
      </c>
      <c r="F500" s="154" t="s">
        <v>526</v>
      </c>
      <c r="G500" s="154" t="s">
        <v>526</v>
      </c>
      <c r="H500" s="154" t="s">
        <v>526</v>
      </c>
      <c r="I500" s="154" t="s">
        <v>526</v>
      </c>
      <c r="J500" s="132">
        <v>0.9</v>
      </c>
      <c r="K500" s="133">
        <v>0.8125</v>
      </c>
      <c r="L500" s="133">
        <v>1</v>
      </c>
      <c r="M500" s="134">
        <v>0.95</v>
      </c>
      <c r="N500" s="133">
        <v>0.920980926430518</v>
      </c>
      <c r="O500" s="135">
        <v>0.9</v>
      </c>
      <c r="P500" s="133">
        <v>0</v>
      </c>
      <c r="Q500" s="133">
        <v>0</v>
      </c>
      <c r="R500" s="133">
        <v>0</v>
      </c>
      <c r="S500" s="133">
        <v>0.333333333333333</v>
      </c>
      <c r="T500" s="135">
        <v>0.9</v>
      </c>
      <c r="U500" s="133">
        <v>0</v>
      </c>
      <c r="V500" s="133">
        <v>0</v>
      </c>
      <c r="W500" s="133">
        <v>0</v>
      </c>
      <c r="X500" s="133">
        <v>0.166666666666667</v>
      </c>
      <c r="Y500" s="135">
        <v>0.92</v>
      </c>
      <c r="Z500" s="135" t="s">
        <v>35</v>
      </c>
      <c r="AA500" s="135">
        <v>0</v>
      </c>
      <c r="AB500" s="135" t="s">
        <v>35</v>
      </c>
      <c r="AC500" s="135">
        <v>0.666666666666667</v>
      </c>
      <c r="AD500" s="135">
        <v>0.92</v>
      </c>
      <c r="AE500" s="133">
        <v>1</v>
      </c>
      <c r="AF500" s="133">
        <v>1</v>
      </c>
      <c r="AG500" s="133">
        <v>0.953488372093023</v>
      </c>
      <c r="AH500" s="133">
        <v>0.929468599033816</v>
      </c>
      <c r="AI500" s="135">
        <v>0.92</v>
      </c>
      <c r="AJ500" s="133">
        <v>0.838766519823789</v>
      </c>
      <c r="AK500" s="133">
        <v>0.9666818804199</v>
      </c>
      <c r="AL500" s="133">
        <v>0.966374269005848</v>
      </c>
      <c r="AM500" s="133">
        <v>0.958144010263538</v>
      </c>
      <c r="AN500" s="132">
        <v>0.99</v>
      </c>
      <c r="AO500" s="137">
        <v>1</v>
      </c>
      <c r="AP500" s="137">
        <v>1</v>
      </c>
      <c r="AQ500" s="137">
        <v>1</v>
      </c>
      <c r="AR500" s="137">
        <v>1</v>
      </c>
      <c r="AS500" s="158">
        <v>0.05</v>
      </c>
      <c r="AT500" s="141">
        <v>0</v>
      </c>
      <c r="AU500" s="141">
        <v>0</v>
      </c>
      <c r="AV500" s="141">
        <v>0</v>
      </c>
      <c r="AW500" s="141">
        <v>0.0714285714285714</v>
      </c>
      <c r="AX500" s="95"/>
      <c r="AY500" s="93"/>
    </row>
    <row r="501" ht="14.5" spans="1:51">
      <c r="A501" s="91"/>
      <c r="B501" s="95"/>
      <c r="C501" s="152" t="s">
        <v>375</v>
      </c>
      <c r="D501" s="153" t="s">
        <v>25</v>
      </c>
      <c r="E501" s="130" t="s">
        <v>376</v>
      </c>
      <c r="F501" s="154" t="s">
        <v>527</v>
      </c>
      <c r="G501" s="154" t="s">
        <v>527</v>
      </c>
      <c r="H501" s="154" t="s">
        <v>527</v>
      </c>
      <c r="I501" s="154" t="s">
        <v>527</v>
      </c>
      <c r="J501" s="132">
        <v>0.9</v>
      </c>
      <c r="K501" s="133">
        <v>0.961538461538462</v>
      </c>
      <c r="L501" s="133">
        <v>0.950819672131147</v>
      </c>
      <c r="M501" s="134">
        <v>0.892857142857143</v>
      </c>
      <c r="N501" s="133">
        <v>0.928939237899073</v>
      </c>
      <c r="O501" s="135">
        <v>0.9</v>
      </c>
      <c r="P501" s="133">
        <v>0.952887537993921</v>
      </c>
      <c r="Q501" s="133">
        <v>0.963273354695588</v>
      </c>
      <c r="R501" s="133">
        <v>0.956497948016416</v>
      </c>
      <c r="S501" s="133">
        <v>0.960333397518774</v>
      </c>
      <c r="T501" s="135">
        <v>0.9</v>
      </c>
      <c r="U501" s="133">
        <v>0.904255319148936</v>
      </c>
      <c r="V501" s="133">
        <v>0.92408183386739</v>
      </c>
      <c r="W501" s="133">
        <v>0.931053351573187</v>
      </c>
      <c r="X501" s="133">
        <v>0.889362638571782</v>
      </c>
      <c r="Y501" s="135">
        <v>0.92</v>
      </c>
      <c r="Z501" s="135">
        <v>0.901276595744681</v>
      </c>
      <c r="AA501" s="135">
        <v>0.907407407407407</v>
      </c>
      <c r="AB501" s="135">
        <v>0.953038674033149</v>
      </c>
      <c r="AC501" s="135">
        <v>0.921701882285102</v>
      </c>
      <c r="AD501" s="135">
        <v>0.92</v>
      </c>
      <c r="AE501" s="133">
        <v>0.996837944664032</v>
      </c>
      <c r="AF501" s="133">
        <v>0.99572192513369</v>
      </c>
      <c r="AG501" s="133">
        <v>0.997517070142768</v>
      </c>
      <c r="AH501" s="133">
        <v>0.994518900951236</v>
      </c>
      <c r="AI501" s="135">
        <v>0.92</v>
      </c>
      <c r="AJ501" s="133">
        <v>0.945429740791269</v>
      </c>
      <c r="AK501" s="133">
        <v>0.962457975345536</v>
      </c>
      <c r="AL501" s="133">
        <v>0.976597090449083</v>
      </c>
      <c r="AM501" s="133">
        <v>0.965507999340261</v>
      </c>
      <c r="AN501" s="132">
        <v>0.99</v>
      </c>
      <c r="AO501" s="137">
        <v>1</v>
      </c>
      <c r="AP501" s="137">
        <v>1</v>
      </c>
      <c r="AQ501" s="137">
        <v>1</v>
      </c>
      <c r="AR501" s="137">
        <v>1</v>
      </c>
      <c r="AS501" s="158">
        <v>0.05</v>
      </c>
      <c r="AT501" s="141">
        <v>0.272727272727273</v>
      </c>
      <c r="AU501" s="141">
        <v>0.0434782608695652</v>
      </c>
      <c r="AV501" s="141">
        <v>0.142857142857143</v>
      </c>
      <c r="AW501" s="141">
        <v>0.0910973084886128</v>
      </c>
      <c r="AX501" s="95"/>
      <c r="AY501" s="93"/>
    </row>
    <row r="502" ht="14.5" spans="1:51">
      <c r="A502" s="91"/>
      <c r="B502" s="95"/>
      <c r="C502" s="152" t="s">
        <v>375</v>
      </c>
      <c r="D502" s="153" t="s">
        <v>25</v>
      </c>
      <c r="E502" s="130" t="s">
        <v>376</v>
      </c>
      <c r="F502" s="154" t="s">
        <v>528</v>
      </c>
      <c r="G502" s="154" t="s">
        <v>528</v>
      </c>
      <c r="H502" s="154" t="s">
        <v>528</v>
      </c>
      <c r="I502" s="154" t="s">
        <v>528</v>
      </c>
      <c r="J502" s="132">
        <v>0.9</v>
      </c>
      <c r="K502" s="133">
        <v>0.96875</v>
      </c>
      <c r="L502" s="133">
        <v>0.9375</v>
      </c>
      <c r="M502" s="134">
        <v>0.96875</v>
      </c>
      <c r="N502" s="133">
        <v>0.973282442748092</v>
      </c>
      <c r="O502" s="135">
        <v>0.9</v>
      </c>
      <c r="P502" s="133">
        <v>0.983007018840044</v>
      </c>
      <c r="Q502" s="133">
        <v>0.9778410889522</v>
      </c>
      <c r="R502" s="133">
        <v>0.986385737439222</v>
      </c>
      <c r="S502" s="133">
        <v>0.980657568697067</v>
      </c>
      <c r="T502" s="135">
        <v>0.9</v>
      </c>
      <c r="U502" s="133">
        <v>0.912079793128925</v>
      </c>
      <c r="V502" s="133">
        <v>0.937321937321937</v>
      </c>
      <c r="W502" s="133">
        <v>0.960453808752026</v>
      </c>
      <c r="X502" s="133">
        <v>0.921206405562336</v>
      </c>
      <c r="Y502" s="135">
        <v>0.92</v>
      </c>
      <c r="Z502" s="135" t="s">
        <v>35</v>
      </c>
      <c r="AA502" s="135" t="s">
        <v>35</v>
      </c>
      <c r="AB502" s="135" t="s">
        <v>35</v>
      </c>
      <c r="AC502" s="135">
        <v>0</v>
      </c>
      <c r="AD502" s="135">
        <v>0.92</v>
      </c>
      <c r="AE502" s="133">
        <v>1</v>
      </c>
      <c r="AF502" s="133">
        <v>0.985632183908046</v>
      </c>
      <c r="AG502" s="133">
        <v>0.993377483443709</v>
      </c>
      <c r="AH502" s="133">
        <v>0.990383652208755</v>
      </c>
      <c r="AI502" s="135">
        <v>0.92</v>
      </c>
      <c r="AJ502" s="133">
        <v>0.968634686346863</v>
      </c>
      <c r="AK502" s="133">
        <v>0.981645569620253</v>
      </c>
      <c r="AL502" s="133">
        <v>0.989627228525122</v>
      </c>
      <c r="AM502" s="133">
        <v>0.986652370036235</v>
      </c>
      <c r="AN502" s="132">
        <v>0.99</v>
      </c>
      <c r="AO502" s="137">
        <v>1</v>
      </c>
      <c r="AP502" s="137">
        <v>1</v>
      </c>
      <c r="AQ502" s="137">
        <v>1</v>
      </c>
      <c r="AR502" s="137">
        <v>1</v>
      </c>
      <c r="AS502" s="158">
        <v>0.05</v>
      </c>
      <c r="AT502" s="141">
        <v>0.117647058823529</v>
      </c>
      <c r="AU502" s="141">
        <v>0</v>
      </c>
      <c r="AV502" s="141">
        <v>0</v>
      </c>
      <c r="AW502" s="141">
        <v>0.0334448160535117</v>
      </c>
      <c r="AX502" s="95"/>
      <c r="AY502" s="93"/>
    </row>
    <row r="503" ht="14.5" spans="1:51">
      <c r="A503" s="91"/>
      <c r="B503" s="95"/>
      <c r="C503" s="152" t="s">
        <v>375</v>
      </c>
      <c r="D503" s="153" t="s">
        <v>25</v>
      </c>
      <c r="E503" s="130" t="s">
        <v>376</v>
      </c>
      <c r="F503" s="154" t="s">
        <v>529</v>
      </c>
      <c r="G503" s="154" t="s">
        <v>529</v>
      </c>
      <c r="H503" s="154" t="s">
        <v>529</v>
      </c>
      <c r="I503" s="154" t="s">
        <v>529</v>
      </c>
      <c r="J503" s="132">
        <v>0.9</v>
      </c>
      <c r="K503" s="133">
        <v>0.96</v>
      </c>
      <c r="L503" s="133">
        <v>0.96</v>
      </c>
      <c r="M503" s="134">
        <v>0.96551724137931</v>
      </c>
      <c r="N503" s="133">
        <v>0.98494623655914</v>
      </c>
      <c r="O503" s="135">
        <v>0.9</v>
      </c>
      <c r="P503" s="133">
        <v>0</v>
      </c>
      <c r="Q503" s="133">
        <v>0</v>
      </c>
      <c r="R503" s="133">
        <v>1</v>
      </c>
      <c r="S503" s="133">
        <v>0.428571428571429</v>
      </c>
      <c r="T503" s="135">
        <v>0.9</v>
      </c>
      <c r="U503" s="133">
        <v>0</v>
      </c>
      <c r="V503" s="133">
        <v>0</v>
      </c>
      <c r="W503" s="133">
        <v>1</v>
      </c>
      <c r="X503" s="133">
        <v>0.428571428571429</v>
      </c>
      <c r="Y503" s="135">
        <v>0.92</v>
      </c>
      <c r="Z503" s="135" t="s">
        <v>35</v>
      </c>
      <c r="AA503" s="135" t="s">
        <v>35</v>
      </c>
      <c r="AB503" s="135" t="s">
        <v>35</v>
      </c>
      <c r="AC503" s="135">
        <v>0</v>
      </c>
      <c r="AD503" s="135">
        <v>0.92</v>
      </c>
      <c r="AE503" s="133">
        <v>1</v>
      </c>
      <c r="AF503" s="133">
        <v>1</v>
      </c>
      <c r="AG503" s="133">
        <v>0.990909090909091</v>
      </c>
      <c r="AH503" s="133">
        <v>0.993964174454829</v>
      </c>
      <c r="AI503" s="135">
        <v>0.92</v>
      </c>
      <c r="AJ503" s="133">
        <v>0.973433782712133</v>
      </c>
      <c r="AK503" s="133">
        <v>0.970951054516514</v>
      </c>
      <c r="AL503" s="133">
        <v>0.987001733102253</v>
      </c>
      <c r="AM503" s="133">
        <v>0.982901933761144</v>
      </c>
      <c r="AN503" s="132">
        <v>0.99</v>
      </c>
      <c r="AO503" s="137">
        <v>1</v>
      </c>
      <c r="AP503" s="137">
        <v>1</v>
      </c>
      <c r="AQ503" s="137">
        <v>1</v>
      </c>
      <c r="AR503" s="137">
        <v>1</v>
      </c>
      <c r="AS503" s="158">
        <v>0.05</v>
      </c>
      <c r="AT503" s="141">
        <v>0.285714285714286</v>
      </c>
      <c r="AU503" s="141">
        <v>0</v>
      </c>
      <c r="AV503" s="141">
        <v>0.4</v>
      </c>
      <c r="AW503" s="141">
        <v>0.120689655172414</v>
      </c>
      <c r="AX503" s="95"/>
      <c r="AY503" s="93"/>
    </row>
    <row r="504" ht="14.5" spans="1:51">
      <c r="A504" s="91"/>
      <c r="B504" s="95"/>
      <c r="C504" s="152" t="s">
        <v>375</v>
      </c>
      <c r="D504" s="153" t="s">
        <v>25</v>
      </c>
      <c r="E504" s="130" t="s">
        <v>376</v>
      </c>
      <c r="F504" s="154" t="s">
        <v>530</v>
      </c>
      <c r="G504" s="154" t="s">
        <v>530</v>
      </c>
      <c r="H504" s="154" t="s">
        <v>530</v>
      </c>
      <c r="I504" s="154" t="s">
        <v>530</v>
      </c>
      <c r="J504" s="132">
        <v>0.9</v>
      </c>
      <c r="K504" s="133">
        <v>0.972972972972973</v>
      </c>
      <c r="L504" s="133">
        <v>0.973684210526316</v>
      </c>
      <c r="M504" s="134">
        <v>1</v>
      </c>
      <c r="N504" s="133">
        <v>0.974358974358974</v>
      </c>
      <c r="O504" s="135">
        <v>0.9</v>
      </c>
      <c r="P504" s="133">
        <v>0</v>
      </c>
      <c r="Q504" s="133">
        <v>0.2</v>
      </c>
      <c r="R504" s="133">
        <v>0</v>
      </c>
      <c r="S504" s="133">
        <v>0.210526315789474</v>
      </c>
      <c r="T504" s="135">
        <v>0.9</v>
      </c>
      <c r="U504" s="133">
        <v>0</v>
      </c>
      <c r="V504" s="133">
        <v>0</v>
      </c>
      <c r="W504" s="133">
        <v>0</v>
      </c>
      <c r="X504" s="133">
        <v>0.210526315789474</v>
      </c>
      <c r="Y504" s="135">
        <v>0.92</v>
      </c>
      <c r="Z504" s="135">
        <v>0</v>
      </c>
      <c r="AA504" s="135">
        <v>0</v>
      </c>
      <c r="AB504" s="135" t="s">
        <v>35</v>
      </c>
      <c r="AC504" s="135">
        <v>0.4</v>
      </c>
      <c r="AD504" s="135">
        <v>0.92</v>
      </c>
      <c r="AE504" s="133">
        <v>0.99203187250996</v>
      </c>
      <c r="AF504" s="133">
        <v>0.994505494505495</v>
      </c>
      <c r="AG504" s="133">
        <v>0.994535519125683</v>
      </c>
      <c r="AH504" s="133">
        <v>0.989425706472197</v>
      </c>
      <c r="AI504" s="135">
        <v>0.92</v>
      </c>
      <c r="AJ504" s="133">
        <v>0.901296639322572</v>
      </c>
      <c r="AK504" s="133">
        <v>0.930197268588771</v>
      </c>
      <c r="AL504" s="133">
        <v>0.96917314894843</v>
      </c>
      <c r="AM504" s="133">
        <v>0.957991529026468</v>
      </c>
      <c r="AN504" s="132">
        <v>0.99</v>
      </c>
      <c r="AO504" s="137">
        <v>1</v>
      </c>
      <c r="AP504" s="137">
        <v>1</v>
      </c>
      <c r="AQ504" s="137">
        <v>1</v>
      </c>
      <c r="AR504" s="137">
        <v>1</v>
      </c>
      <c r="AS504" s="158">
        <v>0.05</v>
      </c>
      <c r="AT504" s="141">
        <v>0</v>
      </c>
      <c r="AU504" s="141">
        <v>0.111111111111111</v>
      </c>
      <c r="AV504" s="141">
        <v>0</v>
      </c>
      <c r="AW504" s="141">
        <v>0.0333333333333333</v>
      </c>
      <c r="AX504" s="95"/>
      <c r="AY504" s="93"/>
    </row>
    <row r="505" ht="14.5" spans="1:51">
      <c r="A505" s="91"/>
      <c r="B505" s="95"/>
      <c r="C505" s="152" t="s">
        <v>375</v>
      </c>
      <c r="D505" s="153" t="s">
        <v>25</v>
      </c>
      <c r="E505" s="130" t="s">
        <v>376</v>
      </c>
      <c r="F505" s="154" t="s">
        <v>531</v>
      </c>
      <c r="G505" s="154" t="s">
        <v>531</v>
      </c>
      <c r="H505" s="154" t="s">
        <v>531</v>
      </c>
      <c r="I505" s="154" t="s">
        <v>531</v>
      </c>
      <c r="J505" s="132">
        <v>0.9</v>
      </c>
      <c r="K505" s="133">
        <v>0.906976744186046</v>
      </c>
      <c r="L505" s="133">
        <v>0.930232558139535</v>
      </c>
      <c r="M505" s="134">
        <v>0.931818181818182</v>
      </c>
      <c r="N505" s="133">
        <v>0.954301075268817</v>
      </c>
      <c r="O505" s="135">
        <v>0.9</v>
      </c>
      <c r="P505" s="133">
        <v>0.4</v>
      </c>
      <c r="Q505" s="133" t="s">
        <v>35</v>
      </c>
      <c r="R505" s="133" t="s">
        <v>35</v>
      </c>
      <c r="S505" s="133">
        <v>0.416666666666667</v>
      </c>
      <c r="T505" s="135">
        <v>0.9</v>
      </c>
      <c r="U505" s="133">
        <v>0</v>
      </c>
      <c r="V505" s="133" t="s">
        <v>35</v>
      </c>
      <c r="W505" s="133" t="s">
        <v>35</v>
      </c>
      <c r="X505" s="133">
        <v>0.416666666666667</v>
      </c>
      <c r="Y505" s="135">
        <v>0.92</v>
      </c>
      <c r="Z505" s="135" t="s">
        <v>35</v>
      </c>
      <c r="AA505" s="135" t="s">
        <v>35</v>
      </c>
      <c r="AB505" s="135" t="s">
        <v>35</v>
      </c>
      <c r="AC505" s="135" t="s">
        <v>35</v>
      </c>
      <c r="AD505" s="135">
        <v>0.92</v>
      </c>
      <c r="AE505" s="133">
        <v>0.981818181818182</v>
      </c>
      <c r="AF505" s="133">
        <v>0.979591836734694</v>
      </c>
      <c r="AG505" s="133">
        <v>0.924050632911392</v>
      </c>
      <c r="AH505" s="133">
        <v>0.970611596505163</v>
      </c>
      <c r="AI505" s="135">
        <v>0.92</v>
      </c>
      <c r="AJ505" s="133">
        <v>0.962901896125309</v>
      </c>
      <c r="AK505" s="133">
        <v>0.972489683631362</v>
      </c>
      <c r="AL505" s="133">
        <v>0.983046911286577</v>
      </c>
      <c r="AM505" s="133">
        <v>0.986863350426909</v>
      </c>
      <c r="AN505" s="132">
        <v>0.99</v>
      </c>
      <c r="AO505" s="137">
        <v>1</v>
      </c>
      <c r="AP505" s="137">
        <v>1</v>
      </c>
      <c r="AQ505" s="137">
        <v>1</v>
      </c>
      <c r="AR505" s="137">
        <v>1</v>
      </c>
      <c r="AS505" s="158">
        <v>0.05</v>
      </c>
      <c r="AT505" s="141">
        <v>0.0666666666666667</v>
      </c>
      <c r="AU505" s="141">
        <v>0.1</v>
      </c>
      <c r="AV505" s="141">
        <v>0.181818181818182</v>
      </c>
      <c r="AW505" s="141">
        <v>0.103030303030303</v>
      </c>
      <c r="AX505" s="95"/>
      <c r="AY505" s="93"/>
    </row>
    <row r="506" ht="14.5" spans="1:51">
      <c r="A506" s="91"/>
      <c r="B506" s="95"/>
      <c r="C506" s="152" t="s">
        <v>375</v>
      </c>
      <c r="D506" s="153" t="s">
        <v>25</v>
      </c>
      <c r="E506" s="130" t="s">
        <v>376</v>
      </c>
      <c r="F506" s="154" t="s">
        <v>532</v>
      </c>
      <c r="G506" s="154" t="s">
        <v>532</v>
      </c>
      <c r="H506" s="154" t="s">
        <v>532</v>
      </c>
      <c r="I506" s="154" t="s">
        <v>532</v>
      </c>
      <c r="J506" s="132">
        <v>0.9</v>
      </c>
      <c r="K506" s="133">
        <v>0.964285714285714</v>
      </c>
      <c r="L506" s="133">
        <v>1</v>
      </c>
      <c r="M506" s="134">
        <v>0.962962962962963</v>
      </c>
      <c r="N506" s="133">
        <v>0.995726495726496</v>
      </c>
      <c r="O506" s="135">
        <v>0.9</v>
      </c>
      <c r="P506" s="133">
        <v>0.991359708958618</v>
      </c>
      <c r="Q506" s="133">
        <v>0.993260320134794</v>
      </c>
      <c r="R506" s="133">
        <v>0.993978926241846</v>
      </c>
      <c r="S506" s="133">
        <v>0.994094941077226</v>
      </c>
      <c r="T506" s="135">
        <v>0.9</v>
      </c>
      <c r="U506" s="133">
        <v>0.940427467030468</v>
      </c>
      <c r="V506" s="133">
        <v>0.949873631002527</v>
      </c>
      <c r="W506" s="133">
        <v>0.964877069744104</v>
      </c>
      <c r="X506" s="133">
        <v>0.961783276668627</v>
      </c>
      <c r="Y506" s="135">
        <v>0.92</v>
      </c>
      <c r="Z506" s="135">
        <v>0.929356357927786</v>
      </c>
      <c r="AA506" s="135">
        <v>0.946745562130177</v>
      </c>
      <c r="AB506" s="135">
        <v>0.954003407155026</v>
      </c>
      <c r="AC506" s="135">
        <v>0.950837288439151</v>
      </c>
      <c r="AD506" s="135">
        <v>0.92</v>
      </c>
      <c r="AE506" s="133">
        <v>0.999416569428238</v>
      </c>
      <c r="AF506" s="133">
        <v>0.999210734017364</v>
      </c>
      <c r="AG506" s="133">
        <v>0.998868138087153</v>
      </c>
      <c r="AH506" s="133">
        <v>0.998911702822317</v>
      </c>
      <c r="AI506" s="135">
        <v>0.92</v>
      </c>
      <c r="AJ506" s="133">
        <v>0.965103983080719</v>
      </c>
      <c r="AK506" s="133">
        <v>0.980983606557377</v>
      </c>
      <c r="AL506" s="133">
        <v>0.983720930232558</v>
      </c>
      <c r="AM506" s="133">
        <v>0.984132034201631</v>
      </c>
      <c r="AN506" s="132">
        <v>0.99</v>
      </c>
      <c r="AO506" s="137">
        <v>1</v>
      </c>
      <c r="AP506" s="137">
        <v>1</v>
      </c>
      <c r="AQ506" s="137">
        <v>1</v>
      </c>
      <c r="AR506" s="137">
        <v>1</v>
      </c>
      <c r="AS506" s="158">
        <v>0.05</v>
      </c>
      <c r="AT506" s="141">
        <v>0.1</v>
      </c>
      <c r="AU506" s="141">
        <v>0</v>
      </c>
      <c r="AV506" s="141">
        <v>0.142857142857143</v>
      </c>
      <c r="AW506" s="141">
        <v>0.0616438356164384</v>
      </c>
      <c r="AX506" s="95"/>
      <c r="AY506" s="93"/>
    </row>
    <row r="507" ht="14.5" spans="1:51">
      <c r="A507" s="91"/>
      <c r="B507" s="95"/>
      <c r="C507" s="152" t="s">
        <v>375</v>
      </c>
      <c r="D507" s="153" t="s">
        <v>25</v>
      </c>
      <c r="E507" s="130" t="s">
        <v>376</v>
      </c>
      <c r="F507" s="154" t="s">
        <v>533</v>
      </c>
      <c r="G507" s="154" t="s">
        <v>533</v>
      </c>
      <c r="H507" s="154" t="s">
        <v>533</v>
      </c>
      <c r="I507" s="154" t="s">
        <v>533</v>
      </c>
      <c r="J507" s="132">
        <v>0.9</v>
      </c>
      <c r="K507" s="133">
        <v>0.963636363636364</v>
      </c>
      <c r="L507" s="133">
        <v>0.96078431372549</v>
      </c>
      <c r="M507" s="134">
        <v>0.983050847457627</v>
      </c>
      <c r="N507" s="133">
        <v>0.981613891726251</v>
      </c>
      <c r="O507" s="135">
        <v>0.9</v>
      </c>
      <c r="P507" s="133">
        <v>0.979054199956813</v>
      </c>
      <c r="Q507" s="133">
        <v>0.98417095370004</v>
      </c>
      <c r="R507" s="133">
        <v>0.980066445182724</v>
      </c>
      <c r="S507" s="133">
        <v>0.983984096620532</v>
      </c>
      <c r="T507" s="135">
        <v>0.9</v>
      </c>
      <c r="U507" s="133">
        <v>0.927877348304902</v>
      </c>
      <c r="V507" s="133">
        <v>0.921646220815196</v>
      </c>
      <c r="W507" s="133">
        <v>0.93640246796393</v>
      </c>
      <c r="X507" s="133">
        <v>0.939537151644725</v>
      </c>
      <c r="Y507" s="135">
        <v>0.92</v>
      </c>
      <c r="Z507" s="135" t="s">
        <v>35</v>
      </c>
      <c r="AA507" s="135" t="s">
        <v>35</v>
      </c>
      <c r="AB507" s="135" t="s">
        <v>35</v>
      </c>
      <c r="AC507" s="135">
        <v>0</v>
      </c>
      <c r="AD507" s="135">
        <v>0.92</v>
      </c>
      <c r="AE507" s="133">
        <v>1</v>
      </c>
      <c r="AF507" s="133">
        <v>0.950819672131147</v>
      </c>
      <c r="AG507" s="133">
        <v>0.984615384615385</v>
      </c>
      <c r="AH507" s="133">
        <v>0.949658172778123</v>
      </c>
      <c r="AI507" s="135">
        <v>0.92</v>
      </c>
      <c r="AJ507" s="133">
        <v>0.973644739661453</v>
      </c>
      <c r="AK507" s="133">
        <v>0.986555950968762</v>
      </c>
      <c r="AL507" s="133">
        <v>0.988851992409867</v>
      </c>
      <c r="AM507" s="133">
        <v>0.98975499444021</v>
      </c>
      <c r="AN507" s="132">
        <v>0.99</v>
      </c>
      <c r="AO507" s="137">
        <v>1</v>
      </c>
      <c r="AP507" s="137">
        <v>1</v>
      </c>
      <c r="AQ507" s="137">
        <v>1</v>
      </c>
      <c r="AR507" s="137">
        <v>1</v>
      </c>
      <c r="AS507" s="158">
        <v>0.05</v>
      </c>
      <c r="AT507" s="141">
        <v>0</v>
      </c>
      <c r="AU507" s="141">
        <v>0</v>
      </c>
      <c r="AV507" s="141">
        <v>0</v>
      </c>
      <c r="AW507" s="141">
        <v>0.0246913580246914</v>
      </c>
      <c r="AX507" s="95"/>
      <c r="AY507" s="93"/>
    </row>
    <row r="508" ht="14.5" spans="1:51">
      <c r="A508" s="91"/>
      <c r="B508" s="95"/>
      <c r="C508" s="152" t="s">
        <v>375</v>
      </c>
      <c r="D508" s="153" t="s">
        <v>25</v>
      </c>
      <c r="E508" s="130" t="s">
        <v>376</v>
      </c>
      <c r="F508" s="154" t="s">
        <v>534</v>
      </c>
      <c r="G508" s="154" t="s">
        <v>534</v>
      </c>
      <c r="H508" s="154" t="s">
        <v>534</v>
      </c>
      <c r="I508" s="154" t="s">
        <v>534</v>
      </c>
      <c r="J508" s="132">
        <v>0.9</v>
      </c>
      <c r="K508" s="133">
        <v>0.904761904761905</v>
      </c>
      <c r="L508" s="133">
        <v>0.954545454545455</v>
      </c>
      <c r="M508" s="134">
        <v>0.958333333333333</v>
      </c>
      <c r="N508" s="133">
        <v>0.916666666666667</v>
      </c>
      <c r="O508" s="135">
        <v>0.9</v>
      </c>
      <c r="P508" s="133">
        <v>0.958980733374767</v>
      </c>
      <c r="Q508" s="133">
        <v>0.983698420784514</v>
      </c>
      <c r="R508" s="133">
        <v>0.987348444913021</v>
      </c>
      <c r="S508" s="133">
        <v>0.97360721503333</v>
      </c>
      <c r="T508" s="135">
        <v>0.9</v>
      </c>
      <c r="U508" s="133">
        <v>0.860161591050342</v>
      </c>
      <c r="V508" s="133">
        <v>0.945491594498217</v>
      </c>
      <c r="W508" s="133">
        <v>0.95677385345282</v>
      </c>
      <c r="X508" s="133">
        <v>0.939975266190088</v>
      </c>
      <c r="Y508" s="135">
        <v>0.92</v>
      </c>
      <c r="Z508" s="135" t="s">
        <v>35</v>
      </c>
      <c r="AA508" s="135" t="s">
        <v>35</v>
      </c>
      <c r="AB508" s="135" t="s">
        <v>35</v>
      </c>
      <c r="AC508" s="135">
        <v>0.5</v>
      </c>
      <c r="AD508" s="135">
        <v>0.92</v>
      </c>
      <c r="AE508" s="133">
        <v>1</v>
      </c>
      <c r="AF508" s="133">
        <v>1</v>
      </c>
      <c r="AG508" s="133">
        <v>1</v>
      </c>
      <c r="AH508" s="133">
        <v>0.988023952095808</v>
      </c>
      <c r="AI508" s="135">
        <v>0.92</v>
      </c>
      <c r="AJ508" s="133">
        <v>0.967701863354037</v>
      </c>
      <c r="AK508" s="133">
        <v>0.979623025980642</v>
      </c>
      <c r="AL508" s="133">
        <v>0.981022667369531</v>
      </c>
      <c r="AM508" s="133">
        <v>0.984047044632087</v>
      </c>
      <c r="AN508" s="132">
        <v>0.99</v>
      </c>
      <c r="AO508" s="137">
        <v>1</v>
      </c>
      <c r="AP508" s="137">
        <v>1</v>
      </c>
      <c r="AQ508" s="137">
        <v>1</v>
      </c>
      <c r="AR508" s="137">
        <v>1</v>
      </c>
      <c r="AS508" s="158">
        <v>0.05</v>
      </c>
      <c r="AT508" s="141" t="s">
        <v>35</v>
      </c>
      <c r="AU508" s="141">
        <v>0</v>
      </c>
      <c r="AV508" s="141">
        <v>0</v>
      </c>
      <c r="AW508" s="141">
        <v>0.0375</v>
      </c>
      <c r="AX508" s="95"/>
      <c r="AY508" s="93"/>
    </row>
    <row r="509" ht="14.5" spans="1:51">
      <c r="A509" s="91"/>
      <c r="B509" s="95"/>
      <c r="C509" s="152" t="s">
        <v>375</v>
      </c>
      <c r="D509" s="153" t="s">
        <v>25</v>
      </c>
      <c r="E509" s="130" t="s">
        <v>376</v>
      </c>
      <c r="F509" s="154" t="s">
        <v>535</v>
      </c>
      <c r="G509" s="154" t="s">
        <v>535</v>
      </c>
      <c r="H509" s="154" t="s">
        <v>535</v>
      </c>
      <c r="I509" s="154" t="s">
        <v>535</v>
      </c>
      <c r="J509" s="132">
        <v>0.9</v>
      </c>
      <c r="K509" s="133">
        <v>0.947368421052632</v>
      </c>
      <c r="L509" s="133">
        <v>0.911764705882353</v>
      </c>
      <c r="M509" s="134">
        <v>0.927536231884058</v>
      </c>
      <c r="N509" s="133">
        <v>0.911357340720222</v>
      </c>
      <c r="O509" s="135">
        <v>0.9</v>
      </c>
      <c r="P509" s="133">
        <v>0.333333333333333</v>
      </c>
      <c r="Q509" s="133">
        <v>1</v>
      </c>
      <c r="R509" s="133">
        <v>1</v>
      </c>
      <c r="S509" s="133">
        <v>0.5</v>
      </c>
      <c r="T509" s="135">
        <v>0.9</v>
      </c>
      <c r="U509" s="133">
        <v>0</v>
      </c>
      <c r="V509" s="133">
        <v>1</v>
      </c>
      <c r="W509" s="133">
        <v>0</v>
      </c>
      <c r="X509" s="133">
        <v>0.416666666666667</v>
      </c>
      <c r="Y509" s="135">
        <v>0.92</v>
      </c>
      <c r="Z509" s="135" t="s">
        <v>35</v>
      </c>
      <c r="AA509" s="135" t="s">
        <v>35</v>
      </c>
      <c r="AB509" s="135" t="s">
        <v>35</v>
      </c>
      <c r="AC509" s="135">
        <v>0.333333333333333</v>
      </c>
      <c r="AD509" s="135">
        <v>0.92</v>
      </c>
      <c r="AE509" s="133">
        <v>0.990929705215419</v>
      </c>
      <c r="AF509" s="133">
        <v>0.982758620689655</v>
      </c>
      <c r="AG509" s="133">
        <v>1</v>
      </c>
      <c r="AH509" s="133">
        <v>0.991441950589375</v>
      </c>
      <c r="AI509" s="135">
        <v>0.92</v>
      </c>
      <c r="AJ509" s="133">
        <v>0.96602086438152</v>
      </c>
      <c r="AK509" s="133">
        <v>0.967915956842703</v>
      </c>
      <c r="AL509" s="133">
        <v>0.984799713876967</v>
      </c>
      <c r="AM509" s="133">
        <v>0.968872178947474</v>
      </c>
      <c r="AN509" s="132">
        <v>0.99</v>
      </c>
      <c r="AO509" s="137">
        <v>1</v>
      </c>
      <c r="AP509" s="137">
        <v>1</v>
      </c>
      <c r="AQ509" s="137">
        <v>1</v>
      </c>
      <c r="AR509" s="137">
        <v>1</v>
      </c>
      <c r="AS509" s="158">
        <v>0.05</v>
      </c>
      <c r="AT509" s="141">
        <v>0</v>
      </c>
      <c r="AU509" s="141">
        <v>0.2</v>
      </c>
      <c r="AV509" s="141">
        <v>0.0666666666666667</v>
      </c>
      <c r="AW509" s="141">
        <v>0.0619469026548673</v>
      </c>
      <c r="AX509" s="95"/>
      <c r="AY509" s="93"/>
    </row>
    <row r="510" ht="14.5" spans="1:51">
      <c r="A510" s="91"/>
      <c r="B510" s="95"/>
      <c r="C510" s="152" t="s">
        <v>375</v>
      </c>
      <c r="D510" s="153" t="s">
        <v>25</v>
      </c>
      <c r="E510" s="130" t="s">
        <v>376</v>
      </c>
      <c r="F510" s="154" t="s">
        <v>536</v>
      </c>
      <c r="G510" s="154" t="s">
        <v>536</v>
      </c>
      <c r="H510" s="154" t="s">
        <v>536</v>
      </c>
      <c r="I510" s="154" t="s">
        <v>536</v>
      </c>
      <c r="J510" s="132">
        <v>0.9</v>
      </c>
      <c r="K510" s="133">
        <v>0.88135593220339</v>
      </c>
      <c r="L510" s="133">
        <v>0.95</v>
      </c>
      <c r="M510" s="134">
        <v>0.932584269662921</v>
      </c>
      <c r="N510" s="133">
        <v>0.937454545454545</v>
      </c>
      <c r="O510" s="135">
        <v>0.9</v>
      </c>
      <c r="P510" s="133" t="s">
        <v>35</v>
      </c>
      <c r="Q510" s="133">
        <v>0</v>
      </c>
      <c r="R510" s="133" t="s">
        <v>35</v>
      </c>
      <c r="S510" s="133">
        <v>0.25</v>
      </c>
      <c r="T510" s="135">
        <v>0.9</v>
      </c>
      <c r="U510" s="133" t="s">
        <v>35</v>
      </c>
      <c r="V510" s="133">
        <v>0</v>
      </c>
      <c r="W510" s="133" t="s">
        <v>35</v>
      </c>
      <c r="X510" s="133">
        <v>0</v>
      </c>
      <c r="Y510" s="135">
        <v>0.92</v>
      </c>
      <c r="Z510" s="135" t="s">
        <v>35</v>
      </c>
      <c r="AA510" s="135" t="s">
        <v>35</v>
      </c>
      <c r="AB510" s="135" t="s">
        <v>35</v>
      </c>
      <c r="AC510" s="135" t="s">
        <v>35</v>
      </c>
      <c r="AD510" s="135">
        <v>0.92</v>
      </c>
      <c r="AE510" s="133">
        <v>1</v>
      </c>
      <c r="AF510" s="133">
        <v>0.972477064220184</v>
      </c>
      <c r="AG510" s="133">
        <v>0.990066225165563</v>
      </c>
      <c r="AH510" s="133">
        <v>0.987145242070117</v>
      </c>
      <c r="AI510" s="135">
        <v>0.92</v>
      </c>
      <c r="AJ510" s="133">
        <v>0.873007044864664</v>
      </c>
      <c r="AK510" s="133">
        <v>0.96577581234378</v>
      </c>
      <c r="AL510" s="133">
        <v>0.987775790101372</v>
      </c>
      <c r="AM510" s="133">
        <v>0.948004696776754</v>
      </c>
      <c r="AN510" s="132">
        <v>0.99</v>
      </c>
      <c r="AO510" s="137">
        <v>1</v>
      </c>
      <c r="AP510" s="137">
        <v>1</v>
      </c>
      <c r="AQ510" s="137">
        <v>1</v>
      </c>
      <c r="AR510" s="137">
        <v>1</v>
      </c>
      <c r="AS510" s="158">
        <v>0.05</v>
      </c>
      <c r="AT510" s="141">
        <v>0.125</v>
      </c>
      <c r="AU510" s="141">
        <v>0</v>
      </c>
      <c r="AV510" s="141">
        <v>0</v>
      </c>
      <c r="AW510" s="141">
        <v>0.0835913312693498</v>
      </c>
      <c r="AX510" s="95"/>
      <c r="AY510" s="93"/>
    </row>
    <row r="511" ht="14.5" spans="1:51">
      <c r="A511" s="91"/>
      <c r="B511" s="95"/>
      <c r="C511" s="152" t="s">
        <v>375</v>
      </c>
      <c r="D511" s="153" t="s">
        <v>25</v>
      </c>
      <c r="E511" s="130" t="s">
        <v>376</v>
      </c>
      <c r="F511" s="154" t="s">
        <v>537</v>
      </c>
      <c r="G511" s="154" t="s">
        <v>537</v>
      </c>
      <c r="H511" s="154" t="s">
        <v>537</v>
      </c>
      <c r="I511" s="154" t="s">
        <v>537</v>
      </c>
      <c r="J511" s="132">
        <v>0.9</v>
      </c>
      <c r="K511" s="133">
        <v>0.9375</v>
      </c>
      <c r="L511" s="133">
        <v>0.950819672131147</v>
      </c>
      <c r="M511" s="134">
        <v>0.920634920634921</v>
      </c>
      <c r="N511" s="133">
        <v>0.940130963517306</v>
      </c>
      <c r="O511" s="135">
        <v>0.9</v>
      </c>
      <c r="P511" s="133">
        <v>0</v>
      </c>
      <c r="Q511" s="133">
        <v>1</v>
      </c>
      <c r="R511" s="133">
        <v>0</v>
      </c>
      <c r="S511" s="133">
        <v>0.105263157894737</v>
      </c>
      <c r="T511" s="135">
        <v>0.9</v>
      </c>
      <c r="U511" s="133">
        <v>0</v>
      </c>
      <c r="V511" s="133">
        <v>0</v>
      </c>
      <c r="W511" s="133">
        <v>1</v>
      </c>
      <c r="X511" s="133">
        <v>0.315789473684211</v>
      </c>
      <c r="Y511" s="135">
        <v>0.92</v>
      </c>
      <c r="Z511" s="135" t="s">
        <v>35</v>
      </c>
      <c r="AA511" s="135">
        <v>0</v>
      </c>
      <c r="AB511" s="135" t="s">
        <v>35</v>
      </c>
      <c r="AC511" s="135">
        <v>0</v>
      </c>
      <c r="AD511" s="135">
        <v>0.92</v>
      </c>
      <c r="AE511" s="133">
        <v>1</v>
      </c>
      <c r="AF511" s="133">
        <v>0.922330097087379</v>
      </c>
      <c r="AG511" s="133">
        <v>0.967741935483871</v>
      </c>
      <c r="AH511" s="133">
        <v>0.918779544477868</v>
      </c>
      <c r="AI511" s="135">
        <v>0.92</v>
      </c>
      <c r="AJ511" s="133">
        <v>0.97095010252905</v>
      </c>
      <c r="AK511" s="133">
        <v>0.983823782481501</v>
      </c>
      <c r="AL511" s="133">
        <v>0.984093113482056</v>
      </c>
      <c r="AM511" s="133">
        <v>0.984341405147139</v>
      </c>
      <c r="AN511" s="132">
        <v>0.99</v>
      </c>
      <c r="AO511" s="137">
        <v>1</v>
      </c>
      <c r="AP511" s="137">
        <v>1</v>
      </c>
      <c r="AQ511" s="137">
        <v>1</v>
      </c>
      <c r="AR511" s="137">
        <v>1</v>
      </c>
      <c r="AS511" s="158">
        <v>0.05</v>
      </c>
      <c r="AT511" s="141">
        <v>0.5</v>
      </c>
      <c r="AU511" s="141">
        <v>0</v>
      </c>
      <c r="AV511" s="141">
        <v>0</v>
      </c>
      <c r="AW511" s="141">
        <v>0.0871794871794872</v>
      </c>
      <c r="AX511" s="95"/>
      <c r="AY511" s="93"/>
    </row>
    <row r="512" ht="14.5" spans="1:51">
      <c r="A512" s="91"/>
      <c r="B512" s="95"/>
      <c r="C512" s="152" t="s">
        <v>375</v>
      </c>
      <c r="D512" s="153" t="s">
        <v>25</v>
      </c>
      <c r="E512" s="130" t="s">
        <v>376</v>
      </c>
      <c r="F512" s="154" t="s">
        <v>538</v>
      </c>
      <c r="G512" s="154" t="s">
        <v>538</v>
      </c>
      <c r="H512" s="154" t="s">
        <v>538</v>
      </c>
      <c r="I512" s="154" t="s">
        <v>538</v>
      </c>
      <c r="J512" s="132">
        <v>0.9</v>
      </c>
      <c r="K512" s="133">
        <v>1</v>
      </c>
      <c r="L512" s="133">
        <v>1</v>
      </c>
      <c r="M512" s="134">
        <v>1</v>
      </c>
      <c r="N512" s="133">
        <v>0.998087954110899</v>
      </c>
      <c r="O512" s="135">
        <v>0.9</v>
      </c>
      <c r="P512" s="133">
        <v>0.985294117647059</v>
      </c>
      <c r="Q512" s="133">
        <v>0.983695652173913</v>
      </c>
      <c r="R512" s="133">
        <v>0.987101975010077</v>
      </c>
      <c r="S512" s="133">
        <v>0.988700191634177</v>
      </c>
      <c r="T512" s="135">
        <v>0.9</v>
      </c>
      <c r="U512" s="133">
        <v>0.964783281733746</v>
      </c>
      <c r="V512" s="133">
        <v>0.963405797101449</v>
      </c>
      <c r="W512" s="133">
        <v>0.978234582829504</v>
      </c>
      <c r="X512" s="133">
        <v>0.972554461552017</v>
      </c>
      <c r="Y512" s="135">
        <v>0.92</v>
      </c>
      <c r="Z512" s="135">
        <v>0</v>
      </c>
      <c r="AA512" s="135" t="s">
        <v>35</v>
      </c>
      <c r="AB512" s="135" t="s">
        <v>35</v>
      </c>
      <c r="AC512" s="135">
        <v>0</v>
      </c>
      <c r="AD512" s="135">
        <v>0.92</v>
      </c>
      <c r="AE512" s="133">
        <v>0.984375</v>
      </c>
      <c r="AF512" s="133">
        <v>0.96</v>
      </c>
      <c r="AG512" s="133">
        <v>1</v>
      </c>
      <c r="AH512" s="133">
        <v>0.979166666666667</v>
      </c>
      <c r="AI512" s="135">
        <v>0.92</v>
      </c>
      <c r="AJ512" s="133">
        <v>0.976447876447876</v>
      </c>
      <c r="AK512" s="133">
        <v>0.985144927536232</v>
      </c>
      <c r="AL512" s="133">
        <v>0.991132607819428</v>
      </c>
      <c r="AM512" s="133">
        <v>0.989781311251569</v>
      </c>
      <c r="AN512" s="132">
        <v>0.99</v>
      </c>
      <c r="AO512" s="137">
        <v>1</v>
      </c>
      <c r="AP512" s="137">
        <v>1</v>
      </c>
      <c r="AQ512" s="137">
        <v>1</v>
      </c>
      <c r="AR512" s="137">
        <v>1</v>
      </c>
      <c r="AS512" s="158">
        <v>0.05</v>
      </c>
      <c r="AT512" s="141">
        <v>0</v>
      </c>
      <c r="AU512" s="141">
        <v>0</v>
      </c>
      <c r="AV512" s="141">
        <v>0.25</v>
      </c>
      <c r="AW512" s="141">
        <v>0.0476190476190476</v>
      </c>
      <c r="AX512" s="95"/>
      <c r="AY512" s="93"/>
    </row>
    <row r="513" ht="14.5" spans="1:51">
      <c r="A513" s="91"/>
      <c r="B513" s="95"/>
      <c r="C513" s="152" t="s">
        <v>375</v>
      </c>
      <c r="D513" s="153" t="s">
        <v>25</v>
      </c>
      <c r="E513" s="130" t="s">
        <v>376</v>
      </c>
      <c r="F513" s="154" t="s">
        <v>539</v>
      </c>
      <c r="G513" s="154" t="s">
        <v>539</v>
      </c>
      <c r="H513" s="154" t="s">
        <v>539</v>
      </c>
      <c r="I513" s="154" t="s">
        <v>539</v>
      </c>
      <c r="J513" s="132">
        <v>0.9</v>
      </c>
      <c r="K513" s="133">
        <v>1</v>
      </c>
      <c r="L513" s="133">
        <v>1</v>
      </c>
      <c r="M513" s="134">
        <v>1</v>
      </c>
      <c r="N513" s="133">
        <v>0.997668997668998</v>
      </c>
      <c r="O513" s="135">
        <v>0.9</v>
      </c>
      <c r="P513" s="133">
        <v>0.986647926914968</v>
      </c>
      <c r="Q513" s="133">
        <v>0.976551724137931</v>
      </c>
      <c r="R513" s="133">
        <v>0.979214780600462</v>
      </c>
      <c r="S513" s="133">
        <v>0.980970504281637</v>
      </c>
      <c r="T513" s="135">
        <v>0.9</v>
      </c>
      <c r="U513" s="133">
        <v>0.929023190442727</v>
      </c>
      <c r="V513" s="133">
        <v>0.939310344827586</v>
      </c>
      <c r="W513" s="133">
        <v>0.950731331793687</v>
      </c>
      <c r="X513" s="133">
        <v>0.937934567810876</v>
      </c>
      <c r="Y513" s="135">
        <v>0.92</v>
      </c>
      <c r="Z513" s="135">
        <v>0.888607594936709</v>
      </c>
      <c r="AA513" s="135">
        <v>0.958932238193018</v>
      </c>
      <c r="AB513" s="135">
        <v>0.958791208791209</v>
      </c>
      <c r="AC513" s="135">
        <v>0.962428048142334</v>
      </c>
      <c r="AD513" s="135">
        <v>0.92</v>
      </c>
      <c r="AE513" s="133">
        <v>1</v>
      </c>
      <c r="AF513" s="133">
        <v>0.998565279770445</v>
      </c>
      <c r="AG513" s="133">
        <v>0.998918918918919</v>
      </c>
      <c r="AH513" s="133">
        <v>0.998417721518987</v>
      </c>
      <c r="AI513" s="135">
        <v>0.92</v>
      </c>
      <c r="AJ513" s="133">
        <v>0.956569543705333</v>
      </c>
      <c r="AK513" s="133">
        <v>0.97781217750258</v>
      </c>
      <c r="AL513" s="133">
        <v>0.980156343956705</v>
      </c>
      <c r="AM513" s="133">
        <v>0.981647148124051</v>
      </c>
      <c r="AN513" s="132">
        <v>0.99</v>
      </c>
      <c r="AO513" s="137">
        <v>1</v>
      </c>
      <c r="AP513" s="137">
        <v>1</v>
      </c>
      <c r="AQ513" s="137">
        <v>1</v>
      </c>
      <c r="AR513" s="137">
        <v>1</v>
      </c>
      <c r="AS513" s="158">
        <v>0.05</v>
      </c>
      <c r="AT513" s="141">
        <v>0</v>
      </c>
      <c r="AU513" s="141">
        <v>0</v>
      </c>
      <c r="AV513" s="141">
        <v>0</v>
      </c>
      <c r="AW513" s="141">
        <v>0.03</v>
      </c>
      <c r="AX513" s="95"/>
      <c r="AY513" s="93"/>
    </row>
    <row r="514" ht="14.5" spans="1:51">
      <c r="A514" s="91"/>
      <c r="B514" s="95"/>
      <c r="C514" s="152" t="s">
        <v>375</v>
      </c>
      <c r="D514" s="153" t="s">
        <v>25</v>
      </c>
      <c r="E514" s="130" t="s">
        <v>376</v>
      </c>
      <c r="F514" s="154" t="s">
        <v>540</v>
      </c>
      <c r="G514" s="154" t="s">
        <v>540</v>
      </c>
      <c r="H514" s="154" t="s">
        <v>540</v>
      </c>
      <c r="I514" s="154" t="s">
        <v>540</v>
      </c>
      <c r="J514" s="132">
        <v>0.9</v>
      </c>
      <c r="K514" s="133">
        <v>0.962962962962963</v>
      </c>
      <c r="L514" s="133">
        <v>0.979591836734694</v>
      </c>
      <c r="M514" s="134">
        <v>1</v>
      </c>
      <c r="N514" s="133">
        <v>0.963841807909604</v>
      </c>
      <c r="O514" s="135">
        <v>0.9</v>
      </c>
      <c r="P514" s="133">
        <v>1</v>
      </c>
      <c r="Q514" s="133">
        <v>0</v>
      </c>
      <c r="R514" s="133" t="s">
        <v>35</v>
      </c>
      <c r="S514" s="133">
        <v>0.375</v>
      </c>
      <c r="T514" s="135">
        <v>0.9</v>
      </c>
      <c r="U514" s="133">
        <v>0</v>
      </c>
      <c r="V514" s="133">
        <v>0</v>
      </c>
      <c r="W514" s="133" t="s">
        <v>35</v>
      </c>
      <c r="X514" s="133">
        <v>0.125</v>
      </c>
      <c r="Y514" s="135">
        <v>0.92</v>
      </c>
      <c r="Z514" s="135" t="s">
        <v>35</v>
      </c>
      <c r="AA514" s="135" t="s">
        <v>35</v>
      </c>
      <c r="AB514" s="135" t="s">
        <v>35</v>
      </c>
      <c r="AC514" s="135">
        <v>1</v>
      </c>
      <c r="AD514" s="135">
        <v>0.92</v>
      </c>
      <c r="AE514" s="133">
        <v>0.976525821596244</v>
      </c>
      <c r="AF514" s="133">
        <v>0.916058394160584</v>
      </c>
      <c r="AG514" s="133">
        <v>0.993243243243243</v>
      </c>
      <c r="AH514" s="133">
        <v>0.981438213914849</v>
      </c>
      <c r="AI514" s="135">
        <v>0.92</v>
      </c>
      <c r="AJ514" s="133">
        <v>0.95972878569961</v>
      </c>
      <c r="AK514" s="133">
        <v>0.971871768355739</v>
      </c>
      <c r="AL514" s="133">
        <v>0.986344537815126</v>
      </c>
      <c r="AM514" s="133">
        <v>0.979657411062859</v>
      </c>
      <c r="AN514" s="132">
        <v>0.99</v>
      </c>
      <c r="AO514" s="137">
        <v>1</v>
      </c>
      <c r="AP514" s="137">
        <v>1</v>
      </c>
      <c r="AQ514" s="137">
        <v>1</v>
      </c>
      <c r="AR514" s="137">
        <v>1</v>
      </c>
      <c r="AS514" s="158">
        <v>0.05</v>
      </c>
      <c r="AT514" s="141">
        <v>0.111111111111111</v>
      </c>
      <c r="AU514" s="141">
        <v>0.0909090909090909</v>
      </c>
      <c r="AV514" s="141">
        <v>0.0714285714285714</v>
      </c>
      <c r="AW514" s="141">
        <v>0.0613026819923372</v>
      </c>
      <c r="AX514" s="95"/>
      <c r="AY514" s="93"/>
    </row>
    <row r="515" ht="14.5" spans="1:51">
      <c r="A515" s="91"/>
      <c r="B515" s="95"/>
      <c r="C515" s="152" t="s">
        <v>375</v>
      </c>
      <c r="D515" s="153" t="s">
        <v>25</v>
      </c>
      <c r="E515" s="130" t="s">
        <v>376</v>
      </c>
      <c r="F515" s="154" t="s">
        <v>541</v>
      </c>
      <c r="G515" s="154" t="s">
        <v>541</v>
      </c>
      <c r="H515" s="154" t="s">
        <v>541</v>
      </c>
      <c r="I515" s="154" t="s">
        <v>541</v>
      </c>
      <c r="J515" s="132">
        <v>0.9</v>
      </c>
      <c r="K515" s="133">
        <v>0.883333333333333</v>
      </c>
      <c r="L515" s="133">
        <v>0.962962962962963</v>
      </c>
      <c r="M515" s="134">
        <v>0.983870967741935</v>
      </c>
      <c r="N515" s="133">
        <v>0.924528301886792</v>
      </c>
      <c r="O515" s="135">
        <v>0.9</v>
      </c>
      <c r="P515" s="133">
        <v>0.878545454545455</v>
      </c>
      <c r="Q515" s="133">
        <v>0.891169923324264</v>
      </c>
      <c r="R515" s="133">
        <v>0.92268305171531</v>
      </c>
      <c r="S515" s="133">
        <v>0.912990419548049</v>
      </c>
      <c r="T515" s="135">
        <v>0.9</v>
      </c>
      <c r="U515" s="133">
        <v>0.810666666666667</v>
      </c>
      <c r="V515" s="133">
        <v>0.845659163987138</v>
      </c>
      <c r="W515" s="133">
        <v>0.889400921658986</v>
      </c>
      <c r="X515" s="133">
        <v>0.853571979632773</v>
      </c>
      <c r="Y515" s="135">
        <v>0.92</v>
      </c>
      <c r="Z515" s="135">
        <v>0.66784765279008</v>
      </c>
      <c r="AA515" s="135">
        <v>0.696120689655172</v>
      </c>
      <c r="AB515" s="135">
        <v>0.813911472448058</v>
      </c>
      <c r="AC515" s="135">
        <v>0.796692692341433</v>
      </c>
      <c r="AD515" s="135">
        <v>0.92</v>
      </c>
      <c r="AE515" s="133">
        <v>0.998376623376623</v>
      </c>
      <c r="AF515" s="133">
        <v>0.997668997668998</v>
      </c>
      <c r="AG515" s="133">
        <v>0.998293515358362</v>
      </c>
      <c r="AH515" s="133">
        <v>0.997964576489073</v>
      </c>
      <c r="AI515" s="135">
        <v>0.92</v>
      </c>
      <c r="AJ515" s="133">
        <v>0.829402814758463</v>
      </c>
      <c r="AK515" s="133">
        <v>0.846606584513518</v>
      </c>
      <c r="AL515" s="133">
        <v>0.915885987642017</v>
      </c>
      <c r="AM515" s="133">
        <v>0.910586210194128</v>
      </c>
      <c r="AN515" s="132">
        <v>0.99</v>
      </c>
      <c r="AO515" s="137">
        <v>1</v>
      </c>
      <c r="AP515" s="137">
        <v>1</v>
      </c>
      <c r="AQ515" s="137">
        <v>1</v>
      </c>
      <c r="AR515" s="137">
        <v>1</v>
      </c>
      <c r="AS515" s="158">
        <v>0.05</v>
      </c>
      <c r="AT515" s="141">
        <v>0.0833333333333333</v>
      </c>
      <c r="AU515" s="141">
        <v>0.0666666666666667</v>
      </c>
      <c r="AV515" s="141">
        <v>0</v>
      </c>
      <c r="AW515" s="141">
        <v>0.0286532951289398</v>
      </c>
      <c r="AX515" s="95"/>
      <c r="AY515" s="93"/>
    </row>
    <row r="516" ht="14.5" spans="1:51">
      <c r="A516" s="91"/>
      <c r="B516" s="95"/>
      <c r="C516" s="152" t="s">
        <v>375</v>
      </c>
      <c r="D516" s="153" t="s">
        <v>25</v>
      </c>
      <c r="E516" s="130" t="s">
        <v>376</v>
      </c>
      <c r="F516" s="154" t="s">
        <v>542</v>
      </c>
      <c r="G516" s="154" t="s">
        <v>542</v>
      </c>
      <c r="H516" s="154" t="s">
        <v>542</v>
      </c>
      <c r="I516" s="154" t="s">
        <v>542</v>
      </c>
      <c r="J516" s="132">
        <v>0.9</v>
      </c>
      <c r="K516" s="133">
        <v>0.956521739130435</v>
      </c>
      <c r="L516" s="133">
        <v>0.956521739130435</v>
      </c>
      <c r="M516" s="134">
        <v>0.954545454545455</v>
      </c>
      <c r="N516" s="133">
        <v>0.951653944020356</v>
      </c>
      <c r="O516" s="135">
        <v>0.9</v>
      </c>
      <c r="P516" s="133">
        <v>0.963331824354912</v>
      </c>
      <c r="Q516" s="133">
        <v>0.983983983983984</v>
      </c>
      <c r="R516" s="133">
        <v>0.992214111922141</v>
      </c>
      <c r="S516" s="133">
        <v>0.978878678918631</v>
      </c>
      <c r="T516" s="135">
        <v>0.9</v>
      </c>
      <c r="U516" s="133">
        <v>0.983250339520145</v>
      </c>
      <c r="V516" s="133">
        <v>0.938938938938939</v>
      </c>
      <c r="W516" s="133">
        <v>0.977128953771289</v>
      </c>
      <c r="X516" s="133">
        <v>0.960740444799574</v>
      </c>
      <c r="Y516" s="135">
        <v>0.92</v>
      </c>
      <c r="Z516" s="135">
        <v>0</v>
      </c>
      <c r="AA516" s="135">
        <v>0</v>
      </c>
      <c r="AB516" s="135" t="s">
        <v>35</v>
      </c>
      <c r="AC516" s="135">
        <v>0</v>
      </c>
      <c r="AD516" s="135">
        <v>0.92</v>
      </c>
      <c r="AE516" s="133">
        <v>0.987421383647799</v>
      </c>
      <c r="AF516" s="133">
        <v>1</v>
      </c>
      <c r="AG516" s="133">
        <v>0.975206611570248</v>
      </c>
      <c r="AH516" s="133">
        <v>0.982663514578408</v>
      </c>
      <c r="AI516" s="135">
        <v>0.92</v>
      </c>
      <c r="AJ516" s="133">
        <v>0.989592760180996</v>
      </c>
      <c r="AK516" s="133">
        <v>0.988994497248624</v>
      </c>
      <c r="AL516" s="133">
        <v>0.990267639902676</v>
      </c>
      <c r="AM516" s="133">
        <v>0.989267357319769</v>
      </c>
      <c r="AN516" s="132">
        <v>0.99</v>
      </c>
      <c r="AO516" s="137">
        <v>1</v>
      </c>
      <c r="AP516" s="137">
        <v>1</v>
      </c>
      <c r="AQ516" s="137">
        <v>1</v>
      </c>
      <c r="AR516" s="137">
        <v>1</v>
      </c>
      <c r="AS516" s="158">
        <v>0.05</v>
      </c>
      <c r="AT516" s="141">
        <v>0.142857142857143</v>
      </c>
      <c r="AU516" s="141">
        <v>0</v>
      </c>
      <c r="AV516" s="141">
        <v>0</v>
      </c>
      <c r="AW516" s="141">
        <v>0.0448717948717949</v>
      </c>
      <c r="AX516" s="95"/>
      <c r="AY516" s="93"/>
    </row>
    <row r="517" ht="14.5" spans="1:51">
      <c r="A517" s="91"/>
      <c r="B517" s="95"/>
      <c r="C517" s="152" t="s">
        <v>375</v>
      </c>
      <c r="D517" s="153" t="s">
        <v>25</v>
      </c>
      <c r="E517" s="130" t="s">
        <v>376</v>
      </c>
      <c r="F517" s="154" t="s">
        <v>543</v>
      </c>
      <c r="G517" s="154" t="s">
        <v>543</v>
      </c>
      <c r="H517" s="154" t="s">
        <v>543</v>
      </c>
      <c r="I517" s="154" t="s">
        <v>543</v>
      </c>
      <c r="J517" s="132">
        <v>0.9</v>
      </c>
      <c r="K517" s="133">
        <v>0.939393939393939</v>
      </c>
      <c r="L517" s="133">
        <v>0.970588235294118</v>
      </c>
      <c r="M517" s="134">
        <v>0.939393939393939</v>
      </c>
      <c r="N517" s="133">
        <v>0.972039473684211</v>
      </c>
      <c r="O517" s="135">
        <v>0.9</v>
      </c>
      <c r="P517" s="133">
        <v>0.333333333333333</v>
      </c>
      <c r="Q517" s="133">
        <v>1</v>
      </c>
      <c r="R517" s="133" t="s">
        <v>35</v>
      </c>
      <c r="S517" s="133">
        <v>0.666666666666667</v>
      </c>
      <c r="T517" s="135">
        <v>0.9</v>
      </c>
      <c r="U517" s="133">
        <v>0</v>
      </c>
      <c r="V517" s="133">
        <v>1</v>
      </c>
      <c r="W517" s="133" t="s">
        <v>35</v>
      </c>
      <c r="X517" s="133">
        <v>0.666666666666667</v>
      </c>
      <c r="Y517" s="135">
        <v>0.92</v>
      </c>
      <c r="Z517" s="135">
        <v>0</v>
      </c>
      <c r="AA517" s="135" t="s">
        <v>35</v>
      </c>
      <c r="AB517" s="135" t="s">
        <v>35</v>
      </c>
      <c r="AC517" s="135">
        <v>0</v>
      </c>
      <c r="AD517" s="135">
        <v>0.92</v>
      </c>
      <c r="AE517" s="133">
        <v>1</v>
      </c>
      <c r="AF517" s="133">
        <v>0.987951807228916</v>
      </c>
      <c r="AG517" s="133">
        <v>0.992177314211212</v>
      </c>
      <c r="AH517" s="133">
        <v>0.996024900622516</v>
      </c>
      <c r="AI517" s="135">
        <v>0.92</v>
      </c>
      <c r="AJ517" s="133">
        <v>0.984475110892065</v>
      </c>
      <c r="AK517" s="133">
        <v>0.989780048878027</v>
      </c>
      <c r="AL517" s="133">
        <v>0.996000999750063</v>
      </c>
      <c r="AM517" s="133">
        <v>0.991973832494984</v>
      </c>
      <c r="AN517" s="132">
        <v>0.99</v>
      </c>
      <c r="AO517" s="137">
        <v>1</v>
      </c>
      <c r="AP517" s="137">
        <v>1</v>
      </c>
      <c r="AQ517" s="137">
        <v>1</v>
      </c>
      <c r="AR517" s="137">
        <v>1</v>
      </c>
      <c r="AS517" s="158">
        <v>0.05</v>
      </c>
      <c r="AT517" s="141">
        <v>0</v>
      </c>
      <c r="AU517" s="141">
        <v>0.0769230769230769</v>
      </c>
      <c r="AV517" s="141">
        <v>0</v>
      </c>
      <c r="AW517" s="141">
        <v>0.0362694300518135</v>
      </c>
      <c r="AX517" s="95"/>
      <c r="AY517" s="93"/>
    </row>
    <row r="518" ht="14.5" spans="1:51">
      <c r="A518" s="91"/>
      <c r="B518" s="95"/>
      <c r="C518" s="152" t="s">
        <v>375</v>
      </c>
      <c r="D518" s="153" t="s">
        <v>25</v>
      </c>
      <c r="E518" s="130" t="s">
        <v>376</v>
      </c>
      <c r="F518" s="154" t="s">
        <v>544</v>
      </c>
      <c r="G518" s="154" t="s">
        <v>544</v>
      </c>
      <c r="H518" s="154" t="s">
        <v>544</v>
      </c>
      <c r="I518" s="154" t="s">
        <v>544</v>
      </c>
      <c r="J518" s="132">
        <v>0.9</v>
      </c>
      <c r="K518" s="133">
        <v>0.962962962962963</v>
      </c>
      <c r="L518" s="133">
        <v>1</v>
      </c>
      <c r="M518" s="134">
        <v>0.96969696969697</v>
      </c>
      <c r="N518" s="133">
        <v>0.962633451957295</v>
      </c>
      <c r="O518" s="135">
        <v>0.9</v>
      </c>
      <c r="P518" s="133">
        <v>0.690009337068161</v>
      </c>
      <c r="Q518" s="133">
        <v>0.911764705882353</v>
      </c>
      <c r="R518" s="133">
        <v>0.924697754749568</v>
      </c>
      <c r="S518" s="133">
        <v>0.941313604223263</v>
      </c>
      <c r="T518" s="135">
        <v>0.9</v>
      </c>
      <c r="U518" s="133">
        <v>0.746031746031746</v>
      </c>
      <c r="V518" s="133">
        <v>0.833572453371593</v>
      </c>
      <c r="W518" s="133">
        <v>0.920898100172712</v>
      </c>
      <c r="X518" s="133">
        <v>0.903204053715585</v>
      </c>
      <c r="Y518" s="135">
        <v>0.92</v>
      </c>
      <c r="Z518" s="135">
        <v>0.788732394366197</v>
      </c>
      <c r="AA518" s="135">
        <v>0.829429735234216</v>
      </c>
      <c r="AB518" s="135">
        <v>0.878153515834675</v>
      </c>
      <c r="AC518" s="135">
        <v>0.840665123131972</v>
      </c>
      <c r="AD518" s="135">
        <v>0.92</v>
      </c>
      <c r="AE518" s="133">
        <v>0.96875</v>
      </c>
      <c r="AF518" s="133">
        <v>0.934782608695652</v>
      </c>
      <c r="AG518" s="133">
        <v>0.945205479452055</v>
      </c>
      <c r="AH518" s="133">
        <v>0.976136875281405</v>
      </c>
      <c r="AI518" s="135">
        <v>0.92</v>
      </c>
      <c r="AJ518" s="133">
        <v>0.843343343343343</v>
      </c>
      <c r="AK518" s="133">
        <v>0.874144599821482</v>
      </c>
      <c r="AL518" s="133">
        <v>0.940264095577447</v>
      </c>
      <c r="AM518" s="133">
        <v>0.962487207537848</v>
      </c>
      <c r="AN518" s="132">
        <v>0.99</v>
      </c>
      <c r="AO518" s="137">
        <v>1</v>
      </c>
      <c r="AP518" s="137">
        <v>1</v>
      </c>
      <c r="AQ518" s="137">
        <v>1</v>
      </c>
      <c r="AR518" s="137">
        <v>1</v>
      </c>
      <c r="AS518" s="158">
        <v>0.05</v>
      </c>
      <c r="AT518" s="141">
        <v>0.666666666666667</v>
      </c>
      <c r="AU518" s="141">
        <v>0</v>
      </c>
      <c r="AV518" s="141">
        <v>0.0769230769230769</v>
      </c>
      <c r="AW518" s="141">
        <v>0.0512820512820513</v>
      </c>
      <c r="AX518" s="95"/>
      <c r="AY518" s="93"/>
    </row>
    <row r="519" ht="14.5" spans="1:51">
      <c r="A519" s="91"/>
      <c r="B519" s="95"/>
      <c r="C519" s="152" t="s">
        <v>375</v>
      </c>
      <c r="D519" s="153" t="s">
        <v>25</v>
      </c>
      <c r="E519" s="130" t="s">
        <v>376</v>
      </c>
      <c r="F519" s="154" t="s">
        <v>545</v>
      </c>
      <c r="G519" s="154" t="s">
        <v>545</v>
      </c>
      <c r="H519" s="154" t="s">
        <v>545</v>
      </c>
      <c r="I519" s="154" t="s">
        <v>545</v>
      </c>
      <c r="J519" s="132">
        <v>0.9</v>
      </c>
      <c r="K519" s="133">
        <v>1</v>
      </c>
      <c r="L519" s="133">
        <v>1</v>
      </c>
      <c r="M519" s="134">
        <v>1</v>
      </c>
      <c r="N519" s="133">
        <v>0.988372093023256</v>
      </c>
      <c r="O519" s="135">
        <v>0.9</v>
      </c>
      <c r="P519" s="133">
        <v>0.952229299363057</v>
      </c>
      <c r="Q519" s="133">
        <v>0.949044585987261</v>
      </c>
      <c r="R519" s="133">
        <v>0.924242424242424</v>
      </c>
      <c r="S519" s="133">
        <v>0.961244263131056</v>
      </c>
      <c r="T519" s="135">
        <v>0.9</v>
      </c>
      <c r="U519" s="133">
        <v>0.941082802547771</v>
      </c>
      <c r="V519" s="133">
        <v>0.955414012738854</v>
      </c>
      <c r="W519" s="133">
        <v>0.915824915824916</v>
      </c>
      <c r="X519" s="133">
        <v>0.950280469148394</v>
      </c>
      <c r="Y519" s="135">
        <v>0.92</v>
      </c>
      <c r="Z519" s="135">
        <v>0.964788732394366</v>
      </c>
      <c r="AA519" s="135">
        <v>0.952836637047163</v>
      </c>
      <c r="AB519" s="135">
        <v>0.968068535825545</v>
      </c>
      <c r="AC519" s="135">
        <v>0.963911101879738</v>
      </c>
      <c r="AD519" s="135">
        <v>0.92</v>
      </c>
      <c r="AE519" s="133">
        <v>1</v>
      </c>
      <c r="AF519" s="133">
        <v>0.98</v>
      </c>
      <c r="AG519" s="133">
        <v>0.980769230769231</v>
      </c>
      <c r="AH519" s="133">
        <v>0.9812734082397</v>
      </c>
      <c r="AI519" s="135">
        <v>0.92</v>
      </c>
      <c r="AJ519" s="133">
        <v>0.973841554559043</v>
      </c>
      <c r="AK519" s="133">
        <v>0.96510178645617</v>
      </c>
      <c r="AL519" s="133">
        <v>0.976076555023923</v>
      </c>
      <c r="AM519" s="133">
        <v>0.974306210523307</v>
      </c>
      <c r="AN519" s="132">
        <v>0.99</v>
      </c>
      <c r="AO519" s="137">
        <v>1</v>
      </c>
      <c r="AP519" s="137">
        <v>1</v>
      </c>
      <c r="AQ519" s="137">
        <v>1</v>
      </c>
      <c r="AR519" s="137">
        <v>1</v>
      </c>
      <c r="AS519" s="158">
        <v>0.05</v>
      </c>
      <c r="AT519" s="141">
        <v>0.333333333333333</v>
      </c>
      <c r="AU519" s="141">
        <v>0</v>
      </c>
      <c r="AV519" s="141">
        <v>0</v>
      </c>
      <c r="AW519" s="141">
        <v>0.046875</v>
      </c>
      <c r="AX519" s="95"/>
      <c r="AY519" s="93"/>
    </row>
    <row r="520" ht="14.5" spans="1:51">
      <c r="A520" s="91"/>
      <c r="B520" s="95"/>
      <c r="C520" s="152" t="s">
        <v>375</v>
      </c>
      <c r="D520" s="153" t="s">
        <v>25</v>
      </c>
      <c r="E520" s="130" t="s">
        <v>376</v>
      </c>
      <c r="F520" s="154" t="s">
        <v>546</v>
      </c>
      <c r="G520" s="154" t="s">
        <v>546</v>
      </c>
      <c r="H520" s="154" t="s">
        <v>546</v>
      </c>
      <c r="I520" s="154" t="s">
        <v>546</v>
      </c>
      <c r="J520" s="132">
        <v>0.9</v>
      </c>
      <c r="K520" s="133">
        <v>0.966101694915254</v>
      </c>
      <c r="L520" s="133">
        <v>0.928571428571429</v>
      </c>
      <c r="M520" s="134">
        <v>0.9375</v>
      </c>
      <c r="N520" s="133">
        <v>0.922437673130194</v>
      </c>
      <c r="O520" s="135">
        <v>0.9</v>
      </c>
      <c r="P520" s="133">
        <v>0.764957264957265</v>
      </c>
      <c r="Q520" s="133">
        <v>0.775777414075286</v>
      </c>
      <c r="R520" s="133">
        <v>0.870414483087184</v>
      </c>
      <c r="S520" s="133">
        <v>0.829134892474172</v>
      </c>
      <c r="T520" s="135">
        <v>0.9</v>
      </c>
      <c r="U520" s="133">
        <v>0.762393162393162</v>
      </c>
      <c r="V520" s="133">
        <v>0.804255319148936</v>
      </c>
      <c r="W520" s="133">
        <v>0.885183420676513</v>
      </c>
      <c r="X520" s="133">
        <v>0.801533002685695</v>
      </c>
      <c r="Y520" s="135">
        <v>0.92</v>
      </c>
      <c r="Z520" s="135">
        <v>0.744670050761421</v>
      </c>
      <c r="AA520" s="135">
        <v>0.768129330254042</v>
      </c>
      <c r="AB520" s="135">
        <v>0.859556227937468</v>
      </c>
      <c r="AC520" s="135">
        <v>0.852866379668567</v>
      </c>
      <c r="AD520" s="135">
        <v>0.92</v>
      </c>
      <c r="AE520" s="133">
        <v>0.99825021872266</v>
      </c>
      <c r="AF520" s="133">
        <v>0.994344957587182</v>
      </c>
      <c r="AG520" s="133">
        <v>0.995648389904265</v>
      </c>
      <c r="AH520" s="133">
        <v>0.995205290713695</v>
      </c>
      <c r="AI520" s="135">
        <v>0.92</v>
      </c>
      <c r="AJ520" s="133">
        <v>0.831864564007421</v>
      </c>
      <c r="AK520" s="133">
        <v>0.826092840709162</v>
      </c>
      <c r="AL520" s="133">
        <v>0.899061419397332</v>
      </c>
      <c r="AM520" s="133">
        <v>0.896031196930625</v>
      </c>
      <c r="AN520" s="132">
        <v>0.99</v>
      </c>
      <c r="AO520" s="137">
        <v>1</v>
      </c>
      <c r="AP520" s="137">
        <v>1</v>
      </c>
      <c r="AQ520" s="137">
        <v>1</v>
      </c>
      <c r="AR520" s="137">
        <v>1</v>
      </c>
      <c r="AS520" s="158">
        <v>0.05</v>
      </c>
      <c r="AT520" s="141">
        <v>0.35</v>
      </c>
      <c r="AU520" s="141">
        <v>0</v>
      </c>
      <c r="AV520" s="141">
        <v>0.125</v>
      </c>
      <c r="AW520" s="141">
        <v>0.12797619047619</v>
      </c>
      <c r="AX520" s="95"/>
      <c r="AY520" s="93"/>
    </row>
    <row r="521" ht="14.5" spans="1:51">
      <c r="A521" s="91"/>
      <c r="B521" s="95"/>
      <c r="C521" s="152" t="s">
        <v>375</v>
      </c>
      <c r="D521" s="153" t="s">
        <v>25</v>
      </c>
      <c r="E521" s="130" t="s">
        <v>376</v>
      </c>
      <c r="F521" s="154" t="s">
        <v>547</v>
      </c>
      <c r="G521" s="154" t="s">
        <v>547</v>
      </c>
      <c r="H521" s="154" t="s">
        <v>547</v>
      </c>
      <c r="I521" s="154" t="s">
        <v>547</v>
      </c>
      <c r="J521" s="132">
        <v>0.9</v>
      </c>
      <c r="K521" s="133">
        <v>0.985714285714286</v>
      </c>
      <c r="L521" s="133">
        <v>0.986111111111111</v>
      </c>
      <c r="M521" s="134">
        <v>1</v>
      </c>
      <c r="N521" s="133">
        <v>0.987341772151899</v>
      </c>
      <c r="O521" s="135">
        <v>0.9</v>
      </c>
      <c r="P521" s="133">
        <v>0.947392497712717</v>
      </c>
      <c r="Q521" s="133">
        <v>0.961048158640227</v>
      </c>
      <c r="R521" s="133">
        <v>0.923256902199345</v>
      </c>
      <c r="S521" s="133">
        <v>0.964068731596407</v>
      </c>
      <c r="T521" s="135">
        <v>0.9</v>
      </c>
      <c r="U521" s="133">
        <v>0.862305580969808</v>
      </c>
      <c r="V521" s="133">
        <v>0.930949008498584</v>
      </c>
      <c r="W521" s="133">
        <v>0.880673841834347</v>
      </c>
      <c r="X521" s="133">
        <v>0.904562227440456</v>
      </c>
      <c r="Y521" s="135">
        <v>0.92</v>
      </c>
      <c r="Z521" s="135">
        <v>0.850728862973761</v>
      </c>
      <c r="AA521" s="135">
        <v>0.893182445487165</v>
      </c>
      <c r="AB521" s="135">
        <v>0.915340738516962</v>
      </c>
      <c r="AC521" s="135">
        <v>0.914350962564562</v>
      </c>
      <c r="AD521" s="135">
        <v>0.92</v>
      </c>
      <c r="AE521" s="133">
        <v>0.997293640054127</v>
      </c>
      <c r="AF521" s="133">
        <v>0.995384615384615</v>
      </c>
      <c r="AG521" s="133">
        <v>0.99938080495356</v>
      </c>
      <c r="AH521" s="133">
        <v>0.997078042819954</v>
      </c>
      <c r="AI521" s="135">
        <v>0.92</v>
      </c>
      <c r="AJ521" s="133">
        <v>0.911885245901639</v>
      </c>
      <c r="AK521" s="133">
        <v>0.930409175449473</v>
      </c>
      <c r="AL521" s="133">
        <v>0.939759036144578</v>
      </c>
      <c r="AM521" s="133">
        <v>0.948972698008981</v>
      </c>
      <c r="AN521" s="132">
        <v>0.99</v>
      </c>
      <c r="AO521" s="137">
        <v>1</v>
      </c>
      <c r="AP521" s="137">
        <v>1</v>
      </c>
      <c r="AQ521" s="137">
        <v>1</v>
      </c>
      <c r="AR521" s="137">
        <v>1</v>
      </c>
      <c r="AS521" s="158">
        <v>0.05</v>
      </c>
      <c r="AT521" s="141">
        <v>0.2</v>
      </c>
      <c r="AU521" s="141">
        <v>0.0869565217391304</v>
      </c>
      <c r="AV521" s="141">
        <v>0.0555555555555556</v>
      </c>
      <c r="AW521" s="141">
        <v>0.0526315789473684</v>
      </c>
      <c r="AX521" s="95"/>
      <c r="AY521" s="93"/>
    </row>
    <row r="522" ht="14.5" spans="1:51">
      <c r="A522" s="91"/>
      <c r="B522" s="95"/>
      <c r="C522" s="152" t="s">
        <v>375</v>
      </c>
      <c r="D522" s="153" t="s">
        <v>25</v>
      </c>
      <c r="E522" s="130" t="s">
        <v>376</v>
      </c>
      <c r="F522" s="154" t="s">
        <v>548</v>
      </c>
      <c r="G522" s="154" t="s">
        <v>548</v>
      </c>
      <c r="H522" s="154" t="s">
        <v>548</v>
      </c>
      <c r="I522" s="154" t="s">
        <v>548</v>
      </c>
      <c r="J522" s="132">
        <v>0.9</v>
      </c>
      <c r="K522" s="133">
        <v>1</v>
      </c>
      <c r="L522" s="133">
        <v>0.982758620689655</v>
      </c>
      <c r="M522" s="134">
        <v>0.982142857142857</v>
      </c>
      <c r="N522" s="133">
        <v>0.989669421487603</v>
      </c>
      <c r="O522" s="135">
        <v>0.9</v>
      </c>
      <c r="P522" s="133">
        <v>0.959897778651465</v>
      </c>
      <c r="Q522" s="133">
        <v>0.967413825579205</v>
      </c>
      <c r="R522" s="133">
        <v>0.954916273078575</v>
      </c>
      <c r="S522" s="133">
        <v>0.957012948174075</v>
      </c>
      <c r="T522" s="135">
        <v>0.9</v>
      </c>
      <c r="U522" s="133">
        <v>0.910359740515038</v>
      </c>
      <c r="V522" s="133">
        <v>0.933320776040686</v>
      </c>
      <c r="W522" s="133">
        <v>0.918634607127523</v>
      </c>
      <c r="X522" s="133">
        <v>0.908133314134444</v>
      </c>
      <c r="Y522" s="135">
        <v>0.92</v>
      </c>
      <c r="Z522" s="135">
        <v>0</v>
      </c>
      <c r="AA522" s="135">
        <v>0</v>
      </c>
      <c r="AB522" s="135" t="s">
        <v>35</v>
      </c>
      <c r="AC522" s="135">
        <v>0.166666666666667</v>
      </c>
      <c r="AD522" s="135">
        <v>0.92</v>
      </c>
      <c r="AE522" s="133">
        <v>0.963855421686747</v>
      </c>
      <c r="AF522" s="133">
        <v>0.972222222222222</v>
      </c>
      <c r="AG522" s="133">
        <v>0.992740471869328</v>
      </c>
      <c r="AH522" s="133">
        <v>0.989080164439877</v>
      </c>
      <c r="AI522" s="135">
        <v>0.92</v>
      </c>
      <c r="AJ522" s="133">
        <v>0.955786991550403</v>
      </c>
      <c r="AK522" s="133">
        <v>0.978907721280603</v>
      </c>
      <c r="AL522" s="133">
        <v>0.96672391584371</v>
      </c>
      <c r="AM522" s="133">
        <v>0.973861710728882</v>
      </c>
      <c r="AN522" s="132">
        <v>0.99</v>
      </c>
      <c r="AO522" s="137">
        <v>1</v>
      </c>
      <c r="AP522" s="137">
        <v>1</v>
      </c>
      <c r="AQ522" s="137">
        <v>1</v>
      </c>
      <c r="AR522" s="137">
        <v>1</v>
      </c>
      <c r="AS522" s="158">
        <v>0.05</v>
      </c>
      <c r="AT522" s="141">
        <v>0</v>
      </c>
      <c r="AU522" s="141">
        <v>0</v>
      </c>
      <c r="AV522" s="141">
        <v>0.0666666666666667</v>
      </c>
      <c r="AW522" s="141">
        <v>0.0593471810089021</v>
      </c>
      <c r="AX522" s="95"/>
      <c r="AY522" s="93"/>
    </row>
    <row r="523" ht="14.5" spans="1:51">
      <c r="A523" s="91"/>
      <c r="B523" s="95"/>
      <c r="C523" s="152" t="s">
        <v>375</v>
      </c>
      <c r="D523" s="153" t="s">
        <v>25</v>
      </c>
      <c r="E523" s="130" t="s">
        <v>376</v>
      </c>
      <c r="F523" s="154" t="s">
        <v>549</v>
      </c>
      <c r="G523" s="154" t="s">
        <v>549</v>
      </c>
      <c r="H523" s="154" t="s">
        <v>549</v>
      </c>
      <c r="I523" s="154" t="s">
        <v>549</v>
      </c>
      <c r="J523" s="132">
        <v>0.9</v>
      </c>
      <c r="K523" s="133">
        <v>0.968253968253968</v>
      </c>
      <c r="L523" s="133">
        <v>0.964912280701754</v>
      </c>
      <c r="M523" s="134">
        <v>0.966101694915254</v>
      </c>
      <c r="N523" s="133">
        <v>0.965740740740741</v>
      </c>
      <c r="O523" s="135">
        <v>0.9</v>
      </c>
      <c r="P523" s="133">
        <v>0.974354964816263</v>
      </c>
      <c r="Q523" s="133">
        <v>0.946606716313053</v>
      </c>
      <c r="R523" s="133">
        <v>0.933365758754864</v>
      </c>
      <c r="S523" s="133">
        <v>0.926550030953976</v>
      </c>
      <c r="T523" s="135">
        <v>0.9</v>
      </c>
      <c r="U523" s="133">
        <v>0.925723221266615</v>
      </c>
      <c r="V523" s="133">
        <v>0.936771111423353</v>
      </c>
      <c r="W523" s="133">
        <v>0.939688715953307</v>
      </c>
      <c r="X523" s="133">
        <v>0.930366274582969</v>
      </c>
      <c r="Y523" s="135">
        <v>0.92</v>
      </c>
      <c r="Z523" s="135">
        <v>0</v>
      </c>
      <c r="AA523" s="135">
        <v>0</v>
      </c>
      <c r="AB523" s="135" t="s">
        <v>35</v>
      </c>
      <c r="AC523" s="135">
        <v>0</v>
      </c>
      <c r="AD523" s="135">
        <v>0.92</v>
      </c>
      <c r="AE523" s="133">
        <v>0.996491228070175</v>
      </c>
      <c r="AF523" s="133">
        <v>0.886363636363636</v>
      </c>
      <c r="AG523" s="133">
        <v>0.984924623115578</v>
      </c>
      <c r="AH523" s="133">
        <v>0.994199272065514</v>
      </c>
      <c r="AI523" s="135">
        <v>0.92</v>
      </c>
      <c r="AJ523" s="133">
        <v>0.972174456776614</v>
      </c>
      <c r="AK523" s="133">
        <v>0.976678842371453</v>
      </c>
      <c r="AL523" s="133">
        <v>0.98848897535668</v>
      </c>
      <c r="AM523" s="133">
        <v>0.983353120759837</v>
      </c>
      <c r="AN523" s="132">
        <v>0.99</v>
      </c>
      <c r="AO523" s="137">
        <v>1</v>
      </c>
      <c r="AP523" s="137">
        <v>1</v>
      </c>
      <c r="AQ523" s="137">
        <v>1</v>
      </c>
      <c r="AR523" s="137">
        <v>1</v>
      </c>
      <c r="AS523" s="158">
        <v>0.05</v>
      </c>
      <c r="AT523" s="141">
        <v>0.0909090909090909</v>
      </c>
      <c r="AU523" s="141">
        <v>0.0833333333333333</v>
      </c>
      <c r="AV523" s="141">
        <v>0.0833333333333333</v>
      </c>
      <c r="AW523" s="141">
        <v>0.069672131147541</v>
      </c>
      <c r="AX523" s="95"/>
      <c r="AY523" s="93"/>
    </row>
    <row r="524" ht="14.5" spans="1:51">
      <c r="A524" s="91"/>
      <c r="B524" s="95"/>
      <c r="C524" s="152" t="s">
        <v>375</v>
      </c>
      <c r="D524" s="153" t="s">
        <v>25</v>
      </c>
      <c r="E524" s="130" t="s">
        <v>376</v>
      </c>
      <c r="F524" s="154" t="s">
        <v>550</v>
      </c>
      <c r="G524" s="154" t="s">
        <v>550</v>
      </c>
      <c r="H524" s="154" t="s">
        <v>550</v>
      </c>
      <c r="I524" s="154" t="s">
        <v>550</v>
      </c>
      <c r="J524" s="132">
        <v>0.9</v>
      </c>
      <c r="K524" s="133">
        <v>0.9375</v>
      </c>
      <c r="L524" s="133">
        <v>0.888888888888889</v>
      </c>
      <c r="M524" s="134">
        <v>0.882352941176471</v>
      </c>
      <c r="N524" s="133">
        <v>0.968531468531469</v>
      </c>
      <c r="O524" s="135">
        <v>0.9</v>
      </c>
      <c r="P524" s="133">
        <v>0.946688206785137</v>
      </c>
      <c r="Q524" s="133">
        <v>0.998711340206186</v>
      </c>
      <c r="R524" s="133">
        <v>0.869022869022869</v>
      </c>
      <c r="S524" s="133">
        <v>0.970439963336389</v>
      </c>
      <c r="T524" s="135">
        <v>0.9</v>
      </c>
      <c r="U524" s="133">
        <v>0.864297253634895</v>
      </c>
      <c r="V524" s="133">
        <v>0.882731958762887</v>
      </c>
      <c r="W524" s="133">
        <v>0.825363825363825</v>
      </c>
      <c r="X524" s="133">
        <v>0.894133822181485</v>
      </c>
      <c r="Y524" s="135">
        <v>0.92</v>
      </c>
      <c r="Z524" s="135">
        <v>0.967676767676768</v>
      </c>
      <c r="AA524" s="135">
        <v>0.873080859774821</v>
      </c>
      <c r="AB524" s="135">
        <v>0.909199522102748</v>
      </c>
      <c r="AC524" s="135">
        <v>0.94789389301851</v>
      </c>
      <c r="AD524" s="135">
        <v>0.92</v>
      </c>
      <c r="AE524" s="133">
        <v>1</v>
      </c>
      <c r="AF524" s="133">
        <v>1</v>
      </c>
      <c r="AG524" s="133">
        <v>0.989473684210526</v>
      </c>
      <c r="AH524" s="133">
        <v>0.989139515455305</v>
      </c>
      <c r="AI524" s="135">
        <v>0.92</v>
      </c>
      <c r="AJ524" s="133">
        <v>0.970483005366726</v>
      </c>
      <c r="AK524" s="133">
        <v>0.916382252559727</v>
      </c>
      <c r="AL524" s="133">
        <v>0.918367346938776</v>
      </c>
      <c r="AM524" s="133">
        <v>0.965067778936392</v>
      </c>
      <c r="AN524" s="132">
        <v>0.99</v>
      </c>
      <c r="AO524" s="137">
        <v>1</v>
      </c>
      <c r="AP524" s="137">
        <v>1</v>
      </c>
      <c r="AQ524" s="137">
        <v>1</v>
      </c>
      <c r="AR524" s="137">
        <v>1</v>
      </c>
      <c r="AS524" s="158">
        <v>0.05</v>
      </c>
      <c r="AT524" s="141">
        <v>1</v>
      </c>
      <c r="AU524" s="141">
        <v>0</v>
      </c>
      <c r="AV524" s="141">
        <v>0</v>
      </c>
      <c r="AW524" s="141">
        <v>0.0677966101694915</v>
      </c>
      <c r="AX524" s="95"/>
      <c r="AY524" s="93"/>
    </row>
    <row r="525" ht="14.5" spans="1:51">
      <c r="A525" s="91"/>
      <c r="B525" s="95"/>
      <c r="C525" s="152" t="s">
        <v>375</v>
      </c>
      <c r="D525" s="153" t="s">
        <v>25</v>
      </c>
      <c r="E525" s="130" t="s">
        <v>376</v>
      </c>
      <c r="F525" s="154" t="s">
        <v>551</v>
      </c>
      <c r="G525" s="154" t="s">
        <v>551</v>
      </c>
      <c r="H525" s="154" t="s">
        <v>551</v>
      </c>
      <c r="I525" s="154" t="s">
        <v>551</v>
      </c>
      <c r="J525" s="132">
        <v>0.9</v>
      </c>
      <c r="K525" s="133">
        <v>0.984126984126984</v>
      </c>
      <c r="L525" s="133">
        <v>0.952380952380952</v>
      </c>
      <c r="M525" s="134">
        <v>1</v>
      </c>
      <c r="N525" s="133">
        <v>0.98576512455516</v>
      </c>
      <c r="O525" s="135">
        <v>0.9</v>
      </c>
      <c r="P525" s="133">
        <v>0.977732793522267</v>
      </c>
      <c r="Q525" s="133">
        <v>0.985411140583554</v>
      </c>
      <c r="R525" s="133">
        <v>0.946741415557113</v>
      </c>
      <c r="S525" s="133">
        <v>0.978159874766449</v>
      </c>
      <c r="T525" s="135">
        <v>0.9</v>
      </c>
      <c r="U525" s="133">
        <v>0.87719298245614</v>
      </c>
      <c r="V525" s="133">
        <v>0.908488063660477</v>
      </c>
      <c r="W525" s="133">
        <v>0.844428871758935</v>
      </c>
      <c r="X525" s="133">
        <v>0.912589001666414</v>
      </c>
      <c r="Y525" s="135">
        <v>0.92</v>
      </c>
      <c r="Z525" s="135">
        <v>0.899945916711736</v>
      </c>
      <c r="AA525" s="135">
        <v>0.901059085841695</v>
      </c>
      <c r="AB525" s="135">
        <v>0.935290593169563</v>
      </c>
      <c r="AC525" s="135">
        <v>0.933972069467279</v>
      </c>
      <c r="AD525" s="135">
        <v>0.92</v>
      </c>
      <c r="AE525" s="133">
        <v>0.992895204262877</v>
      </c>
      <c r="AF525" s="133">
        <v>0.952631578947368</v>
      </c>
      <c r="AG525" s="133">
        <v>0.970961887477314</v>
      </c>
      <c r="AH525" s="133">
        <v>0.976302878829955</v>
      </c>
      <c r="AI525" s="135">
        <v>0.92</v>
      </c>
      <c r="AJ525" s="133">
        <v>0.923146202341639</v>
      </c>
      <c r="AK525" s="133">
        <v>0.931717309662001</v>
      </c>
      <c r="AL525" s="133">
        <v>0.950544844928751</v>
      </c>
      <c r="AM525" s="133">
        <v>0.953816756809275</v>
      </c>
      <c r="AN525" s="132">
        <v>0.99</v>
      </c>
      <c r="AO525" s="137">
        <v>1</v>
      </c>
      <c r="AP525" s="137">
        <v>1</v>
      </c>
      <c r="AQ525" s="137">
        <v>1</v>
      </c>
      <c r="AR525" s="137">
        <v>1</v>
      </c>
      <c r="AS525" s="158">
        <v>0.05</v>
      </c>
      <c r="AT525" s="141">
        <v>0</v>
      </c>
      <c r="AU525" s="141">
        <v>0.15</v>
      </c>
      <c r="AV525" s="141">
        <v>0</v>
      </c>
      <c r="AW525" s="141">
        <v>0.0842490842490843</v>
      </c>
      <c r="AX525" s="95"/>
      <c r="AY525" s="93"/>
    </row>
    <row r="526" ht="14.5" spans="1:51">
      <c r="A526" s="91"/>
      <c r="B526" s="95"/>
      <c r="C526" s="152" t="s">
        <v>375</v>
      </c>
      <c r="D526" s="153" t="s">
        <v>25</v>
      </c>
      <c r="E526" s="130" t="s">
        <v>376</v>
      </c>
      <c r="F526" s="154" t="s">
        <v>552</v>
      </c>
      <c r="G526" s="154" t="s">
        <v>552</v>
      </c>
      <c r="H526" s="154" t="s">
        <v>552</v>
      </c>
      <c r="I526" s="154" t="s">
        <v>552</v>
      </c>
      <c r="J526" s="132">
        <v>0.9</v>
      </c>
      <c r="K526" s="133">
        <v>1</v>
      </c>
      <c r="L526" s="133">
        <v>1</v>
      </c>
      <c r="M526" s="134">
        <v>1</v>
      </c>
      <c r="N526" s="133">
        <v>0.996742671009772</v>
      </c>
      <c r="O526" s="135">
        <v>0.9</v>
      </c>
      <c r="P526" s="133">
        <v>0.994878361075544</v>
      </c>
      <c r="Q526" s="133">
        <v>0.991437308868502</v>
      </c>
      <c r="R526" s="133">
        <v>0.984386617100372</v>
      </c>
      <c r="S526" s="133">
        <v>0.990359005139363</v>
      </c>
      <c r="T526" s="135">
        <v>0.9</v>
      </c>
      <c r="U526" s="133">
        <v>0.985915492957746</v>
      </c>
      <c r="V526" s="133">
        <v>0.985321100917431</v>
      </c>
      <c r="W526" s="133">
        <v>0.98364312267658</v>
      </c>
      <c r="X526" s="133">
        <v>0.97175226019432</v>
      </c>
      <c r="Y526" s="135">
        <v>0.92</v>
      </c>
      <c r="Z526" s="135">
        <v>0</v>
      </c>
      <c r="AA526" s="135" t="s">
        <v>35</v>
      </c>
      <c r="AB526" s="135">
        <v>1</v>
      </c>
      <c r="AC526" s="135">
        <v>0.5</v>
      </c>
      <c r="AD526" s="135">
        <v>0.92</v>
      </c>
      <c r="AE526" s="133">
        <v>1</v>
      </c>
      <c r="AF526" s="133">
        <v>0.994413407821229</v>
      </c>
      <c r="AG526" s="133">
        <v>1</v>
      </c>
      <c r="AH526" s="133">
        <v>0.992461488036709</v>
      </c>
      <c r="AI526" s="135">
        <v>0.92</v>
      </c>
      <c r="AJ526" s="133">
        <v>0.99744081893794</v>
      </c>
      <c r="AK526" s="133">
        <v>0.998165137614679</v>
      </c>
      <c r="AL526" s="133">
        <v>0.99925705794948</v>
      </c>
      <c r="AM526" s="133">
        <v>0.996961626467609</v>
      </c>
      <c r="AN526" s="132">
        <v>0.99</v>
      </c>
      <c r="AO526" s="137">
        <v>1</v>
      </c>
      <c r="AP526" s="137">
        <v>1</v>
      </c>
      <c r="AQ526" s="137">
        <v>1</v>
      </c>
      <c r="AR526" s="137">
        <v>1</v>
      </c>
      <c r="AS526" s="158">
        <v>0.05</v>
      </c>
      <c r="AT526" s="141">
        <v>0</v>
      </c>
      <c r="AU526" s="141">
        <v>0</v>
      </c>
      <c r="AV526" s="141">
        <v>0</v>
      </c>
      <c r="AW526" s="141">
        <v>0.115384615384615</v>
      </c>
      <c r="AX526" s="95"/>
      <c r="AY526" s="93"/>
    </row>
    <row r="527" ht="14.5" spans="1:51">
      <c r="A527" s="91"/>
      <c r="B527" s="95"/>
      <c r="C527" s="152" t="s">
        <v>375</v>
      </c>
      <c r="D527" s="153" t="s">
        <v>25</v>
      </c>
      <c r="E527" s="130" t="s">
        <v>376</v>
      </c>
      <c r="F527" s="154" t="s">
        <v>553</v>
      </c>
      <c r="G527" s="154" t="s">
        <v>553</v>
      </c>
      <c r="H527" s="154" t="s">
        <v>553</v>
      </c>
      <c r="I527" s="154" t="s">
        <v>553</v>
      </c>
      <c r="J527" s="132">
        <v>0.9</v>
      </c>
      <c r="K527" s="133">
        <v>0.975609756097561</v>
      </c>
      <c r="L527" s="133">
        <v>0.977777777777778</v>
      </c>
      <c r="M527" s="134">
        <v>1</v>
      </c>
      <c r="N527" s="133">
        <v>0.9846547314578</v>
      </c>
      <c r="O527" s="135">
        <v>0.9</v>
      </c>
      <c r="P527" s="133">
        <v>0.913117546848382</v>
      </c>
      <c r="Q527" s="133">
        <v>0.940747935891209</v>
      </c>
      <c r="R527" s="133">
        <v>0.919301164725458</v>
      </c>
      <c r="S527" s="133">
        <v>0.947302462560311</v>
      </c>
      <c r="T527" s="135">
        <v>0.9</v>
      </c>
      <c r="U527" s="133">
        <v>0.861158432708688</v>
      </c>
      <c r="V527" s="133">
        <v>0.911607576493443</v>
      </c>
      <c r="W527" s="133">
        <v>0.896006655574043</v>
      </c>
      <c r="X527" s="133">
        <v>0.912369196064916</v>
      </c>
      <c r="Y527" s="135">
        <v>0.92</v>
      </c>
      <c r="Z527" s="135">
        <v>0.926849542809643</v>
      </c>
      <c r="AA527" s="135">
        <v>0.955252180508153</v>
      </c>
      <c r="AB527" s="135">
        <v>0.942575145805294</v>
      </c>
      <c r="AC527" s="135">
        <v>0.954078174423859</v>
      </c>
      <c r="AD527" s="135">
        <v>0.92</v>
      </c>
      <c r="AE527" s="133">
        <v>1</v>
      </c>
      <c r="AF527" s="133">
        <v>0.984455958549223</v>
      </c>
      <c r="AG527" s="133">
        <v>0.989208633093525</v>
      </c>
      <c r="AH527" s="133">
        <v>0.989917269906929</v>
      </c>
      <c r="AI527" s="135">
        <v>0.92</v>
      </c>
      <c r="AJ527" s="133">
        <v>0.952461085401767</v>
      </c>
      <c r="AK527" s="133">
        <v>0.968949383241174</v>
      </c>
      <c r="AL527" s="133">
        <v>0.959581273626054</v>
      </c>
      <c r="AM527" s="133">
        <v>0.970267224248895</v>
      </c>
      <c r="AN527" s="132">
        <v>0.99</v>
      </c>
      <c r="AO527" s="137">
        <v>1</v>
      </c>
      <c r="AP527" s="137">
        <v>1</v>
      </c>
      <c r="AQ527" s="137">
        <v>1</v>
      </c>
      <c r="AR527" s="137">
        <v>1</v>
      </c>
      <c r="AS527" s="158">
        <v>0.05</v>
      </c>
      <c r="AT527" s="141">
        <v>0.2</v>
      </c>
      <c r="AU527" s="141">
        <v>0</v>
      </c>
      <c r="AV527" s="141">
        <v>0</v>
      </c>
      <c r="AW527" s="141">
        <v>0.0185185185185185</v>
      </c>
      <c r="AX527" s="95"/>
      <c r="AY527" s="93"/>
    </row>
    <row r="528" ht="14.5" spans="1:51">
      <c r="A528" s="91"/>
      <c r="B528" s="95"/>
      <c r="C528" s="152" t="s">
        <v>375</v>
      </c>
      <c r="D528" s="153" t="s">
        <v>25</v>
      </c>
      <c r="E528" s="130" t="s">
        <v>376</v>
      </c>
      <c r="F528" s="154" t="s">
        <v>554</v>
      </c>
      <c r="G528" s="154" t="s">
        <v>554</v>
      </c>
      <c r="H528" s="154" t="s">
        <v>554</v>
      </c>
      <c r="I528" s="154" t="s">
        <v>554</v>
      </c>
      <c r="J528" s="132">
        <v>0.9</v>
      </c>
      <c r="K528" s="133">
        <v>0.925925925925926</v>
      </c>
      <c r="L528" s="133">
        <v>0.954545454545455</v>
      </c>
      <c r="M528" s="134">
        <v>1</v>
      </c>
      <c r="N528" s="133">
        <v>0.93006993006993</v>
      </c>
      <c r="O528" s="135">
        <v>0.9</v>
      </c>
      <c r="P528" s="133">
        <v>0.937766410912191</v>
      </c>
      <c r="Q528" s="133">
        <v>0.821476510067114</v>
      </c>
      <c r="R528" s="133">
        <v>0.899175068744271</v>
      </c>
      <c r="S528" s="133">
        <v>0.907961647451574</v>
      </c>
      <c r="T528" s="135">
        <v>0.9</v>
      </c>
      <c r="U528" s="133">
        <v>0.854219948849105</v>
      </c>
      <c r="V528" s="133">
        <v>0.753691275167785</v>
      </c>
      <c r="W528" s="133">
        <v>0.811182401466544</v>
      </c>
      <c r="X528" s="133">
        <v>0.821357866542448</v>
      </c>
      <c r="Y528" s="135">
        <v>0.92</v>
      </c>
      <c r="Z528" s="135">
        <v>0.945623342175066</v>
      </c>
      <c r="AA528" s="135">
        <v>0.871532846715328</v>
      </c>
      <c r="AB528" s="135">
        <v>0.95968992248062</v>
      </c>
      <c r="AC528" s="135">
        <v>0.931502862132531</v>
      </c>
      <c r="AD528" s="135">
        <v>0.92</v>
      </c>
      <c r="AE528" s="133">
        <v>0.96875</v>
      </c>
      <c r="AF528" s="133">
        <v>0.878787878787879</v>
      </c>
      <c r="AG528" s="133">
        <v>0.98780487804878</v>
      </c>
      <c r="AH528" s="133">
        <v>0.941284403669725</v>
      </c>
      <c r="AI528" s="135">
        <v>0.92</v>
      </c>
      <c r="AJ528" s="133">
        <v>0.96215655780197</v>
      </c>
      <c r="AK528" s="133">
        <v>0.855796089385475</v>
      </c>
      <c r="AL528" s="133">
        <v>0.941719077568134</v>
      </c>
      <c r="AM528" s="133">
        <v>0.944048567307485</v>
      </c>
      <c r="AN528" s="132">
        <v>0.99</v>
      </c>
      <c r="AO528" s="137">
        <v>1</v>
      </c>
      <c r="AP528" s="137">
        <v>1</v>
      </c>
      <c r="AQ528" s="137">
        <v>1</v>
      </c>
      <c r="AR528" s="137">
        <v>1</v>
      </c>
      <c r="AS528" s="158">
        <v>0.05</v>
      </c>
      <c r="AT528" s="141">
        <v>0.166666666666667</v>
      </c>
      <c r="AU528" s="141">
        <v>0</v>
      </c>
      <c r="AV528" s="141">
        <v>0.333333333333333</v>
      </c>
      <c r="AW528" s="141">
        <v>0.08</v>
      </c>
      <c r="AX528" s="95"/>
      <c r="AY528" s="93"/>
    </row>
    <row r="529" ht="14.5" spans="1:51">
      <c r="A529" s="91"/>
      <c r="B529" s="95"/>
      <c r="C529" s="152" t="s">
        <v>375</v>
      </c>
      <c r="D529" s="153" t="s">
        <v>25</v>
      </c>
      <c r="E529" s="130" t="s">
        <v>376</v>
      </c>
      <c r="F529" s="154" t="s">
        <v>555</v>
      </c>
      <c r="G529" s="154" t="s">
        <v>555</v>
      </c>
      <c r="H529" s="154" t="s">
        <v>555</v>
      </c>
      <c r="I529" s="154" t="s">
        <v>555</v>
      </c>
      <c r="J529" s="132">
        <v>0.9</v>
      </c>
      <c r="K529" s="133">
        <v>0.953488372093023</v>
      </c>
      <c r="L529" s="133">
        <v>1</v>
      </c>
      <c r="M529" s="134">
        <v>1</v>
      </c>
      <c r="N529" s="133">
        <v>0.962386511024643</v>
      </c>
      <c r="O529" s="135">
        <v>0.9</v>
      </c>
      <c r="P529" s="133">
        <v>0.942814145974417</v>
      </c>
      <c r="Q529" s="133">
        <v>0.964658169177289</v>
      </c>
      <c r="R529" s="133">
        <v>0.96045197740113</v>
      </c>
      <c r="S529" s="133">
        <v>0.965642405657425</v>
      </c>
      <c r="T529" s="135">
        <v>0.9</v>
      </c>
      <c r="U529" s="133">
        <v>0.862302483069977</v>
      </c>
      <c r="V529" s="133">
        <v>0.90324449594438</v>
      </c>
      <c r="W529" s="133">
        <v>0.924435028248588</v>
      </c>
      <c r="X529" s="133">
        <v>0.87517992364979</v>
      </c>
      <c r="Y529" s="135">
        <v>0.92</v>
      </c>
      <c r="Z529" s="135">
        <v>0.934924078091106</v>
      </c>
      <c r="AA529" s="135">
        <v>0.951658234963463</v>
      </c>
      <c r="AB529" s="135">
        <v>0.965827338129496</v>
      </c>
      <c r="AC529" s="135">
        <v>0.95010703680685</v>
      </c>
      <c r="AD529" s="135">
        <v>0.92</v>
      </c>
      <c r="AE529" s="133">
        <v>0.99630314232902</v>
      </c>
      <c r="AF529" s="133">
        <v>0.980676328502415</v>
      </c>
      <c r="AG529" s="133">
        <v>0.989736070381232</v>
      </c>
      <c r="AH529" s="133">
        <v>0.980813863530868</v>
      </c>
      <c r="AI529" s="135">
        <v>0.92</v>
      </c>
      <c r="AJ529" s="133">
        <v>0.94636524822695</v>
      </c>
      <c r="AK529" s="133">
        <v>0.965507411630559</v>
      </c>
      <c r="AL529" s="133">
        <v>0.97737556561086</v>
      </c>
      <c r="AM529" s="133">
        <v>0.966731705717425</v>
      </c>
      <c r="AN529" s="132">
        <v>0.99</v>
      </c>
      <c r="AO529" s="137">
        <v>1</v>
      </c>
      <c r="AP529" s="137">
        <v>1</v>
      </c>
      <c r="AQ529" s="137">
        <v>1</v>
      </c>
      <c r="AR529" s="137">
        <v>1</v>
      </c>
      <c r="AS529" s="158">
        <v>0.05</v>
      </c>
      <c r="AT529" s="141">
        <v>0</v>
      </c>
      <c r="AU529" s="141">
        <v>0</v>
      </c>
      <c r="AV529" s="141">
        <v>0</v>
      </c>
      <c r="AW529" s="141">
        <v>0.0294117647058824</v>
      </c>
      <c r="AX529" s="95"/>
      <c r="AY529" s="93"/>
    </row>
    <row r="530" ht="14.5" spans="1:51">
      <c r="A530" s="91"/>
      <c r="B530" s="95"/>
      <c r="C530" s="152" t="s">
        <v>375</v>
      </c>
      <c r="D530" s="153" t="s">
        <v>25</v>
      </c>
      <c r="E530" s="130" t="s">
        <v>376</v>
      </c>
      <c r="F530" s="154" t="s">
        <v>556</v>
      </c>
      <c r="G530" s="154" t="s">
        <v>556</v>
      </c>
      <c r="H530" s="154" t="s">
        <v>556</v>
      </c>
      <c r="I530" s="154" t="s">
        <v>556</v>
      </c>
      <c r="J530" s="132">
        <v>0.9</v>
      </c>
      <c r="K530" s="133">
        <v>1</v>
      </c>
      <c r="L530" s="133">
        <v>1</v>
      </c>
      <c r="M530" s="134">
        <v>1</v>
      </c>
      <c r="N530" s="133">
        <v>0.982791586998088</v>
      </c>
      <c r="O530" s="135">
        <v>0.9</v>
      </c>
      <c r="P530" s="133">
        <v>0.903959945380064</v>
      </c>
      <c r="Q530" s="133">
        <v>0.923021840315073</v>
      </c>
      <c r="R530" s="133">
        <v>0.934854969091774</v>
      </c>
      <c r="S530" s="133">
        <v>0.938058735280215</v>
      </c>
      <c r="T530" s="135">
        <v>0.9</v>
      </c>
      <c r="U530" s="133">
        <v>0.859808830223031</v>
      </c>
      <c r="V530" s="133">
        <v>0.880415324024347</v>
      </c>
      <c r="W530" s="133">
        <v>0.921065145030908</v>
      </c>
      <c r="X530" s="133">
        <v>0.888694794385417</v>
      </c>
      <c r="Y530" s="135">
        <v>0.92</v>
      </c>
      <c r="Z530" s="135">
        <v>0.896574440052701</v>
      </c>
      <c r="AA530" s="135">
        <v>0.915878708835996</v>
      </c>
      <c r="AB530" s="135">
        <v>0.951191827468785</v>
      </c>
      <c r="AC530" s="135">
        <v>0.939927576841833</v>
      </c>
      <c r="AD530" s="135">
        <v>0.92</v>
      </c>
      <c r="AE530" s="133">
        <v>1</v>
      </c>
      <c r="AF530" s="133">
        <v>0.977035490605428</v>
      </c>
      <c r="AG530" s="133">
        <v>0.968011126564673</v>
      </c>
      <c r="AH530" s="133">
        <v>0.985513890162281</v>
      </c>
      <c r="AI530" s="135">
        <v>0.92</v>
      </c>
      <c r="AJ530" s="133">
        <v>0.929282065071256</v>
      </c>
      <c r="AK530" s="133">
        <v>0.937617180841998</v>
      </c>
      <c r="AL530" s="133">
        <v>0.96385035729298</v>
      </c>
      <c r="AM530" s="133">
        <v>0.95838675101406</v>
      </c>
      <c r="AN530" s="132">
        <v>0.99</v>
      </c>
      <c r="AO530" s="137">
        <v>1</v>
      </c>
      <c r="AP530" s="137">
        <v>1</v>
      </c>
      <c r="AQ530" s="137">
        <v>1</v>
      </c>
      <c r="AR530" s="137">
        <v>1</v>
      </c>
      <c r="AS530" s="158">
        <v>0.05</v>
      </c>
      <c r="AT530" s="141">
        <v>0.166666666666667</v>
      </c>
      <c r="AU530" s="141">
        <v>0</v>
      </c>
      <c r="AV530" s="141">
        <v>0</v>
      </c>
      <c r="AW530" s="141">
        <v>0.0601092896174863</v>
      </c>
      <c r="AX530" s="95"/>
      <c r="AY530" s="93"/>
    </row>
    <row r="531" ht="14.5" spans="1:51">
      <c r="A531" s="91"/>
      <c r="B531" s="95"/>
      <c r="C531" s="152" t="s">
        <v>375</v>
      </c>
      <c r="D531" s="153" t="s">
        <v>25</v>
      </c>
      <c r="E531" s="130" t="s">
        <v>376</v>
      </c>
      <c r="F531" s="154" t="s">
        <v>557</v>
      </c>
      <c r="G531" s="154" t="s">
        <v>557</v>
      </c>
      <c r="H531" s="154" t="s">
        <v>557</v>
      </c>
      <c r="I531" s="154" t="s">
        <v>557</v>
      </c>
      <c r="J531" s="132">
        <v>0.9</v>
      </c>
      <c r="K531" s="133">
        <v>0.947368421052632</v>
      </c>
      <c r="L531" s="133">
        <v>0.952380952380952</v>
      </c>
      <c r="M531" s="134">
        <v>0.9</v>
      </c>
      <c r="N531" s="133">
        <v>0.950867052023121</v>
      </c>
      <c r="O531" s="135">
        <v>0.9</v>
      </c>
      <c r="P531" s="133">
        <v>0.875801282051282</v>
      </c>
      <c r="Q531" s="133">
        <v>0.941860465116279</v>
      </c>
      <c r="R531" s="133">
        <v>0.899671052631579</v>
      </c>
      <c r="S531" s="133">
        <v>0.925644028103044</v>
      </c>
      <c r="T531" s="135">
        <v>0.9</v>
      </c>
      <c r="U531" s="133">
        <v>0.798076923076923</v>
      </c>
      <c r="V531" s="133">
        <v>0.905038759689923</v>
      </c>
      <c r="W531" s="133">
        <v>0.879934210526316</v>
      </c>
      <c r="X531" s="133">
        <v>0.872723132969035</v>
      </c>
      <c r="Y531" s="135">
        <v>0.92</v>
      </c>
      <c r="Z531" s="135">
        <v>0.856617647058823</v>
      </c>
      <c r="AA531" s="135">
        <v>0.900216919739696</v>
      </c>
      <c r="AB531" s="135">
        <v>0.925299890948746</v>
      </c>
      <c r="AC531" s="135">
        <v>0.937183422870299</v>
      </c>
      <c r="AD531" s="135">
        <v>0.92</v>
      </c>
      <c r="AE531" s="133">
        <v>0.959459459459459</v>
      </c>
      <c r="AF531" s="133">
        <v>0.9375</v>
      </c>
      <c r="AG531" s="133">
        <v>1</v>
      </c>
      <c r="AH531" s="133">
        <v>0.975191966922623</v>
      </c>
      <c r="AI531" s="135">
        <v>0.92</v>
      </c>
      <c r="AJ531" s="133">
        <v>0.919167473378509</v>
      </c>
      <c r="AK531" s="133">
        <v>0.935769004124926</v>
      </c>
      <c r="AL531" s="133">
        <v>0.949983654789147</v>
      </c>
      <c r="AM531" s="133">
        <v>0.962536479026757</v>
      </c>
      <c r="AN531" s="132">
        <v>0.99</v>
      </c>
      <c r="AO531" s="137">
        <v>1</v>
      </c>
      <c r="AP531" s="137">
        <v>1</v>
      </c>
      <c r="AQ531" s="137">
        <v>1</v>
      </c>
      <c r="AR531" s="137">
        <v>1</v>
      </c>
      <c r="AS531" s="158">
        <v>0.05</v>
      </c>
      <c r="AT531" s="141">
        <v>0</v>
      </c>
      <c r="AU531" s="141">
        <v>0</v>
      </c>
      <c r="AV531" s="141">
        <v>0.2</v>
      </c>
      <c r="AW531" s="141">
        <v>0.037037037037037</v>
      </c>
      <c r="AX531" s="95"/>
      <c r="AY531" s="93"/>
    </row>
    <row r="532" ht="14.5" spans="1:51">
      <c r="A532" s="91"/>
      <c r="B532" s="95"/>
      <c r="C532" s="152" t="s">
        <v>375</v>
      </c>
      <c r="D532" s="153" t="s">
        <v>25</v>
      </c>
      <c r="E532" s="130" t="s">
        <v>376</v>
      </c>
      <c r="F532" s="154" t="s">
        <v>558</v>
      </c>
      <c r="G532" s="154" t="s">
        <v>558</v>
      </c>
      <c r="H532" s="154" t="s">
        <v>558</v>
      </c>
      <c r="I532" s="154" t="s">
        <v>558</v>
      </c>
      <c r="J532" s="132">
        <v>0.9</v>
      </c>
      <c r="K532" s="133">
        <v>0.945454545454545</v>
      </c>
      <c r="L532" s="133">
        <v>0.944444444444444</v>
      </c>
      <c r="M532" s="134">
        <v>0.947368421052632</v>
      </c>
      <c r="N532" s="133">
        <v>0.955193482688391</v>
      </c>
      <c r="O532" s="135">
        <v>0.9</v>
      </c>
      <c r="P532" s="133">
        <v>0.988503744992162</v>
      </c>
      <c r="Q532" s="133">
        <v>0.973467804499612</v>
      </c>
      <c r="R532" s="133">
        <v>0.963259090043785</v>
      </c>
      <c r="S532" s="133">
        <v>0.981838216879539</v>
      </c>
      <c r="T532" s="135">
        <v>0.9</v>
      </c>
      <c r="U532" s="133">
        <v>0.942518724960808</v>
      </c>
      <c r="V532" s="133">
        <v>0.918851823118697</v>
      </c>
      <c r="W532" s="133">
        <v>0.945174186179326</v>
      </c>
      <c r="X532" s="133">
        <v>0.935056348610068</v>
      </c>
      <c r="Y532" s="135">
        <v>0.92</v>
      </c>
      <c r="Z532" s="135">
        <v>0</v>
      </c>
      <c r="AA532" s="135" t="s">
        <v>35</v>
      </c>
      <c r="AB532" s="135" t="s">
        <v>35</v>
      </c>
      <c r="AC532" s="135">
        <v>0.428571428571429</v>
      </c>
      <c r="AD532" s="135">
        <v>0.92</v>
      </c>
      <c r="AE532" s="133">
        <v>0.997899159663866</v>
      </c>
      <c r="AF532" s="133">
        <v>0.980874316939891</v>
      </c>
      <c r="AG532" s="133">
        <v>0.98974358974359</v>
      </c>
      <c r="AH532" s="133">
        <v>0.982722586038735</v>
      </c>
      <c r="AI532" s="135">
        <v>0.92</v>
      </c>
      <c r="AJ532" s="133">
        <v>0.984154623019328</v>
      </c>
      <c r="AK532" s="133">
        <v>0.977195159789016</v>
      </c>
      <c r="AL532" s="133">
        <v>0.98686464877213</v>
      </c>
      <c r="AM532" s="133">
        <v>0.983682913636637</v>
      </c>
      <c r="AN532" s="132">
        <v>0.99</v>
      </c>
      <c r="AO532" s="137">
        <v>1</v>
      </c>
      <c r="AP532" s="137">
        <v>1</v>
      </c>
      <c r="AQ532" s="137">
        <v>1</v>
      </c>
      <c r="AR532" s="137">
        <v>1</v>
      </c>
      <c r="AS532" s="158">
        <v>0.05</v>
      </c>
      <c r="AT532" s="141">
        <v>0.125</v>
      </c>
      <c r="AU532" s="141">
        <v>0</v>
      </c>
      <c r="AV532" s="141">
        <v>0.1</v>
      </c>
      <c r="AW532" s="141">
        <v>0.0294117647058824</v>
      </c>
      <c r="AX532" s="95"/>
      <c r="AY532" s="93"/>
    </row>
    <row r="533" ht="14.5" spans="1:51">
      <c r="A533" s="91"/>
      <c r="B533" s="95"/>
      <c r="C533" s="152" t="s">
        <v>375</v>
      </c>
      <c r="D533" s="153" t="s">
        <v>25</v>
      </c>
      <c r="E533" s="130" t="s">
        <v>376</v>
      </c>
      <c r="F533" s="154" t="s">
        <v>559</v>
      </c>
      <c r="G533" s="154" t="s">
        <v>559</v>
      </c>
      <c r="H533" s="154" t="s">
        <v>559</v>
      </c>
      <c r="I533" s="154" t="s">
        <v>559</v>
      </c>
      <c r="J533" s="132">
        <v>0.9</v>
      </c>
      <c r="K533" s="133">
        <v>0.983870967741935</v>
      </c>
      <c r="L533" s="133">
        <v>0.971014492753623</v>
      </c>
      <c r="M533" s="134">
        <v>0.918918918918919</v>
      </c>
      <c r="N533" s="133">
        <v>0.963666391412056</v>
      </c>
      <c r="O533" s="135">
        <v>0.9</v>
      </c>
      <c r="P533" s="133">
        <v>0.975262123197903</v>
      </c>
      <c r="Q533" s="133">
        <v>0.97149920023266</v>
      </c>
      <c r="R533" s="133">
        <v>0.978928884986831</v>
      </c>
      <c r="S533" s="133">
        <v>0.97027420098613</v>
      </c>
      <c r="T533" s="135">
        <v>0.9</v>
      </c>
      <c r="U533" s="133">
        <v>0.925131061598952</v>
      </c>
      <c r="V533" s="133">
        <v>0.922495274102079</v>
      </c>
      <c r="W533" s="133">
        <v>0.947146619841967</v>
      </c>
      <c r="X533" s="133">
        <v>0.917047994040651</v>
      </c>
      <c r="Y533" s="135">
        <v>0.92</v>
      </c>
      <c r="Z533" s="135">
        <v>0</v>
      </c>
      <c r="AA533" s="135" t="s">
        <v>35</v>
      </c>
      <c r="AB533" s="135" t="s">
        <v>35</v>
      </c>
      <c r="AC533" s="135">
        <v>0.5</v>
      </c>
      <c r="AD533" s="135">
        <v>0.92</v>
      </c>
      <c r="AE533" s="133">
        <v>1</v>
      </c>
      <c r="AF533" s="133">
        <v>0.984177215189873</v>
      </c>
      <c r="AG533" s="133">
        <v>0.997014925373134</v>
      </c>
      <c r="AH533" s="133">
        <v>0.99009900990099</v>
      </c>
      <c r="AI533" s="135">
        <v>0.92</v>
      </c>
      <c r="AJ533" s="133">
        <v>0.965443825745169</v>
      </c>
      <c r="AK533" s="133">
        <v>0.980078522611604</v>
      </c>
      <c r="AL533" s="133">
        <v>0.984196663740123</v>
      </c>
      <c r="AM533" s="133">
        <v>0.978966410101798</v>
      </c>
      <c r="AN533" s="132">
        <v>0.99</v>
      </c>
      <c r="AO533" s="137">
        <v>1</v>
      </c>
      <c r="AP533" s="137">
        <v>1</v>
      </c>
      <c r="AQ533" s="137">
        <v>1</v>
      </c>
      <c r="AR533" s="137">
        <v>1</v>
      </c>
      <c r="AS533" s="158">
        <v>0.05</v>
      </c>
      <c r="AT533" s="141">
        <v>0.0833333333333333</v>
      </c>
      <c r="AU533" s="141">
        <v>0.1</v>
      </c>
      <c r="AV533" s="141">
        <v>0.0588235294117647</v>
      </c>
      <c r="AW533" s="141">
        <v>0.0408163265306122</v>
      </c>
      <c r="AX533" s="95"/>
      <c r="AY533" s="93"/>
    </row>
    <row r="534" ht="14.5" spans="1:51">
      <c r="A534" s="91"/>
      <c r="B534" s="95"/>
      <c r="C534" s="152" t="s">
        <v>375</v>
      </c>
      <c r="D534" s="153" t="s">
        <v>25</v>
      </c>
      <c r="E534" s="130" t="s">
        <v>376</v>
      </c>
      <c r="F534" s="154" t="s">
        <v>560</v>
      </c>
      <c r="G534" s="154" t="s">
        <v>560</v>
      </c>
      <c r="H534" s="154" t="s">
        <v>560</v>
      </c>
      <c r="I534" s="154" t="s">
        <v>560</v>
      </c>
      <c r="J534" s="132">
        <v>0.9</v>
      </c>
      <c r="K534" s="133">
        <v>0.941176470588235</v>
      </c>
      <c r="L534" s="133">
        <v>0.972222222222222</v>
      </c>
      <c r="M534" s="134">
        <v>0.973684210526316</v>
      </c>
      <c r="N534" s="133">
        <v>0.969343065693431</v>
      </c>
      <c r="O534" s="135">
        <v>0.9</v>
      </c>
      <c r="P534" s="133">
        <v>0.928650137741047</v>
      </c>
      <c r="Q534" s="133">
        <v>0.94127093370039</v>
      </c>
      <c r="R534" s="133">
        <v>0.966201716738197</v>
      </c>
      <c r="S534" s="133">
        <v>0.950628765516963</v>
      </c>
      <c r="T534" s="135">
        <v>0.9</v>
      </c>
      <c r="U534" s="133">
        <v>0.898071625344353</v>
      </c>
      <c r="V534" s="133">
        <v>0.916035788024776</v>
      </c>
      <c r="W534" s="133">
        <v>0.95118025751073</v>
      </c>
      <c r="X534" s="133">
        <v>0.927472942191312</v>
      </c>
      <c r="Y534" s="135">
        <v>0.92</v>
      </c>
      <c r="Z534" s="135">
        <v>0.5</v>
      </c>
      <c r="AA534" s="135" t="s">
        <v>35</v>
      </c>
      <c r="AB534" s="135" t="s">
        <v>35</v>
      </c>
      <c r="AC534" s="135">
        <v>0.5</v>
      </c>
      <c r="AD534" s="135">
        <v>0.92</v>
      </c>
      <c r="AE534" s="133">
        <v>0.989690721649485</v>
      </c>
      <c r="AF534" s="133">
        <v>0.996261682242991</v>
      </c>
      <c r="AG534" s="133">
        <v>0.993630573248408</v>
      </c>
      <c r="AH534" s="133">
        <v>0.975895072669266</v>
      </c>
      <c r="AI534" s="135">
        <v>0.92</v>
      </c>
      <c r="AJ534" s="133">
        <v>0.95374449339207</v>
      </c>
      <c r="AK534" s="133">
        <v>0.972700160587291</v>
      </c>
      <c r="AL534" s="133">
        <v>0.984710300429185</v>
      </c>
      <c r="AM534" s="133">
        <v>0.982586897044355</v>
      </c>
      <c r="AN534" s="132">
        <v>0.99</v>
      </c>
      <c r="AO534" s="137">
        <v>1</v>
      </c>
      <c r="AP534" s="137">
        <v>1</v>
      </c>
      <c r="AQ534" s="137">
        <v>1</v>
      </c>
      <c r="AR534" s="137">
        <v>1</v>
      </c>
      <c r="AS534" s="158">
        <v>0.05</v>
      </c>
      <c r="AT534" s="141">
        <v>0</v>
      </c>
      <c r="AU534" s="141">
        <v>0</v>
      </c>
      <c r="AV534" s="141">
        <v>0.142857142857143</v>
      </c>
      <c r="AW534" s="141">
        <v>0.0424242424242424</v>
      </c>
      <c r="AX534" s="95"/>
      <c r="AY534" s="93"/>
    </row>
    <row r="535" ht="14.5" spans="1:51">
      <c r="A535" s="91"/>
      <c r="B535" s="95"/>
      <c r="C535" s="152" t="s">
        <v>375</v>
      </c>
      <c r="D535" s="153" t="s">
        <v>25</v>
      </c>
      <c r="E535" s="130" t="s">
        <v>376</v>
      </c>
      <c r="F535" s="154" t="s">
        <v>561</v>
      </c>
      <c r="G535" s="154" t="s">
        <v>561</v>
      </c>
      <c r="H535" s="154" t="s">
        <v>561</v>
      </c>
      <c r="I535" s="154" t="s">
        <v>561</v>
      </c>
      <c r="J535" s="132">
        <v>0.9</v>
      </c>
      <c r="K535" s="133">
        <v>0.885245901639344</v>
      </c>
      <c r="L535" s="133">
        <v>0.951612903225806</v>
      </c>
      <c r="M535" s="134">
        <v>0.914285714285714</v>
      </c>
      <c r="N535" s="133">
        <v>0.934725848563969</v>
      </c>
      <c r="O535" s="135">
        <v>0.9</v>
      </c>
      <c r="P535" s="133">
        <v>0.5</v>
      </c>
      <c r="Q535" s="133">
        <v>0</v>
      </c>
      <c r="R535" s="133">
        <v>0</v>
      </c>
      <c r="S535" s="133">
        <v>0.307692307692308</v>
      </c>
      <c r="T535" s="135">
        <v>0.9</v>
      </c>
      <c r="U535" s="133">
        <v>0.5</v>
      </c>
      <c r="V535" s="133">
        <v>0</v>
      </c>
      <c r="W535" s="133">
        <v>0</v>
      </c>
      <c r="X535" s="133">
        <v>0.615384615384615</v>
      </c>
      <c r="Y535" s="135">
        <v>0.92</v>
      </c>
      <c r="Z535" s="135" t="s">
        <v>35</v>
      </c>
      <c r="AA535" s="135" t="s">
        <v>35</v>
      </c>
      <c r="AB535" s="135" t="s">
        <v>35</v>
      </c>
      <c r="AC535" s="135">
        <v>0.5</v>
      </c>
      <c r="AD535" s="135">
        <v>0.92</v>
      </c>
      <c r="AE535" s="133">
        <v>0.993794326241135</v>
      </c>
      <c r="AF535" s="133">
        <v>0.994368463395012</v>
      </c>
      <c r="AG535" s="133">
        <v>0.997827661115134</v>
      </c>
      <c r="AH535" s="133">
        <v>0.949217748140549</v>
      </c>
      <c r="AI535" s="135">
        <v>0.92</v>
      </c>
      <c r="AJ535" s="133">
        <v>0.942664418212479</v>
      </c>
      <c r="AK535" s="133">
        <v>0.964073829927488</v>
      </c>
      <c r="AL535" s="133">
        <v>0.98134328358209</v>
      </c>
      <c r="AM535" s="133">
        <v>0.976163082004936</v>
      </c>
      <c r="AN535" s="132">
        <v>0.99</v>
      </c>
      <c r="AO535" s="137">
        <v>1</v>
      </c>
      <c r="AP535" s="137">
        <v>1</v>
      </c>
      <c r="AQ535" s="137">
        <v>1</v>
      </c>
      <c r="AR535" s="137">
        <v>1</v>
      </c>
      <c r="AS535" s="158">
        <v>0.05</v>
      </c>
      <c r="AT535" s="141">
        <v>0.2</v>
      </c>
      <c r="AU535" s="141">
        <v>0.117647058823529</v>
      </c>
      <c r="AV535" s="141">
        <v>0.111111111111111</v>
      </c>
      <c r="AW535" s="141">
        <v>0.0898203592814371</v>
      </c>
      <c r="AX535" s="95"/>
      <c r="AY535" s="93"/>
    </row>
    <row r="536" ht="14.5" spans="1:51">
      <c r="A536" s="91"/>
      <c r="B536" s="95"/>
      <c r="C536" s="152" t="s">
        <v>375</v>
      </c>
      <c r="D536" s="153" t="s">
        <v>25</v>
      </c>
      <c r="E536" s="130" t="s">
        <v>376</v>
      </c>
      <c r="F536" s="154" t="s">
        <v>562</v>
      </c>
      <c r="G536" s="154" t="s">
        <v>562</v>
      </c>
      <c r="H536" s="154" t="s">
        <v>562</v>
      </c>
      <c r="I536" s="154" t="s">
        <v>562</v>
      </c>
      <c r="J536" s="132">
        <v>0.9</v>
      </c>
      <c r="K536" s="133">
        <v>1</v>
      </c>
      <c r="L536" s="133">
        <v>0.933333333333333</v>
      </c>
      <c r="M536" s="134">
        <v>0.96875</v>
      </c>
      <c r="N536" s="133">
        <v>0.940952380952381</v>
      </c>
      <c r="O536" s="135">
        <v>0.9</v>
      </c>
      <c r="P536" s="133">
        <v>0.938105891126025</v>
      </c>
      <c r="Q536" s="133">
        <v>0.937777777777778</v>
      </c>
      <c r="R536" s="133">
        <v>0.960629921259842</v>
      </c>
      <c r="S536" s="133">
        <v>0.951105258613246</v>
      </c>
      <c r="T536" s="135">
        <v>0.9</v>
      </c>
      <c r="U536" s="133">
        <v>0.879567486950037</v>
      </c>
      <c r="V536" s="133">
        <v>0.937435897435897</v>
      </c>
      <c r="W536" s="133">
        <v>0.928740157480315</v>
      </c>
      <c r="X536" s="133">
        <v>0.930878162507556</v>
      </c>
      <c r="Y536" s="135">
        <v>0.92</v>
      </c>
      <c r="Z536" s="135" t="s">
        <v>35</v>
      </c>
      <c r="AA536" s="135">
        <v>0</v>
      </c>
      <c r="AB536" s="135" t="s">
        <v>35</v>
      </c>
      <c r="AC536" s="135">
        <v>0</v>
      </c>
      <c r="AD536" s="135">
        <v>0.92</v>
      </c>
      <c r="AE536" s="133">
        <v>1</v>
      </c>
      <c r="AF536" s="133">
        <v>0.761904761904762</v>
      </c>
      <c r="AG536" s="133">
        <v>0.928571428571429</v>
      </c>
      <c r="AH536" s="133">
        <v>0.936619718309859</v>
      </c>
      <c r="AI536" s="135">
        <v>0.92</v>
      </c>
      <c r="AJ536" s="133">
        <v>0.951373422420193</v>
      </c>
      <c r="AK536" s="133">
        <v>0.973738062755798</v>
      </c>
      <c r="AL536" s="133">
        <v>0.985433070866142</v>
      </c>
      <c r="AM536" s="133">
        <v>0.980103359173127</v>
      </c>
      <c r="AN536" s="132">
        <v>0.99</v>
      </c>
      <c r="AO536" s="137">
        <v>1</v>
      </c>
      <c r="AP536" s="137">
        <v>1</v>
      </c>
      <c r="AQ536" s="137">
        <v>1</v>
      </c>
      <c r="AR536" s="137">
        <v>1</v>
      </c>
      <c r="AS536" s="158">
        <v>0.05</v>
      </c>
      <c r="AT536" s="141">
        <v>0.25</v>
      </c>
      <c r="AU536" s="141">
        <v>0</v>
      </c>
      <c r="AV536" s="141">
        <v>0</v>
      </c>
      <c r="AW536" s="141">
        <v>0.0869565217391304</v>
      </c>
      <c r="AX536" s="95"/>
      <c r="AY536" s="93"/>
    </row>
    <row r="537" ht="14.5" spans="1:51">
      <c r="A537" s="91"/>
      <c r="B537" s="95"/>
      <c r="C537" s="152" t="s">
        <v>375</v>
      </c>
      <c r="D537" s="153" t="s">
        <v>25</v>
      </c>
      <c r="E537" s="130" t="s">
        <v>376</v>
      </c>
      <c r="F537" s="154" t="s">
        <v>563</v>
      </c>
      <c r="G537" s="154" t="s">
        <v>563</v>
      </c>
      <c r="H537" s="154" t="s">
        <v>563</v>
      </c>
      <c r="I537" s="154" t="s">
        <v>563</v>
      </c>
      <c r="J537" s="132">
        <v>0.9</v>
      </c>
      <c r="K537" s="133">
        <v>0.903225806451613</v>
      </c>
      <c r="L537" s="133">
        <v>0.806451612903226</v>
      </c>
      <c r="M537" s="134">
        <v>0.875</v>
      </c>
      <c r="N537" s="133">
        <v>0.91858407079646</v>
      </c>
      <c r="O537" s="135">
        <v>0.9</v>
      </c>
      <c r="P537" s="133">
        <v>0.901721664275466</v>
      </c>
      <c r="Q537" s="133">
        <v>0.887280248190279</v>
      </c>
      <c r="R537" s="133">
        <v>0.940972222222222</v>
      </c>
      <c r="S537" s="133">
        <v>0.858876794143146</v>
      </c>
      <c r="T537" s="135">
        <v>0.9</v>
      </c>
      <c r="U537" s="133">
        <v>0.746413199426112</v>
      </c>
      <c r="V537" s="133">
        <v>0.928990003447087</v>
      </c>
      <c r="W537" s="133">
        <v>0.889274691358025</v>
      </c>
      <c r="X537" s="133">
        <v>0.914805895385801</v>
      </c>
      <c r="Y537" s="135">
        <v>0.92</v>
      </c>
      <c r="Z537" s="135" t="s">
        <v>35</v>
      </c>
      <c r="AA537" s="135">
        <v>0</v>
      </c>
      <c r="AB537" s="135" t="s">
        <v>35</v>
      </c>
      <c r="AC537" s="135">
        <v>0</v>
      </c>
      <c r="AD537" s="135">
        <v>0.92</v>
      </c>
      <c r="AE537" s="133">
        <v>0.688888888888889</v>
      </c>
      <c r="AF537" s="133">
        <v>0.98804780876494</v>
      </c>
      <c r="AG537" s="133">
        <v>0.977611940298508</v>
      </c>
      <c r="AH537" s="133">
        <v>0.89703552840009</v>
      </c>
      <c r="AI537" s="135">
        <v>0.92</v>
      </c>
      <c r="AJ537" s="133">
        <v>0.826771653543307</v>
      </c>
      <c r="AK537" s="133">
        <v>0.957673778389539</v>
      </c>
      <c r="AL537" s="133">
        <v>0.969556840077071</v>
      </c>
      <c r="AM537" s="133">
        <v>0.962808882725679</v>
      </c>
      <c r="AN537" s="132">
        <v>0.99</v>
      </c>
      <c r="AO537" s="137">
        <v>1</v>
      </c>
      <c r="AP537" s="137">
        <v>1</v>
      </c>
      <c r="AQ537" s="137">
        <v>1</v>
      </c>
      <c r="AR537" s="137">
        <v>1</v>
      </c>
      <c r="AS537" s="158">
        <v>0.05</v>
      </c>
      <c r="AT537" s="141">
        <v>0</v>
      </c>
      <c r="AU537" s="141">
        <v>0.125</v>
      </c>
      <c r="AV537" s="141">
        <v>0.0769230769230769</v>
      </c>
      <c r="AW537" s="141">
        <v>0.072</v>
      </c>
      <c r="AX537" s="95"/>
      <c r="AY537" s="93"/>
    </row>
    <row r="538" ht="14.5" spans="1:51">
      <c r="A538" s="91"/>
      <c r="B538" s="95"/>
      <c r="C538" s="152" t="s">
        <v>375</v>
      </c>
      <c r="D538" s="153" t="s">
        <v>25</v>
      </c>
      <c r="E538" s="130" t="s">
        <v>376</v>
      </c>
      <c r="F538" s="154" t="s">
        <v>564</v>
      </c>
      <c r="G538" s="154" t="s">
        <v>564</v>
      </c>
      <c r="H538" s="154" t="s">
        <v>564</v>
      </c>
      <c r="I538" s="154" t="s">
        <v>564</v>
      </c>
      <c r="J538" s="132">
        <v>0.9</v>
      </c>
      <c r="K538" s="133">
        <v>0.964285714285714</v>
      </c>
      <c r="L538" s="133">
        <v>0.951612903225806</v>
      </c>
      <c r="M538" s="134">
        <v>0.936507936507937</v>
      </c>
      <c r="N538" s="133">
        <v>0.959372114496768</v>
      </c>
      <c r="O538" s="135">
        <v>0.9</v>
      </c>
      <c r="P538" s="133">
        <v>0.375</v>
      </c>
      <c r="Q538" s="133">
        <v>0.5</v>
      </c>
      <c r="R538" s="133">
        <v>0.333333333333333</v>
      </c>
      <c r="S538" s="133">
        <v>0.434782608695652</v>
      </c>
      <c r="T538" s="135">
        <v>0.9</v>
      </c>
      <c r="U538" s="133">
        <v>0</v>
      </c>
      <c r="V538" s="133">
        <v>0</v>
      </c>
      <c r="W538" s="133">
        <v>0</v>
      </c>
      <c r="X538" s="133">
        <v>0.304347826086957</v>
      </c>
      <c r="Y538" s="135">
        <v>0.92</v>
      </c>
      <c r="Z538" s="135" t="s">
        <v>35</v>
      </c>
      <c r="AA538" s="135">
        <v>0</v>
      </c>
      <c r="AB538" s="135" t="s">
        <v>35</v>
      </c>
      <c r="AC538" s="135">
        <v>0.2</v>
      </c>
      <c r="AD538" s="135">
        <v>0.92</v>
      </c>
      <c r="AE538" s="133">
        <v>0.950155763239875</v>
      </c>
      <c r="AF538" s="133">
        <v>0.990639625585023</v>
      </c>
      <c r="AG538" s="133">
        <v>0.992469879518072</v>
      </c>
      <c r="AH538" s="133">
        <v>0.987053994316388</v>
      </c>
      <c r="AI538" s="135">
        <v>0.92</v>
      </c>
      <c r="AJ538" s="133">
        <v>0.866913746630728</v>
      </c>
      <c r="AK538" s="133">
        <v>0.940201005025126</v>
      </c>
      <c r="AL538" s="133">
        <v>0.963998538011696</v>
      </c>
      <c r="AM538" s="133">
        <v>0.956308413440927</v>
      </c>
      <c r="AN538" s="132">
        <v>0.99</v>
      </c>
      <c r="AO538" s="137">
        <v>1</v>
      </c>
      <c r="AP538" s="137">
        <v>1</v>
      </c>
      <c r="AQ538" s="137">
        <v>1</v>
      </c>
      <c r="AR538" s="137">
        <v>1</v>
      </c>
      <c r="AS538" s="158">
        <v>0.05</v>
      </c>
      <c r="AT538" s="141">
        <v>0</v>
      </c>
      <c r="AU538" s="141">
        <v>0</v>
      </c>
      <c r="AV538" s="141">
        <v>0.1</v>
      </c>
      <c r="AW538" s="141">
        <v>0.0448275862068966</v>
      </c>
      <c r="AX538" s="95"/>
      <c r="AY538" s="93"/>
    </row>
    <row r="539" ht="14.5" spans="1:51">
      <c r="A539" s="91"/>
      <c r="B539" s="95"/>
      <c r="C539" s="152" t="s">
        <v>375</v>
      </c>
      <c r="D539" s="153" t="s">
        <v>25</v>
      </c>
      <c r="E539" s="130" t="s">
        <v>376</v>
      </c>
      <c r="F539" s="154" t="s">
        <v>565</v>
      </c>
      <c r="G539" s="154" t="s">
        <v>565</v>
      </c>
      <c r="H539" s="154" t="s">
        <v>565</v>
      </c>
      <c r="I539" s="154" t="s">
        <v>565</v>
      </c>
      <c r="J539" s="132">
        <v>0.9</v>
      </c>
      <c r="K539" s="133">
        <v>0.967741935483871</v>
      </c>
      <c r="L539" s="133">
        <v>0.966666666666667</v>
      </c>
      <c r="M539" s="134">
        <v>1</v>
      </c>
      <c r="N539" s="133">
        <v>0.958333333333333</v>
      </c>
      <c r="O539" s="135">
        <v>0.9</v>
      </c>
      <c r="P539" s="133">
        <v>0</v>
      </c>
      <c r="Q539" s="133" t="s">
        <v>35</v>
      </c>
      <c r="R539" s="133">
        <v>0</v>
      </c>
      <c r="S539" s="133">
        <v>0.272727272727273</v>
      </c>
      <c r="T539" s="135">
        <v>0.9</v>
      </c>
      <c r="U539" s="133">
        <v>0.2</v>
      </c>
      <c r="V539" s="133" t="s">
        <v>35</v>
      </c>
      <c r="W539" s="133">
        <v>1</v>
      </c>
      <c r="X539" s="133">
        <v>0.636363636363636</v>
      </c>
      <c r="Y539" s="135">
        <v>0.92</v>
      </c>
      <c r="Z539" s="135" t="s">
        <v>35</v>
      </c>
      <c r="AA539" s="135" t="s">
        <v>35</v>
      </c>
      <c r="AB539" s="135" t="s">
        <v>35</v>
      </c>
      <c r="AC539" s="135">
        <v>0</v>
      </c>
      <c r="AD539" s="135">
        <v>0.92</v>
      </c>
      <c r="AE539" s="133">
        <v>0.995515695067265</v>
      </c>
      <c r="AF539" s="133">
        <v>0.99400479616307</v>
      </c>
      <c r="AG539" s="133">
        <v>0.997950819672131</v>
      </c>
      <c r="AH539" s="133">
        <v>0.994581948035956</v>
      </c>
      <c r="AI539" s="135">
        <v>0.92</v>
      </c>
      <c r="AJ539" s="133">
        <v>0.963317911434237</v>
      </c>
      <c r="AK539" s="133">
        <v>0.969377339231031</v>
      </c>
      <c r="AL539" s="133">
        <v>0.979094076655052</v>
      </c>
      <c r="AM539" s="133">
        <v>0.980535697264322</v>
      </c>
      <c r="AN539" s="132">
        <v>0.99</v>
      </c>
      <c r="AO539" s="137">
        <v>1</v>
      </c>
      <c r="AP539" s="137">
        <v>1</v>
      </c>
      <c r="AQ539" s="137">
        <v>1</v>
      </c>
      <c r="AR539" s="137">
        <v>1</v>
      </c>
      <c r="AS539" s="158">
        <v>0.05</v>
      </c>
      <c r="AT539" s="141">
        <v>0.5</v>
      </c>
      <c r="AU539" s="141">
        <v>0</v>
      </c>
      <c r="AV539" s="141">
        <v>0</v>
      </c>
      <c r="AW539" s="141">
        <v>0.0307692307692308</v>
      </c>
      <c r="AX539" s="95"/>
      <c r="AY539" s="93"/>
    </row>
    <row r="540" ht="14.5" spans="1:51">
      <c r="A540" s="91"/>
      <c r="B540" s="95"/>
      <c r="C540" s="152" t="s">
        <v>375</v>
      </c>
      <c r="D540" s="153" t="s">
        <v>25</v>
      </c>
      <c r="E540" s="130" t="s">
        <v>376</v>
      </c>
      <c r="F540" s="154" t="s">
        <v>566</v>
      </c>
      <c r="G540" s="154" t="s">
        <v>566</v>
      </c>
      <c r="H540" s="154" t="s">
        <v>566</v>
      </c>
      <c r="I540" s="154" t="s">
        <v>566</v>
      </c>
      <c r="J540" s="132">
        <v>0.9</v>
      </c>
      <c r="K540" s="133">
        <v>0.9375</v>
      </c>
      <c r="L540" s="133">
        <v>0.955223880597015</v>
      </c>
      <c r="M540" s="134">
        <v>0.942857142857143</v>
      </c>
      <c r="N540" s="133">
        <v>0.921501706484642</v>
      </c>
      <c r="O540" s="135">
        <v>0.9</v>
      </c>
      <c r="P540" s="133">
        <v>0</v>
      </c>
      <c r="Q540" s="133">
        <v>0</v>
      </c>
      <c r="R540" s="133" t="s">
        <v>35</v>
      </c>
      <c r="S540" s="133">
        <v>0.375</v>
      </c>
      <c r="T540" s="135">
        <v>0.9</v>
      </c>
      <c r="U540" s="133">
        <v>0.333333333333333</v>
      </c>
      <c r="V540" s="133">
        <v>0</v>
      </c>
      <c r="W540" s="133" t="s">
        <v>35</v>
      </c>
      <c r="X540" s="133">
        <v>0.375</v>
      </c>
      <c r="Y540" s="135">
        <v>0.92</v>
      </c>
      <c r="Z540" s="135" t="s">
        <v>35</v>
      </c>
      <c r="AA540" s="135" t="s">
        <v>35</v>
      </c>
      <c r="AB540" s="135">
        <v>1</v>
      </c>
      <c r="AC540" s="135">
        <v>0.666666666666667</v>
      </c>
      <c r="AD540" s="135">
        <v>0.92</v>
      </c>
      <c r="AE540" s="133">
        <v>0.970873786407767</v>
      </c>
      <c r="AF540" s="133">
        <v>0.96</v>
      </c>
      <c r="AG540" s="133">
        <v>0.990909090909091</v>
      </c>
      <c r="AH540" s="133">
        <v>0.966159882295243</v>
      </c>
      <c r="AI540" s="135">
        <v>0.92</v>
      </c>
      <c r="AJ540" s="133">
        <v>0.942232097077423</v>
      </c>
      <c r="AK540" s="133">
        <v>0.974585464125213</v>
      </c>
      <c r="AL540" s="133">
        <v>0.974831925530081</v>
      </c>
      <c r="AM540" s="133">
        <v>0.977391082291353</v>
      </c>
      <c r="AN540" s="132">
        <v>0.99</v>
      </c>
      <c r="AO540" s="137">
        <v>1</v>
      </c>
      <c r="AP540" s="137">
        <v>1</v>
      </c>
      <c r="AQ540" s="137">
        <v>1</v>
      </c>
      <c r="AR540" s="137">
        <v>1</v>
      </c>
      <c r="AS540" s="158">
        <v>0.05</v>
      </c>
      <c r="AT540" s="141">
        <v>0</v>
      </c>
      <c r="AU540" s="141">
        <v>0.0909090909090909</v>
      </c>
      <c r="AV540" s="141">
        <v>0.0526315789473684</v>
      </c>
      <c r="AW540" s="141">
        <v>0.0333333333333333</v>
      </c>
      <c r="AX540" s="95"/>
      <c r="AY540" s="93"/>
    </row>
    <row r="541" ht="14.5" spans="1:51">
      <c r="A541" s="91"/>
      <c r="B541" s="95"/>
      <c r="C541" s="152" t="s">
        <v>375</v>
      </c>
      <c r="D541" s="153" t="s">
        <v>25</v>
      </c>
      <c r="E541" s="130" t="s">
        <v>376</v>
      </c>
      <c r="F541" s="154" t="s">
        <v>567</v>
      </c>
      <c r="G541" s="154" t="s">
        <v>567</v>
      </c>
      <c r="H541" s="154" t="s">
        <v>567</v>
      </c>
      <c r="I541" s="154" t="s">
        <v>567</v>
      </c>
      <c r="J541" s="132">
        <v>0.9</v>
      </c>
      <c r="K541" s="133">
        <v>1</v>
      </c>
      <c r="L541" s="133">
        <v>0.972222222222222</v>
      </c>
      <c r="M541" s="134">
        <v>1</v>
      </c>
      <c r="N541" s="133">
        <v>0.982484076433121</v>
      </c>
      <c r="O541" s="135">
        <v>0.9</v>
      </c>
      <c r="P541" s="133">
        <v>0</v>
      </c>
      <c r="Q541" s="133">
        <v>0</v>
      </c>
      <c r="R541" s="133" t="s">
        <v>35</v>
      </c>
      <c r="S541" s="133">
        <v>0.2</v>
      </c>
      <c r="T541" s="135">
        <v>0.9</v>
      </c>
      <c r="U541" s="133">
        <v>1</v>
      </c>
      <c r="V541" s="133">
        <v>1</v>
      </c>
      <c r="W541" s="133" t="s">
        <v>35</v>
      </c>
      <c r="X541" s="133">
        <v>0.8</v>
      </c>
      <c r="Y541" s="135">
        <v>0.92</v>
      </c>
      <c r="Z541" s="135" t="s">
        <v>35</v>
      </c>
      <c r="AA541" s="135" t="s">
        <v>35</v>
      </c>
      <c r="AB541" s="135" t="s">
        <v>35</v>
      </c>
      <c r="AC541" s="135">
        <v>1</v>
      </c>
      <c r="AD541" s="135">
        <v>0.92</v>
      </c>
      <c r="AE541" s="133">
        <v>0.998831092928112</v>
      </c>
      <c r="AF541" s="133">
        <v>0.997258396161755</v>
      </c>
      <c r="AG541" s="133">
        <v>0.979566174159069</v>
      </c>
      <c r="AH541" s="133">
        <v>0.937960461689587</v>
      </c>
      <c r="AI541" s="135">
        <v>0.92</v>
      </c>
      <c r="AJ541" s="133">
        <v>0.965990282937982</v>
      </c>
      <c r="AK541" s="133">
        <v>0.984430832057172</v>
      </c>
      <c r="AL541" s="133">
        <v>0.988875878220141</v>
      </c>
      <c r="AM541" s="133">
        <v>0.984035241189703</v>
      </c>
      <c r="AN541" s="132">
        <v>0.99</v>
      </c>
      <c r="AO541" s="137">
        <v>1</v>
      </c>
      <c r="AP541" s="137">
        <v>1</v>
      </c>
      <c r="AQ541" s="137">
        <v>1</v>
      </c>
      <c r="AR541" s="137">
        <v>1</v>
      </c>
      <c r="AS541" s="158">
        <v>0.05</v>
      </c>
      <c r="AT541" s="141">
        <v>0</v>
      </c>
      <c r="AU541" s="141">
        <v>0.1</v>
      </c>
      <c r="AV541" s="141">
        <v>0.142857142857143</v>
      </c>
      <c r="AW541" s="141">
        <v>0.0632183908045977</v>
      </c>
      <c r="AX541" s="95"/>
      <c r="AY541" s="93"/>
    </row>
    <row r="542" ht="14.5" spans="1:51">
      <c r="A542" s="91"/>
      <c r="B542" s="95"/>
      <c r="C542" s="152" t="s">
        <v>375</v>
      </c>
      <c r="D542" s="153" t="s">
        <v>25</v>
      </c>
      <c r="E542" s="130" t="s">
        <v>376</v>
      </c>
      <c r="F542" s="154" t="s">
        <v>568</v>
      </c>
      <c r="G542" s="154" t="s">
        <v>568</v>
      </c>
      <c r="H542" s="154" t="s">
        <v>568</v>
      </c>
      <c r="I542" s="154" t="s">
        <v>568</v>
      </c>
      <c r="J542" s="132">
        <v>0.9</v>
      </c>
      <c r="K542" s="133">
        <v>0.9375</v>
      </c>
      <c r="L542" s="133">
        <v>0.903225806451613</v>
      </c>
      <c r="M542" s="134">
        <v>0.857142857142857</v>
      </c>
      <c r="N542" s="133">
        <v>0.94017094017094</v>
      </c>
      <c r="O542" s="135">
        <v>0.9</v>
      </c>
      <c r="P542" s="133">
        <v>0</v>
      </c>
      <c r="Q542" s="133">
        <v>0</v>
      </c>
      <c r="R542" s="133" t="s">
        <v>35</v>
      </c>
      <c r="S542" s="133">
        <v>0.5</v>
      </c>
      <c r="T542" s="135">
        <v>0.9</v>
      </c>
      <c r="U542" s="133">
        <v>0</v>
      </c>
      <c r="V542" s="133">
        <v>0</v>
      </c>
      <c r="W542" s="133" t="s">
        <v>35</v>
      </c>
      <c r="X542" s="133">
        <v>0.25</v>
      </c>
      <c r="Y542" s="135">
        <v>0.92</v>
      </c>
      <c r="Z542" s="135" t="s">
        <v>35</v>
      </c>
      <c r="AA542" s="135">
        <v>0</v>
      </c>
      <c r="AB542" s="135" t="s">
        <v>35</v>
      </c>
      <c r="AC542" s="135">
        <v>0</v>
      </c>
      <c r="AD542" s="135">
        <v>0.92</v>
      </c>
      <c r="AE542" s="133">
        <v>0.979865771812081</v>
      </c>
      <c r="AF542" s="133">
        <v>0.994845360824742</v>
      </c>
      <c r="AG542" s="133">
        <v>0.931702344546381</v>
      </c>
      <c r="AH542" s="133">
        <v>0.978897062771841</v>
      </c>
      <c r="AI542" s="135">
        <v>0.92</v>
      </c>
      <c r="AJ542" s="133">
        <v>0.935104135224872</v>
      </c>
      <c r="AK542" s="133">
        <v>0.951800059506099</v>
      </c>
      <c r="AL542" s="133">
        <v>0.973864750081673</v>
      </c>
      <c r="AM542" s="133">
        <v>0.968414129701103</v>
      </c>
      <c r="AN542" s="132">
        <v>0.99</v>
      </c>
      <c r="AO542" s="137">
        <v>1</v>
      </c>
      <c r="AP542" s="137">
        <v>1</v>
      </c>
      <c r="AQ542" s="137">
        <v>1</v>
      </c>
      <c r="AR542" s="137">
        <v>1</v>
      </c>
      <c r="AS542" s="158">
        <v>0.05</v>
      </c>
      <c r="AT542" s="141">
        <v>0</v>
      </c>
      <c r="AU542" s="141">
        <v>0</v>
      </c>
      <c r="AV542" s="141">
        <v>0.2</v>
      </c>
      <c r="AW542" s="141">
        <v>0.0572916666666667</v>
      </c>
      <c r="AX542" s="95"/>
      <c r="AY542" s="93"/>
    </row>
    <row r="543" ht="14.5" spans="1:51">
      <c r="A543" s="91"/>
      <c r="B543" s="95"/>
      <c r="C543" s="152" t="s">
        <v>375</v>
      </c>
      <c r="D543" s="153" t="s">
        <v>25</v>
      </c>
      <c r="E543" s="130" t="s">
        <v>376</v>
      </c>
      <c r="F543" s="154" t="s">
        <v>569</v>
      </c>
      <c r="G543" s="154" t="s">
        <v>569</v>
      </c>
      <c r="H543" s="154" t="s">
        <v>569</v>
      </c>
      <c r="I543" s="154" t="s">
        <v>569</v>
      </c>
      <c r="J543" s="132">
        <v>0.9</v>
      </c>
      <c r="K543" s="133">
        <v>0.86046511627907</v>
      </c>
      <c r="L543" s="133">
        <v>0.92</v>
      </c>
      <c r="M543" s="134">
        <v>0.98</v>
      </c>
      <c r="N543" s="133">
        <v>0.92434988179669</v>
      </c>
      <c r="O543" s="135">
        <v>0.9</v>
      </c>
      <c r="P543" s="133" t="s">
        <v>35</v>
      </c>
      <c r="Q543" s="133">
        <v>1</v>
      </c>
      <c r="R543" s="133">
        <v>1</v>
      </c>
      <c r="S543" s="133">
        <v>0.5</v>
      </c>
      <c r="T543" s="135">
        <v>0.9</v>
      </c>
      <c r="U543" s="133" t="s">
        <v>35</v>
      </c>
      <c r="V543" s="133">
        <v>0</v>
      </c>
      <c r="W543" s="133">
        <v>1</v>
      </c>
      <c r="X543" s="133">
        <v>0.5</v>
      </c>
      <c r="Y543" s="135">
        <v>0.92</v>
      </c>
      <c r="Z543" s="135" t="s">
        <v>35</v>
      </c>
      <c r="AA543" s="135" t="s">
        <v>35</v>
      </c>
      <c r="AB543" s="135" t="s">
        <v>35</v>
      </c>
      <c r="AC543" s="135" t="s">
        <v>35</v>
      </c>
      <c r="AD543" s="135">
        <v>0.92</v>
      </c>
      <c r="AE543" s="133">
        <v>0.99009900990099</v>
      </c>
      <c r="AF543" s="133">
        <v>1</v>
      </c>
      <c r="AG543" s="133">
        <v>1</v>
      </c>
      <c r="AH543" s="133">
        <v>0.978723404255319</v>
      </c>
      <c r="AI543" s="135">
        <v>0.92</v>
      </c>
      <c r="AJ543" s="133">
        <v>0.86317907444668</v>
      </c>
      <c r="AK543" s="133">
        <v>0.961838325810423</v>
      </c>
      <c r="AL543" s="133">
        <v>0.965824665676077</v>
      </c>
      <c r="AM543" s="133">
        <v>0.958400692473173</v>
      </c>
      <c r="AN543" s="132">
        <v>0.99</v>
      </c>
      <c r="AO543" s="137">
        <v>1</v>
      </c>
      <c r="AP543" s="137">
        <v>1</v>
      </c>
      <c r="AQ543" s="137">
        <v>1</v>
      </c>
      <c r="AR543" s="137">
        <v>1</v>
      </c>
      <c r="AS543" s="158">
        <v>0.05</v>
      </c>
      <c r="AT543" s="141">
        <v>0</v>
      </c>
      <c r="AU543" s="141">
        <v>0</v>
      </c>
      <c r="AV543" s="141">
        <v>0.444444444444444</v>
      </c>
      <c r="AW543" s="141">
        <v>0.0479041916167665</v>
      </c>
      <c r="AX543" s="95"/>
      <c r="AY543" s="93"/>
    </row>
    <row r="544" ht="14.5" spans="1:51">
      <c r="A544" s="91"/>
      <c r="B544" s="95"/>
      <c r="C544" s="152" t="s">
        <v>375</v>
      </c>
      <c r="D544" s="153" t="s">
        <v>25</v>
      </c>
      <c r="E544" s="130" t="s">
        <v>376</v>
      </c>
      <c r="F544" s="154" t="s">
        <v>570</v>
      </c>
      <c r="G544" s="154" t="s">
        <v>570</v>
      </c>
      <c r="H544" s="154" t="s">
        <v>570</v>
      </c>
      <c r="I544" s="154" t="s">
        <v>570</v>
      </c>
      <c r="J544" s="132">
        <v>0.9</v>
      </c>
      <c r="K544" s="133">
        <v>1</v>
      </c>
      <c r="L544" s="133">
        <v>1</v>
      </c>
      <c r="M544" s="134">
        <v>0.96551724137931</v>
      </c>
      <c r="N544" s="133">
        <v>0.948453608247423</v>
      </c>
      <c r="O544" s="135">
        <v>0.9</v>
      </c>
      <c r="P544" s="133">
        <v>1</v>
      </c>
      <c r="Q544" s="133" t="s">
        <v>35</v>
      </c>
      <c r="R544" s="133" t="s">
        <v>35</v>
      </c>
      <c r="S544" s="133">
        <v>0.285714285714286</v>
      </c>
      <c r="T544" s="135">
        <v>0.9</v>
      </c>
      <c r="U544" s="133">
        <v>0</v>
      </c>
      <c r="V544" s="133" t="s">
        <v>35</v>
      </c>
      <c r="W544" s="133" t="s">
        <v>35</v>
      </c>
      <c r="X544" s="133">
        <v>0.142857142857143</v>
      </c>
      <c r="Y544" s="135">
        <v>0.92</v>
      </c>
      <c r="Z544" s="135" t="s">
        <v>35</v>
      </c>
      <c r="AA544" s="135">
        <v>0</v>
      </c>
      <c r="AB544" s="135" t="s">
        <v>35</v>
      </c>
      <c r="AC544" s="135">
        <v>0</v>
      </c>
      <c r="AD544" s="135">
        <v>0.92</v>
      </c>
      <c r="AE544" s="133">
        <v>1</v>
      </c>
      <c r="AF544" s="133">
        <v>0.986425339366516</v>
      </c>
      <c r="AG544" s="133">
        <v>0.96031746031746</v>
      </c>
      <c r="AH544" s="133">
        <v>0.987670776407864</v>
      </c>
      <c r="AI544" s="135">
        <v>0.92</v>
      </c>
      <c r="AJ544" s="133">
        <v>0.959985315712188</v>
      </c>
      <c r="AK544" s="133">
        <v>0.982848620432513</v>
      </c>
      <c r="AL544" s="133">
        <v>0.989613626921479</v>
      </c>
      <c r="AM544" s="133">
        <v>0.982794814638475</v>
      </c>
      <c r="AN544" s="132">
        <v>0.99</v>
      </c>
      <c r="AO544" s="137">
        <v>1</v>
      </c>
      <c r="AP544" s="137">
        <v>1</v>
      </c>
      <c r="AQ544" s="137">
        <v>1</v>
      </c>
      <c r="AR544" s="137">
        <v>1</v>
      </c>
      <c r="AS544" s="158">
        <v>0.05</v>
      </c>
      <c r="AT544" s="141">
        <v>0.5</v>
      </c>
      <c r="AU544" s="141">
        <v>0.166666666666667</v>
      </c>
      <c r="AV544" s="141">
        <v>0.142857142857143</v>
      </c>
      <c r="AW544" s="141">
        <v>0.0392156862745098</v>
      </c>
      <c r="AX544" s="95"/>
      <c r="AY544" s="93"/>
    </row>
    <row r="545" ht="14.5" spans="1:51">
      <c r="A545" s="91"/>
      <c r="B545" s="95"/>
      <c r="C545" s="152" t="s">
        <v>375</v>
      </c>
      <c r="D545" s="153" t="s">
        <v>25</v>
      </c>
      <c r="E545" s="130" t="s">
        <v>376</v>
      </c>
      <c r="F545" s="154" t="s">
        <v>571</v>
      </c>
      <c r="G545" s="154" t="s">
        <v>571</v>
      </c>
      <c r="H545" s="154" t="s">
        <v>571</v>
      </c>
      <c r="I545" s="154" t="s">
        <v>571</v>
      </c>
      <c r="J545" s="132">
        <v>0.9</v>
      </c>
      <c r="K545" s="133">
        <v>0.916666666666667</v>
      </c>
      <c r="L545" s="133">
        <v>0.879310344827586</v>
      </c>
      <c r="M545" s="134">
        <v>0.96969696969697</v>
      </c>
      <c r="N545" s="133">
        <v>0.898305084745763</v>
      </c>
      <c r="O545" s="135">
        <v>0.9</v>
      </c>
      <c r="P545" s="133">
        <v>1</v>
      </c>
      <c r="Q545" s="133">
        <v>1</v>
      </c>
      <c r="R545" s="133" t="s">
        <v>35</v>
      </c>
      <c r="S545" s="133">
        <v>0.642857142857143</v>
      </c>
      <c r="T545" s="135">
        <v>0.9</v>
      </c>
      <c r="U545" s="133">
        <v>1</v>
      </c>
      <c r="V545" s="133">
        <v>1</v>
      </c>
      <c r="W545" s="133" t="s">
        <v>35</v>
      </c>
      <c r="X545" s="133">
        <v>0.785714285714286</v>
      </c>
      <c r="Y545" s="135">
        <v>0.92</v>
      </c>
      <c r="Z545" s="135" t="s">
        <v>35</v>
      </c>
      <c r="AA545" s="135" t="s">
        <v>35</v>
      </c>
      <c r="AB545" s="135">
        <v>0</v>
      </c>
      <c r="AC545" s="135">
        <v>0.5</v>
      </c>
      <c r="AD545" s="135">
        <v>0.92</v>
      </c>
      <c r="AE545" s="133">
        <v>0.987041036717063</v>
      </c>
      <c r="AF545" s="133">
        <v>0.991097922848665</v>
      </c>
      <c r="AG545" s="133">
        <v>0.961290322580645</v>
      </c>
      <c r="AH545" s="133">
        <v>0.97723117832807</v>
      </c>
      <c r="AI545" s="135">
        <v>0.92</v>
      </c>
      <c r="AJ545" s="133">
        <v>0.919434758671316</v>
      </c>
      <c r="AK545" s="133">
        <v>0.944811944811945</v>
      </c>
      <c r="AL545" s="133">
        <v>0.96442234123948</v>
      </c>
      <c r="AM545" s="133">
        <v>0.935307128797256</v>
      </c>
      <c r="AN545" s="132">
        <v>0.99</v>
      </c>
      <c r="AO545" s="137">
        <v>1</v>
      </c>
      <c r="AP545" s="137">
        <v>1</v>
      </c>
      <c r="AQ545" s="137">
        <v>1</v>
      </c>
      <c r="AR545" s="137">
        <v>1</v>
      </c>
      <c r="AS545" s="158">
        <v>0.05</v>
      </c>
      <c r="AT545" s="141">
        <v>0</v>
      </c>
      <c r="AU545" s="141">
        <v>0.0588235294117647</v>
      </c>
      <c r="AV545" s="141">
        <v>0.0714285714285714</v>
      </c>
      <c r="AW545" s="141">
        <v>0.0579710144927536</v>
      </c>
      <c r="AX545" s="95"/>
      <c r="AY545" s="93"/>
    </row>
    <row r="546" ht="14.5" spans="1:51">
      <c r="A546" s="91"/>
      <c r="B546" s="95"/>
      <c r="C546" s="152" t="s">
        <v>375</v>
      </c>
      <c r="D546" s="153" t="s">
        <v>25</v>
      </c>
      <c r="E546" s="130" t="s">
        <v>376</v>
      </c>
      <c r="F546" s="154" t="s">
        <v>572</v>
      </c>
      <c r="G546" s="154" t="s">
        <v>572</v>
      </c>
      <c r="H546" s="154" t="s">
        <v>572</v>
      </c>
      <c r="I546" s="154" t="s">
        <v>572</v>
      </c>
      <c r="J546" s="132">
        <v>0.9</v>
      </c>
      <c r="K546" s="133">
        <v>0.869565217391304</v>
      </c>
      <c r="L546" s="133">
        <v>1</v>
      </c>
      <c r="M546" s="134">
        <v>0.956521739130435</v>
      </c>
      <c r="N546" s="133">
        <v>0.941031941031941</v>
      </c>
      <c r="O546" s="135">
        <v>0.9</v>
      </c>
      <c r="P546" s="133" t="s">
        <v>35</v>
      </c>
      <c r="Q546" s="133" t="s">
        <v>35</v>
      </c>
      <c r="R546" s="133" t="s">
        <v>35</v>
      </c>
      <c r="S546" s="133">
        <v>0</v>
      </c>
      <c r="T546" s="135">
        <v>0.9</v>
      </c>
      <c r="U546" s="133" t="s">
        <v>35</v>
      </c>
      <c r="V546" s="133" t="s">
        <v>35</v>
      </c>
      <c r="W546" s="133" t="s">
        <v>35</v>
      </c>
      <c r="X546" s="133">
        <v>0</v>
      </c>
      <c r="Y546" s="135">
        <v>0.92</v>
      </c>
      <c r="Z546" s="135" t="s">
        <v>35</v>
      </c>
      <c r="AA546" s="135" t="s">
        <v>35</v>
      </c>
      <c r="AB546" s="135">
        <v>0</v>
      </c>
      <c r="AC546" s="135">
        <v>0.666666666666667</v>
      </c>
      <c r="AD546" s="135">
        <v>0.92</v>
      </c>
      <c r="AE546" s="133">
        <v>0.992805755395683</v>
      </c>
      <c r="AF546" s="133">
        <v>1</v>
      </c>
      <c r="AG546" s="133">
        <v>0.982456140350877</v>
      </c>
      <c r="AH546" s="133">
        <v>0.892655367231638</v>
      </c>
      <c r="AI546" s="135">
        <v>0.92</v>
      </c>
      <c r="AJ546" s="133">
        <v>0.928718582612279</v>
      </c>
      <c r="AK546" s="133">
        <v>0.960755813953488</v>
      </c>
      <c r="AL546" s="133">
        <v>0.975557461406518</v>
      </c>
      <c r="AM546" s="133">
        <v>0.967898788888389</v>
      </c>
      <c r="AN546" s="132">
        <v>0.99</v>
      </c>
      <c r="AO546" s="137">
        <v>1</v>
      </c>
      <c r="AP546" s="137">
        <v>1</v>
      </c>
      <c r="AQ546" s="137">
        <v>1</v>
      </c>
      <c r="AR546" s="137">
        <v>1</v>
      </c>
      <c r="AS546" s="158">
        <v>0.05</v>
      </c>
      <c r="AT546" s="141">
        <v>0</v>
      </c>
      <c r="AU546" s="141">
        <v>0.0121951219512195</v>
      </c>
      <c r="AV546" s="141">
        <v>0</v>
      </c>
      <c r="AW546" s="141">
        <v>0.0149501661129568</v>
      </c>
      <c r="AX546" s="95"/>
      <c r="AY546" s="93"/>
    </row>
    <row r="547" ht="14.5" spans="1:51">
      <c r="A547" s="91"/>
      <c r="B547" s="95"/>
      <c r="C547" s="152" t="s">
        <v>375</v>
      </c>
      <c r="D547" s="153" t="s">
        <v>25</v>
      </c>
      <c r="E547" s="130" t="s">
        <v>376</v>
      </c>
      <c r="F547" s="154" t="s">
        <v>573</v>
      </c>
      <c r="G547" s="154" t="s">
        <v>573</v>
      </c>
      <c r="H547" s="154" t="s">
        <v>573</v>
      </c>
      <c r="I547" s="154" t="s">
        <v>573</v>
      </c>
      <c r="J547" s="132">
        <v>0.9</v>
      </c>
      <c r="K547" s="133">
        <v>1</v>
      </c>
      <c r="L547" s="133">
        <v>0.923076923076923</v>
      </c>
      <c r="M547" s="134">
        <v>0.948717948717949</v>
      </c>
      <c r="N547" s="133">
        <v>0.912981455064194</v>
      </c>
      <c r="O547" s="135">
        <v>0.9</v>
      </c>
      <c r="P547" s="133">
        <v>0.6</v>
      </c>
      <c r="Q547" s="133">
        <v>1</v>
      </c>
      <c r="R547" s="133">
        <v>0.5</v>
      </c>
      <c r="S547" s="133">
        <v>0.4375</v>
      </c>
      <c r="T547" s="135">
        <v>0.9</v>
      </c>
      <c r="U547" s="133">
        <v>0</v>
      </c>
      <c r="V547" s="133">
        <v>0</v>
      </c>
      <c r="W547" s="133">
        <v>0</v>
      </c>
      <c r="X547" s="133">
        <v>0.1875</v>
      </c>
      <c r="Y547" s="135">
        <v>0.92</v>
      </c>
      <c r="Z547" s="135" t="s">
        <v>35</v>
      </c>
      <c r="AA547" s="135" t="s">
        <v>35</v>
      </c>
      <c r="AB547" s="135" t="s">
        <v>35</v>
      </c>
      <c r="AC547" s="135" t="s">
        <v>35</v>
      </c>
      <c r="AD547" s="135">
        <v>0.92</v>
      </c>
      <c r="AE547" s="133">
        <v>0.97972972972973</v>
      </c>
      <c r="AF547" s="133">
        <v>0.96969696969697</v>
      </c>
      <c r="AG547" s="133">
        <v>0.994764397905759</v>
      </c>
      <c r="AH547" s="133">
        <v>0.965442764578834</v>
      </c>
      <c r="AI547" s="135">
        <v>0.92</v>
      </c>
      <c r="AJ547" s="133">
        <v>0.912129380053908</v>
      </c>
      <c r="AK547" s="133">
        <v>0.935206276891926</v>
      </c>
      <c r="AL547" s="133">
        <v>0.960076045627376</v>
      </c>
      <c r="AM547" s="133">
        <v>0.962840010168528</v>
      </c>
      <c r="AN547" s="132">
        <v>0.99</v>
      </c>
      <c r="AO547" s="137">
        <v>1</v>
      </c>
      <c r="AP547" s="137">
        <v>1</v>
      </c>
      <c r="AQ547" s="137">
        <v>1</v>
      </c>
      <c r="AR547" s="137">
        <v>1</v>
      </c>
      <c r="AS547" s="158">
        <v>0.05</v>
      </c>
      <c r="AT547" s="141">
        <v>0</v>
      </c>
      <c r="AU547" s="141">
        <v>0</v>
      </c>
      <c r="AV547" s="141">
        <v>0</v>
      </c>
      <c r="AW547" s="141">
        <v>0.0489130434782609</v>
      </c>
      <c r="AX547" s="95"/>
      <c r="AY547" s="93"/>
    </row>
    <row r="548" ht="14.5" spans="1:51">
      <c r="A548" s="91"/>
      <c r="B548" s="95"/>
      <c r="C548" s="152" t="s">
        <v>375</v>
      </c>
      <c r="D548" s="153" t="s">
        <v>25</v>
      </c>
      <c r="E548" s="130" t="s">
        <v>376</v>
      </c>
      <c r="F548" s="154" t="s">
        <v>574</v>
      </c>
      <c r="G548" s="154" t="s">
        <v>574</v>
      </c>
      <c r="H548" s="154" t="s">
        <v>574</v>
      </c>
      <c r="I548" s="154" t="s">
        <v>574</v>
      </c>
      <c r="J548" s="132">
        <v>0.9</v>
      </c>
      <c r="K548" s="133">
        <v>0.925</v>
      </c>
      <c r="L548" s="133">
        <v>0.980392156862745</v>
      </c>
      <c r="M548" s="134">
        <v>0.925925925925926</v>
      </c>
      <c r="N548" s="133">
        <v>0.920879120879121</v>
      </c>
      <c r="O548" s="135">
        <v>0.9</v>
      </c>
      <c r="P548" s="133" t="s">
        <v>35</v>
      </c>
      <c r="Q548" s="133" t="s">
        <v>35</v>
      </c>
      <c r="R548" s="133">
        <v>1</v>
      </c>
      <c r="S548" s="133">
        <v>0.375</v>
      </c>
      <c r="T548" s="135">
        <v>0.9</v>
      </c>
      <c r="U548" s="133" t="s">
        <v>35</v>
      </c>
      <c r="V548" s="133" t="s">
        <v>35</v>
      </c>
      <c r="W548" s="133">
        <v>1</v>
      </c>
      <c r="X548" s="133">
        <v>0.5</v>
      </c>
      <c r="Y548" s="135">
        <v>0.92</v>
      </c>
      <c r="Z548" s="135">
        <v>1</v>
      </c>
      <c r="AA548" s="135">
        <v>0</v>
      </c>
      <c r="AB548" s="135" t="s">
        <v>35</v>
      </c>
      <c r="AC548" s="135">
        <v>0.333333333333333</v>
      </c>
      <c r="AD548" s="135">
        <v>0.92</v>
      </c>
      <c r="AE548" s="133">
        <v>0.990147783251232</v>
      </c>
      <c r="AF548" s="133">
        <v>0.970588235294118</v>
      </c>
      <c r="AG548" s="133">
        <v>0.993103448275862</v>
      </c>
      <c r="AH548" s="133">
        <v>0.989050014797277</v>
      </c>
      <c r="AI548" s="135">
        <v>0.92</v>
      </c>
      <c r="AJ548" s="133">
        <v>0.876341948310139</v>
      </c>
      <c r="AK548" s="133">
        <v>0.980577237248139</v>
      </c>
      <c r="AL548" s="133">
        <v>0.969470538001708</v>
      </c>
      <c r="AM548" s="133">
        <v>0.967158221532321</v>
      </c>
      <c r="AN548" s="132">
        <v>0.99</v>
      </c>
      <c r="AO548" s="137">
        <v>1</v>
      </c>
      <c r="AP548" s="137">
        <v>1</v>
      </c>
      <c r="AQ548" s="137">
        <v>1</v>
      </c>
      <c r="AR548" s="137">
        <v>1</v>
      </c>
      <c r="AS548" s="158">
        <v>0.05</v>
      </c>
      <c r="AT548" s="141">
        <v>0</v>
      </c>
      <c r="AU548" s="141">
        <v>0.0909090909090909</v>
      </c>
      <c r="AV548" s="141">
        <v>0</v>
      </c>
      <c r="AW548" s="141">
        <v>0.0402010050251256</v>
      </c>
      <c r="AX548" s="95"/>
      <c r="AY548" s="93"/>
    </row>
    <row r="549" ht="14.5" spans="1:51">
      <c r="A549" s="91"/>
      <c r="B549" s="95"/>
      <c r="C549" s="152" t="s">
        <v>375</v>
      </c>
      <c r="D549" s="153" t="s">
        <v>25</v>
      </c>
      <c r="E549" s="130" t="s">
        <v>376</v>
      </c>
      <c r="F549" s="154" t="s">
        <v>575</v>
      </c>
      <c r="G549" s="154" t="s">
        <v>575</v>
      </c>
      <c r="H549" s="154" t="s">
        <v>575</v>
      </c>
      <c r="I549" s="154" t="s">
        <v>575</v>
      </c>
      <c r="J549" s="132">
        <v>0.9</v>
      </c>
      <c r="K549" s="133">
        <v>0.980392156862745</v>
      </c>
      <c r="L549" s="133">
        <v>0.964912280701754</v>
      </c>
      <c r="M549" s="134">
        <v>0.966666666666667</v>
      </c>
      <c r="N549" s="133">
        <v>0.96594427244582</v>
      </c>
      <c r="O549" s="135">
        <v>0.9</v>
      </c>
      <c r="P549" s="133">
        <v>0.986602712537215</v>
      </c>
      <c r="Q549" s="133">
        <v>0.987722132471729</v>
      </c>
      <c r="R549" s="133">
        <v>0.991294885745375</v>
      </c>
      <c r="S549" s="133">
        <v>0.982268899612073</v>
      </c>
      <c r="T549" s="135">
        <v>0.9</v>
      </c>
      <c r="U549" s="133">
        <v>0.940952695997354</v>
      </c>
      <c r="V549" s="133">
        <v>0.947495961227787</v>
      </c>
      <c r="W549" s="133">
        <v>0.97170837867247</v>
      </c>
      <c r="X549" s="133">
        <v>0.941309490017977</v>
      </c>
      <c r="Y549" s="135">
        <v>0.92</v>
      </c>
      <c r="Z549" s="135" t="s">
        <v>35</v>
      </c>
      <c r="AA549" s="135" t="s">
        <v>35</v>
      </c>
      <c r="AB549" s="135" t="s">
        <v>35</v>
      </c>
      <c r="AC549" s="135">
        <v>1</v>
      </c>
      <c r="AD549" s="135">
        <v>0.92</v>
      </c>
      <c r="AE549" s="133">
        <v>0.998606595448212</v>
      </c>
      <c r="AF549" s="133">
        <v>0.997871132557479</v>
      </c>
      <c r="AG549" s="133">
        <v>0.998578788417126</v>
      </c>
      <c r="AH549" s="133">
        <v>0.979746904143789</v>
      </c>
      <c r="AI549" s="135">
        <v>0.92</v>
      </c>
      <c r="AJ549" s="133">
        <v>0.967299752270851</v>
      </c>
      <c r="AK549" s="133">
        <v>0.974814336454634</v>
      </c>
      <c r="AL549" s="133">
        <v>0.987497735096938</v>
      </c>
      <c r="AM549" s="133">
        <v>0.979348298882312</v>
      </c>
      <c r="AN549" s="132">
        <v>0.99</v>
      </c>
      <c r="AO549" s="137">
        <v>1</v>
      </c>
      <c r="AP549" s="137">
        <v>1</v>
      </c>
      <c r="AQ549" s="137">
        <v>1</v>
      </c>
      <c r="AR549" s="137">
        <v>1</v>
      </c>
      <c r="AS549" s="158">
        <v>0.05</v>
      </c>
      <c r="AT549" s="141">
        <v>0.0555555555555556</v>
      </c>
      <c r="AU549" s="141">
        <v>0</v>
      </c>
      <c r="AV549" s="141">
        <v>0.08</v>
      </c>
      <c r="AW549" s="141">
        <v>0.0553097345132743</v>
      </c>
      <c r="AX549" s="95"/>
      <c r="AY549" s="93"/>
    </row>
    <row r="550" ht="14.5" spans="1:51">
      <c r="A550" s="91"/>
      <c r="B550" s="95"/>
      <c r="C550" s="152" t="s">
        <v>375</v>
      </c>
      <c r="D550" s="153" t="s">
        <v>25</v>
      </c>
      <c r="E550" s="130" t="s">
        <v>376</v>
      </c>
      <c r="F550" s="154" t="s">
        <v>576</v>
      </c>
      <c r="G550" s="154" t="s">
        <v>576</v>
      </c>
      <c r="H550" s="154" t="s">
        <v>576</v>
      </c>
      <c r="I550" s="154" t="s">
        <v>576</v>
      </c>
      <c r="J550" s="132">
        <v>0.9</v>
      </c>
      <c r="K550" s="133">
        <v>0.985915492957746</v>
      </c>
      <c r="L550" s="133">
        <v>0.985915492957746</v>
      </c>
      <c r="M550" s="134">
        <v>0.985915492957746</v>
      </c>
      <c r="N550" s="133">
        <v>0.973544973544973</v>
      </c>
      <c r="O550" s="135">
        <v>0.9</v>
      </c>
      <c r="P550" s="133">
        <v>0.888888888888889</v>
      </c>
      <c r="Q550" s="133">
        <v>1</v>
      </c>
      <c r="R550" s="133">
        <v>1</v>
      </c>
      <c r="S550" s="133">
        <v>0.982698961937716</v>
      </c>
      <c r="T550" s="135">
        <v>0.9</v>
      </c>
      <c r="U550" s="133">
        <v>0.888888888888889</v>
      </c>
      <c r="V550" s="133">
        <v>1</v>
      </c>
      <c r="W550" s="133">
        <v>1</v>
      </c>
      <c r="X550" s="133">
        <v>0.982698961937716</v>
      </c>
      <c r="Y550" s="135">
        <v>0.92</v>
      </c>
      <c r="Z550" s="135" t="s">
        <v>35</v>
      </c>
      <c r="AA550" s="135">
        <v>0.75</v>
      </c>
      <c r="AB550" s="135" t="s">
        <v>35</v>
      </c>
      <c r="AC550" s="135">
        <v>0.842105263157895</v>
      </c>
      <c r="AD550" s="135">
        <v>0.92</v>
      </c>
      <c r="AE550" s="133">
        <v>0.998116760828625</v>
      </c>
      <c r="AF550" s="133">
        <v>0.991764705882353</v>
      </c>
      <c r="AG550" s="133">
        <v>0.985413290113452</v>
      </c>
      <c r="AH550" s="133">
        <v>0.979960848959407</v>
      </c>
      <c r="AI550" s="135">
        <v>0.92</v>
      </c>
      <c r="AJ550" s="133">
        <v>0.939703014849258</v>
      </c>
      <c r="AK550" s="133">
        <v>0.978038737227391</v>
      </c>
      <c r="AL550" s="133">
        <v>0.979932546374368</v>
      </c>
      <c r="AM550" s="133">
        <v>0.967213256012339</v>
      </c>
      <c r="AN550" s="132">
        <v>0.99</v>
      </c>
      <c r="AO550" s="137">
        <v>1</v>
      </c>
      <c r="AP550" s="137">
        <v>1</v>
      </c>
      <c r="AQ550" s="137">
        <v>1</v>
      </c>
      <c r="AR550" s="137">
        <v>1</v>
      </c>
      <c r="AS550" s="158">
        <v>0.05</v>
      </c>
      <c r="AT550" s="141">
        <v>0.0906040268456376</v>
      </c>
      <c r="AU550" s="141">
        <v>0.0209205020920502</v>
      </c>
      <c r="AV550" s="141">
        <v>0.359477124183007</v>
      </c>
      <c r="AW550" s="141">
        <v>0.141165472109691</v>
      </c>
      <c r="AX550" s="95"/>
      <c r="AY550" s="93"/>
    </row>
    <row r="551" ht="14.5" spans="1:51">
      <c r="A551" s="91"/>
      <c r="B551" s="95"/>
      <c r="C551" s="152" t="s">
        <v>375</v>
      </c>
      <c r="D551" s="153" t="s">
        <v>25</v>
      </c>
      <c r="E551" s="130" t="s">
        <v>376</v>
      </c>
      <c r="F551" s="154" t="s">
        <v>577</v>
      </c>
      <c r="G551" s="154" t="s">
        <v>577</v>
      </c>
      <c r="H551" s="154" t="s">
        <v>577</v>
      </c>
      <c r="I551" s="154" t="s">
        <v>577</v>
      </c>
      <c r="J551" s="132">
        <v>0.9</v>
      </c>
      <c r="K551" s="133">
        <v>1</v>
      </c>
      <c r="L551" s="133">
        <v>1</v>
      </c>
      <c r="M551" s="134">
        <v>1</v>
      </c>
      <c r="N551" s="133">
        <v>0.965204236006051</v>
      </c>
      <c r="O551" s="135">
        <v>0.9</v>
      </c>
      <c r="P551" s="133" t="s">
        <v>35</v>
      </c>
      <c r="Q551" s="133" t="s">
        <v>35</v>
      </c>
      <c r="R551" s="133">
        <v>0.666666666666667</v>
      </c>
      <c r="S551" s="133">
        <v>0.730769230769231</v>
      </c>
      <c r="T551" s="135">
        <v>0.9</v>
      </c>
      <c r="U551" s="133" t="s">
        <v>35</v>
      </c>
      <c r="V551" s="133" t="s">
        <v>35</v>
      </c>
      <c r="W551" s="133">
        <v>0.666666666666667</v>
      </c>
      <c r="X551" s="133">
        <v>0.807692307692308</v>
      </c>
      <c r="Y551" s="135">
        <v>0.92</v>
      </c>
      <c r="Z551" s="135" t="s">
        <v>35</v>
      </c>
      <c r="AA551" s="135" t="s">
        <v>35</v>
      </c>
      <c r="AB551" s="135" t="s">
        <v>35</v>
      </c>
      <c r="AC551" s="135">
        <v>1</v>
      </c>
      <c r="AD551" s="135">
        <v>0.92</v>
      </c>
      <c r="AE551" s="133">
        <v>0.99618320610687</v>
      </c>
      <c r="AF551" s="133">
        <v>0.996900826446281</v>
      </c>
      <c r="AG551" s="133">
        <v>1</v>
      </c>
      <c r="AH551" s="133">
        <v>0.994426751592357</v>
      </c>
      <c r="AI551" s="135">
        <v>0.92</v>
      </c>
      <c r="AJ551" s="133">
        <v>0.966407355021216</v>
      </c>
      <c r="AK551" s="133">
        <v>0.964439655172414</v>
      </c>
      <c r="AL551" s="133">
        <v>0.957938613111027</v>
      </c>
      <c r="AM551" s="133">
        <v>0.974115109324444</v>
      </c>
      <c r="AN551" s="132">
        <v>0.99</v>
      </c>
      <c r="AO551" s="137">
        <v>1</v>
      </c>
      <c r="AP551" s="137">
        <v>1</v>
      </c>
      <c r="AQ551" s="137">
        <v>1</v>
      </c>
      <c r="AR551" s="137">
        <v>1</v>
      </c>
      <c r="AS551" s="158">
        <v>0.05</v>
      </c>
      <c r="AT551" s="141">
        <v>0</v>
      </c>
      <c r="AU551" s="141">
        <v>0.1</v>
      </c>
      <c r="AV551" s="141">
        <v>0</v>
      </c>
      <c r="AW551" s="141">
        <v>0.0797872340425532</v>
      </c>
      <c r="AX551" s="95"/>
      <c r="AY551" s="93"/>
    </row>
    <row r="552" ht="14.5" spans="1:51">
      <c r="A552" s="91"/>
      <c r="B552" s="95"/>
      <c r="C552" s="152" t="s">
        <v>375</v>
      </c>
      <c r="D552" s="153" t="s">
        <v>25</v>
      </c>
      <c r="E552" s="130" t="s">
        <v>376</v>
      </c>
      <c r="F552" s="154" t="s">
        <v>578</v>
      </c>
      <c r="G552" s="154" t="s">
        <v>578</v>
      </c>
      <c r="H552" s="154" t="s">
        <v>578</v>
      </c>
      <c r="I552" s="154" t="s">
        <v>578</v>
      </c>
      <c r="J552" s="132">
        <v>0.9</v>
      </c>
      <c r="K552" s="133">
        <v>0.933333333333333</v>
      </c>
      <c r="L552" s="133">
        <v>0.958333333333333</v>
      </c>
      <c r="M552" s="134">
        <v>0.862745098039216</v>
      </c>
      <c r="N552" s="133">
        <v>0.92688679245283</v>
      </c>
      <c r="O552" s="135">
        <v>0.9</v>
      </c>
      <c r="P552" s="133">
        <v>1</v>
      </c>
      <c r="Q552" s="133" t="s">
        <v>35</v>
      </c>
      <c r="R552" s="133" t="s">
        <v>35</v>
      </c>
      <c r="S552" s="133">
        <v>1</v>
      </c>
      <c r="T552" s="135">
        <v>0.9</v>
      </c>
      <c r="U552" s="133">
        <v>0</v>
      </c>
      <c r="V552" s="133" t="s">
        <v>35</v>
      </c>
      <c r="W552" s="133" t="s">
        <v>35</v>
      </c>
      <c r="X552" s="133">
        <v>0</v>
      </c>
      <c r="Y552" s="135">
        <v>0.92</v>
      </c>
      <c r="Z552" s="135" t="s">
        <v>35</v>
      </c>
      <c r="AA552" s="135" t="s">
        <v>35</v>
      </c>
      <c r="AB552" s="135" t="s">
        <v>35</v>
      </c>
      <c r="AC552" s="135" t="s">
        <v>35</v>
      </c>
      <c r="AD552" s="135">
        <v>0.92</v>
      </c>
      <c r="AE552" s="133">
        <v>0.994219653179191</v>
      </c>
      <c r="AF552" s="133">
        <v>0.992331288343558</v>
      </c>
      <c r="AG552" s="133">
        <v>1</v>
      </c>
      <c r="AH552" s="133">
        <v>0.944710885892679</v>
      </c>
      <c r="AI552" s="135">
        <v>0.92</v>
      </c>
      <c r="AJ552" s="133">
        <v>0.899905347846664</v>
      </c>
      <c r="AK552" s="133">
        <v>0.965782720273738</v>
      </c>
      <c r="AL552" s="133">
        <v>0.971698113207547</v>
      </c>
      <c r="AM552" s="133">
        <v>0.966426152260345</v>
      </c>
      <c r="AN552" s="132">
        <v>0.99</v>
      </c>
      <c r="AO552" s="137">
        <v>1</v>
      </c>
      <c r="AP552" s="137">
        <v>1</v>
      </c>
      <c r="AQ552" s="137">
        <v>1</v>
      </c>
      <c r="AR552" s="137">
        <v>1</v>
      </c>
      <c r="AS552" s="158">
        <v>0.05</v>
      </c>
      <c r="AT552" s="141">
        <v>0</v>
      </c>
      <c r="AU552" s="141">
        <v>0.25</v>
      </c>
      <c r="AV552" s="141">
        <v>0</v>
      </c>
      <c r="AW552" s="141">
        <v>0.0780487804878049</v>
      </c>
      <c r="AX552" s="95"/>
      <c r="AY552" s="93"/>
    </row>
    <row r="553" ht="14.5" spans="1:51">
      <c r="A553" s="91"/>
      <c r="B553" s="95"/>
      <c r="C553" s="152" t="s">
        <v>375</v>
      </c>
      <c r="D553" s="153" t="s">
        <v>25</v>
      </c>
      <c r="E553" s="130" t="s">
        <v>376</v>
      </c>
      <c r="F553" s="154" t="s">
        <v>579</v>
      </c>
      <c r="G553" s="154" t="s">
        <v>579</v>
      </c>
      <c r="H553" s="154" t="s">
        <v>579</v>
      </c>
      <c r="I553" s="154" t="s">
        <v>579</v>
      </c>
      <c r="J553" s="132">
        <v>0.9</v>
      </c>
      <c r="K553" s="133">
        <v>0.857142857142857</v>
      </c>
      <c r="L553" s="133">
        <v>0.873015873015873</v>
      </c>
      <c r="M553" s="134">
        <v>0.909090909090909</v>
      </c>
      <c r="N553" s="133">
        <v>0.897126969416126</v>
      </c>
      <c r="O553" s="135">
        <v>0.9</v>
      </c>
      <c r="P553" s="133">
        <v>0.333333333333333</v>
      </c>
      <c r="Q553" s="133">
        <v>0.5</v>
      </c>
      <c r="R553" s="133">
        <v>1</v>
      </c>
      <c r="S553" s="133">
        <v>0.333333333333333</v>
      </c>
      <c r="T553" s="135">
        <v>0.9</v>
      </c>
      <c r="U553" s="133">
        <v>0</v>
      </c>
      <c r="V553" s="133">
        <v>0</v>
      </c>
      <c r="W553" s="133">
        <v>0</v>
      </c>
      <c r="X553" s="133">
        <v>0.333333333333333</v>
      </c>
      <c r="Y553" s="135">
        <v>0.92</v>
      </c>
      <c r="Z553" s="135" t="s">
        <v>35</v>
      </c>
      <c r="AA553" s="135" t="s">
        <v>35</v>
      </c>
      <c r="AB553" s="135" t="s">
        <v>35</v>
      </c>
      <c r="AC553" s="135">
        <v>0</v>
      </c>
      <c r="AD553" s="135">
        <v>0.92</v>
      </c>
      <c r="AE553" s="133">
        <v>0.986206896551724</v>
      </c>
      <c r="AF553" s="133">
        <v>0.990740740740741</v>
      </c>
      <c r="AG553" s="133">
        <v>0.952127659574468</v>
      </c>
      <c r="AH553" s="133">
        <v>0.98051840845303</v>
      </c>
      <c r="AI553" s="135">
        <v>0.92</v>
      </c>
      <c r="AJ553" s="133">
        <v>0.936302521008403</v>
      </c>
      <c r="AK553" s="133">
        <v>0.962882435160739</v>
      </c>
      <c r="AL553" s="133">
        <v>0.977546549835706</v>
      </c>
      <c r="AM553" s="133">
        <v>0.972351379075631</v>
      </c>
      <c r="AN553" s="132">
        <v>0.99</v>
      </c>
      <c r="AO553" s="137">
        <v>1</v>
      </c>
      <c r="AP553" s="137">
        <v>1</v>
      </c>
      <c r="AQ553" s="137">
        <v>1</v>
      </c>
      <c r="AR553" s="137">
        <v>1</v>
      </c>
      <c r="AS553" s="158">
        <v>0.05</v>
      </c>
      <c r="AT553" s="141">
        <v>0</v>
      </c>
      <c r="AU553" s="141">
        <v>0.117647058823529</v>
      </c>
      <c r="AV553" s="141">
        <v>0.0769230769230769</v>
      </c>
      <c r="AW553" s="141">
        <v>0.0547945205479452</v>
      </c>
      <c r="AX553" s="95"/>
      <c r="AY553" s="93"/>
    </row>
    <row r="554" ht="14.5" spans="1:51">
      <c r="A554" s="91"/>
      <c r="B554" s="95"/>
      <c r="C554" s="152" t="s">
        <v>375</v>
      </c>
      <c r="D554" s="153" t="s">
        <v>25</v>
      </c>
      <c r="E554" s="130" t="s">
        <v>376</v>
      </c>
      <c r="F554" s="154" t="s">
        <v>580</v>
      </c>
      <c r="G554" s="154" t="s">
        <v>580</v>
      </c>
      <c r="H554" s="154" t="s">
        <v>580</v>
      </c>
      <c r="I554" s="154" t="s">
        <v>580</v>
      </c>
      <c r="J554" s="132">
        <v>0.9</v>
      </c>
      <c r="K554" s="133">
        <v>1</v>
      </c>
      <c r="L554" s="133">
        <v>1</v>
      </c>
      <c r="M554" s="134">
        <v>1</v>
      </c>
      <c r="N554" s="133">
        <v>0.983770287141074</v>
      </c>
      <c r="O554" s="135">
        <v>0.9</v>
      </c>
      <c r="P554" s="133">
        <v>0.911233307148468</v>
      </c>
      <c r="Q554" s="133">
        <v>0.96845694799659</v>
      </c>
      <c r="R554" s="133">
        <v>0.970160116448326</v>
      </c>
      <c r="S554" s="133">
        <v>0.964176346356917</v>
      </c>
      <c r="T554" s="135">
        <v>0.9</v>
      </c>
      <c r="U554" s="133">
        <v>0.846818538884525</v>
      </c>
      <c r="V554" s="133">
        <v>0.939471440750213</v>
      </c>
      <c r="W554" s="133">
        <v>0.966521106259097</v>
      </c>
      <c r="X554" s="133">
        <v>0.937196409714889</v>
      </c>
      <c r="Y554" s="135">
        <v>0.92</v>
      </c>
      <c r="Z554" s="135">
        <v>0.863981762917933</v>
      </c>
      <c r="AA554" s="135">
        <v>0.871953201169971</v>
      </c>
      <c r="AB554" s="135">
        <v>0.917434210526316</v>
      </c>
      <c r="AC554" s="135">
        <v>0.932978576998945</v>
      </c>
      <c r="AD554" s="135">
        <v>0.92</v>
      </c>
      <c r="AE554" s="133">
        <v>0.987654320987654</v>
      </c>
      <c r="AF554" s="133">
        <v>0.956521739130435</v>
      </c>
      <c r="AG554" s="133">
        <v>0.942622950819672</v>
      </c>
      <c r="AH554" s="133">
        <v>0.954</v>
      </c>
      <c r="AI554" s="135">
        <v>0.92</v>
      </c>
      <c r="AJ554" s="133">
        <v>0.898533950617284</v>
      </c>
      <c r="AK554" s="133">
        <v>0.917863720073665</v>
      </c>
      <c r="AL554" s="133">
        <v>0.940018107741059</v>
      </c>
      <c r="AM554" s="133">
        <v>0.956068612905994</v>
      </c>
      <c r="AN554" s="132">
        <v>0.99</v>
      </c>
      <c r="AO554" s="137">
        <v>1</v>
      </c>
      <c r="AP554" s="137">
        <v>1</v>
      </c>
      <c r="AQ554" s="137">
        <v>1</v>
      </c>
      <c r="AR554" s="137">
        <v>1</v>
      </c>
      <c r="AS554" s="158">
        <v>0.05</v>
      </c>
      <c r="AT554" s="141">
        <v>0</v>
      </c>
      <c r="AU554" s="141">
        <v>0.166666666666667</v>
      </c>
      <c r="AV554" s="141">
        <v>0</v>
      </c>
      <c r="AW554" s="141">
        <v>0.0395480225988701</v>
      </c>
      <c r="AX554" s="95"/>
      <c r="AY554" s="93"/>
    </row>
    <row r="555" ht="14.5" spans="1:51">
      <c r="A555" s="91"/>
      <c r="B555" s="95"/>
      <c r="C555" s="152" t="s">
        <v>375</v>
      </c>
      <c r="D555" s="153" t="s">
        <v>25</v>
      </c>
      <c r="E555" s="130" t="s">
        <v>376</v>
      </c>
      <c r="F555" s="154" t="s">
        <v>581</v>
      </c>
      <c r="G555" s="154" t="s">
        <v>581</v>
      </c>
      <c r="H555" s="154" t="s">
        <v>581</v>
      </c>
      <c r="I555" s="154" t="s">
        <v>581</v>
      </c>
      <c r="J555" s="132">
        <v>0.9</v>
      </c>
      <c r="K555" s="133">
        <v>0.980769230769231</v>
      </c>
      <c r="L555" s="133">
        <v>0.983870967741935</v>
      </c>
      <c r="M555" s="134">
        <v>0.984375</v>
      </c>
      <c r="N555" s="133">
        <v>0.981785063752277</v>
      </c>
      <c r="O555" s="135">
        <v>0.9</v>
      </c>
      <c r="P555" s="133">
        <v>0.966804979253112</v>
      </c>
      <c r="Q555" s="133">
        <v>0.93943763518385</v>
      </c>
      <c r="R555" s="133">
        <v>0.91712158808933</v>
      </c>
      <c r="S555" s="133">
        <v>0.975647534635574</v>
      </c>
      <c r="T555" s="135">
        <v>0.9</v>
      </c>
      <c r="U555" s="133">
        <v>0.923236514522822</v>
      </c>
      <c r="V555" s="133">
        <v>0.891492429704398</v>
      </c>
      <c r="W555" s="133">
        <v>0.880397022332506</v>
      </c>
      <c r="X555" s="133">
        <v>0.934536614749161</v>
      </c>
      <c r="Y555" s="135">
        <v>0.92</v>
      </c>
      <c r="Z555" s="135">
        <v>0.940948693126815</v>
      </c>
      <c r="AA555" s="135">
        <v>0.948060633080696</v>
      </c>
      <c r="AB555" s="135">
        <v>0.969852337981952</v>
      </c>
      <c r="AC555" s="135">
        <v>0.964946845626565</v>
      </c>
      <c r="AD555" s="135">
        <v>0.92</v>
      </c>
      <c r="AE555" s="133">
        <v>1</v>
      </c>
      <c r="AF555" s="133">
        <v>1</v>
      </c>
      <c r="AG555" s="133">
        <v>0.994117647058824</v>
      </c>
      <c r="AH555" s="133">
        <v>0.999374706893857</v>
      </c>
      <c r="AI555" s="135">
        <v>0.92</v>
      </c>
      <c r="AJ555" s="133">
        <v>0.958708708708709</v>
      </c>
      <c r="AK555" s="133">
        <v>0.960220233998624</v>
      </c>
      <c r="AL555" s="133">
        <v>0.9573727707699</v>
      </c>
      <c r="AM555" s="133">
        <v>0.972921956434585</v>
      </c>
      <c r="AN555" s="132">
        <v>0.99</v>
      </c>
      <c r="AO555" s="137">
        <v>1</v>
      </c>
      <c r="AP555" s="137">
        <v>1</v>
      </c>
      <c r="AQ555" s="137">
        <v>1</v>
      </c>
      <c r="AR555" s="137">
        <v>1</v>
      </c>
      <c r="AS555" s="158">
        <v>0.05</v>
      </c>
      <c r="AT555" s="141">
        <v>0</v>
      </c>
      <c r="AU555" s="141">
        <v>0</v>
      </c>
      <c r="AV555" s="141">
        <v>0.0454545454545455</v>
      </c>
      <c r="AW555" s="141">
        <v>0.0481586402266289</v>
      </c>
      <c r="AX555" s="95"/>
      <c r="AY555" s="93"/>
    </row>
    <row r="556" ht="14.5" spans="1:51">
      <c r="A556" s="91"/>
      <c r="B556" s="95"/>
      <c r="C556" s="152" t="s">
        <v>375</v>
      </c>
      <c r="D556" s="153" t="s">
        <v>25</v>
      </c>
      <c r="E556" s="130" t="s">
        <v>376</v>
      </c>
      <c r="F556" s="154" t="s">
        <v>582</v>
      </c>
      <c r="G556" s="154" t="s">
        <v>582</v>
      </c>
      <c r="H556" s="154" t="s">
        <v>582</v>
      </c>
      <c r="I556" s="154" t="s">
        <v>582</v>
      </c>
      <c r="J556" s="132">
        <v>0.9</v>
      </c>
      <c r="K556" s="133">
        <v>0.810810810810811</v>
      </c>
      <c r="L556" s="133">
        <v>0.702702702702703</v>
      </c>
      <c r="M556" s="134">
        <v>0.8</v>
      </c>
      <c r="N556" s="133">
        <v>0.868159203980099</v>
      </c>
      <c r="O556" s="135">
        <v>0.9</v>
      </c>
      <c r="P556" s="133">
        <v>0.825494205862304</v>
      </c>
      <c r="Q556" s="133">
        <v>0.880370682392586</v>
      </c>
      <c r="R556" s="133">
        <v>0.918367346938776</v>
      </c>
      <c r="S556" s="133">
        <v>0.934547647768396</v>
      </c>
      <c r="T556" s="135">
        <v>0.9</v>
      </c>
      <c r="U556" s="133">
        <v>0.742331288343558</v>
      </c>
      <c r="V556" s="133">
        <v>0.761162594776748</v>
      </c>
      <c r="W556" s="133">
        <v>0.853192890059249</v>
      </c>
      <c r="X556" s="133">
        <v>0.866537997587455</v>
      </c>
      <c r="Y556" s="135">
        <v>0.92</v>
      </c>
      <c r="Z556" s="135">
        <v>0.628726287262873</v>
      </c>
      <c r="AA556" s="135">
        <v>0.807063631056626</v>
      </c>
      <c r="AB556" s="135">
        <v>0.893559928443649</v>
      </c>
      <c r="AC556" s="135">
        <v>0.879748899396706</v>
      </c>
      <c r="AD556" s="135">
        <v>0.92</v>
      </c>
      <c r="AE556" s="133">
        <v>0.978723404255319</v>
      </c>
      <c r="AF556" s="133">
        <v>0.958333333333333</v>
      </c>
      <c r="AG556" s="133">
        <v>0.922077922077922</v>
      </c>
      <c r="AH556" s="133">
        <v>0.946513202437373</v>
      </c>
      <c r="AI556" s="135">
        <v>0.92</v>
      </c>
      <c r="AJ556" s="133">
        <v>0.74847250509165</v>
      </c>
      <c r="AK556" s="133">
        <v>0.838704118559366</v>
      </c>
      <c r="AL556" s="133">
        <v>0.921343711593609</v>
      </c>
      <c r="AM556" s="133">
        <v>0.919061751823207</v>
      </c>
      <c r="AN556" s="132">
        <v>0.99</v>
      </c>
      <c r="AO556" s="137">
        <v>1</v>
      </c>
      <c r="AP556" s="137">
        <v>1</v>
      </c>
      <c r="AQ556" s="137">
        <v>1</v>
      </c>
      <c r="AR556" s="137">
        <v>1</v>
      </c>
      <c r="AS556" s="158">
        <v>0.05</v>
      </c>
      <c r="AT556" s="141">
        <v>0.111111111111111</v>
      </c>
      <c r="AU556" s="141">
        <v>0</v>
      </c>
      <c r="AV556" s="141">
        <v>0.416666666666667</v>
      </c>
      <c r="AW556" s="141">
        <v>0.105454545454545</v>
      </c>
      <c r="AX556" s="95"/>
      <c r="AY556" s="93"/>
    </row>
    <row r="557" ht="14.5" spans="1:51">
      <c r="A557" s="91"/>
      <c r="B557" s="95"/>
      <c r="C557" s="152" t="s">
        <v>375</v>
      </c>
      <c r="D557" s="153" t="s">
        <v>25</v>
      </c>
      <c r="E557" s="130" t="s">
        <v>376</v>
      </c>
      <c r="F557" s="154" t="s">
        <v>583</v>
      </c>
      <c r="G557" s="154" t="s">
        <v>583</v>
      </c>
      <c r="H557" s="154" t="s">
        <v>583</v>
      </c>
      <c r="I557" s="154" t="s">
        <v>583</v>
      </c>
      <c r="J557" s="132">
        <v>0.9</v>
      </c>
      <c r="K557" s="133">
        <v>0.866666666666667</v>
      </c>
      <c r="L557" s="133">
        <v>0.848484848484849</v>
      </c>
      <c r="M557" s="134">
        <v>0.842857142857143</v>
      </c>
      <c r="N557" s="133">
        <v>0.914786967418546</v>
      </c>
      <c r="O557" s="135">
        <v>0.9</v>
      </c>
      <c r="P557" s="133">
        <v>0.954329210275928</v>
      </c>
      <c r="Q557" s="133">
        <v>0.961486939048895</v>
      </c>
      <c r="R557" s="133">
        <v>0.964617425917735</v>
      </c>
      <c r="S557" s="133">
        <v>0.974924682195606</v>
      </c>
      <c r="T557" s="135">
        <v>0.9</v>
      </c>
      <c r="U557" s="133">
        <v>0.912464319695528</v>
      </c>
      <c r="V557" s="133">
        <v>0.932016075016745</v>
      </c>
      <c r="W557" s="133">
        <v>0.950906678460858</v>
      </c>
      <c r="X557" s="133">
        <v>0.943640238077743</v>
      </c>
      <c r="Y557" s="135">
        <v>0.92</v>
      </c>
      <c r="Z557" s="135">
        <v>0.886064855390009</v>
      </c>
      <c r="AA557" s="135">
        <v>0.941221964423821</v>
      </c>
      <c r="AB557" s="135">
        <v>0.959488656823911</v>
      </c>
      <c r="AC557" s="135">
        <v>0.954979382025645</v>
      </c>
      <c r="AD557" s="135">
        <v>0.92</v>
      </c>
      <c r="AE557" s="133">
        <v>0.981818181818182</v>
      </c>
      <c r="AF557" s="133">
        <v>0.990291262135922</v>
      </c>
      <c r="AG557" s="133">
        <v>0.991683991683992</v>
      </c>
      <c r="AH557" s="133">
        <v>0.988804017997279</v>
      </c>
      <c r="AI557" s="135">
        <v>0.92</v>
      </c>
      <c r="AJ557" s="133">
        <v>0.917084282460137</v>
      </c>
      <c r="AK557" s="133">
        <v>0.954328394759398</v>
      </c>
      <c r="AL557" s="133">
        <v>0.968734047983665</v>
      </c>
      <c r="AM557" s="133">
        <v>0.966667831068572</v>
      </c>
      <c r="AN557" s="132">
        <v>0.99</v>
      </c>
      <c r="AO557" s="137">
        <v>1</v>
      </c>
      <c r="AP557" s="137">
        <v>1</v>
      </c>
      <c r="AQ557" s="137">
        <v>1</v>
      </c>
      <c r="AR557" s="137">
        <v>1</v>
      </c>
      <c r="AS557" s="158">
        <v>0.05</v>
      </c>
      <c r="AT557" s="141">
        <v>0.0714285714285714</v>
      </c>
      <c r="AU557" s="141">
        <v>0</v>
      </c>
      <c r="AV557" s="141">
        <v>0.037037037037037</v>
      </c>
      <c r="AW557" s="141">
        <v>0.0338078291814947</v>
      </c>
      <c r="AX557" s="95"/>
      <c r="AY557" s="93"/>
    </row>
    <row r="558" ht="14.5" spans="1:51">
      <c r="A558" s="91"/>
      <c r="B558" s="95"/>
      <c r="C558" s="152" t="s">
        <v>375</v>
      </c>
      <c r="D558" s="153" t="s">
        <v>25</v>
      </c>
      <c r="E558" s="130" t="s">
        <v>376</v>
      </c>
      <c r="F558" s="154" t="s">
        <v>584</v>
      </c>
      <c r="G558" s="154" t="s">
        <v>584</v>
      </c>
      <c r="H558" s="154" t="s">
        <v>584</v>
      </c>
      <c r="I558" s="154" t="s">
        <v>584</v>
      </c>
      <c r="J558" s="132">
        <v>0.9</v>
      </c>
      <c r="K558" s="133">
        <v>0.769230769230769</v>
      </c>
      <c r="L558" s="133">
        <v>0.839285714285714</v>
      </c>
      <c r="M558" s="134">
        <v>0.783333333333333</v>
      </c>
      <c r="N558" s="133">
        <v>0.848942598187311</v>
      </c>
      <c r="O558" s="135">
        <v>0.9</v>
      </c>
      <c r="P558" s="133">
        <v>0.940968485780169</v>
      </c>
      <c r="Q558" s="133">
        <v>0.975228342097979</v>
      </c>
      <c r="R558" s="133">
        <v>0.94815687594681</v>
      </c>
      <c r="S558" s="133">
        <v>0.947416400425985</v>
      </c>
      <c r="T558" s="135">
        <v>0.9</v>
      </c>
      <c r="U558" s="133">
        <v>0.870099923136049</v>
      </c>
      <c r="V558" s="133">
        <v>0.910600608912261</v>
      </c>
      <c r="W558" s="133">
        <v>0.903214946978623</v>
      </c>
      <c r="X558" s="133">
        <v>0.883186368477103</v>
      </c>
      <c r="Y558" s="135">
        <v>0.92</v>
      </c>
      <c r="Z558" s="135">
        <v>1</v>
      </c>
      <c r="AA558" s="135" t="s">
        <v>35</v>
      </c>
      <c r="AB558" s="135" t="s">
        <v>35</v>
      </c>
      <c r="AC558" s="135">
        <v>0.875</v>
      </c>
      <c r="AD558" s="135">
        <v>0.92</v>
      </c>
      <c r="AE558" s="133">
        <v>1</v>
      </c>
      <c r="AF558" s="133">
        <v>0.996613995485327</v>
      </c>
      <c r="AG558" s="133">
        <v>0.997497914929108</v>
      </c>
      <c r="AH558" s="133">
        <v>0.992290273883977</v>
      </c>
      <c r="AI558" s="135">
        <v>0.92</v>
      </c>
      <c r="AJ558" s="133">
        <v>0.955886873655088</v>
      </c>
      <c r="AK558" s="133">
        <v>0.972598948242458</v>
      </c>
      <c r="AL558" s="133">
        <v>0.944126556714911</v>
      </c>
      <c r="AM558" s="133">
        <v>0.973872077966333</v>
      </c>
      <c r="AN558" s="132">
        <v>0.99</v>
      </c>
      <c r="AO558" s="137">
        <v>1</v>
      </c>
      <c r="AP558" s="137">
        <v>1</v>
      </c>
      <c r="AQ558" s="137">
        <v>1</v>
      </c>
      <c r="AR558" s="137">
        <v>1</v>
      </c>
      <c r="AS558" s="158">
        <v>0.05</v>
      </c>
      <c r="AT558" s="141">
        <v>0.117647058823529</v>
      </c>
      <c r="AU558" s="141">
        <v>0.0384615384615385</v>
      </c>
      <c r="AV558" s="141">
        <v>0.0833333333333333</v>
      </c>
      <c r="AW558" s="141">
        <v>0.0542635658914729</v>
      </c>
      <c r="AX558" s="95"/>
      <c r="AY558" s="93"/>
    </row>
    <row r="559" ht="14.5" spans="1:51">
      <c r="A559" s="91"/>
      <c r="B559" s="95"/>
      <c r="C559" s="152" t="s">
        <v>375</v>
      </c>
      <c r="D559" s="153" t="s">
        <v>25</v>
      </c>
      <c r="E559" s="130" t="s">
        <v>376</v>
      </c>
      <c r="F559" s="154" t="s">
        <v>585</v>
      </c>
      <c r="G559" s="154" t="s">
        <v>585</v>
      </c>
      <c r="H559" s="154" t="s">
        <v>585</v>
      </c>
      <c r="I559" s="154" t="s">
        <v>585</v>
      </c>
      <c r="J559" s="132">
        <v>0.9</v>
      </c>
      <c r="K559" s="133">
        <v>0.947368421052632</v>
      </c>
      <c r="L559" s="133">
        <v>0.977272727272727</v>
      </c>
      <c r="M559" s="134">
        <v>1</v>
      </c>
      <c r="N559" s="133">
        <v>0.98062015503876</v>
      </c>
      <c r="O559" s="135">
        <v>0.9</v>
      </c>
      <c r="P559" s="133">
        <v>0.861639824304539</v>
      </c>
      <c r="Q559" s="133">
        <v>0.926505452821242</v>
      </c>
      <c r="R559" s="133">
        <v>0.942179392142328</v>
      </c>
      <c r="S559" s="133">
        <v>0.935934420610665</v>
      </c>
      <c r="T559" s="135">
        <v>0.9</v>
      </c>
      <c r="U559" s="133">
        <v>0.805270863836018</v>
      </c>
      <c r="V559" s="133">
        <v>0.916073968705548</v>
      </c>
      <c r="W559" s="133">
        <v>0.955522609340252</v>
      </c>
      <c r="X559" s="133">
        <v>0.91819713804233</v>
      </c>
      <c r="Y559" s="135">
        <v>0.92</v>
      </c>
      <c r="Z559" s="135">
        <v>0.797841726618705</v>
      </c>
      <c r="AA559" s="135">
        <v>0.916609938733833</v>
      </c>
      <c r="AB559" s="135">
        <v>0.944923689449237</v>
      </c>
      <c r="AC559" s="135">
        <v>0.932576141213919</v>
      </c>
      <c r="AD559" s="135">
        <v>0.92</v>
      </c>
      <c r="AE559" s="133">
        <v>0.997630331753555</v>
      </c>
      <c r="AF559" s="133">
        <v>0.99672988881622</v>
      </c>
      <c r="AG559" s="133">
        <v>0.99670836076366</v>
      </c>
      <c r="AH559" s="133">
        <v>0.990177880897138</v>
      </c>
      <c r="AI559" s="135">
        <v>0.92</v>
      </c>
      <c r="AJ559" s="133">
        <v>0.843613933236575</v>
      </c>
      <c r="AK559" s="133">
        <v>0.935643564356436</v>
      </c>
      <c r="AL559" s="133">
        <v>0.959450171821306</v>
      </c>
      <c r="AM559" s="133">
        <v>0.952207419017764</v>
      </c>
      <c r="AN559" s="132">
        <v>0.99</v>
      </c>
      <c r="AO559" s="137">
        <v>1</v>
      </c>
      <c r="AP559" s="137">
        <v>1</v>
      </c>
      <c r="AQ559" s="137">
        <v>1</v>
      </c>
      <c r="AR559" s="137">
        <v>1</v>
      </c>
      <c r="AS559" s="158">
        <v>0.05</v>
      </c>
      <c r="AT559" s="141">
        <v>0</v>
      </c>
      <c r="AU559" s="141">
        <v>0</v>
      </c>
      <c r="AV559" s="141">
        <v>0.166666666666667</v>
      </c>
      <c r="AW559" s="141">
        <v>0.0573248407643312</v>
      </c>
      <c r="AX559" s="95"/>
      <c r="AY559" s="93"/>
    </row>
    <row r="560" ht="14.5" spans="1:51">
      <c r="A560" s="91"/>
      <c r="B560" s="95"/>
      <c r="C560" s="152" t="s">
        <v>375</v>
      </c>
      <c r="D560" s="153" t="s">
        <v>25</v>
      </c>
      <c r="E560" s="130" t="s">
        <v>376</v>
      </c>
      <c r="F560" s="154" t="s">
        <v>586</v>
      </c>
      <c r="G560" s="154" t="s">
        <v>586</v>
      </c>
      <c r="H560" s="154" t="s">
        <v>586</v>
      </c>
      <c r="I560" s="154" t="s">
        <v>586</v>
      </c>
      <c r="J560" s="132">
        <v>0.9</v>
      </c>
      <c r="K560" s="133">
        <v>1</v>
      </c>
      <c r="L560" s="133">
        <v>0.96875</v>
      </c>
      <c r="M560" s="134">
        <v>0.942857142857143</v>
      </c>
      <c r="N560" s="133">
        <v>0.960753532182104</v>
      </c>
      <c r="O560" s="135">
        <v>0.9</v>
      </c>
      <c r="P560" s="133">
        <v>0.950738916256158</v>
      </c>
      <c r="Q560" s="133">
        <v>0.929936305732484</v>
      </c>
      <c r="R560" s="133">
        <v>0.925531914893617</v>
      </c>
      <c r="S560" s="133">
        <v>0.93024307518372</v>
      </c>
      <c r="T560" s="135">
        <v>0.9</v>
      </c>
      <c r="U560" s="133">
        <v>0.844334975369458</v>
      </c>
      <c r="V560" s="133">
        <v>0.869072894550602</v>
      </c>
      <c r="W560" s="133">
        <v>0.898452611218569</v>
      </c>
      <c r="X560" s="133">
        <v>0.893084605238364</v>
      </c>
      <c r="Y560" s="135">
        <v>0.92</v>
      </c>
      <c r="Z560" s="135">
        <v>0.822660098522167</v>
      </c>
      <c r="AA560" s="135">
        <v>0.828775267538644</v>
      </c>
      <c r="AB560" s="135">
        <v>0.913271028037383</v>
      </c>
      <c r="AC560" s="135">
        <v>0.910536873156342</v>
      </c>
      <c r="AD560" s="135">
        <v>0.92</v>
      </c>
      <c r="AE560" s="133">
        <v>0.989154013015184</v>
      </c>
      <c r="AF560" s="133">
        <v>0.99443413729128</v>
      </c>
      <c r="AG560" s="133">
        <v>0.989041095890411</v>
      </c>
      <c r="AH560" s="133">
        <v>0.9866784296427</v>
      </c>
      <c r="AI560" s="135">
        <v>0.92</v>
      </c>
      <c r="AJ560" s="133">
        <v>0.878190774742499</v>
      </c>
      <c r="AK560" s="133">
        <v>0.866751269035533</v>
      </c>
      <c r="AL560" s="133">
        <v>0.929900242653006</v>
      </c>
      <c r="AM560" s="133">
        <v>0.933084746746369</v>
      </c>
      <c r="AN560" s="132">
        <v>0.99</v>
      </c>
      <c r="AO560" s="137">
        <v>1</v>
      </c>
      <c r="AP560" s="137">
        <v>1</v>
      </c>
      <c r="AQ560" s="137">
        <v>1</v>
      </c>
      <c r="AR560" s="137">
        <v>1</v>
      </c>
      <c r="AS560" s="158">
        <v>0.05</v>
      </c>
      <c r="AT560" s="141">
        <v>0</v>
      </c>
      <c r="AU560" s="141">
        <v>0</v>
      </c>
      <c r="AV560" s="141">
        <v>0.2</v>
      </c>
      <c r="AW560" s="141">
        <v>0.0203045685279188</v>
      </c>
      <c r="AX560" s="95"/>
      <c r="AY560" s="93"/>
    </row>
    <row r="561" ht="14.5" spans="1:51">
      <c r="A561" s="91"/>
      <c r="B561" s="95"/>
      <c r="C561" s="152" t="s">
        <v>375</v>
      </c>
      <c r="D561" s="153" t="s">
        <v>25</v>
      </c>
      <c r="E561" s="130" t="s">
        <v>376</v>
      </c>
      <c r="F561" s="154" t="s">
        <v>587</v>
      </c>
      <c r="G561" s="154" t="s">
        <v>587</v>
      </c>
      <c r="H561" s="154" t="s">
        <v>587</v>
      </c>
      <c r="I561" s="154" t="s">
        <v>587</v>
      </c>
      <c r="J561" s="132">
        <v>0.9</v>
      </c>
      <c r="K561" s="133">
        <v>0.928571428571429</v>
      </c>
      <c r="L561" s="133">
        <v>0.935483870967742</v>
      </c>
      <c r="M561" s="134">
        <v>0.9375</v>
      </c>
      <c r="N561" s="133">
        <v>0.934343434343434</v>
      </c>
      <c r="O561" s="135">
        <v>0.9</v>
      </c>
      <c r="P561" s="133">
        <v>0.834476003917728</v>
      </c>
      <c r="Q561" s="133">
        <v>0.904817179338363</v>
      </c>
      <c r="R561" s="133">
        <v>0.926548672566372</v>
      </c>
      <c r="S561" s="133">
        <v>0.931214331607393</v>
      </c>
      <c r="T561" s="135">
        <v>0.9</v>
      </c>
      <c r="U561" s="133">
        <v>0.748285994123408</v>
      </c>
      <c r="V561" s="133">
        <v>0.910040626813697</v>
      </c>
      <c r="W561" s="133">
        <v>0.925663716814159</v>
      </c>
      <c r="X561" s="133">
        <v>0.924902679617521</v>
      </c>
      <c r="Y561" s="135">
        <v>0.92</v>
      </c>
      <c r="Z561" s="135">
        <v>0.586345381526104</v>
      </c>
      <c r="AA561" s="135">
        <v>0.871713508612874</v>
      </c>
      <c r="AB561" s="135">
        <v>0.905611135276207</v>
      </c>
      <c r="AC561" s="135">
        <v>0.905171373400917</v>
      </c>
      <c r="AD561" s="135">
        <v>0.92</v>
      </c>
      <c r="AE561" s="133">
        <v>0.990049751243781</v>
      </c>
      <c r="AF561" s="133">
        <v>0.945945945945946</v>
      </c>
      <c r="AG561" s="133">
        <v>0.97119341563786</v>
      </c>
      <c r="AH561" s="133">
        <v>0.987728585178056</v>
      </c>
      <c r="AI561" s="135">
        <v>0.92</v>
      </c>
      <c r="AJ561" s="133">
        <v>0.725966303270565</v>
      </c>
      <c r="AK561" s="133">
        <v>0.90381679389313</v>
      </c>
      <c r="AL561" s="133">
        <v>0.924759405074366</v>
      </c>
      <c r="AM561" s="133">
        <v>0.931323058346051</v>
      </c>
      <c r="AN561" s="132">
        <v>0.99</v>
      </c>
      <c r="AO561" s="137">
        <v>1</v>
      </c>
      <c r="AP561" s="137">
        <v>1</v>
      </c>
      <c r="AQ561" s="137">
        <v>1</v>
      </c>
      <c r="AR561" s="137">
        <v>1</v>
      </c>
      <c r="AS561" s="158">
        <v>0.05</v>
      </c>
      <c r="AT561" s="141">
        <v>0</v>
      </c>
      <c r="AU561" s="141">
        <v>0</v>
      </c>
      <c r="AV561" s="141">
        <v>0.142857142857143</v>
      </c>
      <c r="AW561" s="141">
        <v>0.0272727272727273</v>
      </c>
      <c r="AX561" s="95"/>
      <c r="AY561" s="93"/>
    </row>
    <row r="562" ht="14.5" spans="1:51">
      <c r="A562" s="91"/>
      <c r="B562" s="95"/>
      <c r="C562" s="152" t="s">
        <v>375</v>
      </c>
      <c r="D562" s="153" t="s">
        <v>25</v>
      </c>
      <c r="E562" s="130" t="s">
        <v>376</v>
      </c>
      <c r="F562" s="154" t="s">
        <v>588</v>
      </c>
      <c r="G562" s="154" t="s">
        <v>588</v>
      </c>
      <c r="H562" s="154" t="s">
        <v>588</v>
      </c>
      <c r="I562" s="154" t="s">
        <v>588</v>
      </c>
      <c r="J562" s="132">
        <v>0.9</v>
      </c>
      <c r="K562" s="133">
        <v>1</v>
      </c>
      <c r="L562" s="133">
        <v>1</v>
      </c>
      <c r="M562" s="134">
        <v>0.954545454545455</v>
      </c>
      <c r="N562" s="133">
        <v>0.985590778097983</v>
      </c>
      <c r="O562" s="135">
        <v>0.9</v>
      </c>
      <c r="P562" s="133">
        <v>0.851688693098385</v>
      </c>
      <c r="Q562" s="133">
        <v>0.94468546637744</v>
      </c>
      <c r="R562" s="133">
        <v>0.912172573189522</v>
      </c>
      <c r="S562" s="133">
        <v>0.93108158450267</v>
      </c>
      <c r="T562" s="135">
        <v>0.9</v>
      </c>
      <c r="U562" s="133">
        <v>0.828193832599119</v>
      </c>
      <c r="V562" s="133">
        <v>0.925162689804772</v>
      </c>
      <c r="W562" s="133">
        <v>0.941448382126348</v>
      </c>
      <c r="X562" s="133">
        <v>0.923879299639886</v>
      </c>
      <c r="Y562" s="135">
        <v>0.92</v>
      </c>
      <c r="Z562" s="135">
        <v>0.910810810810811</v>
      </c>
      <c r="AA562" s="135">
        <v>0.94636251541307</v>
      </c>
      <c r="AB562" s="135">
        <v>0.968508615567439</v>
      </c>
      <c r="AC562" s="135">
        <v>0.952800682399773</v>
      </c>
      <c r="AD562" s="135">
        <v>0.92</v>
      </c>
      <c r="AE562" s="133">
        <v>0.996527777777778</v>
      </c>
      <c r="AF562" s="133">
        <v>0.971014492753623</v>
      </c>
      <c r="AG562" s="133">
        <v>1</v>
      </c>
      <c r="AH562" s="133">
        <v>0.981248394554328</v>
      </c>
      <c r="AI562" s="135">
        <v>0.92</v>
      </c>
      <c r="AJ562" s="133">
        <v>0.921940928270042</v>
      </c>
      <c r="AK562" s="133">
        <v>0.958823529411765</v>
      </c>
      <c r="AL562" s="133">
        <v>0.974348011970928</v>
      </c>
      <c r="AM562" s="133">
        <v>0.963811673495424</v>
      </c>
      <c r="AN562" s="132">
        <v>0.99</v>
      </c>
      <c r="AO562" s="137">
        <v>1</v>
      </c>
      <c r="AP562" s="137">
        <v>1</v>
      </c>
      <c r="AQ562" s="137">
        <v>1</v>
      </c>
      <c r="AR562" s="137">
        <v>1</v>
      </c>
      <c r="AS562" s="158">
        <v>0.05</v>
      </c>
      <c r="AT562" s="141">
        <v>0</v>
      </c>
      <c r="AU562" s="141">
        <v>0</v>
      </c>
      <c r="AV562" s="141">
        <v>0</v>
      </c>
      <c r="AW562" s="141">
        <v>0.0481927710843374</v>
      </c>
      <c r="AX562" s="95"/>
      <c r="AY562" s="93"/>
    </row>
    <row r="563" ht="14.5" spans="1:51">
      <c r="A563" s="91"/>
      <c r="B563" s="95"/>
      <c r="C563" s="152" t="s">
        <v>375</v>
      </c>
      <c r="D563" s="153" t="s">
        <v>25</v>
      </c>
      <c r="E563" s="130" t="s">
        <v>376</v>
      </c>
      <c r="F563" s="154" t="s">
        <v>589</v>
      </c>
      <c r="G563" s="154" t="s">
        <v>589</v>
      </c>
      <c r="H563" s="154" t="s">
        <v>589</v>
      </c>
      <c r="I563" s="154" t="s">
        <v>589</v>
      </c>
      <c r="J563" s="132">
        <v>0.9</v>
      </c>
      <c r="K563" s="133">
        <v>0.942028985507246</v>
      </c>
      <c r="L563" s="133">
        <v>0.857142857142857</v>
      </c>
      <c r="M563" s="134">
        <v>0.949367088607595</v>
      </c>
      <c r="N563" s="133">
        <v>0.943287867910984</v>
      </c>
      <c r="O563" s="135">
        <v>0.9</v>
      </c>
      <c r="P563" s="133">
        <v>0.957700205338809</v>
      </c>
      <c r="Q563" s="133">
        <v>0.975699947173798</v>
      </c>
      <c r="R563" s="133">
        <v>0.970347249317206</v>
      </c>
      <c r="S563" s="133">
        <v>0.975273635495482</v>
      </c>
      <c r="T563" s="135">
        <v>0.9</v>
      </c>
      <c r="U563" s="133">
        <v>0.929363449691992</v>
      </c>
      <c r="V563" s="133">
        <v>0.945853143159007</v>
      </c>
      <c r="W563" s="133">
        <v>0.938743659773703</v>
      </c>
      <c r="X563" s="133">
        <v>0.935208991405274</v>
      </c>
      <c r="Y563" s="135">
        <v>0.92</v>
      </c>
      <c r="Z563" s="135">
        <v>0.950980392156863</v>
      </c>
      <c r="AA563" s="135">
        <v>0.970699262987597</v>
      </c>
      <c r="AB563" s="135">
        <v>0.969674138255792</v>
      </c>
      <c r="AC563" s="135">
        <v>0.970382317801673</v>
      </c>
      <c r="AD563" s="135">
        <v>0.92</v>
      </c>
      <c r="AE563" s="133">
        <v>0.983957219251337</v>
      </c>
      <c r="AF563" s="133">
        <v>0.999086757990868</v>
      </c>
      <c r="AG563" s="133">
        <v>1</v>
      </c>
      <c r="AH563" s="133">
        <v>0.998610879591043</v>
      </c>
      <c r="AI563" s="135">
        <v>0.92</v>
      </c>
      <c r="AJ563" s="133">
        <v>0.967515540405053</v>
      </c>
      <c r="AK563" s="133">
        <v>0.979364909654656</v>
      </c>
      <c r="AL563" s="133">
        <v>0.976679340937896</v>
      </c>
      <c r="AM563" s="133">
        <v>0.980120069513929</v>
      </c>
      <c r="AN563" s="132">
        <v>0.99</v>
      </c>
      <c r="AO563" s="137">
        <v>1</v>
      </c>
      <c r="AP563" s="137">
        <v>1</v>
      </c>
      <c r="AQ563" s="137">
        <v>1</v>
      </c>
      <c r="AR563" s="137">
        <v>1</v>
      </c>
      <c r="AS563" s="158">
        <v>0.05</v>
      </c>
      <c r="AT563" s="141">
        <v>0.25</v>
      </c>
      <c r="AU563" s="141">
        <v>0.0526315789473684</v>
      </c>
      <c r="AV563" s="141">
        <v>0.0714285714285714</v>
      </c>
      <c r="AW563" s="141">
        <v>0.0562659846547315</v>
      </c>
      <c r="AX563" s="95"/>
      <c r="AY563" s="93"/>
    </row>
    <row r="564" ht="14.5" spans="1:51">
      <c r="A564" s="91"/>
      <c r="B564" s="95"/>
      <c r="C564" s="152" t="s">
        <v>375</v>
      </c>
      <c r="D564" s="153" t="s">
        <v>25</v>
      </c>
      <c r="E564" s="130" t="s">
        <v>376</v>
      </c>
      <c r="F564" s="154" t="s">
        <v>590</v>
      </c>
      <c r="G564" s="154" t="s">
        <v>590</v>
      </c>
      <c r="H564" s="154" t="s">
        <v>590</v>
      </c>
      <c r="I564" s="154" t="s">
        <v>590</v>
      </c>
      <c r="J564" s="132">
        <v>0.9</v>
      </c>
      <c r="K564" s="133">
        <v>0.944444444444444</v>
      </c>
      <c r="L564" s="133">
        <v>0.964285714285714</v>
      </c>
      <c r="M564" s="134">
        <v>0.983870967741935</v>
      </c>
      <c r="N564" s="133">
        <v>0.961290322580645</v>
      </c>
      <c r="O564" s="135">
        <v>0.9</v>
      </c>
      <c r="P564" s="133">
        <v>0.935400516795866</v>
      </c>
      <c r="Q564" s="133">
        <v>0.951690821256039</v>
      </c>
      <c r="R564" s="133">
        <v>0.952438290186635</v>
      </c>
      <c r="S564" s="133">
        <v>0.960159457086586</v>
      </c>
      <c r="T564" s="135">
        <v>0.9</v>
      </c>
      <c r="U564" s="133">
        <v>0.834625322997416</v>
      </c>
      <c r="V564" s="133">
        <v>0.960547504025765</v>
      </c>
      <c r="W564" s="133">
        <v>0.942203491872366</v>
      </c>
      <c r="X564" s="133">
        <v>0.94751204233206</v>
      </c>
      <c r="Y564" s="135">
        <v>0.92</v>
      </c>
      <c r="Z564" s="135">
        <v>0.911866359447005</v>
      </c>
      <c r="AA564" s="135">
        <v>0.95221843003413</v>
      </c>
      <c r="AB564" s="135">
        <v>0.959548909046335</v>
      </c>
      <c r="AC564" s="135">
        <v>0.960305137379329</v>
      </c>
      <c r="AD564" s="135">
        <v>0.92</v>
      </c>
      <c r="AE564" s="133">
        <v>0.977653631284916</v>
      </c>
      <c r="AF564" s="133">
        <v>0.989010989010989</v>
      </c>
      <c r="AG564" s="133">
        <v>0.97737556561086</v>
      </c>
      <c r="AH564" s="133">
        <v>0.9674425246323</v>
      </c>
      <c r="AI564" s="135">
        <v>0.92</v>
      </c>
      <c r="AJ564" s="133">
        <v>0.936358099878197</v>
      </c>
      <c r="AK564" s="133">
        <v>0.966924594143529</v>
      </c>
      <c r="AL564" s="133">
        <v>0.967955416231278</v>
      </c>
      <c r="AM564" s="133">
        <v>0.971667701771508</v>
      </c>
      <c r="AN564" s="132">
        <v>0.99</v>
      </c>
      <c r="AO564" s="137">
        <v>1</v>
      </c>
      <c r="AP564" s="137">
        <v>1</v>
      </c>
      <c r="AQ564" s="137">
        <v>1</v>
      </c>
      <c r="AR564" s="137">
        <v>1</v>
      </c>
      <c r="AS564" s="158">
        <v>0.05</v>
      </c>
      <c r="AT564" s="141">
        <v>0</v>
      </c>
      <c r="AU564" s="141">
        <v>0</v>
      </c>
      <c r="AV564" s="141">
        <v>0</v>
      </c>
      <c r="AW564" s="141">
        <v>0.0432432432432432</v>
      </c>
      <c r="AX564" s="95"/>
      <c r="AY564" s="93"/>
    </row>
    <row r="565" ht="14.5" spans="1:51">
      <c r="A565" s="91"/>
      <c r="B565" s="95"/>
      <c r="C565" s="152" t="s">
        <v>375</v>
      </c>
      <c r="D565" s="153" t="s">
        <v>25</v>
      </c>
      <c r="E565" s="130" t="s">
        <v>376</v>
      </c>
      <c r="F565" s="154" t="s">
        <v>591</v>
      </c>
      <c r="G565" s="154" t="s">
        <v>591</v>
      </c>
      <c r="H565" s="154" t="s">
        <v>591</v>
      </c>
      <c r="I565" s="154" t="s">
        <v>591</v>
      </c>
      <c r="J565" s="132">
        <v>0.9</v>
      </c>
      <c r="K565" s="133">
        <v>0.956521739130435</v>
      </c>
      <c r="L565" s="133">
        <v>1</v>
      </c>
      <c r="M565" s="134">
        <v>0.931034482758621</v>
      </c>
      <c r="N565" s="133">
        <v>0.949671772428884</v>
      </c>
      <c r="O565" s="135">
        <v>0.9</v>
      </c>
      <c r="P565" s="133">
        <v>0.846233230134159</v>
      </c>
      <c r="Q565" s="133">
        <v>0.94451871657754</v>
      </c>
      <c r="R565" s="133">
        <v>0.950259067357513</v>
      </c>
      <c r="S565" s="133">
        <v>0.952343901964598</v>
      </c>
      <c r="T565" s="135">
        <v>0.9</v>
      </c>
      <c r="U565" s="133">
        <v>0.830753353973168</v>
      </c>
      <c r="V565" s="133">
        <v>0.935160427807487</v>
      </c>
      <c r="W565" s="133">
        <v>0.93160621761658</v>
      </c>
      <c r="X565" s="133">
        <v>0.931491927640537</v>
      </c>
      <c r="Y565" s="135">
        <v>0.92</v>
      </c>
      <c r="Z565" s="135">
        <v>0.721491228070175</v>
      </c>
      <c r="AA565" s="135">
        <v>0.845092838196286</v>
      </c>
      <c r="AB565" s="135">
        <v>0.923828125</v>
      </c>
      <c r="AC565" s="135">
        <v>0.881804227181485</v>
      </c>
      <c r="AD565" s="135">
        <v>0.92</v>
      </c>
      <c r="AE565" s="133">
        <v>0.991228070175439</v>
      </c>
      <c r="AF565" s="133">
        <v>0.986263736263736</v>
      </c>
      <c r="AG565" s="133">
        <v>0.985436893203884</v>
      </c>
      <c r="AH565" s="133">
        <v>0.990411820182333</v>
      </c>
      <c r="AI565" s="135">
        <v>0.92</v>
      </c>
      <c r="AJ565" s="133">
        <v>0.841041998936736</v>
      </c>
      <c r="AK565" s="133">
        <v>0.904790065050266</v>
      </c>
      <c r="AL565" s="133">
        <v>0.944610281923715</v>
      </c>
      <c r="AM565" s="133">
        <v>0.931153049662017</v>
      </c>
      <c r="AN565" s="132">
        <v>0.99</v>
      </c>
      <c r="AO565" s="137">
        <v>1</v>
      </c>
      <c r="AP565" s="137">
        <v>1</v>
      </c>
      <c r="AQ565" s="137">
        <v>1</v>
      </c>
      <c r="AR565" s="137">
        <v>1</v>
      </c>
      <c r="AS565" s="158">
        <v>0.05</v>
      </c>
      <c r="AT565" s="141">
        <v>0.666666666666667</v>
      </c>
      <c r="AU565" s="141">
        <v>0.2</v>
      </c>
      <c r="AV565" s="141">
        <v>0</v>
      </c>
      <c r="AW565" s="141">
        <v>0.105263157894737</v>
      </c>
      <c r="AX565" s="95"/>
      <c r="AY565" s="93"/>
    </row>
    <row r="566" ht="14.5" spans="1:51">
      <c r="A566" s="91"/>
      <c r="B566" s="95"/>
      <c r="C566" s="152" t="s">
        <v>375</v>
      </c>
      <c r="D566" s="153" t="s">
        <v>25</v>
      </c>
      <c r="E566" s="130" t="s">
        <v>376</v>
      </c>
      <c r="F566" s="154" t="s">
        <v>592</v>
      </c>
      <c r="G566" s="154" t="s">
        <v>592</v>
      </c>
      <c r="H566" s="154" t="s">
        <v>592</v>
      </c>
      <c r="I566" s="154" t="s">
        <v>592</v>
      </c>
      <c r="J566" s="132">
        <v>0.9</v>
      </c>
      <c r="K566" s="133">
        <v>0.861111111111111</v>
      </c>
      <c r="L566" s="133">
        <v>0.833333333333333</v>
      </c>
      <c r="M566" s="134">
        <v>0.871794871794872</v>
      </c>
      <c r="N566" s="133">
        <v>0.946762589928058</v>
      </c>
      <c r="O566" s="135">
        <v>0.9</v>
      </c>
      <c r="P566" s="133">
        <v>0.889118457300275</v>
      </c>
      <c r="Q566" s="133">
        <v>0.943057380639509</v>
      </c>
      <c r="R566" s="133">
        <v>0.954545454545455</v>
      </c>
      <c r="S566" s="133">
        <v>0.922303921568628</v>
      </c>
      <c r="T566" s="135">
        <v>0.9</v>
      </c>
      <c r="U566" s="133">
        <v>0.939393939393939</v>
      </c>
      <c r="V566" s="133">
        <v>0.942181340341656</v>
      </c>
      <c r="W566" s="133">
        <v>0.95120320855615</v>
      </c>
      <c r="X566" s="133">
        <v>0.95593137254902</v>
      </c>
      <c r="Y566" s="135">
        <v>0.92</v>
      </c>
      <c r="Z566" s="135">
        <v>0.932996207332491</v>
      </c>
      <c r="AA566" s="135">
        <v>0.941028858218319</v>
      </c>
      <c r="AB566" s="135">
        <v>0.952061682869594</v>
      </c>
      <c r="AC566" s="135">
        <v>0.96067528504898</v>
      </c>
      <c r="AD566" s="135">
        <v>0.92</v>
      </c>
      <c r="AE566" s="133">
        <v>0.999548940009021</v>
      </c>
      <c r="AF566" s="133">
        <v>0.997894736842105</v>
      </c>
      <c r="AG566" s="133">
        <v>0.998863636363636</v>
      </c>
      <c r="AH566" s="133">
        <v>0.997034676580584</v>
      </c>
      <c r="AI566" s="135">
        <v>0.92</v>
      </c>
      <c r="AJ566" s="133">
        <v>0.954575378538512</v>
      </c>
      <c r="AK566" s="133">
        <v>0.955441928414901</v>
      </c>
      <c r="AL566" s="133">
        <v>0.964285714285714</v>
      </c>
      <c r="AM566" s="133">
        <v>0.973244220928181</v>
      </c>
      <c r="AN566" s="132">
        <v>0.99</v>
      </c>
      <c r="AO566" s="137">
        <v>1</v>
      </c>
      <c r="AP566" s="137">
        <v>1</v>
      </c>
      <c r="AQ566" s="137">
        <v>1</v>
      </c>
      <c r="AR566" s="137">
        <v>1</v>
      </c>
      <c r="AS566" s="158">
        <v>0.05</v>
      </c>
      <c r="AT566" s="141">
        <v>0</v>
      </c>
      <c r="AU566" s="141">
        <v>0.0526315789473684</v>
      </c>
      <c r="AV566" s="141">
        <v>0.0555555555555556</v>
      </c>
      <c r="AW566" s="141">
        <v>0.0379746835443038</v>
      </c>
      <c r="AX566" s="95"/>
      <c r="AY566" s="93"/>
    </row>
    <row r="567" ht="14.5" spans="1:51">
      <c r="A567" s="91"/>
      <c r="B567" s="95"/>
      <c r="C567" s="152" t="s">
        <v>375</v>
      </c>
      <c r="D567" s="153" t="s">
        <v>25</v>
      </c>
      <c r="E567" s="130" t="s">
        <v>376</v>
      </c>
      <c r="F567" s="154" t="s">
        <v>593</v>
      </c>
      <c r="G567" s="154" t="s">
        <v>593</v>
      </c>
      <c r="H567" s="154" t="s">
        <v>593</v>
      </c>
      <c r="I567" s="154" t="s">
        <v>593</v>
      </c>
      <c r="J567" s="132">
        <v>0.9</v>
      </c>
      <c r="K567" s="133">
        <v>0.857142857142857</v>
      </c>
      <c r="L567" s="133">
        <v>0.909090909090909</v>
      </c>
      <c r="M567" s="134">
        <v>0.957446808510638</v>
      </c>
      <c r="N567" s="133">
        <v>0.931701030927835</v>
      </c>
      <c r="O567" s="135">
        <v>0.9</v>
      </c>
      <c r="P567" s="133">
        <v>0.819444444444444</v>
      </c>
      <c r="Q567" s="133">
        <v>0.868350349274584</v>
      </c>
      <c r="R567" s="133">
        <v>0.879377431906615</v>
      </c>
      <c r="S567" s="133">
        <v>0.859104610918834</v>
      </c>
      <c r="T567" s="135">
        <v>0.9</v>
      </c>
      <c r="U567" s="133">
        <v>0.829861111111111</v>
      </c>
      <c r="V567" s="133">
        <v>0.890381515314347</v>
      </c>
      <c r="W567" s="133">
        <v>0.866926070038911</v>
      </c>
      <c r="X567" s="133">
        <v>0.870017863123814</v>
      </c>
      <c r="Y567" s="135">
        <v>0.92</v>
      </c>
      <c r="Z567" s="135">
        <v>0.783801020408163</v>
      </c>
      <c r="AA567" s="135">
        <v>0.894674904383642</v>
      </c>
      <c r="AB567" s="135">
        <v>0.921217060581364</v>
      </c>
      <c r="AC567" s="135">
        <v>0.904864055024942</v>
      </c>
      <c r="AD567" s="135">
        <v>0.92</v>
      </c>
      <c r="AE567" s="133">
        <v>0.996753246753247</v>
      </c>
      <c r="AF567" s="133">
        <v>0.989643268124281</v>
      </c>
      <c r="AG567" s="133">
        <v>0.997861724875267</v>
      </c>
      <c r="AH567" s="133">
        <v>0.995360330828584</v>
      </c>
      <c r="AI567" s="135">
        <v>0.92</v>
      </c>
      <c r="AJ567" s="133">
        <v>0.855245683930943</v>
      </c>
      <c r="AK567" s="133">
        <v>0.923836657169991</v>
      </c>
      <c r="AL567" s="133">
        <v>0.936444086886565</v>
      </c>
      <c r="AM567" s="133">
        <v>0.931846999154691</v>
      </c>
      <c r="AN567" s="132">
        <v>0.99</v>
      </c>
      <c r="AO567" s="137">
        <v>1</v>
      </c>
      <c r="AP567" s="137">
        <v>1</v>
      </c>
      <c r="AQ567" s="137">
        <v>1</v>
      </c>
      <c r="AR567" s="137">
        <v>1</v>
      </c>
      <c r="AS567" s="158">
        <v>0.05</v>
      </c>
      <c r="AT567" s="141">
        <v>0.166666666666667</v>
      </c>
      <c r="AU567" s="141">
        <v>0</v>
      </c>
      <c r="AV567" s="141">
        <v>0</v>
      </c>
      <c r="AW567" s="141">
        <v>0.0266272189349112</v>
      </c>
      <c r="AX567" s="95"/>
      <c r="AY567" s="93"/>
    </row>
    <row r="568" ht="14.5" spans="1:51">
      <c r="A568" s="91"/>
      <c r="B568" s="95"/>
      <c r="C568" s="152" t="s">
        <v>375</v>
      </c>
      <c r="D568" s="153" t="s">
        <v>25</v>
      </c>
      <c r="E568" s="130" t="s">
        <v>376</v>
      </c>
      <c r="F568" s="154" t="s">
        <v>594</v>
      </c>
      <c r="G568" s="154" t="s">
        <v>594</v>
      </c>
      <c r="H568" s="154" t="s">
        <v>594</v>
      </c>
      <c r="I568" s="154" t="s">
        <v>594</v>
      </c>
      <c r="J568" s="132">
        <v>0.9</v>
      </c>
      <c r="K568" s="133">
        <v>0.9</v>
      </c>
      <c r="L568" s="133">
        <v>0.91044776119403</v>
      </c>
      <c r="M568" s="134">
        <v>0.904109589041096</v>
      </c>
      <c r="N568" s="133">
        <v>0.914859437751004</v>
      </c>
      <c r="O568" s="135">
        <v>0.9</v>
      </c>
      <c r="P568" s="133">
        <v>0.841571050308914</v>
      </c>
      <c r="Q568" s="133">
        <v>0.837128399746996</v>
      </c>
      <c r="R568" s="133">
        <v>0.879746835443038</v>
      </c>
      <c r="S568" s="133">
        <v>0.916543494718627</v>
      </c>
      <c r="T568" s="135">
        <v>0.9</v>
      </c>
      <c r="U568" s="133">
        <v>0.82171226831421</v>
      </c>
      <c r="V568" s="133">
        <v>0.882352941176471</v>
      </c>
      <c r="W568" s="133">
        <v>0.875105485232068</v>
      </c>
      <c r="X568" s="133">
        <v>0.88948772486391</v>
      </c>
      <c r="Y568" s="135">
        <v>0.92</v>
      </c>
      <c r="Z568" s="135">
        <v>0.895126705653021</v>
      </c>
      <c r="AA568" s="135">
        <v>0.912184627420301</v>
      </c>
      <c r="AB568" s="135">
        <v>0.952578434908042</v>
      </c>
      <c r="AC568" s="135">
        <v>0.950180832877859</v>
      </c>
      <c r="AD568" s="135">
        <v>0.92</v>
      </c>
      <c r="AE568" s="133">
        <v>0.997432306255836</v>
      </c>
      <c r="AF568" s="133">
        <v>0.991166077738516</v>
      </c>
      <c r="AG568" s="133">
        <v>0.996059975922075</v>
      </c>
      <c r="AH568" s="133">
        <v>0.969533818078657</v>
      </c>
      <c r="AI568" s="135">
        <v>0.92</v>
      </c>
      <c r="AJ568" s="133">
        <v>0.904594370860927</v>
      </c>
      <c r="AK568" s="133">
        <v>0.930563941552953</v>
      </c>
      <c r="AL568" s="133">
        <v>0.959037055709604</v>
      </c>
      <c r="AM568" s="133">
        <v>0.960659764127972</v>
      </c>
      <c r="AN568" s="132">
        <v>0.99</v>
      </c>
      <c r="AO568" s="137">
        <v>1</v>
      </c>
      <c r="AP568" s="137">
        <v>1</v>
      </c>
      <c r="AQ568" s="137">
        <v>1</v>
      </c>
      <c r="AR568" s="137">
        <v>1</v>
      </c>
      <c r="AS568" s="158">
        <v>0.05</v>
      </c>
      <c r="AT568" s="141">
        <v>0.1</v>
      </c>
      <c r="AU568" s="141">
        <v>0.0909090909090909</v>
      </c>
      <c r="AV568" s="141">
        <v>0.0357142857142857</v>
      </c>
      <c r="AW568" s="141">
        <v>0.0545808966861598</v>
      </c>
      <c r="AX568" s="95"/>
      <c r="AY568" s="93"/>
    </row>
    <row r="569" ht="14.5" spans="1:51">
      <c r="A569" s="91"/>
      <c r="B569" s="95"/>
      <c r="C569" s="152" t="s">
        <v>375</v>
      </c>
      <c r="D569" s="153" t="s">
        <v>25</v>
      </c>
      <c r="E569" s="130" t="s">
        <v>376</v>
      </c>
      <c r="F569" s="154" t="s">
        <v>595</v>
      </c>
      <c r="G569" s="154" t="s">
        <v>595</v>
      </c>
      <c r="H569" s="154" t="s">
        <v>595</v>
      </c>
      <c r="I569" s="154" t="s">
        <v>595</v>
      </c>
      <c r="J569" s="132">
        <v>0.9</v>
      </c>
      <c r="K569" s="133">
        <v>0.911764705882353</v>
      </c>
      <c r="L569" s="133">
        <v>0.925</v>
      </c>
      <c r="M569" s="134">
        <v>0.777777777777778</v>
      </c>
      <c r="N569" s="133">
        <v>0.945578231292517</v>
      </c>
      <c r="O569" s="135">
        <v>0.9</v>
      </c>
      <c r="P569" s="133">
        <v>0.919342208300705</v>
      </c>
      <c r="Q569" s="133">
        <v>0.946497517926089</v>
      </c>
      <c r="R569" s="133">
        <v>0.953682611996963</v>
      </c>
      <c r="S569" s="133">
        <v>0.954608534751937</v>
      </c>
      <c r="T569" s="135">
        <v>0.9</v>
      </c>
      <c r="U569" s="133">
        <v>0.851996867658575</v>
      </c>
      <c r="V569" s="133">
        <v>0.915609487038058</v>
      </c>
      <c r="W569" s="133">
        <v>0.905087319665907</v>
      </c>
      <c r="X569" s="133">
        <v>0.913756216028681</v>
      </c>
      <c r="Y569" s="135">
        <v>0.92</v>
      </c>
      <c r="Z569" s="135">
        <v>0.890995260663507</v>
      </c>
      <c r="AA569" s="135">
        <v>0.929581892486639</v>
      </c>
      <c r="AB569" s="135">
        <v>0.954675846242111</v>
      </c>
      <c r="AC569" s="135">
        <v>0.952231577788784</v>
      </c>
      <c r="AD569" s="135">
        <v>0.92</v>
      </c>
      <c r="AE569" s="133">
        <v>0.932291666666667</v>
      </c>
      <c r="AF569" s="133">
        <v>0.947511929107021</v>
      </c>
      <c r="AG569" s="133">
        <v>0.993757802746567</v>
      </c>
      <c r="AH569" s="133">
        <v>0.983618904161175</v>
      </c>
      <c r="AI569" s="135">
        <v>0.92</v>
      </c>
      <c r="AJ569" s="133">
        <v>0.910377358490566</v>
      </c>
      <c r="AK569" s="133">
        <v>0.946810637872425</v>
      </c>
      <c r="AL569" s="133">
        <v>0.960698689956332</v>
      </c>
      <c r="AM569" s="133">
        <v>0.963980723971758</v>
      </c>
      <c r="AN569" s="132">
        <v>0.99</v>
      </c>
      <c r="AO569" s="137">
        <v>1</v>
      </c>
      <c r="AP569" s="137">
        <v>1</v>
      </c>
      <c r="AQ569" s="137">
        <v>1</v>
      </c>
      <c r="AR569" s="137">
        <v>1</v>
      </c>
      <c r="AS569" s="158">
        <v>0.05</v>
      </c>
      <c r="AT569" s="141">
        <v>0</v>
      </c>
      <c r="AU569" s="141">
        <v>0.0625</v>
      </c>
      <c r="AV569" s="141">
        <v>0.142857142857143</v>
      </c>
      <c r="AW569" s="141">
        <v>0.082018927444795</v>
      </c>
      <c r="AX569" s="95"/>
      <c r="AY569" s="93"/>
    </row>
    <row r="570" ht="14.5" spans="1:51">
      <c r="A570" s="91"/>
      <c r="B570" s="95"/>
      <c r="C570" s="152" t="s">
        <v>375</v>
      </c>
      <c r="D570" s="153" t="s">
        <v>25</v>
      </c>
      <c r="E570" s="130" t="s">
        <v>376</v>
      </c>
      <c r="F570" s="154" t="s">
        <v>596</v>
      </c>
      <c r="G570" s="154" t="s">
        <v>596</v>
      </c>
      <c r="H570" s="154" t="s">
        <v>596</v>
      </c>
      <c r="I570" s="154" t="s">
        <v>596</v>
      </c>
      <c r="J570" s="132">
        <v>0.9</v>
      </c>
      <c r="K570" s="133">
        <v>0.894736842105263</v>
      </c>
      <c r="L570" s="133">
        <v>0.777777777777778</v>
      </c>
      <c r="M570" s="134">
        <v>0.947368421052632</v>
      </c>
      <c r="N570" s="133">
        <v>0.934984520123839</v>
      </c>
      <c r="O570" s="135">
        <v>0.9</v>
      </c>
      <c r="P570" s="133">
        <v>0.960493827160494</v>
      </c>
      <c r="Q570" s="133">
        <v>0.944175824175824</v>
      </c>
      <c r="R570" s="133">
        <v>0.943979057591623</v>
      </c>
      <c r="S570" s="133">
        <v>0.959580234100213</v>
      </c>
      <c r="T570" s="135">
        <v>0.9</v>
      </c>
      <c r="U570" s="133">
        <v>0.89037037037037</v>
      </c>
      <c r="V570" s="133">
        <v>0.935824175824176</v>
      </c>
      <c r="W570" s="133">
        <v>0.919895287958115</v>
      </c>
      <c r="X570" s="133">
        <v>0.928414922447097</v>
      </c>
      <c r="Y570" s="135">
        <v>0.92</v>
      </c>
      <c r="Z570" s="135" t="s">
        <v>35</v>
      </c>
      <c r="AA570" s="135" t="s">
        <v>35</v>
      </c>
      <c r="AB570" s="135" t="s">
        <v>35</v>
      </c>
      <c r="AC570" s="135">
        <v>0.5</v>
      </c>
      <c r="AD570" s="135">
        <v>0.92</v>
      </c>
      <c r="AE570" s="133">
        <v>0.971428571428571</v>
      </c>
      <c r="AF570" s="133">
        <v>0.95</v>
      </c>
      <c r="AG570" s="133">
        <v>0.980392156862745</v>
      </c>
      <c r="AH570" s="133">
        <v>0.932721712538226</v>
      </c>
      <c r="AI570" s="135">
        <v>0.92</v>
      </c>
      <c r="AJ570" s="133">
        <v>0.969382716049383</v>
      </c>
      <c r="AK570" s="133">
        <v>0.974065934065934</v>
      </c>
      <c r="AL570" s="133">
        <v>0.972789115646258</v>
      </c>
      <c r="AM570" s="133">
        <v>0.978235802825022</v>
      </c>
      <c r="AN570" s="132">
        <v>0.99</v>
      </c>
      <c r="AO570" s="137">
        <v>1</v>
      </c>
      <c r="AP570" s="137">
        <v>1</v>
      </c>
      <c r="AQ570" s="137">
        <v>1</v>
      </c>
      <c r="AR570" s="137">
        <v>1</v>
      </c>
      <c r="AS570" s="158">
        <v>0.05</v>
      </c>
      <c r="AT570" s="141">
        <v>0</v>
      </c>
      <c r="AU570" s="141">
        <v>1</v>
      </c>
      <c r="AV570" s="141">
        <v>0</v>
      </c>
      <c r="AW570" s="141">
        <v>0.0612244897959184</v>
      </c>
      <c r="AX570" s="95"/>
      <c r="AY570" s="93"/>
    </row>
    <row r="571" ht="14.5" spans="1:51">
      <c r="A571" s="91"/>
      <c r="B571" s="95"/>
      <c r="C571" s="152" t="s">
        <v>375</v>
      </c>
      <c r="D571" s="153" t="s">
        <v>25</v>
      </c>
      <c r="E571" s="130" t="s">
        <v>376</v>
      </c>
      <c r="F571" s="154" t="s">
        <v>597</v>
      </c>
      <c r="G571" s="154" t="s">
        <v>597</v>
      </c>
      <c r="H571" s="154" t="s">
        <v>597</v>
      </c>
      <c r="I571" s="154" t="s">
        <v>597</v>
      </c>
      <c r="J571" s="132">
        <v>0.9</v>
      </c>
      <c r="K571" s="133">
        <v>0.804878048780488</v>
      </c>
      <c r="L571" s="133">
        <v>0.659090909090909</v>
      </c>
      <c r="M571" s="134">
        <v>0.818181818181818</v>
      </c>
      <c r="N571" s="133">
        <v>0.802955665024631</v>
      </c>
      <c r="O571" s="135">
        <v>0.9</v>
      </c>
      <c r="P571" s="133">
        <v>0.796231681786462</v>
      </c>
      <c r="Q571" s="133">
        <v>0.666531604538088</v>
      </c>
      <c r="R571" s="133">
        <v>0.835932626325639</v>
      </c>
      <c r="S571" s="133">
        <v>0.820168301641173</v>
      </c>
      <c r="T571" s="135">
        <v>0.9</v>
      </c>
      <c r="U571" s="133">
        <v>0.901605024424285</v>
      </c>
      <c r="V571" s="133">
        <v>0.885332252836305</v>
      </c>
      <c r="W571" s="133">
        <v>0.911416094822208</v>
      </c>
      <c r="X571" s="133">
        <v>0.910735041145567</v>
      </c>
      <c r="Y571" s="135">
        <v>0.92</v>
      </c>
      <c r="Z571" s="135">
        <v>0.867462311557789</v>
      </c>
      <c r="AA571" s="135">
        <v>0.904051172707889</v>
      </c>
      <c r="AB571" s="135">
        <v>0.942098528470889</v>
      </c>
      <c r="AC571" s="135">
        <v>0.942157798457011</v>
      </c>
      <c r="AD571" s="135">
        <v>0.92</v>
      </c>
      <c r="AE571" s="133">
        <v>0.978260869565217</v>
      </c>
      <c r="AF571" s="133">
        <v>0.94488188976378</v>
      </c>
      <c r="AG571" s="133">
        <v>0.986622073578595</v>
      </c>
      <c r="AH571" s="133">
        <v>0.954088325317009</v>
      </c>
      <c r="AI571" s="135">
        <v>0.92</v>
      </c>
      <c r="AJ571" s="133">
        <v>0.903598547375371</v>
      </c>
      <c r="AK571" s="133">
        <v>0.924066029539531</v>
      </c>
      <c r="AL571" s="133">
        <v>0.953204047217538</v>
      </c>
      <c r="AM571" s="133">
        <v>0.95875615499893</v>
      </c>
      <c r="AN571" s="132">
        <v>0.99</v>
      </c>
      <c r="AO571" s="137">
        <v>1</v>
      </c>
      <c r="AP571" s="137">
        <v>1</v>
      </c>
      <c r="AQ571" s="137">
        <v>1</v>
      </c>
      <c r="AR571" s="137">
        <v>1</v>
      </c>
      <c r="AS571" s="158">
        <v>0.05</v>
      </c>
      <c r="AT571" s="141">
        <v>0.0625</v>
      </c>
      <c r="AU571" s="141">
        <v>0</v>
      </c>
      <c r="AV571" s="141">
        <v>0.0666666666666667</v>
      </c>
      <c r="AW571" s="141">
        <v>0.0821917808219178</v>
      </c>
      <c r="AX571" s="95"/>
      <c r="AY571" s="93"/>
    </row>
    <row r="572" ht="14.5" spans="1:51">
      <c r="A572" s="91"/>
      <c r="B572" s="95"/>
      <c r="C572" s="152" t="s">
        <v>375</v>
      </c>
      <c r="D572" s="153" t="s">
        <v>25</v>
      </c>
      <c r="E572" s="130" t="s">
        <v>376</v>
      </c>
      <c r="F572" s="154" t="s">
        <v>598</v>
      </c>
      <c r="G572" s="154" t="s">
        <v>598</v>
      </c>
      <c r="H572" s="154" t="s">
        <v>598</v>
      </c>
      <c r="I572" s="154" t="s">
        <v>598</v>
      </c>
      <c r="J572" s="132">
        <v>0.9</v>
      </c>
      <c r="K572" s="133">
        <v>0.977272727272727</v>
      </c>
      <c r="L572" s="133">
        <v>0.978723404255319</v>
      </c>
      <c r="M572" s="134">
        <v>0.962962962962963</v>
      </c>
      <c r="N572" s="133">
        <v>0.979905437352246</v>
      </c>
      <c r="O572" s="135">
        <v>0.9</v>
      </c>
      <c r="P572" s="133">
        <v>0.958864664747018</v>
      </c>
      <c r="Q572" s="133">
        <v>0.985905180303862</v>
      </c>
      <c r="R572" s="133">
        <v>0.99515933844292</v>
      </c>
      <c r="S572" s="133">
        <v>0.981307301059361</v>
      </c>
      <c r="T572" s="135">
        <v>0.9</v>
      </c>
      <c r="U572" s="133">
        <v>0.853558206499383</v>
      </c>
      <c r="V572" s="133">
        <v>0.880285557386052</v>
      </c>
      <c r="W572" s="133">
        <v>0.929810407422348</v>
      </c>
      <c r="X572" s="133">
        <v>0.885133311015842</v>
      </c>
      <c r="Y572" s="135">
        <v>0.92</v>
      </c>
      <c r="Z572" s="135" t="s">
        <v>35</v>
      </c>
      <c r="AA572" s="135">
        <v>0</v>
      </c>
      <c r="AB572" s="135">
        <v>0</v>
      </c>
      <c r="AC572" s="135">
        <v>0.804878048780488</v>
      </c>
      <c r="AD572" s="135">
        <v>0.92</v>
      </c>
      <c r="AE572" s="133">
        <v>0.985531211244316</v>
      </c>
      <c r="AF572" s="133">
        <v>0.989604069896041</v>
      </c>
      <c r="AG572" s="133">
        <v>0.986379310344828</v>
      </c>
      <c r="AH572" s="133">
        <v>0.98816402980911</v>
      </c>
      <c r="AI572" s="135">
        <v>0.92</v>
      </c>
      <c r="AJ572" s="133">
        <v>0.935006170300288</v>
      </c>
      <c r="AK572" s="133">
        <v>0.957380647521493</v>
      </c>
      <c r="AL572" s="133">
        <v>0.978826376285541</v>
      </c>
      <c r="AM572" s="133">
        <v>0.97124538566155</v>
      </c>
      <c r="AN572" s="132">
        <v>0.99</v>
      </c>
      <c r="AO572" s="137">
        <v>1</v>
      </c>
      <c r="AP572" s="137">
        <v>1</v>
      </c>
      <c r="AQ572" s="137">
        <v>1</v>
      </c>
      <c r="AR572" s="137">
        <v>1</v>
      </c>
      <c r="AS572" s="158">
        <v>0.05</v>
      </c>
      <c r="AT572" s="141">
        <v>0.1</v>
      </c>
      <c r="AU572" s="141">
        <v>0</v>
      </c>
      <c r="AV572" s="141">
        <v>0</v>
      </c>
      <c r="AW572" s="141">
        <v>0.030188679245283</v>
      </c>
      <c r="AX572" s="95"/>
      <c r="AY572" s="93"/>
    </row>
    <row r="573" ht="14.5" spans="1:51">
      <c r="A573" s="91"/>
      <c r="B573" s="95"/>
      <c r="C573" s="152" t="s">
        <v>375</v>
      </c>
      <c r="D573" s="153" t="s">
        <v>25</v>
      </c>
      <c r="E573" s="130" t="s">
        <v>376</v>
      </c>
      <c r="F573" s="154" t="s">
        <v>599</v>
      </c>
      <c r="G573" s="154" t="s">
        <v>599</v>
      </c>
      <c r="H573" s="154" t="s">
        <v>599</v>
      </c>
      <c r="I573" s="154" t="s">
        <v>599</v>
      </c>
      <c r="J573" s="132">
        <v>0.9</v>
      </c>
      <c r="K573" s="133">
        <v>1</v>
      </c>
      <c r="L573" s="133">
        <v>1</v>
      </c>
      <c r="M573" s="134">
        <v>1</v>
      </c>
      <c r="N573" s="133">
        <v>0.997821350762527</v>
      </c>
      <c r="O573" s="135">
        <v>0.9</v>
      </c>
      <c r="P573" s="133">
        <v>0.981381381381381</v>
      </c>
      <c r="Q573" s="133">
        <v>0.990700218818381</v>
      </c>
      <c r="R573" s="133">
        <v>0.99708963911525</v>
      </c>
      <c r="S573" s="133">
        <v>0.990313235560384</v>
      </c>
      <c r="T573" s="135">
        <v>0.9</v>
      </c>
      <c r="U573" s="133">
        <v>0.918918918918919</v>
      </c>
      <c r="V573" s="133">
        <v>0.920131291028446</v>
      </c>
      <c r="W573" s="133">
        <v>0.954598370197904</v>
      </c>
      <c r="X573" s="133">
        <v>0.904701551089384</v>
      </c>
      <c r="Y573" s="135">
        <v>0.92</v>
      </c>
      <c r="Z573" s="135">
        <v>0.803108808290155</v>
      </c>
      <c r="AA573" s="135">
        <v>0.868055555555556</v>
      </c>
      <c r="AB573" s="135">
        <v>0.887915936952715</v>
      </c>
      <c r="AC573" s="135">
        <v>0.878863353334088</v>
      </c>
      <c r="AD573" s="135">
        <v>0.92</v>
      </c>
      <c r="AE573" s="133">
        <v>0.997045790251108</v>
      </c>
      <c r="AF573" s="133">
        <v>0.984431137724551</v>
      </c>
      <c r="AG573" s="133">
        <v>0.997866287339972</v>
      </c>
      <c r="AH573" s="133">
        <v>0.992544120563157</v>
      </c>
      <c r="AI573" s="135">
        <v>0.92</v>
      </c>
      <c r="AJ573" s="133">
        <v>0.93375547978568</v>
      </c>
      <c r="AK573" s="133">
        <v>0.950083194675541</v>
      </c>
      <c r="AL573" s="133">
        <v>0.962865880297073</v>
      </c>
      <c r="AM573" s="133">
        <v>0.962834135417163</v>
      </c>
      <c r="AN573" s="132">
        <v>0.99</v>
      </c>
      <c r="AO573" s="137">
        <v>1</v>
      </c>
      <c r="AP573" s="137">
        <v>1</v>
      </c>
      <c r="AQ573" s="137">
        <v>1</v>
      </c>
      <c r="AR573" s="137">
        <v>1</v>
      </c>
      <c r="AS573" s="158">
        <v>0.05</v>
      </c>
      <c r="AT573" s="141">
        <v>0.333333333333333</v>
      </c>
      <c r="AU573" s="141">
        <v>0</v>
      </c>
      <c r="AV573" s="141">
        <v>0.285714285714286</v>
      </c>
      <c r="AW573" s="141">
        <v>0.0763888888888889</v>
      </c>
      <c r="AX573" s="95"/>
      <c r="AY573" s="93"/>
    </row>
    <row r="574" ht="14.5" spans="1:51">
      <c r="A574" s="91"/>
      <c r="B574" s="95"/>
      <c r="C574" s="152" t="s">
        <v>375</v>
      </c>
      <c r="D574" s="153" t="s">
        <v>25</v>
      </c>
      <c r="E574" s="130" t="s">
        <v>376</v>
      </c>
      <c r="F574" s="154" t="s">
        <v>600</v>
      </c>
      <c r="G574" s="154" t="s">
        <v>600</v>
      </c>
      <c r="H574" s="154" t="s">
        <v>600</v>
      </c>
      <c r="I574" s="154" t="s">
        <v>600</v>
      </c>
      <c r="J574" s="132">
        <v>0.9</v>
      </c>
      <c r="K574" s="133">
        <v>0.962962962962963</v>
      </c>
      <c r="L574" s="133">
        <v>1</v>
      </c>
      <c r="M574" s="134">
        <v>1</v>
      </c>
      <c r="N574" s="133">
        <v>0.985294117647059</v>
      </c>
      <c r="O574" s="135">
        <v>0.9</v>
      </c>
      <c r="P574" s="133">
        <v>0.96976241900648</v>
      </c>
      <c r="Q574" s="133">
        <v>0.987571701720841</v>
      </c>
      <c r="R574" s="133">
        <v>0.988023952095808</v>
      </c>
      <c r="S574" s="133">
        <v>0.987784485446249</v>
      </c>
      <c r="T574" s="135">
        <v>0.9</v>
      </c>
      <c r="U574" s="133">
        <v>0.846112311015119</v>
      </c>
      <c r="V574" s="133">
        <v>0.934990439770555</v>
      </c>
      <c r="W574" s="133">
        <v>0.948829613500272</v>
      </c>
      <c r="X574" s="133">
        <v>0.916560383187371</v>
      </c>
      <c r="Y574" s="135">
        <v>0.92</v>
      </c>
      <c r="Z574" s="135">
        <v>0.837078651685393</v>
      </c>
      <c r="AA574" s="135">
        <v>0.867272727272727</v>
      </c>
      <c r="AB574" s="135">
        <v>0.933913043478261</v>
      </c>
      <c r="AC574" s="135">
        <v>0.904829044765597</v>
      </c>
      <c r="AD574" s="135">
        <v>0.92</v>
      </c>
      <c r="AE574" s="133">
        <v>0.988134309517799</v>
      </c>
      <c r="AF574" s="133">
        <v>0.989269643475251</v>
      </c>
      <c r="AG574" s="133">
        <v>0.999470689427021</v>
      </c>
      <c r="AH574" s="133">
        <v>0.997120433115928</v>
      </c>
      <c r="AI574" s="135">
        <v>0.92</v>
      </c>
      <c r="AJ574" s="133">
        <v>0.948392937980987</v>
      </c>
      <c r="AK574" s="133">
        <v>0.951930355791067</v>
      </c>
      <c r="AL574" s="133">
        <v>0.974305843348529</v>
      </c>
      <c r="AM574" s="133">
        <v>0.967809689055294</v>
      </c>
      <c r="AN574" s="132">
        <v>0.99</v>
      </c>
      <c r="AO574" s="137">
        <v>1</v>
      </c>
      <c r="AP574" s="137">
        <v>1</v>
      </c>
      <c r="AQ574" s="137">
        <v>1</v>
      </c>
      <c r="AR574" s="137">
        <v>1</v>
      </c>
      <c r="AS574" s="158">
        <v>0.05</v>
      </c>
      <c r="AT574" s="141">
        <v>0</v>
      </c>
      <c r="AU574" s="141">
        <v>0</v>
      </c>
      <c r="AV574" s="141">
        <v>0</v>
      </c>
      <c r="AW574" s="141">
        <v>0.0458715596330275</v>
      </c>
      <c r="AX574" s="95"/>
      <c r="AY574" s="93"/>
    </row>
    <row r="575" ht="14.5" spans="1:51">
      <c r="A575" s="91"/>
      <c r="B575" s="95"/>
      <c r="C575" s="152" t="s">
        <v>375</v>
      </c>
      <c r="D575" s="153" t="s">
        <v>25</v>
      </c>
      <c r="E575" s="130" t="s">
        <v>376</v>
      </c>
      <c r="F575" s="154" t="s">
        <v>601</v>
      </c>
      <c r="G575" s="154" t="s">
        <v>601</v>
      </c>
      <c r="H575" s="154" t="s">
        <v>601</v>
      </c>
      <c r="I575" s="154" t="s">
        <v>601</v>
      </c>
      <c r="J575" s="132">
        <v>0.9</v>
      </c>
      <c r="K575" s="133">
        <v>0.977777777777778</v>
      </c>
      <c r="L575" s="133">
        <v>1</v>
      </c>
      <c r="M575" s="134">
        <v>1</v>
      </c>
      <c r="N575" s="133">
        <v>0.991400491400491</v>
      </c>
      <c r="O575" s="135">
        <v>0.9</v>
      </c>
      <c r="P575" s="133">
        <v>0</v>
      </c>
      <c r="Q575" s="133">
        <v>1</v>
      </c>
      <c r="R575" s="133" t="s">
        <v>35</v>
      </c>
      <c r="S575" s="133">
        <v>0.4</v>
      </c>
      <c r="T575" s="135">
        <v>0.9</v>
      </c>
      <c r="U575" s="133">
        <v>0</v>
      </c>
      <c r="V575" s="133">
        <v>1</v>
      </c>
      <c r="W575" s="133" t="s">
        <v>35</v>
      </c>
      <c r="X575" s="133">
        <v>0.2</v>
      </c>
      <c r="Y575" s="135">
        <v>0.92</v>
      </c>
      <c r="Z575" s="135" t="s">
        <v>35</v>
      </c>
      <c r="AA575" s="135" t="s">
        <v>35</v>
      </c>
      <c r="AB575" s="135">
        <v>0</v>
      </c>
      <c r="AC575" s="135">
        <v>0</v>
      </c>
      <c r="AD575" s="135">
        <v>0.92</v>
      </c>
      <c r="AE575" s="133">
        <v>0.988372093023256</v>
      </c>
      <c r="AF575" s="133">
        <v>0.997782705099778</v>
      </c>
      <c r="AG575" s="133">
        <v>0.990384615384615</v>
      </c>
      <c r="AH575" s="133">
        <v>0.99210491101298</v>
      </c>
      <c r="AI575" s="135">
        <v>0.92</v>
      </c>
      <c r="AJ575" s="133">
        <v>0.903474903474903</v>
      </c>
      <c r="AK575" s="133">
        <v>0.965395772896809</v>
      </c>
      <c r="AL575" s="133">
        <v>0.983859311009395</v>
      </c>
      <c r="AM575" s="133">
        <v>0.968563182848897</v>
      </c>
      <c r="AN575" s="132">
        <v>0.99</v>
      </c>
      <c r="AO575" s="137">
        <v>1</v>
      </c>
      <c r="AP575" s="137">
        <v>1</v>
      </c>
      <c r="AQ575" s="137">
        <v>1</v>
      </c>
      <c r="AR575" s="137">
        <v>1</v>
      </c>
      <c r="AS575" s="158">
        <v>0.05</v>
      </c>
      <c r="AT575" s="141">
        <v>0.181818181818182</v>
      </c>
      <c r="AU575" s="141">
        <v>0</v>
      </c>
      <c r="AV575" s="141">
        <v>0</v>
      </c>
      <c r="AW575" s="141">
        <v>0.0516431924882629</v>
      </c>
      <c r="AX575" s="95"/>
      <c r="AY575" s="93"/>
    </row>
    <row r="576" ht="14.5" spans="1:51">
      <c r="A576" s="91"/>
      <c r="B576" s="95"/>
      <c r="C576" s="152" t="s">
        <v>375</v>
      </c>
      <c r="D576" s="153" t="s">
        <v>25</v>
      </c>
      <c r="E576" s="130" t="s">
        <v>376</v>
      </c>
      <c r="F576" s="154" t="s">
        <v>602</v>
      </c>
      <c r="G576" s="154" t="s">
        <v>602</v>
      </c>
      <c r="H576" s="154" t="s">
        <v>602</v>
      </c>
      <c r="I576" s="154" t="s">
        <v>602</v>
      </c>
      <c r="J576" s="132">
        <v>0.9</v>
      </c>
      <c r="K576" s="133">
        <v>1</v>
      </c>
      <c r="L576" s="133">
        <v>1</v>
      </c>
      <c r="M576" s="134">
        <v>1</v>
      </c>
      <c r="N576" s="133">
        <v>0.988805970149254</v>
      </c>
      <c r="O576" s="135">
        <v>0.9</v>
      </c>
      <c r="P576" s="133">
        <v>0.982591876208897</v>
      </c>
      <c r="Q576" s="133">
        <v>0.975020145044319</v>
      </c>
      <c r="R576" s="133">
        <v>0.981409001956947</v>
      </c>
      <c r="S576" s="133">
        <v>0.985988314978543</v>
      </c>
      <c r="T576" s="135">
        <v>0.9</v>
      </c>
      <c r="U576" s="133">
        <v>0.807543520309478</v>
      </c>
      <c r="V576" s="133">
        <v>0.892828364222401</v>
      </c>
      <c r="W576" s="133">
        <v>0.925636007827789</v>
      </c>
      <c r="X576" s="133">
        <v>0.931596091205212</v>
      </c>
      <c r="Y576" s="135">
        <v>0.92</v>
      </c>
      <c r="Z576" s="135">
        <v>0.852507374631268</v>
      </c>
      <c r="AA576" s="135">
        <v>0.877094972067039</v>
      </c>
      <c r="AB576" s="135">
        <v>0.891304347826087</v>
      </c>
      <c r="AC576" s="135">
        <v>0.931425580177979</v>
      </c>
      <c r="AD576" s="135">
        <v>0.92</v>
      </c>
      <c r="AE576" s="133">
        <v>0.99971558589306</v>
      </c>
      <c r="AF576" s="133">
        <v>0.996955859969559</v>
      </c>
      <c r="AG576" s="133">
        <v>0.974497024652876</v>
      </c>
      <c r="AH576" s="133">
        <v>0.946074383158749</v>
      </c>
      <c r="AI576" s="135">
        <v>0.92</v>
      </c>
      <c r="AJ576" s="133">
        <v>0.931586608442504</v>
      </c>
      <c r="AK576" s="133">
        <v>0.942535915053092</v>
      </c>
      <c r="AL576" s="133">
        <v>0.949860724233983</v>
      </c>
      <c r="AM576" s="133">
        <v>0.96993740281488</v>
      </c>
      <c r="AN576" s="132">
        <v>0.99</v>
      </c>
      <c r="AO576" s="137">
        <v>1</v>
      </c>
      <c r="AP576" s="137">
        <v>1</v>
      </c>
      <c r="AQ576" s="137">
        <v>1</v>
      </c>
      <c r="AR576" s="137">
        <v>1</v>
      </c>
      <c r="AS576" s="158">
        <v>0.05</v>
      </c>
      <c r="AT576" s="141">
        <v>0</v>
      </c>
      <c r="AU576" s="141">
        <v>0.2</v>
      </c>
      <c r="AV576" s="141">
        <v>0</v>
      </c>
      <c r="AW576" s="141">
        <v>0.0352941176470588</v>
      </c>
      <c r="AX576" s="95"/>
      <c r="AY576" s="93"/>
    </row>
    <row r="577" ht="14.5" spans="1:51">
      <c r="A577" s="91"/>
      <c r="B577" s="95"/>
      <c r="C577" s="152" t="s">
        <v>375</v>
      </c>
      <c r="D577" s="153" t="s">
        <v>25</v>
      </c>
      <c r="E577" s="130" t="s">
        <v>376</v>
      </c>
      <c r="F577" s="154" t="s">
        <v>603</v>
      </c>
      <c r="G577" s="154" t="s">
        <v>603</v>
      </c>
      <c r="H577" s="154" t="s">
        <v>603</v>
      </c>
      <c r="I577" s="154" t="s">
        <v>603</v>
      </c>
      <c r="J577" s="132">
        <v>0.9</v>
      </c>
      <c r="K577" s="133">
        <v>0.961538461538462</v>
      </c>
      <c r="L577" s="133">
        <v>1</v>
      </c>
      <c r="M577" s="134">
        <v>1</v>
      </c>
      <c r="N577" s="133">
        <v>0.985611510791367</v>
      </c>
      <c r="O577" s="135">
        <v>0.9</v>
      </c>
      <c r="P577" s="133">
        <v>0.989405532666274</v>
      </c>
      <c r="Q577" s="133">
        <v>0.991173416407061</v>
      </c>
      <c r="R577" s="133">
        <v>0.989192625556262</v>
      </c>
      <c r="S577" s="133">
        <v>0.988745459263103</v>
      </c>
      <c r="T577" s="135">
        <v>0.9</v>
      </c>
      <c r="U577" s="133">
        <v>0.92583872866392</v>
      </c>
      <c r="V577" s="133">
        <v>0.920560747663551</v>
      </c>
      <c r="W577" s="133">
        <v>0.956134774316593</v>
      </c>
      <c r="X577" s="133">
        <v>0.945738194084068</v>
      </c>
      <c r="Y577" s="135">
        <v>0.92</v>
      </c>
      <c r="Z577" s="135">
        <v>0.899628252788104</v>
      </c>
      <c r="AA577" s="135">
        <v>0.924585218702866</v>
      </c>
      <c r="AB577" s="135">
        <v>0.969298245614035</v>
      </c>
      <c r="AC577" s="135">
        <v>0.957474615461948</v>
      </c>
      <c r="AD577" s="135">
        <v>0.92</v>
      </c>
      <c r="AE577" s="133">
        <v>0.996129032258064</v>
      </c>
      <c r="AF577" s="133">
        <v>0.99912502430488</v>
      </c>
      <c r="AG577" s="133">
        <v>0.991072742433904</v>
      </c>
      <c r="AH577" s="133">
        <v>0.945650325686033</v>
      </c>
      <c r="AI577" s="135">
        <v>0.92</v>
      </c>
      <c r="AJ577" s="133">
        <v>0.952762923351159</v>
      </c>
      <c r="AK577" s="133">
        <v>0.968327539590575</v>
      </c>
      <c r="AL577" s="133">
        <v>0.985821887461232</v>
      </c>
      <c r="AM577" s="133">
        <v>0.98028928658985</v>
      </c>
      <c r="AN577" s="132">
        <v>0.99</v>
      </c>
      <c r="AO577" s="137">
        <v>1</v>
      </c>
      <c r="AP577" s="137">
        <v>1</v>
      </c>
      <c r="AQ577" s="137">
        <v>1</v>
      </c>
      <c r="AR577" s="137">
        <v>1</v>
      </c>
      <c r="AS577" s="158">
        <v>0.05</v>
      </c>
      <c r="AT577" s="141">
        <v>0</v>
      </c>
      <c r="AU577" s="141">
        <v>0</v>
      </c>
      <c r="AV577" s="141">
        <v>0</v>
      </c>
      <c r="AW577" s="141">
        <v>0.0666666666666667</v>
      </c>
      <c r="AX577" s="95"/>
      <c r="AY577" s="93"/>
    </row>
    <row r="578" ht="14.5" spans="1:51">
      <c r="A578" s="91"/>
      <c r="B578" s="95"/>
      <c r="C578" s="152" t="s">
        <v>375</v>
      </c>
      <c r="D578" s="153" t="s">
        <v>25</v>
      </c>
      <c r="E578" s="130" t="s">
        <v>376</v>
      </c>
      <c r="F578" s="154" t="s">
        <v>604</v>
      </c>
      <c r="G578" s="154" t="s">
        <v>604</v>
      </c>
      <c r="H578" s="154" t="s">
        <v>604</v>
      </c>
      <c r="I578" s="154" t="s">
        <v>604</v>
      </c>
      <c r="J578" s="132">
        <v>0.9</v>
      </c>
      <c r="K578" s="133">
        <v>1</v>
      </c>
      <c r="L578" s="133">
        <v>1</v>
      </c>
      <c r="M578" s="134">
        <v>0.962264150943396</v>
      </c>
      <c r="N578" s="133">
        <v>0.986784140969163</v>
      </c>
      <c r="O578" s="135">
        <v>0.9</v>
      </c>
      <c r="P578" s="133">
        <v>0.96176562014299</v>
      </c>
      <c r="Q578" s="133">
        <v>0.978051391862955</v>
      </c>
      <c r="R578" s="133">
        <v>0.976016379058204</v>
      </c>
      <c r="S578" s="133">
        <v>0.972727410620838</v>
      </c>
      <c r="T578" s="135">
        <v>0.9</v>
      </c>
      <c r="U578" s="133">
        <v>0.816599316133043</v>
      </c>
      <c r="V578" s="133">
        <v>0.886777301927195</v>
      </c>
      <c r="W578" s="133">
        <v>0.918689675343668</v>
      </c>
      <c r="X578" s="133">
        <v>0.90137576410272</v>
      </c>
      <c r="Y578" s="135">
        <v>0.92</v>
      </c>
      <c r="Z578" s="135">
        <v>0.800492610837438</v>
      </c>
      <c r="AA578" s="135">
        <v>0.768624014022787</v>
      </c>
      <c r="AB578" s="135">
        <v>0.838258164852255</v>
      </c>
      <c r="AC578" s="135">
        <v>0.821594383422036</v>
      </c>
      <c r="AD578" s="135">
        <v>0.92</v>
      </c>
      <c r="AE578" s="133">
        <v>0.990036959665756</v>
      </c>
      <c r="AF578" s="133">
        <v>0.992944807819505</v>
      </c>
      <c r="AG578" s="133">
        <v>0.988568560753917</v>
      </c>
      <c r="AH578" s="133">
        <v>0.983196572945577</v>
      </c>
      <c r="AI578" s="135">
        <v>0.92</v>
      </c>
      <c r="AJ578" s="133">
        <v>0.928323412698413</v>
      </c>
      <c r="AK578" s="133">
        <v>0.924748820996514</v>
      </c>
      <c r="AL578" s="133">
        <v>0.941363926067559</v>
      </c>
      <c r="AM578" s="133">
        <v>0.947685683530678</v>
      </c>
      <c r="AN578" s="132">
        <v>0.99</v>
      </c>
      <c r="AO578" s="137">
        <v>1</v>
      </c>
      <c r="AP578" s="137">
        <v>1</v>
      </c>
      <c r="AQ578" s="137">
        <v>1</v>
      </c>
      <c r="AR578" s="137">
        <v>1</v>
      </c>
      <c r="AS578" s="158">
        <v>0.05</v>
      </c>
      <c r="AT578" s="141">
        <v>0</v>
      </c>
      <c r="AU578" s="141">
        <v>0</v>
      </c>
      <c r="AV578" s="141">
        <v>0.0769230769230769</v>
      </c>
      <c r="AW578" s="141">
        <v>0.0183823529411765</v>
      </c>
      <c r="AX578" s="95"/>
      <c r="AY578" s="93"/>
    </row>
    <row r="579" ht="14.5" spans="1:51">
      <c r="A579" s="91"/>
      <c r="B579" s="95"/>
      <c r="C579" s="152" t="s">
        <v>375</v>
      </c>
      <c r="D579" s="153" t="s">
        <v>25</v>
      </c>
      <c r="E579" s="130" t="s">
        <v>376</v>
      </c>
      <c r="F579" s="154" t="s">
        <v>605</v>
      </c>
      <c r="G579" s="154" t="s">
        <v>605</v>
      </c>
      <c r="H579" s="154" t="s">
        <v>605</v>
      </c>
      <c r="I579" s="154" t="s">
        <v>605</v>
      </c>
      <c r="J579" s="132">
        <v>0.9</v>
      </c>
      <c r="K579" s="133">
        <v>0.892857142857143</v>
      </c>
      <c r="L579" s="133">
        <v>0.857142857142857</v>
      </c>
      <c r="M579" s="134">
        <v>0.851851851851852</v>
      </c>
      <c r="N579" s="133">
        <v>0.899159663865546</v>
      </c>
      <c r="O579" s="135">
        <v>0.9</v>
      </c>
      <c r="P579" s="133">
        <v>0.976891969959561</v>
      </c>
      <c r="Q579" s="133">
        <v>0.98560411311054</v>
      </c>
      <c r="R579" s="133">
        <v>0.986681465038846</v>
      </c>
      <c r="S579" s="133">
        <v>0.981289752146259</v>
      </c>
      <c r="T579" s="135">
        <v>0.9</v>
      </c>
      <c r="U579" s="133">
        <v>0.766608896591566</v>
      </c>
      <c r="V579" s="133">
        <v>0.918251928020566</v>
      </c>
      <c r="W579" s="133">
        <v>0.935627081021088</v>
      </c>
      <c r="X579" s="133">
        <v>0.892672770314595</v>
      </c>
      <c r="Y579" s="135">
        <v>0.92</v>
      </c>
      <c r="Z579" s="135">
        <v>0.881235154394299</v>
      </c>
      <c r="AA579" s="135">
        <v>0.896494156928214</v>
      </c>
      <c r="AB579" s="135">
        <v>0.950680272108844</v>
      </c>
      <c r="AC579" s="135">
        <v>0.920336994774448</v>
      </c>
      <c r="AD579" s="135">
        <v>0.92</v>
      </c>
      <c r="AE579" s="133">
        <v>0.99476713762428</v>
      </c>
      <c r="AF579" s="133">
        <v>0.990903922683343</v>
      </c>
      <c r="AG579" s="133">
        <v>0.990130197396052</v>
      </c>
      <c r="AH579" s="133">
        <v>0.985171823812619</v>
      </c>
      <c r="AI579" s="135">
        <v>0.92</v>
      </c>
      <c r="AJ579" s="133">
        <v>0.916395726892708</v>
      </c>
      <c r="AK579" s="133">
        <v>0.952830188679245</v>
      </c>
      <c r="AL579" s="133">
        <v>0.969037656903766</v>
      </c>
      <c r="AM579" s="133">
        <v>0.964898859212924</v>
      </c>
      <c r="AN579" s="132">
        <v>0.99</v>
      </c>
      <c r="AO579" s="137">
        <v>1</v>
      </c>
      <c r="AP579" s="137">
        <v>1</v>
      </c>
      <c r="AQ579" s="137">
        <v>1</v>
      </c>
      <c r="AR579" s="137">
        <v>1</v>
      </c>
      <c r="AS579" s="158">
        <v>0.05</v>
      </c>
      <c r="AT579" s="141">
        <v>0</v>
      </c>
      <c r="AU579" s="141">
        <v>0</v>
      </c>
      <c r="AV579" s="141">
        <v>0.1</v>
      </c>
      <c r="AW579" s="141">
        <v>0.078125</v>
      </c>
      <c r="AX579" s="95"/>
      <c r="AY579" s="93"/>
    </row>
    <row r="580" ht="14.5" spans="1:51">
      <c r="A580" s="91"/>
      <c r="B580" s="95"/>
      <c r="C580" s="152" t="s">
        <v>375</v>
      </c>
      <c r="D580" s="153" t="s">
        <v>25</v>
      </c>
      <c r="E580" s="130" t="s">
        <v>376</v>
      </c>
      <c r="F580" s="154" t="s">
        <v>606</v>
      </c>
      <c r="G580" s="154" t="s">
        <v>606</v>
      </c>
      <c r="H580" s="154" t="s">
        <v>606</v>
      </c>
      <c r="I580" s="154" t="s">
        <v>606</v>
      </c>
      <c r="J580" s="132">
        <v>0.9</v>
      </c>
      <c r="K580" s="133">
        <v>0.939393939393939</v>
      </c>
      <c r="L580" s="133">
        <v>1</v>
      </c>
      <c r="M580" s="134">
        <v>1</v>
      </c>
      <c r="N580" s="133">
        <v>0.984615384615385</v>
      </c>
      <c r="O580" s="135">
        <v>0.9</v>
      </c>
      <c r="P580" s="133">
        <v>0</v>
      </c>
      <c r="Q580" s="133">
        <v>0</v>
      </c>
      <c r="R580" s="133" t="s">
        <v>35</v>
      </c>
      <c r="S580" s="133">
        <v>0.166666666666667</v>
      </c>
      <c r="T580" s="135">
        <v>0.9</v>
      </c>
      <c r="U580" s="133">
        <v>0</v>
      </c>
      <c r="V580" s="133">
        <v>0</v>
      </c>
      <c r="W580" s="133" t="s">
        <v>35</v>
      </c>
      <c r="X580" s="133">
        <v>0.166666666666667</v>
      </c>
      <c r="Y580" s="135">
        <v>0.92</v>
      </c>
      <c r="Z580" s="135">
        <v>0</v>
      </c>
      <c r="AA580" s="135" t="s">
        <v>35</v>
      </c>
      <c r="AB580" s="135" t="s">
        <v>35</v>
      </c>
      <c r="AC580" s="135">
        <v>0.5</v>
      </c>
      <c r="AD580" s="135">
        <v>0.92</v>
      </c>
      <c r="AE580" s="133">
        <v>0.996363636363636</v>
      </c>
      <c r="AF580" s="133">
        <v>0.99468085106383</v>
      </c>
      <c r="AG580" s="133">
        <v>0.9875</v>
      </c>
      <c r="AH580" s="133">
        <v>0.986593576833701</v>
      </c>
      <c r="AI580" s="135">
        <v>0.92</v>
      </c>
      <c r="AJ580" s="133">
        <v>0.793237250554324</v>
      </c>
      <c r="AK580" s="133">
        <v>0.940057336460777</v>
      </c>
      <c r="AL580" s="133">
        <v>0.939359591952394</v>
      </c>
      <c r="AM580" s="133">
        <v>0.934150581465052</v>
      </c>
      <c r="AN580" s="132">
        <v>0.99</v>
      </c>
      <c r="AO580" s="137">
        <v>1</v>
      </c>
      <c r="AP580" s="137">
        <v>1</v>
      </c>
      <c r="AQ580" s="137">
        <v>1</v>
      </c>
      <c r="AR580" s="137">
        <v>1</v>
      </c>
      <c r="AS580" s="158">
        <v>0.05</v>
      </c>
      <c r="AT580" s="141">
        <v>0.1</v>
      </c>
      <c r="AU580" s="141">
        <v>0.0833333333333333</v>
      </c>
      <c r="AV580" s="141">
        <v>0</v>
      </c>
      <c r="AW580" s="141">
        <v>0.0594594594594595</v>
      </c>
      <c r="AX580" s="95"/>
      <c r="AY580" s="93"/>
    </row>
    <row r="581" ht="14.5" spans="1:51">
      <c r="A581" s="91"/>
      <c r="B581" s="95"/>
      <c r="C581" s="152" t="s">
        <v>375</v>
      </c>
      <c r="D581" s="153" t="s">
        <v>25</v>
      </c>
      <c r="E581" s="130" t="s">
        <v>376</v>
      </c>
      <c r="F581" s="154" t="s">
        <v>607</v>
      </c>
      <c r="G581" s="154" t="s">
        <v>607</v>
      </c>
      <c r="H581" s="154" t="s">
        <v>607</v>
      </c>
      <c r="I581" s="154" t="s">
        <v>607</v>
      </c>
      <c r="J581" s="132">
        <v>0.9</v>
      </c>
      <c r="K581" s="133">
        <v>0.983606557377049</v>
      </c>
      <c r="L581" s="133">
        <v>0.966666666666667</v>
      </c>
      <c r="M581" s="134">
        <v>0.984126984126984</v>
      </c>
      <c r="N581" s="133">
        <v>0.976618705035971</v>
      </c>
      <c r="O581" s="135">
        <v>0.9</v>
      </c>
      <c r="P581" s="133">
        <v>0.973517181002408</v>
      </c>
      <c r="Q581" s="133">
        <v>0.981590574374079</v>
      </c>
      <c r="R581" s="133">
        <v>0.990777614755816</v>
      </c>
      <c r="S581" s="133">
        <v>0.989937243020991</v>
      </c>
      <c r="T581" s="135">
        <v>0.9</v>
      </c>
      <c r="U581" s="133">
        <v>0.732545414751587</v>
      </c>
      <c r="V581" s="133">
        <v>0.867636229749632</v>
      </c>
      <c r="W581" s="133">
        <v>0.904841752253196</v>
      </c>
      <c r="X581" s="133">
        <v>0.879809565029214</v>
      </c>
      <c r="Y581" s="135">
        <v>0.92</v>
      </c>
      <c r="Z581" s="135">
        <v>0.753528773072747</v>
      </c>
      <c r="AA581" s="135">
        <v>0.871456822676335</v>
      </c>
      <c r="AB581" s="135">
        <v>0.852556480380499</v>
      </c>
      <c r="AC581" s="135">
        <v>0.884410584091095</v>
      </c>
      <c r="AD581" s="135">
        <v>0.92</v>
      </c>
      <c r="AE581" s="133">
        <v>0.964574650649669</v>
      </c>
      <c r="AF581" s="133">
        <v>0.976201586560896</v>
      </c>
      <c r="AG581" s="133">
        <v>0.988595657577308</v>
      </c>
      <c r="AH581" s="133">
        <v>0.985439568289527</v>
      </c>
      <c r="AI581" s="135">
        <v>0.92</v>
      </c>
      <c r="AJ581" s="133">
        <v>0.872131147540984</v>
      </c>
      <c r="AK581" s="133">
        <v>0.943605236656596</v>
      </c>
      <c r="AL581" s="133">
        <v>0.947164549116827</v>
      </c>
      <c r="AM581" s="133">
        <v>0.957269272901547</v>
      </c>
      <c r="AN581" s="132">
        <v>0.99</v>
      </c>
      <c r="AO581" s="137">
        <v>1</v>
      </c>
      <c r="AP581" s="137">
        <v>1</v>
      </c>
      <c r="AQ581" s="137">
        <v>1</v>
      </c>
      <c r="AR581" s="137">
        <v>1</v>
      </c>
      <c r="AS581" s="158">
        <v>0.05</v>
      </c>
      <c r="AT581" s="141">
        <v>0.0625</v>
      </c>
      <c r="AU581" s="141">
        <v>0.16</v>
      </c>
      <c r="AV581" s="141">
        <v>0.0526315789473684</v>
      </c>
      <c r="AW581" s="141">
        <v>0.0485651214128035</v>
      </c>
      <c r="AX581" s="95"/>
      <c r="AY581" s="93"/>
    </row>
    <row r="582" ht="14.5" spans="1:51">
      <c r="A582" s="91"/>
      <c r="B582" s="95"/>
      <c r="C582" s="152" t="s">
        <v>375</v>
      </c>
      <c r="D582" s="153" t="s">
        <v>25</v>
      </c>
      <c r="E582" s="130" t="s">
        <v>376</v>
      </c>
      <c r="F582" s="154" t="s">
        <v>608</v>
      </c>
      <c r="G582" s="154" t="s">
        <v>608</v>
      </c>
      <c r="H582" s="154" t="s">
        <v>608</v>
      </c>
      <c r="I582" s="154" t="s">
        <v>608</v>
      </c>
      <c r="J582" s="132">
        <v>0.9</v>
      </c>
      <c r="K582" s="133">
        <v>1</v>
      </c>
      <c r="L582" s="133">
        <v>1</v>
      </c>
      <c r="M582" s="134">
        <v>1</v>
      </c>
      <c r="N582" s="133">
        <v>0.996062992125984</v>
      </c>
      <c r="O582" s="135">
        <v>0.9</v>
      </c>
      <c r="P582" s="133">
        <v>0.25</v>
      </c>
      <c r="Q582" s="133" t="s">
        <v>35</v>
      </c>
      <c r="R582" s="133" t="s">
        <v>35</v>
      </c>
      <c r="S582" s="133">
        <v>0.428571428571429</v>
      </c>
      <c r="T582" s="135">
        <v>0.9</v>
      </c>
      <c r="U582" s="133">
        <v>0</v>
      </c>
      <c r="V582" s="133" t="s">
        <v>35</v>
      </c>
      <c r="W582" s="133" t="s">
        <v>35</v>
      </c>
      <c r="X582" s="133">
        <v>0.285714285714286</v>
      </c>
      <c r="Y582" s="135">
        <v>0.92</v>
      </c>
      <c r="Z582" s="135" t="s">
        <v>35</v>
      </c>
      <c r="AA582" s="135" t="s">
        <v>35</v>
      </c>
      <c r="AB582" s="135" t="s">
        <v>35</v>
      </c>
      <c r="AC582" s="135" t="s">
        <v>35</v>
      </c>
      <c r="AD582" s="135">
        <v>0.92</v>
      </c>
      <c r="AE582" s="133">
        <v>1</v>
      </c>
      <c r="AF582" s="133">
        <v>0.991279069767442</v>
      </c>
      <c r="AG582" s="133">
        <v>0.994038748137109</v>
      </c>
      <c r="AH582" s="133">
        <v>0.995783421178725</v>
      </c>
      <c r="AI582" s="135">
        <v>0.92</v>
      </c>
      <c r="AJ582" s="133">
        <v>0.929318276871602</v>
      </c>
      <c r="AK582" s="133">
        <v>0.971066907775769</v>
      </c>
      <c r="AL582" s="133">
        <v>0.975959674292361</v>
      </c>
      <c r="AM582" s="133">
        <v>0.970660518932556</v>
      </c>
      <c r="AN582" s="132">
        <v>0.99</v>
      </c>
      <c r="AO582" s="137">
        <v>1</v>
      </c>
      <c r="AP582" s="137">
        <v>1</v>
      </c>
      <c r="AQ582" s="137">
        <v>1</v>
      </c>
      <c r="AR582" s="137">
        <v>1</v>
      </c>
      <c r="AS582" s="158">
        <v>0.05</v>
      </c>
      <c r="AT582" s="141">
        <v>0</v>
      </c>
      <c r="AU582" s="141">
        <v>0</v>
      </c>
      <c r="AV582" s="141">
        <v>0</v>
      </c>
      <c r="AW582" s="141">
        <v>0.0603448275862069</v>
      </c>
      <c r="AX582" s="95"/>
      <c r="AY582" s="93"/>
    </row>
    <row r="583" ht="14.5" spans="1:51">
      <c r="A583" s="91"/>
      <c r="B583" s="95"/>
      <c r="C583" s="152" t="s">
        <v>375</v>
      </c>
      <c r="D583" s="153" t="s">
        <v>25</v>
      </c>
      <c r="E583" s="130" t="s">
        <v>376</v>
      </c>
      <c r="F583" s="154" t="s">
        <v>609</v>
      </c>
      <c r="G583" s="154" t="s">
        <v>609</v>
      </c>
      <c r="H583" s="154" t="s">
        <v>609</v>
      </c>
      <c r="I583" s="154" t="s">
        <v>609</v>
      </c>
      <c r="J583" s="132">
        <v>0.9</v>
      </c>
      <c r="K583" s="133">
        <v>0.974358974358974</v>
      </c>
      <c r="L583" s="133">
        <v>0.972972972972973</v>
      </c>
      <c r="M583" s="134">
        <v>0.948717948717949</v>
      </c>
      <c r="N583" s="133">
        <v>0.966810966810967</v>
      </c>
      <c r="O583" s="135">
        <v>0.9</v>
      </c>
      <c r="P583" s="133">
        <v>0.97814953909184</v>
      </c>
      <c r="Q583" s="133">
        <v>0.973660846404262</v>
      </c>
      <c r="R583" s="133">
        <v>0.973770491803279</v>
      </c>
      <c r="S583" s="133">
        <v>0.972191284363122</v>
      </c>
      <c r="T583" s="135">
        <v>0.9</v>
      </c>
      <c r="U583" s="133">
        <v>0.891089108910891</v>
      </c>
      <c r="V583" s="133">
        <v>0.905593370819769</v>
      </c>
      <c r="W583" s="133">
        <v>0.920327868852459</v>
      </c>
      <c r="X583" s="133">
        <v>0.931742243436754</v>
      </c>
      <c r="Y583" s="135">
        <v>0.92</v>
      </c>
      <c r="Z583" s="135">
        <v>0.904</v>
      </c>
      <c r="AA583" s="135">
        <v>0.89766081871345</v>
      </c>
      <c r="AB583" s="135">
        <v>0.921195652173913</v>
      </c>
      <c r="AC583" s="135">
        <v>0.941834996349477</v>
      </c>
      <c r="AD583" s="135">
        <v>0.92</v>
      </c>
      <c r="AE583" s="133">
        <v>0.998394348105331</v>
      </c>
      <c r="AF583" s="133">
        <v>0.991640307275192</v>
      </c>
      <c r="AG583" s="133">
        <v>0.998675825540015</v>
      </c>
      <c r="AH583" s="133">
        <v>0.990031152647975</v>
      </c>
      <c r="AI583" s="135">
        <v>0.92</v>
      </c>
      <c r="AJ583" s="133">
        <v>0.934292696171599</v>
      </c>
      <c r="AK583" s="133">
        <v>0.938719927371766</v>
      </c>
      <c r="AL583" s="133">
        <v>0.949927780452576</v>
      </c>
      <c r="AM583" s="133">
        <v>0.967912021693281</v>
      </c>
      <c r="AN583" s="132">
        <v>0.99</v>
      </c>
      <c r="AO583" s="137">
        <v>1</v>
      </c>
      <c r="AP583" s="137">
        <v>1</v>
      </c>
      <c r="AQ583" s="137">
        <v>1</v>
      </c>
      <c r="AR583" s="137">
        <v>1</v>
      </c>
      <c r="AS583" s="158">
        <v>0.05</v>
      </c>
      <c r="AT583" s="141">
        <v>0.125</v>
      </c>
      <c r="AU583" s="141">
        <v>0.05</v>
      </c>
      <c r="AV583" s="141">
        <v>0.133333333333333</v>
      </c>
      <c r="AW583" s="141">
        <v>0.052924791086351</v>
      </c>
      <c r="AX583" s="95"/>
      <c r="AY583" s="93"/>
    </row>
    <row r="584" ht="14.5" spans="1:51">
      <c r="A584" s="91"/>
      <c r="B584" s="95"/>
      <c r="C584" s="152" t="s">
        <v>375</v>
      </c>
      <c r="D584" s="153" t="s">
        <v>25</v>
      </c>
      <c r="E584" s="130" t="s">
        <v>376</v>
      </c>
      <c r="F584" s="154" t="s">
        <v>610</v>
      </c>
      <c r="G584" s="154" t="s">
        <v>610</v>
      </c>
      <c r="H584" s="154" t="s">
        <v>610</v>
      </c>
      <c r="I584" s="154" t="s">
        <v>610</v>
      </c>
      <c r="J584" s="132">
        <v>0.9</v>
      </c>
      <c r="K584" s="133">
        <v>1</v>
      </c>
      <c r="L584" s="133">
        <v>1</v>
      </c>
      <c r="M584" s="134">
        <v>0.978723404255319</v>
      </c>
      <c r="N584" s="133">
        <v>0.990629183400268</v>
      </c>
      <c r="O584" s="135">
        <v>0.9</v>
      </c>
      <c r="P584" s="133">
        <v>0.992889463477699</v>
      </c>
      <c r="Q584" s="133">
        <v>0.995845697329377</v>
      </c>
      <c r="R584" s="133">
        <v>0.998381877022654</v>
      </c>
      <c r="S584" s="133">
        <v>0.993127090579288</v>
      </c>
      <c r="T584" s="135">
        <v>0.9</v>
      </c>
      <c r="U584" s="133">
        <v>0.959276018099548</v>
      </c>
      <c r="V584" s="133">
        <v>0.966765578635015</v>
      </c>
      <c r="W584" s="133">
        <v>0.977993527508091</v>
      </c>
      <c r="X584" s="133">
        <v>0.960476610474114</v>
      </c>
      <c r="Y584" s="135">
        <v>0.92</v>
      </c>
      <c r="Z584" s="135">
        <v>0.963235294117647</v>
      </c>
      <c r="AA584" s="135">
        <v>0.968619246861925</v>
      </c>
      <c r="AB584" s="135">
        <v>0.982374768089054</v>
      </c>
      <c r="AC584" s="135">
        <v>0.979412503138338</v>
      </c>
      <c r="AD584" s="135">
        <v>0.92</v>
      </c>
      <c r="AE584" s="133">
        <v>0.99975068561456</v>
      </c>
      <c r="AF584" s="133">
        <v>0.999403815580286</v>
      </c>
      <c r="AG584" s="133">
        <v>0.99398065916716</v>
      </c>
      <c r="AH584" s="133">
        <v>0.992121527252144</v>
      </c>
      <c r="AI584" s="135">
        <v>0.92</v>
      </c>
      <c r="AJ584" s="133">
        <v>0.976713416247685</v>
      </c>
      <c r="AK584" s="133">
        <v>0.984288354898336</v>
      </c>
      <c r="AL584" s="133">
        <v>0.991131351869607</v>
      </c>
      <c r="AM584" s="133">
        <v>0.988575560375994</v>
      </c>
      <c r="AN584" s="132">
        <v>0.99</v>
      </c>
      <c r="AO584" s="137">
        <v>1</v>
      </c>
      <c r="AP584" s="137">
        <v>1</v>
      </c>
      <c r="AQ584" s="137">
        <v>1</v>
      </c>
      <c r="AR584" s="137">
        <v>1</v>
      </c>
      <c r="AS584" s="158">
        <v>0.05</v>
      </c>
      <c r="AT584" s="141">
        <v>0.266666666666667</v>
      </c>
      <c r="AU584" s="141">
        <v>0</v>
      </c>
      <c r="AV584" s="141">
        <v>0.0416666666666667</v>
      </c>
      <c r="AW584" s="141">
        <v>0.045766590389016</v>
      </c>
      <c r="AX584" s="95"/>
      <c r="AY584" s="93"/>
    </row>
    <row r="585" ht="14.5" spans="1:51">
      <c r="A585" s="91"/>
      <c r="B585" s="95"/>
      <c r="C585" s="152" t="s">
        <v>375</v>
      </c>
      <c r="D585" s="153" t="s">
        <v>25</v>
      </c>
      <c r="E585" s="130" t="s">
        <v>376</v>
      </c>
      <c r="F585" s="154" t="s">
        <v>611</v>
      </c>
      <c r="G585" s="154" t="s">
        <v>611</v>
      </c>
      <c r="H585" s="154" t="s">
        <v>611</v>
      </c>
      <c r="I585" s="154" t="s">
        <v>611</v>
      </c>
      <c r="J585" s="132">
        <v>0.9</v>
      </c>
      <c r="K585" s="133">
        <v>0.866666666666667</v>
      </c>
      <c r="L585" s="133">
        <v>0.945205479452055</v>
      </c>
      <c r="M585" s="134">
        <v>0.943661971830986</v>
      </c>
      <c r="N585" s="133">
        <v>0.951118475559238</v>
      </c>
      <c r="O585" s="135">
        <v>0.9</v>
      </c>
      <c r="P585" s="133">
        <v>0</v>
      </c>
      <c r="Q585" s="133">
        <v>0</v>
      </c>
      <c r="R585" s="133" t="s">
        <v>35</v>
      </c>
      <c r="S585" s="133">
        <v>0.222222222222222</v>
      </c>
      <c r="T585" s="135">
        <v>0.9</v>
      </c>
      <c r="U585" s="133">
        <v>0</v>
      </c>
      <c r="V585" s="133">
        <v>0</v>
      </c>
      <c r="W585" s="133" t="s">
        <v>35</v>
      </c>
      <c r="X585" s="133">
        <v>0.111111111111111</v>
      </c>
      <c r="Y585" s="135">
        <v>0.92</v>
      </c>
      <c r="Z585" s="135">
        <v>0</v>
      </c>
      <c r="AA585" s="135">
        <v>0</v>
      </c>
      <c r="AB585" s="135">
        <v>0</v>
      </c>
      <c r="AC585" s="135">
        <v>0.333333333333333</v>
      </c>
      <c r="AD585" s="135">
        <v>0.92</v>
      </c>
      <c r="AE585" s="133">
        <v>0.996960486322188</v>
      </c>
      <c r="AF585" s="133">
        <v>0.99009900990099</v>
      </c>
      <c r="AG585" s="133">
        <v>0.994805194805195</v>
      </c>
      <c r="AH585" s="133">
        <v>0.9869041382923</v>
      </c>
      <c r="AI585" s="135">
        <v>0.92</v>
      </c>
      <c r="AJ585" s="133">
        <v>0.776261682242991</v>
      </c>
      <c r="AK585" s="133">
        <v>0.949290384308723</v>
      </c>
      <c r="AL585" s="133">
        <v>0.931818181818182</v>
      </c>
      <c r="AM585" s="133">
        <v>0.932631697963875</v>
      </c>
      <c r="AN585" s="132">
        <v>0.99</v>
      </c>
      <c r="AO585" s="137">
        <v>1</v>
      </c>
      <c r="AP585" s="137">
        <v>1</v>
      </c>
      <c r="AQ585" s="137">
        <v>1</v>
      </c>
      <c r="AR585" s="137">
        <v>1</v>
      </c>
      <c r="AS585" s="158">
        <v>0.05</v>
      </c>
      <c r="AT585" s="141">
        <v>0</v>
      </c>
      <c r="AU585" s="141">
        <v>0</v>
      </c>
      <c r="AV585" s="141">
        <v>0.2</v>
      </c>
      <c r="AW585" s="141">
        <v>0.0238907849829352</v>
      </c>
      <c r="AX585" s="95"/>
      <c r="AY585" s="93"/>
    </row>
    <row r="586" ht="14.5" spans="1:51">
      <c r="A586" s="91"/>
      <c r="B586" s="95"/>
      <c r="C586" s="152" t="s">
        <v>375</v>
      </c>
      <c r="D586" s="153" t="s">
        <v>25</v>
      </c>
      <c r="E586" s="130" t="s">
        <v>376</v>
      </c>
      <c r="F586" s="154" t="s">
        <v>612</v>
      </c>
      <c r="G586" s="154" t="s">
        <v>612</v>
      </c>
      <c r="H586" s="154" t="s">
        <v>612</v>
      </c>
      <c r="I586" s="154" t="s">
        <v>612</v>
      </c>
      <c r="J586" s="132">
        <v>0.9</v>
      </c>
      <c r="K586" s="133">
        <v>0.96</v>
      </c>
      <c r="L586" s="133">
        <v>0.92</v>
      </c>
      <c r="M586" s="134">
        <v>1</v>
      </c>
      <c r="N586" s="133">
        <v>0.984478935698448</v>
      </c>
      <c r="O586" s="135">
        <v>0.9</v>
      </c>
      <c r="P586" s="133">
        <v>0.99569197630587</v>
      </c>
      <c r="Q586" s="133">
        <v>0.997702205882353</v>
      </c>
      <c r="R586" s="133">
        <v>0.999514091350826</v>
      </c>
      <c r="S586" s="133">
        <v>0.996791886577667</v>
      </c>
      <c r="T586" s="135">
        <v>0.9</v>
      </c>
      <c r="U586" s="133">
        <v>0.946149703823371</v>
      </c>
      <c r="V586" s="133">
        <v>0.955882352941177</v>
      </c>
      <c r="W586" s="133">
        <v>0.979591836734694</v>
      </c>
      <c r="X586" s="133">
        <v>0.971722032495084</v>
      </c>
      <c r="Y586" s="135">
        <v>0.92</v>
      </c>
      <c r="Z586" s="135">
        <v>0.95190380761523</v>
      </c>
      <c r="AA586" s="135">
        <v>0.972477064220184</v>
      </c>
      <c r="AB586" s="135">
        <v>0.978005865102639</v>
      </c>
      <c r="AC586" s="135">
        <v>0.982414399503465</v>
      </c>
      <c r="AD586" s="135">
        <v>0.92</v>
      </c>
      <c r="AE586" s="133">
        <v>0.998818141527552</v>
      </c>
      <c r="AF586" s="133">
        <v>0.998937752283833</v>
      </c>
      <c r="AG586" s="133">
        <v>0.987128712871287</v>
      </c>
      <c r="AH586" s="133">
        <v>0.994319600499376</v>
      </c>
      <c r="AI586" s="135">
        <v>0.92</v>
      </c>
      <c r="AJ586" s="133">
        <v>0.966468590831918</v>
      </c>
      <c r="AK586" s="133">
        <v>0.978445229681979</v>
      </c>
      <c r="AL586" s="133">
        <v>0.985771616198468</v>
      </c>
      <c r="AM586" s="133">
        <v>0.98874195484365</v>
      </c>
      <c r="AN586" s="132">
        <v>0.99</v>
      </c>
      <c r="AO586" s="137">
        <v>1</v>
      </c>
      <c r="AP586" s="137">
        <v>1</v>
      </c>
      <c r="AQ586" s="137">
        <v>1</v>
      </c>
      <c r="AR586" s="137">
        <v>1</v>
      </c>
      <c r="AS586" s="158">
        <v>0.05</v>
      </c>
      <c r="AT586" s="141">
        <v>0.272727272727273</v>
      </c>
      <c r="AU586" s="141">
        <v>0.1</v>
      </c>
      <c r="AV586" s="141">
        <v>0.166666666666667</v>
      </c>
      <c r="AW586" s="141">
        <v>0.110619469026549</v>
      </c>
      <c r="AX586" s="95"/>
      <c r="AY586" s="93"/>
    </row>
    <row r="587" ht="14.5" spans="1:51">
      <c r="A587" s="91"/>
      <c r="B587" s="95"/>
      <c r="C587" s="152" t="s">
        <v>375</v>
      </c>
      <c r="D587" s="153" t="s">
        <v>25</v>
      </c>
      <c r="E587" s="130" t="s">
        <v>376</v>
      </c>
      <c r="F587" s="154" t="s">
        <v>613</v>
      </c>
      <c r="G587" s="154" t="s">
        <v>613</v>
      </c>
      <c r="H587" s="154" t="s">
        <v>613</v>
      </c>
      <c r="I587" s="154" t="s">
        <v>613</v>
      </c>
      <c r="J587" s="132">
        <v>0.9</v>
      </c>
      <c r="K587" s="133">
        <v>0.892857142857143</v>
      </c>
      <c r="L587" s="133">
        <v>0.941176470588235</v>
      </c>
      <c r="M587" s="134">
        <v>0.96969696969697</v>
      </c>
      <c r="N587" s="133">
        <v>0.947080291970803</v>
      </c>
      <c r="O587" s="135">
        <v>0.9</v>
      </c>
      <c r="P587" s="133">
        <v>0</v>
      </c>
      <c r="Q587" s="133">
        <v>0</v>
      </c>
      <c r="R587" s="133" t="s">
        <v>35</v>
      </c>
      <c r="S587" s="133">
        <v>0.214285714285714</v>
      </c>
      <c r="T587" s="135">
        <v>0.9</v>
      </c>
      <c r="U587" s="133">
        <v>0.444444444444444</v>
      </c>
      <c r="V587" s="133">
        <v>0</v>
      </c>
      <c r="W587" s="133" t="s">
        <v>35</v>
      </c>
      <c r="X587" s="133">
        <v>0.428571428571429</v>
      </c>
      <c r="Y587" s="135">
        <v>0.92</v>
      </c>
      <c r="Z587" s="135" t="s">
        <v>35</v>
      </c>
      <c r="AA587" s="135" t="s">
        <v>35</v>
      </c>
      <c r="AB587" s="135" t="s">
        <v>35</v>
      </c>
      <c r="AC587" s="135">
        <v>0.5</v>
      </c>
      <c r="AD587" s="135">
        <v>0.92</v>
      </c>
      <c r="AE587" s="133">
        <v>0.95</v>
      </c>
      <c r="AF587" s="133">
        <v>0.9</v>
      </c>
      <c r="AG587" s="133">
        <v>0.909090909090909</v>
      </c>
      <c r="AH587" s="133">
        <v>0.954935622317597</v>
      </c>
      <c r="AI587" s="135">
        <v>0.92</v>
      </c>
      <c r="AJ587" s="133">
        <v>0.750855578370979</v>
      </c>
      <c r="AK587" s="133">
        <v>0.940047961630695</v>
      </c>
      <c r="AL587" s="133">
        <v>0.931079323797139</v>
      </c>
      <c r="AM587" s="133">
        <v>0.926162466935821</v>
      </c>
      <c r="AN587" s="132">
        <v>0.99</v>
      </c>
      <c r="AO587" s="137">
        <v>1</v>
      </c>
      <c r="AP587" s="137">
        <v>1</v>
      </c>
      <c r="AQ587" s="137">
        <v>1</v>
      </c>
      <c r="AR587" s="137">
        <v>1</v>
      </c>
      <c r="AS587" s="158">
        <v>0.05</v>
      </c>
      <c r="AT587" s="141">
        <v>0</v>
      </c>
      <c r="AU587" s="141">
        <v>0.2</v>
      </c>
      <c r="AV587" s="141">
        <v>0.125</v>
      </c>
      <c r="AW587" s="141">
        <v>0.111731843575419</v>
      </c>
      <c r="AX587" s="95"/>
      <c r="AY587" s="93"/>
    </row>
    <row r="588" ht="14.5" spans="1:51">
      <c r="A588" s="91"/>
      <c r="B588" s="95"/>
      <c r="C588" s="152" t="s">
        <v>375</v>
      </c>
      <c r="D588" s="153" t="s">
        <v>25</v>
      </c>
      <c r="E588" s="130" t="s">
        <v>376</v>
      </c>
      <c r="F588" s="154" t="s">
        <v>614</v>
      </c>
      <c r="G588" s="154" t="s">
        <v>614</v>
      </c>
      <c r="H588" s="154" t="s">
        <v>614</v>
      </c>
      <c r="I588" s="154" t="s">
        <v>614</v>
      </c>
      <c r="J588" s="132">
        <v>0.9</v>
      </c>
      <c r="K588" s="133">
        <v>1</v>
      </c>
      <c r="L588" s="133">
        <v>0.954545454545455</v>
      </c>
      <c r="M588" s="134">
        <v>1</v>
      </c>
      <c r="N588" s="133">
        <v>0.964735516372796</v>
      </c>
      <c r="O588" s="135">
        <v>0.9</v>
      </c>
      <c r="P588" s="133">
        <v>0.954022988505747</v>
      </c>
      <c r="Q588" s="133">
        <v>0.98309065288868</v>
      </c>
      <c r="R588" s="133">
        <v>0.975013881177124</v>
      </c>
      <c r="S588" s="133">
        <v>0.979298079862172</v>
      </c>
      <c r="T588" s="135">
        <v>0.9</v>
      </c>
      <c r="U588" s="133">
        <v>0.63735632183908</v>
      </c>
      <c r="V588" s="133">
        <v>0.843588539220291</v>
      </c>
      <c r="W588" s="133">
        <v>0.903387007218212</v>
      </c>
      <c r="X588" s="133">
        <v>0.869564009225554</v>
      </c>
      <c r="Y588" s="135">
        <v>0.92</v>
      </c>
      <c r="Z588" s="135">
        <v>0.517460317460318</v>
      </c>
      <c r="AA588" s="135">
        <v>0.713318284424379</v>
      </c>
      <c r="AB588" s="135">
        <v>0.606625258799172</v>
      </c>
      <c r="AC588" s="135">
        <v>0.696395759717314</v>
      </c>
      <c r="AD588" s="135">
        <v>0.92</v>
      </c>
      <c r="AE588" s="133">
        <v>1</v>
      </c>
      <c r="AF588" s="133">
        <v>1</v>
      </c>
      <c r="AG588" s="133">
        <v>0.988648090815273</v>
      </c>
      <c r="AH588" s="133">
        <v>0.997720953553033</v>
      </c>
      <c r="AI588" s="135">
        <v>0.92</v>
      </c>
      <c r="AJ588" s="133">
        <v>0.864077669902913</v>
      </c>
      <c r="AK588" s="133">
        <v>0.928127428127428</v>
      </c>
      <c r="AL588" s="133">
        <v>0.887915936952715</v>
      </c>
      <c r="AM588" s="133">
        <v>0.926911378886025</v>
      </c>
      <c r="AN588" s="132">
        <v>0.99</v>
      </c>
      <c r="AO588" s="137">
        <v>1</v>
      </c>
      <c r="AP588" s="137">
        <v>1</v>
      </c>
      <c r="AQ588" s="137">
        <v>1</v>
      </c>
      <c r="AR588" s="137">
        <v>1</v>
      </c>
      <c r="AS588" s="158">
        <v>0.05</v>
      </c>
      <c r="AT588" s="141">
        <v>0</v>
      </c>
      <c r="AU588" s="141">
        <v>0</v>
      </c>
      <c r="AV588" s="141">
        <v>0</v>
      </c>
      <c r="AW588" s="141">
        <v>0.0508474576271186</v>
      </c>
      <c r="AX588" s="95"/>
      <c r="AY588" s="93"/>
    </row>
    <row r="589" ht="14.5" spans="1:51">
      <c r="A589" s="91"/>
      <c r="B589" s="95"/>
      <c r="C589" s="152" t="s">
        <v>375</v>
      </c>
      <c r="D589" s="153" t="s">
        <v>25</v>
      </c>
      <c r="E589" s="130" t="s">
        <v>376</v>
      </c>
      <c r="F589" s="154" t="s">
        <v>615</v>
      </c>
      <c r="G589" s="154" t="s">
        <v>615</v>
      </c>
      <c r="H589" s="154" t="s">
        <v>615</v>
      </c>
      <c r="I589" s="154" t="s">
        <v>615</v>
      </c>
      <c r="J589" s="132">
        <v>0.9</v>
      </c>
      <c r="K589" s="133">
        <v>1</v>
      </c>
      <c r="L589" s="133">
        <v>1</v>
      </c>
      <c r="M589" s="134">
        <v>0.941176470588235</v>
      </c>
      <c r="N589" s="133">
        <v>0.976277372262774</v>
      </c>
      <c r="O589" s="135">
        <v>0.9</v>
      </c>
      <c r="P589" s="133">
        <v>0</v>
      </c>
      <c r="Q589" s="133">
        <v>1</v>
      </c>
      <c r="R589" s="133">
        <v>0</v>
      </c>
      <c r="S589" s="133">
        <v>0.5</v>
      </c>
      <c r="T589" s="135">
        <v>0.9</v>
      </c>
      <c r="U589" s="133">
        <v>0</v>
      </c>
      <c r="V589" s="133">
        <v>1</v>
      </c>
      <c r="W589" s="133">
        <v>1</v>
      </c>
      <c r="X589" s="133">
        <v>0.75</v>
      </c>
      <c r="Y589" s="135">
        <v>0.92</v>
      </c>
      <c r="Z589" s="135" t="s">
        <v>35</v>
      </c>
      <c r="AA589" s="135" t="s">
        <v>35</v>
      </c>
      <c r="AB589" s="135" t="s">
        <v>35</v>
      </c>
      <c r="AC589" s="135">
        <v>0</v>
      </c>
      <c r="AD589" s="135">
        <v>0.92</v>
      </c>
      <c r="AE589" s="133">
        <v>0.96551724137931</v>
      </c>
      <c r="AF589" s="133">
        <v>0.982456140350877</v>
      </c>
      <c r="AG589" s="133">
        <v>0.972727272727273</v>
      </c>
      <c r="AH589" s="133">
        <v>0.974236641221374</v>
      </c>
      <c r="AI589" s="135">
        <v>0.92</v>
      </c>
      <c r="AJ589" s="133">
        <v>0.819681620839363</v>
      </c>
      <c r="AK589" s="133">
        <v>0.928902627511592</v>
      </c>
      <c r="AL589" s="133">
        <v>0.952353450765232</v>
      </c>
      <c r="AM589" s="133">
        <v>0.945065697511882</v>
      </c>
      <c r="AN589" s="132">
        <v>0.99</v>
      </c>
      <c r="AO589" s="137">
        <v>1</v>
      </c>
      <c r="AP589" s="137">
        <v>1</v>
      </c>
      <c r="AQ589" s="137">
        <v>1</v>
      </c>
      <c r="AR589" s="137">
        <v>1</v>
      </c>
      <c r="AS589" s="158">
        <v>0.05</v>
      </c>
      <c r="AT589" s="141">
        <v>0.166666666666667</v>
      </c>
      <c r="AU589" s="141">
        <v>0.2</v>
      </c>
      <c r="AV589" s="141">
        <v>0</v>
      </c>
      <c r="AW589" s="141">
        <v>0.0487804878048781</v>
      </c>
      <c r="AX589" s="95"/>
      <c r="AY589" s="93"/>
    </row>
    <row r="590" ht="14.5" spans="1:51">
      <c r="A590" s="91"/>
      <c r="B590" s="95"/>
      <c r="C590" s="152" t="s">
        <v>375</v>
      </c>
      <c r="D590" s="153" t="s">
        <v>25</v>
      </c>
      <c r="E590" s="130" t="s">
        <v>376</v>
      </c>
      <c r="F590" s="154" t="s">
        <v>616</v>
      </c>
      <c r="G590" s="154" t="s">
        <v>616</v>
      </c>
      <c r="H590" s="154" t="s">
        <v>616</v>
      </c>
      <c r="I590" s="154" t="s">
        <v>616</v>
      </c>
      <c r="J590" s="132">
        <v>0.9</v>
      </c>
      <c r="K590" s="133">
        <v>0.892857142857143</v>
      </c>
      <c r="L590" s="133">
        <v>0.933333333333333</v>
      </c>
      <c r="M590" s="134">
        <v>0.967741935483871</v>
      </c>
      <c r="N590" s="133">
        <v>0.942418426103647</v>
      </c>
      <c r="O590" s="135">
        <v>0.9</v>
      </c>
      <c r="P590" s="133">
        <v>0.915949367088608</v>
      </c>
      <c r="Q590" s="133">
        <v>0.977827050997783</v>
      </c>
      <c r="R590" s="133">
        <v>0.978985135827781</v>
      </c>
      <c r="S590" s="133">
        <v>0.971369261046559</v>
      </c>
      <c r="T590" s="135">
        <v>0.9</v>
      </c>
      <c r="U590" s="133">
        <v>0.820759493670886</v>
      </c>
      <c r="V590" s="133">
        <v>0.914412416851441</v>
      </c>
      <c r="W590" s="133">
        <v>0.942080984110713</v>
      </c>
      <c r="X590" s="133">
        <v>0.919418758256275</v>
      </c>
      <c r="Y590" s="135">
        <v>0.92</v>
      </c>
      <c r="Z590" s="135">
        <v>0.823091247672253</v>
      </c>
      <c r="AA590" s="135">
        <v>0.867981790591806</v>
      </c>
      <c r="AB590" s="135">
        <v>0.886024423337856</v>
      </c>
      <c r="AC590" s="135">
        <v>0.901741405756564</v>
      </c>
      <c r="AD590" s="135">
        <v>0.92</v>
      </c>
      <c r="AE590" s="133">
        <v>0.995896032831737</v>
      </c>
      <c r="AF590" s="133">
        <v>0.990729632457193</v>
      </c>
      <c r="AG590" s="133">
        <v>0.984771044122249</v>
      </c>
      <c r="AH590" s="133">
        <v>0.981469917250079</v>
      </c>
      <c r="AI590" s="135">
        <v>0.92</v>
      </c>
      <c r="AJ590" s="133">
        <v>0.89609872611465</v>
      </c>
      <c r="AK590" s="133">
        <v>0.948902606310014</v>
      </c>
      <c r="AL590" s="133">
        <v>0.955729166666667</v>
      </c>
      <c r="AM590" s="133">
        <v>0.95434548020254</v>
      </c>
      <c r="AN590" s="132">
        <v>0.99</v>
      </c>
      <c r="AO590" s="137">
        <v>1</v>
      </c>
      <c r="AP590" s="137">
        <v>1</v>
      </c>
      <c r="AQ590" s="137">
        <v>1</v>
      </c>
      <c r="AR590" s="137">
        <v>1</v>
      </c>
      <c r="AS590" s="158">
        <v>0.05</v>
      </c>
      <c r="AT590" s="141">
        <v>0.0666666666666667</v>
      </c>
      <c r="AU590" s="141">
        <v>0</v>
      </c>
      <c r="AV590" s="141">
        <v>0</v>
      </c>
      <c r="AW590" s="141">
        <v>0.0290322580645161</v>
      </c>
      <c r="AX590" s="95"/>
      <c r="AY590" s="93"/>
    </row>
    <row r="591" ht="14.5" spans="1:51">
      <c r="A591" s="91"/>
      <c r="B591" s="95"/>
      <c r="C591" s="152" t="s">
        <v>375</v>
      </c>
      <c r="D591" s="153" t="s">
        <v>25</v>
      </c>
      <c r="E591" s="130" t="s">
        <v>376</v>
      </c>
      <c r="F591" s="154" t="s">
        <v>617</v>
      </c>
      <c r="G591" s="154" t="s">
        <v>617</v>
      </c>
      <c r="H591" s="154" t="s">
        <v>617</v>
      </c>
      <c r="I591" s="154" t="s">
        <v>617</v>
      </c>
      <c r="J591" s="132">
        <v>0.9</v>
      </c>
      <c r="K591" s="133">
        <v>1</v>
      </c>
      <c r="L591" s="133">
        <v>1</v>
      </c>
      <c r="M591" s="134">
        <v>1</v>
      </c>
      <c r="N591" s="133">
        <v>0.998851894374282</v>
      </c>
      <c r="O591" s="135">
        <v>0.9</v>
      </c>
      <c r="P591" s="133">
        <v>0.980479148181012</v>
      </c>
      <c r="Q591" s="133">
        <v>0.97507869884575</v>
      </c>
      <c r="R591" s="133">
        <v>0.985467756584923</v>
      </c>
      <c r="S591" s="133">
        <v>0.975528696403821</v>
      </c>
      <c r="T591" s="135">
        <v>0.9</v>
      </c>
      <c r="U591" s="133">
        <v>0.910677314404022</v>
      </c>
      <c r="V591" s="133">
        <v>0.919202518363064</v>
      </c>
      <c r="W591" s="133">
        <v>0.933091129276415</v>
      </c>
      <c r="X591" s="133">
        <v>0.906168497295042</v>
      </c>
      <c r="Y591" s="135">
        <v>0.92</v>
      </c>
      <c r="Z591" s="135">
        <v>0.774787535410765</v>
      </c>
      <c r="AA591" s="135">
        <v>0.86084452975048</v>
      </c>
      <c r="AB591" s="135">
        <v>0.865671641791045</v>
      </c>
      <c r="AC591" s="135">
        <v>0.843201124097848</v>
      </c>
      <c r="AD591" s="135">
        <v>0.92</v>
      </c>
      <c r="AE591" s="133">
        <v>0.997266514806378</v>
      </c>
      <c r="AF591" s="133">
        <v>0.997171145685997</v>
      </c>
      <c r="AG591" s="133">
        <v>0.989835164835165</v>
      </c>
      <c r="AH591" s="133">
        <v>0.996026947659354</v>
      </c>
      <c r="AI591" s="135">
        <v>0.92</v>
      </c>
      <c r="AJ591" s="133">
        <v>0.936903888481291</v>
      </c>
      <c r="AK591" s="133">
        <v>0.952822414503502</v>
      </c>
      <c r="AL591" s="133">
        <v>0.955438756855576</v>
      </c>
      <c r="AM591" s="133">
        <v>0.953940214107924</v>
      </c>
      <c r="AN591" s="132">
        <v>0.99</v>
      </c>
      <c r="AO591" s="137">
        <v>1</v>
      </c>
      <c r="AP591" s="137">
        <v>1</v>
      </c>
      <c r="AQ591" s="137">
        <v>1</v>
      </c>
      <c r="AR591" s="137">
        <v>1</v>
      </c>
      <c r="AS591" s="158">
        <v>0.05</v>
      </c>
      <c r="AT591" s="141">
        <v>0.166666666666667</v>
      </c>
      <c r="AU591" s="141">
        <v>0.0769230769230769</v>
      </c>
      <c r="AV591" s="141">
        <v>0.0769230769230769</v>
      </c>
      <c r="AW591" s="141">
        <v>0.04149377593361</v>
      </c>
      <c r="AX591" s="95"/>
      <c r="AY591" s="93"/>
    </row>
    <row r="592" ht="14.5" spans="1:51">
      <c r="A592" s="91"/>
      <c r="B592" s="95"/>
      <c r="C592" s="152" t="s">
        <v>375</v>
      </c>
      <c r="D592" s="153" t="s">
        <v>25</v>
      </c>
      <c r="E592" s="130" t="s">
        <v>376</v>
      </c>
      <c r="F592" s="154" t="s">
        <v>618</v>
      </c>
      <c r="G592" s="154" t="s">
        <v>618</v>
      </c>
      <c r="H592" s="154" t="s">
        <v>618</v>
      </c>
      <c r="I592" s="154" t="s">
        <v>618</v>
      </c>
      <c r="J592" s="132">
        <v>0.9</v>
      </c>
      <c r="K592" s="133">
        <v>0.963636363636364</v>
      </c>
      <c r="L592" s="133">
        <v>1</v>
      </c>
      <c r="M592" s="134">
        <v>1</v>
      </c>
      <c r="N592" s="133">
        <v>0.992685475444096</v>
      </c>
      <c r="O592" s="135">
        <v>0.9</v>
      </c>
      <c r="P592" s="133">
        <v>0.968051118210863</v>
      </c>
      <c r="Q592" s="133">
        <v>0.986483587213044</v>
      </c>
      <c r="R592" s="133">
        <v>0.988467083133109</v>
      </c>
      <c r="S592" s="133">
        <v>0.984961767204758</v>
      </c>
      <c r="T592" s="135">
        <v>0.9</v>
      </c>
      <c r="U592" s="133">
        <v>0.885967068075694</v>
      </c>
      <c r="V592" s="133">
        <v>0.911821497532718</v>
      </c>
      <c r="W592" s="133">
        <v>0.959875060067275</v>
      </c>
      <c r="X592" s="133">
        <v>0.939543633936157</v>
      </c>
      <c r="Y592" s="135">
        <v>0.92</v>
      </c>
      <c r="Z592" s="135">
        <v>0.855026455026455</v>
      </c>
      <c r="AA592" s="135">
        <v>0.90142964635064</v>
      </c>
      <c r="AB592" s="135">
        <v>0.934353091140854</v>
      </c>
      <c r="AC592" s="135">
        <v>0.939177181446597</v>
      </c>
      <c r="AD592" s="135">
        <v>0.92</v>
      </c>
      <c r="AE592" s="133">
        <v>0.980031323414252</v>
      </c>
      <c r="AF592" s="133">
        <v>0.977696596808306</v>
      </c>
      <c r="AG592" s="133">
        <v>0.990184501845018</v>
      </c>
      <c r="AH592" s="133">
        <v>0.986478746558169</v>
      </c>
      <c r="AI592" s="135">
        <v>0.92</v>
      </c>
      <c r="AJ592" s="133">
        <v>0.910885167464115</v>
      </c>
      <c r="AK592" s="133">
        <v>0.947254214655316</v>
      </c>
      <c r="AL592" s="133">
        <v>0.973482205163992</v>
      </c>
      <c r="AM592" s="133">
        <v>0.970413016747529</v>
      </c>
      <c r="AN592" s="132">
        <v>0.99</v>
      </c>
      <c r="AO592" s="137">
        <v>1</v>
      </c>
      <c r="AP592" s="137">
        <v>1</v>
      </c>
      <c r="AQ592" s="137">
        <v>1</v>
      </c>
      <c r="AR592" s="137">
        <v>1</v>
      </c>
      <c r="AS592" s="158">
        <v>0.05</v>
      </c>
      <c r="AT592" s="141">
        <v>0.0714285714285714</v>
      </c>
      <c r="AU592" s="141">
        <v>0.0882352941176471</v>
      </c>
      <c r="AV592" s="141">
        <v>0.0222222222222222</v>
      </c>
      <c r="AW592" s="141">
        <v>0.0642857142857143</v>
      </c>
      <c r="AX592" s="95"/>
      <c r="AY592" s="93"/>
    </row>
    <row r="593" ht="14.5" spans="1:51">
      <c r="A593" s="91"/>
      <c r="B593" s="95"/>
      <c r="C593" s="152" t="s">
        <v>375</v>
      </c>
      <c r="D593" s="153" t="s">
        <v>25</v>
      </c>
      <c r="E593" s="130" t="s">
        <v>376</v>
      </c>
      <c r="F593" s="154" t="s">
        <v>619</v>
      </c>
      <c r="G593" s="154" t="s">
        <v>619</v>
      </c>
      <c r="H593" s="154" t="s">
        <v>619</v>
      </c>
      <c r="I593" s="154" t="s">
        <v>619</v>
      </c>
      <c r="J593" s="132">
        <v>0.9</v>
      </c>
      <c r="K593" s="133">
        <v>0.916666666666667</v>
      </c>
      <c r="L593" s="133">
        <v>0.972222222222222</v>
      </c>
      <c r="M593" s="134">
        <v>0.945945945945946</v>
      </c>
      <c r="N593" s="133">
        <v>0.974006116207951</v>
      </c>
      <c r="O593" s="135">
        <v>0.9</v>
      </c>
      <c r="P593" s="133">
        <v>1</v>
      </c>
      <c r="Q593" s="133">
        <v>0.5</v>
      </c>
      <c r="R593" s="133">
        <v>1</v>
      </c>
      <c r="S593" s="133">
        <v>0.833333333333333</v>
      </c>
      <c r="T593" s="135">
        <v>0.9</v>
      </c>
      <c r="U593" s="133">
        <v>0</v>
      </c>
      <c r="V593" s="133">
        <v>0.5</v>
      </c>
      <c r="W593" s="133">
        <v>0</v>
      </c>
      <c r="X593" s="133">
        <v>0.166666666666667</v>
      </c>
      <c r="Y593" s="135">
        <v>0.92</v>
      </c>
      <c r="Z593" s="135" t="s">
        <v>35</v>
      </c>
      <c r="AA593" s="135" t="s">
        <v>35</v>
      </c>
      <c r="AB593" s="135" t="s">
        <v>35</v>
      </c>
      <c r="AC593" s="135" t="s">
        <v>35</v>
      </c>
      <c r="AD593" s="135">
        <v>0.92</v>
      </c>
      <c r="AE593" s="133">
        <v>1</v>
      </c>
      <c r="AF593" s="133">
        <v>0.998482549317147</v>
      </c>
      <c r="AG593" s="133">
        <v>0.998534798534799</v>
      </c>
      <c r="AH593" s="133">
        <v>0.996924923123078</v>
      </c>
      <c r="AI593" s="135">
        <v>0.92</v>
      </c>
      <c r="AJ593" s="133">
        <v>0.671553228621291</v>
      </c>
      <c r="AK593" s="133">
        <v>0.950238965420298</v>
      </c>
      <c r="AL593" s="133">
        <v>0.92073762536396</v>
      </c>
      <c r="AM593" s="133">
        <v>0.941856339027728</v>
      </c>
      <c r="AN593" s="132">
        <v>0.99</v>
      </c>
      <c r="AO593" s="137">
        <v>1</v>
      </c>
      <c r="AP593" s="137">
        <v>1</v>
      </c>
      <c r="AQ593" s="137">
        <v>1</v>
      </c>
      <c r="AR593" s="137">
        <v>1</v>
      </c>
      <c r="AS593" s="158">
        <v>0.05</v>
      </c>
      <c r="AT593" s="141">
        <v>0</v>
      </c>
      <c r="AU593" s="141">
        <v>0</v>
      </c>
      <c r="AV593" s="141">
        <v>0</v>
      </c>
      <c r="AW593" s="141">
        <v>0.108108108108108</v>
      </c>
      <c r="AX593" s="95"/>
      <c r="AY593" s="93"/>
    </row>
    <row r="594" ht="14.5" spans="1:51">
      <c r="A594" s="91"/>
      <c r="B594" s="95"/>
      <c r="C594" s="152" t="s">
        <v>375</v>
      </c>
      <c r="D594" s="153" t="s">
        <v>25</v>
      </c>
      <c r="E594" s="130" t="s">
        <v>376</v>
      </c>
      <c r="F594" s="154" t="s">
        <v>620</v>
      </c>
      <c r="G594" s="154" t="s">
        <v>620</v>
      </c>
      <c r="H594" s="154" t="s">
        <v>620</v>
      </c>
      <c r="I594" s="154" t="s">
        <v>620</v>
      </c>
      <c r="J594" s="132">
        <v>0.9</v>
      </c>
      <c r="K594" s="133">
        <v>0.96969696969697</v>
      </c>
      <c r="L594" s="133">
        <v>0.756756756756757</v>
      </c>
      <c r="M594" s="134">
        <v>0.853658536585366</v>
      </c>
      <c r="N594" s="133">
        <v>0.825352112676056</v>
      </c>
      <c r="O594" s="135">
        <v>0.9</v>
      </c>
      <c r="P594" s="133">
        <v>0.983556638246041</v>
      </c>
      <c r="Q594" s="133">
        <v>0.983366336633663</v>
      </c>
      <c r="R594" s="133">
        <v>0.990366088631985</v>
      </c>
      <c r="S594" s="133">
        <v>0.988757597099408</v>
      </c>
      <c r="T594" s="135">
        <v>0.9</v>
      </c>
      <c r="U594" s="133">
        <v>0.845919610231425</v>
      </c>
      <c r="V594" s="133">
        <v>0.83960396039604</v>
      </c>
      <c r="W594" s="133">
        <v>0.869460500963391</v>
      </c>
      <c r="X594" s="133">
        <v>0.884837102538018</v>
      </c>
      <c r="Y594" s="135">
        <v>0.92</v>
      </c>
      <c r="Z594" s="135">
        <v>0.852526926263463</v>
      </c>
      <c r="AA594" s="135">
        <v>0.867172675521822</v>
      </c>
      <c r="AB594" s="135">
        <v>0.905047476261869</v>
      </c>
      <c r="AC594" s="135">
        <v>0.919941460241747</v>
      </c>
      <c r="AD594" s="135">
        <v>0.92</v>
      </c>
      <c r="AE594" s="133">
        <v>0.996963870053638</v>
      </c>
      <c r="AF594" s="133">
        <v>0.996484531940538</v>
      </c>
      <c r="AG594" s="133">
        <v>0.978993140617344</v>
      </c>
      <c r="AH594" s="133">
        <v>0.979934039569721</v>
      </c>
      <c r="AI594" s="135">
        <v>0.92</v>
      </c>
      <c r="AJ594" s="133">
        <v>0.890564714135391</v>
      </c>
      <c r="AK594" s="133">
        <v>0.899892125134844</v>
      </c>
      <c r="AL594" s="133">
        <v>0.935539215686275</v>
      </c>
      <c r="AM594" s="133">
        <v>0.942615764724635</v>
      </c>
      <c r="AN594" s="132">
        <v>0.99</v>
      </c>
      <c r="AO594" s="137">
        <v>1</v>
      </c>
      <c r="AP594" s="137">
        <v>1</v>
      </c>
      <c r="AQ594" s="137">
        <v>1</v>
      </c>
      <c r="AR594" s="137">
        <v>1</v>
      </c>
      <c r="AS594" s="158">
        <v>0.05</v>
      </c>
      <c r="AT594" s="141">
        <v>0.142857142857143</v>
      </c>
      <c r="AU594" s="141">
        <v>0</v>
      </c>
      <c r="AV594" s="141">
        <v>0.105263157894737</v>
      </c>
      <c r="AW594" s="141">
        <v>0.0514705882352941</v>
      </c>
      <c r="AX594" s="95"/>
      <c r="AY594" s="93"/>
    </row>
    <row r="595" ht="14.5" spans="1:51">
      <c r="A595" s="91"/>
      <c r="B595" s="95"/>
      <c r="C595" s="152" t="s">
        <v>375</v>
      </c>
      <c r="D595" s="153" t="s">
        <v>25</v>
      </c>
      <c r="E595" s="130" t="s">
        <v>376</v>
      </c>
      <c r="F595" s="154" t="s">
        <v>621</v>
      </c>
      <c r="G595" s="154" t="s">
        <v>621</v>
      </c>
      <c r="H595" s="154" t="s">
        <v>621</v>
      </c>
      <c r="I595" s="154" t="s">
        <v>621</v>
      </c>
      <c r="J595" s="132">
        <v>0.9</v>
      </c>
      <c r="K595" s="133">
        <v>0.909090909090909</v>
      </c>
      <c r="L595" s="133">
        <v>0.938775510204082</v>
      </c>
      <c r="M595" s="134">
        <v>0.942307692307692</v>
      </c>
      <c r="N595" s="133">
        <v>0.955172413793103</v>
      </c>
      <c r="O595" s="135">
        <v>0.9</v>
      </c>
      <c r="P595" s="133">
        <v>0.978811607554123</v>
      </c>
      <c r="Q595" s="133">
        <v>0.987320837927233</v>
      </c>
      <c r="R595" s="133">
        <v>0.987862176977291</v>
      </c>
      <c r="S595" s="133">
        <v>0.98747050230363</v>
      </c>
      <c r="T595" s="135">
        <v>0.9</v>
      </c>
      <c r="U595" s="133">
        <v>0.906955320128973</v>
      </c>
      <c r="V595" s="133">
        <v>0.907111356119074</v>
      </c>
      <c r="W595" s="133">
        <v>0.900939702427565</v>
      </c>
      <c r="X595" s="133">
        <v>0.906974566430685</v>
      </c>
      <c r="Y595" s="135">
        <v>0.92</v>
      </c>
      <c r="Z595" s="135">
        <v>0.948731786292499</v>
      </c>
      <c r="AA595" s="135">
        <v>0.942213008551438</v>
      </c>
      <c r="AB595" s="135">
        <v>0.964381121994657</v>
      </c>
      <c r="AC595" s="135">
        <v>0.965771337401517</v>
      </c>
      <c r="AD595" s="135">
        <v>0.92</v>
      </c>
      <c r="AE595" s="133">
        <v>0.995048659723408</v>
      </c>
      <c r="AF595" s="133">
        <v>0.997167540008497</v>
      </c>
      <c r="AG595" s="133">
        <v>0.994241433243282</v>
      </c>
      <c r="AH595" s="133">
        <v>0.96870717762132</v>
      </c>
      <c r="AI595" s="135">
        <v>0.92</v>
      </c>
      <c r="AJ595" s="133">
        <v>0.965722801788376</v>
      </c>
      <c r="AK595" s="133">
        <v>0.959407130458005</v>
      </c>
      <c r="AL595" s="133">
        <v>0.972653612424038</v>
      </c>
      <c r="AM595" s="133">
        <v>0.975899922963793</v>
      </c>
      <c r="AN595" s="132">
        <v>0.99</v>
      </c>
      <c r="AO595" s="137">
        <v>1</v>
      </c>
      <c r="AP595" s="137">
        <v>1</v>
      </c>
      <c r="AQ595" s="137">
        <v>1</v>
      </c>
      <c r="AR595" s="137">
        <v>1</v>
      </c>
      <c r="AS595" s="158">
        <v>0.05</v>
      </c>
      <c r="AT595" s="141">
        <v>0.0555555555555556</v>
      </c>
      <c r="AU595" s="141">
        <v>0.0476190476190476</v>
      </c>
      <c r="AV595" s="141">
        <v>0</v>
      </c>
      <c r="AW595" s="141">
        <v>0.048469387755102</v>
      </c>
      <c r="AX595" s="95"/>
      <c r="AY595" s="93"/>
    </row>
    <row r="596" ht="14.5" spans="1:51">
      <c r="A596" s="91"/>
      <c r="B596" s="95"/>
      <c r="C596" s="152" t="s">
        <v>375</v>
      </c>
      <c r="D596" s="153" t="s">
        <v>25</v>
      </c>
      <c r="E596" s="130" t="s">
        <v>376</v>
      </c>
      <c r="F596" s="154" t="s">
        <v>622</v>
      </c>
      <c r="G596" s="154" t="s">
        <v>622</v>
      </c>
      <c r="H596" s="154" t="s">
        <v>622</v>
      </c>
      <c r="I596" s="154" t="s">
        <v>622</v>
      </c>
      <c r="J596" s="132">
        <v>0.9</v>
      </c>
      <c r="K596" s="133">
        <v>0.897058823529412</v>
      </c>
      <c r="L596" s="133">
        <v>0.80952380952381</v>
      </c>
      <c r="M596" s="134">
        <v>0.827956989247312</v>
      </c>
      <c r="N596" s="133">
        <v>0.836010709504685</v>
      </c>
      <c r="O596" s="135">
        <v>0.9</v>
      </c>
      <c r="P596" s="133">
        <v>0.914816042426251</v>
      </c>
      <c r="Q596" s="133">
        <v>0.879615468647586</v>
      </c>
      <c r="R596" s="133">
        <v>0.929944693178825</v>
      </c>
      <c r="S596" s="133">
        <v>0.915077123071923</v>
      </c>
      <c r="T596" s="135">
        <v>0.9</v>
      </c>
      <c r="U596" s="133">
        <v>0.794497845541929</v>
      </c>
      <c r="V596" s="133">
        <v>0.835700240332095</v>
      </c>
      <c r="W596" s="133">
        <v>0.909402159599684</v>
      </c>
      <c r="X596" s="133">
        <v>0.862503437414065</v>
      </c>
      <c r="Y596" s="135">
        <v>0.92</v>
      </c>
      <c r="Z596" s="135">
        <v>0.650645304850912</v>
      </c>
      <c r="AA596" s="135">
        <v>0.796780684104628</v>
      </c>
      <c r="AB596" s="135">
        <v>0.904638568401224</v>
      </c>
      <c r="AC596" s="135">
        <v>0.850431730100953</v>
      </c>
      <c r="AD596" s="135">
        <v>0.92</v>
      </c>
      <c r="AE596" s="133">
        <v>0.994515539305302</v>
      </c>
      <c r="AF596" s="133">
        <v>0.997071474329642</v>
      </c>
      <c r="AG596" s="133">
        <v>0.792682926829268</v>
      </c>
      <c r="AH596" s="133">
        <v>0.871143694774847</v>
      </c>
      <c r="AI596" s="135">
        <v>0.92</v>
      </c>
      <c r="AJ596" s="133">
        <v>0.775014239605088</v>
      </c>
      <c r="AK596" s="133">
        <v>0.854240282685512</v>
      </c>
      <c r="AL596" s="133">
        <v>0.933888405617</v>
      </c>
      <c r="AM596" s="133">
        <v>0.898534119016441</v>
      </c>
      <c r="AN596" s="132">
        <v>0.99</v>
      </c>
      <c r="AO596" s="137">
        <v>1</v>
      </c>
      <c r="AP596" s="137">
        <v>1</v>
      </c>
      <c r="AQ596" s="137">
        <v>1</v>
      </c>
      <c r="AR596" s="137">
        <v>1</v>
      </c>
      <c r="AS596" s="158">
        <v>0.05</v>
      </c>
      <c r="AT596" s="141">
        <v>0.0316455696202532</v>
      </c>
      <c r="AU596" s="141">
        <v>0.0145631067961165</v>
      </c>
      <c r="AV596" s="141">
        <v>0.0391061452513966</v>
      </c>
      <c r="AW596" s="141">
        <v>0.0284926470588235</v>
      </c>
      <c r="AX596" s="95"/>
      <c r="AY596" s="93"/>
    </row>
    <row r="597" ht="14.5" spans="1:51">
      <c r="A597" s="91"/>
      <c r="B597" s="95"/>
      <c r="C597" s="152" t="s">
        <v>375</v>
      </c>
      <c r="D597" s="153" t="s">
        <v>125</v>
      </c>
      <c r="E597" s="130" t="s">
        <v>376</v>
      </c>
      <c r="F597" s="154" t="s">
        <v>623</v>
      </c>
      <c r="G597" s="154" t="s">
        <v>623</v>
      </c>
      <c r="H597" s="154" t="s">
        <v>623</v>
      </c>
      <c r="I597" s="154" t="s">
        <v>623</v>
      </c>
      <c r="J597" s="132">
        <v>0.9</v>
      </c>
      <c r="K597" s="133" t="s">
        <v>35</v>
      </c>
      <c r="L597" s="133" t="s">
        <v>35</v>
      </c>
      <c r="M597" s="134" t="s">
        <v>35</v>
      </c>
      <c r="N597" s="133" t="s">
        <v>35</v>
      </c>
      <c r="O597" s="135">
        <v>0.9</v>
      </c>
      <c r="P597" s="133" t="s">
        <v>35</v>
      </c>
      <c r="Q597" s="133" t="s">
        <v>35</v>
      </c>
      <c r="R597" s="133" t="s">
        <v>35</v>
      </c>
      <c r="S597" s="133" t="s">
        <v>35</v>
      </c>
      <c r="T597" s="135">
        <v>0.9</v>
      </c>
      <c r="U597" s="133" t="s">
        <v>35</v>
      </c>
      <c r="V597" s="133" t="s">
        <v>35</v>
      </c>
      <c r="W597" s="133" t="s">
        <v>35</v>
      </c>
      <c r="X597" s="133" t="s">
        <v>35</v>
      </c>
      <c r="Y597" s="135">
        <v>0.92</v>
      </c>
      <c r="Z597" s="135" t="s">
        <v>35</v>
      </c>
      <c r="AA597" s="135" t="s">
        <v>35</v>
      </c>
      <c r="AB597" s="135" t="s">
        <v>35</v>
      </c>
      <c r="AC597" s="135" t="s">
        <v>35</v>
      </c>
      <c r="AD597" s="135">
        <v>0.92</v>
      </c>
      <c r="AE597" s="133">
        <v>1</v>
      </c>
      <c r="AF597" s="133">
        <v>1</v>
      </c>
      <c r="AG597" s="133">
        <v>0.466334164588529</v>
      </c>
      <c r="AH597" s="133">
        <v>0.798587532255874</v>
      </c>
      <c r="AI597" s="135">
        <v>0.92</v>
      </c>
      <c r="AJ597" s="133" t="s">
        <v>35</v>
      </c>
      <c r="AK597" s="133" t="s">
        <v>35</v>
      </c>
      <c r="AL597" s="133" t="s">
        <v>35</v>
      </c>
      <c r="AM597" s="133" t="s">
        <v>35</v>
      </c>
      <c r="AN597" s="132">
        <v>0.99</v>
      </c>
      <c r="AO597" s="137" t="s">
        <v>35</v>
      </c>
      <c r="AP597" s="137" t="s">
        <v>35</v>
      </c>
      <c r="AQ597" s="137" t="s">
        <v>35</v>
      </c>
      <c r="AR597" s="137">
        <v>1</v>
      </c>
      <c r="AS597" s="158">
        <v>0.05</v>
      </c>
      <c r="AT597" s="141" t="s">
        <v>35</v>
      </c>
      <c r="AU597" s="141" t="s">
        <v>35</v>
      </c>
      <c r="AV597" s="141" t="s">
        <v>35</v>
      </c>
      <c r="AW597" s="141" t="s">
        <v>35</v>
      </c>
      <c r="AX597" s="95"/>
      <c r="AY597" s="93"/>
    </row>
    <row r="598" ht="14.5" spans="1:51">
      <c r="A598" s="91"/>
      <c r="B598" s="95"/>
      <c r="C598" s="152" t="s">
        <v>375</v>
      </c>
      <c r="D598" s="153" t="s">
        <v>25</v>
      </c>
      <c r="E598" s="130" t="s">
        <v>376</v>
      </c>
      <c r="F598" s="154" t="s">
        <v>624</v>
      </c>
      <c r="G598" s="154" t="s">
        <v>624</v>
      </c>
      <c r="H598" s="154" t="s">
        <v>624</v>
      </c>
      <c r="I598" s="154" t="s">
        <v>624</v>
      </c>
      <c r="J598" s="132">
        <v>0.9</v>
      </c>
      <c r="K598" s="133">
        <v>0.758064516129032</v>
      </c>
      <c r="L598" s="133">
        <v>0.657142857142857</v>
      </c>
      <c r="M598" s="134">
        <v>0.709302325581395</v>
      </c>
      <c r="N598" s="133">
        <v>0.689928057553957</v>
      </c>
      <c r="O598" s="135">
        <v>0.9</v>
      </c>
      <c r="P598" s="133">
        <v>0.922764227642276</v>
      </c>
      <c r="Q598" s="133">
        <v>0.916813812046302</v>
      </c>
      <c r="R598" s="133">
        <v>0.940921823274764</v>
      </c>
      <c r="S598" s="133">
        <v>0.912368007328456</v>
      </c>
      <c r="T598" s="135">
        <v>0.9</v>
      </c>
      <c r="U598" s="133">
        <v>0.638211382113821</v>
      </c>
      <c r="V598" s="133">
        <v>0.736511673533451</v>
      </c>
      <c r="W598" s="133">
        <v>0.858925388337153</v>
      </c>
      <c r="X598" s="133">
        <v>0.748666146742427</v>
      </c>
      <c r="Y598" s="135">
        <v>0.92</v>
      </c>
      <c r="Z598" s="135">
        <v>0.510938079347423</v>
      </c>
      <c r="AA598" s="135">
        <v>0.7931638913234</v>
      </c>
      <c r="AB598" s="135">
        <v>0.884189508077691</v>
      </c>
      <c r="AC598" s="135">
        <v>0.820068265085644</v>
      </c>
      <c r="AD598" s="135">
        <v>0.92</v>
      </c>
      <c r="AE598" s="133">
        <v>0.927894211576846</v>
      </c>
      <c r="AF598" s="133">
        <v>0.995840698762608</v>
      </c>
      <c r="AG598" s="133">
        <v>0.996998614745267</v>
      </c>
      <c r="AH598" s="133">
        <v>0.983113932689199</v>
      </c>
      <c r="AI598" s="135">
        <v>0.92</v>
      </c>
      <c r="AJ598" s="133">
        <v>0.689280868385346</v>
      </c>
      <c r="AK598" s="133">
        <v>0.837960392374607</v>
      </c>
      <c r="AL598" s="133">
        <v>0.916410636719992</v>
      </c>
      <c r="AM598" s="133">
        <v>0.878155518441985</v>
      </c>
      <c r="AN598" s="132">
        <v>0.99</v>
      </c>
      <c r="AO598" s="137">
        <v>1</v>
      </c>
      <c r="AP598" s="137">
        <v>1</v>
      </c>
      <c r="AQ598" s="137">
        <v>1</v>
      </c>
      <c r="AR598" s="137">
        <v>1</v>
      </c>
      <c r="AS598" s="158">
        <v>0.05</v>
      </c>
      <c r="AT598" s="141">
        <v>0.103448275862069</v>
      </c>
      <c r="AU598" s="141">
        <v>0</v>
      </c>
      <c r="AV598" s="141">
        <v>0.102564102564103</v>
      </c>
      <c r="AW598" s="141">
        <v>0.0363864491844417</v>
      </c>
      <c r="AX598" s="95"/>
      <c r="AY598" s="93"/>
    </row>
    <row r="599" ht="14.5" spans="1:51">
      <c r="A599" s="91"/>
      <c r="B599" s="95"/>
      <c r="C599" s="152" t="s">
        <v>375</v>
      </c>
      <c r="D599" s="153" t="s">
        <v>25</v>
      </c>
      <c r="E599" s="130" t="s">
        <v>376</v>
      </c>
      <c r="F599" s="154" t="s">
        <v>625</v>
      </c>
      <c r="G599" s="154" t="s">
        <v>625</v>
      </c>
      <c r="H599" s="154" t="s">
        <v>625</v>
      </c>
      <c r="I599" s="154" t="s">
        <v>625</v>
      </c>
      <c r="J599" s="132">
        <v>0.9</v>
      </c>
      <c r="K599" s="133">
        <v>0.666666666666667</v>
      </c>
      <c r="L599" s="133">
        <v>0.716981132075472</v>
      </c>
      <c r="M599" s="134">
        <v>0.767857142857143</v>
      </c>
      <c r="N599" s="133">
        <v>0.834136269786648</v>
      </c>
      <c r="O599" s="135">
        <v>0.9</v>
      </c>
      <c r="P599" s="133">
        <v>0.962813620071685</v>
      </c>
      <c r="Q599" s="133">
        <v>0.91905325443787</v>
      </c>
      <c r="R599" s="133">
        <v>0.976190476190476</v>
      </c>
      <c r="S599" s="133">
        <v>0.957801837428565</v>
      </c>
      <c r="T599" s="135">
        <v>0.9</v>
      </c>
      <c r="U599" s="133">
        <v>0.736559139784946</v>
      </c>
      <c r="V599" s="133">
        <v>0.897988165680473</v>
      </c>
      <c r="W599" s="133">
        <v>0.939500390320062</v>
      </c>
      <c r="X599" s="133">
        <v>0.887789057413614</v>
      </c>
      <c r="Y599" s="135">
        <v>0.92</v>
      </c>
      <c r="Z599" s="135">
        <v>0.702949061662198</v>
      </c>
      <c r="AA599" s="135">
        <v>0.895186335403727</v>
      </c>
      <c r="AB599" s="135">
        <v>0.933012916791829</v>
      </c>
      <c r="AC599" s="135">
        <v>0.889603714945642</v>
      </c>
      <c r="AD599" s="135">
        <v>0.92</v>
      </c>
      <c r="AE599" s="133">
        <v>0.805863708399366</v>
      </c>
      <c r="AF599" s="133">
        <v>0.995650798671517</v>
      </c>
      <c r="AG599" s="133">
        <v>0.994279721613119</v>
      </c>
      <c r="AH599" s="133">
        <v>0.978458196872868</v>
      </c>
      <c r="AI599" s="135">
        <v>0.92</v>
      </c>
      <c r="AJ599" s="133">
        <v>0.828307392996109</v>
      </c>
      <c r="AK599" s="133">
        <v>0.927691549642769</v>
      </c>
      <c r="AL599" s="133">
        <v>0.951986475063398</v>
      </c>
      <c r="AM599" s="133">
        <v>0.932412461923576</v>
      </c>
      <c r="AN599" s="132">
        <v>0.99</v>
      </c>
      <c r="AO599" s="137">
        <v>1</v>
      </c>
      <c r="AP599" s="137">
        <v>1</v>
      </c>
      <c r="AQ599" s="137">
        <v>1</v>
      </c>
      <c r="AR599" s="137">
        <v>1</v>
      </c>
      <c r="AS599" s="158">
        <v>0.05</v>
      </c>
      <c r="AT599" s="141">
        <v>0.0714285714285714</v>
      </c>
      <c r="AU599" s="141">
        <v>0.105263157894737</v>
      </c>
      <c r="AV599" s="141">
        <v>0.153846153846154</v>
      </c>
      <c r="AW599" s="141">
        <v>0.0585585585585586</v>
      </c>
      <c r="AX599" s="95"/>
      <c r="AY599" s="93"/>
    </row>
    <row r="600" ht="14.5" spans="1:51">
      <c r="A600" s="91"/>
      <c r="B600" s="95"/>
      <c r="C600" s="152" t="s">
        <v>375</v>
      </c>
      <c r="D600" s="153" t="s">
        <v>25</v>
      </c>
      <c r="E600" s="130" t="s">
        <v>376</v>
      </c>
      <c r="F600" s="154" t="s">
        <v>626</v>
      </c>
      <c r="G600" s="154" t="s">
        <v>626</v>
      </c>
      <c r="H600" s="154" t="s">
        <v>626</v>
      </c>
      <c r="I600" s="154" t="s">
        <v>626</v>
      </c>
      <c r="J600" s="132">
        <v>0.9</v>
      </c>
      <c r="K600" s="133">
        <v>0.75</v>
      </c>
      <c r="L600" s="133">
        <v>0.757142857142857</v>
      </c>
      <c r="M600" s="134">
        <v>0.929577464788732</v>
      </c>
      <c r="N600" s="133">
        <v>0.896336710833983</v>
      </c>
      <c r="O600" s="135">
        <v>0.9</v>
      </c>
      <c r="P600" s="133">
        <v>0.985548114205146</v>
      </c>
      <c r="Q600" s="133">
        <v>0.975827224093521</v>
      </c>
      <c r="R600" s="133">
        <v>0.986650845446455</v>
      </c>
      <c r="S600" s="133">
        <v>0.984028802295521</v>
      </c>
      <c r="T600" s="135">
        <v>0.9</v>
      </c>
      <c r="U600" s="133">
        <v>0.841029256256609</v>
      </c>
      <c r="V600" s="133">
        <v>0.857539132157717</v>
      </c>
      <c r="W600" s="133">
        <v>0.910412340551765</v>
      </c>
      <c r="X600" s="133">
        <v>0.893818605091834</v>
      </c>
      <c r="Y600" s="135">
        <v>0.92</v>
      </c>
      <c r="Z600" s="135">
        <v>0.930812550281577</v>
      </c>
      <c r="AA600" s="135">
        <v>0.951060662448828</v>
      </c>
      <c r="AB600" s="135">
        <v>0.95978100652769</v>
      </c>
      <c r="AC600" s="135">
        <v>0.965695986729945</v>
      </c>
      <c r="AD600" s="135">
        <v>0.92</v>
      </c>
      <c r="AE600" s="133">
        <v>0.99682763482552</v>
      </c>
      <c r="AF600" s="133">
        <v>0.990625993009215</v>
      </c>
      <c r="AG600" s="133">
        <v>0.998108888225341</v>
      </c>
      <c r="AH600" s="133">
        <v>0.993148880105402</v>
      </c>
      <c r="AI600" s="135">
        <v>0.92</v>
      </c>
      <c r="AJ600" s="133">
        <v>0.950656660412758</v>
      </c>
      <c r="AK600" s="133">
        <v>0.962387257724045</v>
      </c>
      <c r="AL600" s="133">
        <v>0.971804974144299</v>
      </c>
      <c r="AM600" s="133">
        <v>0.975561208939534</v>
      </c>
      <c r="AN600" s="132">
        <v>0.99</v>
      </c>
      <c r="AO600" s="137">
        <v>1</v>
      </c>
      <c r="AP600" s="137">
        <v>1</v>
      </c>
      <c r="AQ600" s="137">
        <v>1</v>
      </c>
      <c r="AR600" s="137">
        <v>1</v>
      </c>
      <c r="AS600" s="158">
        <v>0.05</v>
      </c>
      <c r="AT600" s="141">
        <v>0.0714285714285714</v>
      </c>
      <c r="AU600" s="141">
        <v>0.148148148148148</v>
      </c>
      <c r="AV600" s="141">
        <v>0.0285714285714286</v>
      </c>
      <c r="AW600" s="141">
        <v>0.0466417910447761</v>
      </c>
      <c r="AX600" s="95"/>
      <c r="AY600" s="93"/>
    </row>
    <row r="601" ht="14.5" spans="1:51">
      <c r="A601" s="91"/>
      <c r="B601" s="95"/>
      <c r="C601" s="152" t="s">
        <v>375</v>
      </c>
      <c r="D601" s="153" t="s">
        <v>25</v>
      </c>
      <c r="E601" s="130" t="s">
        <v>376</v>
      </c>
      <c r="F601" s="154" t="s">
        <v>627</v>
      </c>
      <c r="G601" s="154" t="s">
        <v>627</v>
      </c>
      <c r="H601" s="154" t="s">
        <v>627</v>
      </c>
      <c r="I601" s="154" t="s">
        <v>627</v>
      </c>
      <c r="J601" s="132">
        <v>0.9</v>
      </c>
      <c r="K601" s="133">
        <v>0.888888888888889</v>
      </c>
      <c r="L601" s="133">
        <v>0.818181818181818</v>
      </c>
      <c r="M601" s="134">
        <v>0.792452830188679</v>
      </c>
      <c r="N601" s="133">
        <v>0.87078961899503</v>
      </c>
      <c r="O601" s="135">
        <v>0.9</v>
      </c>
      <c r="P601" s="133">
        <v>0.901545363908275</v>
      </c>
      <c r="Q601" s="133">
        <v>0.975420825264412</v>
      </c>
      <c r="R601" s="133">
        <v>0.982510044906642</v>
      </c>
      <c r="S601" s="133">
        <v>0.978579423513344</v>
      </c>
      <c r="T601" s="135">
        <v>0.9</v>
      </c>
      <c r="U601" s="133">
        <v>0.818295114656032</v>
      </c>
      <c r="V601" s="133">
        <v>0.908684641739908</v>
      </c>
      <c r="W601" s="133">
        <v>0.947766485464429</v>
      </c>
      <c r="X601" s="133">
        <v>0.928118870850148</v>
      </c>
      <c r="Y601" s="135">
        <v>0.92</v>
      </c>
      <c r="Z601" s="135">
        <v>0.848459845984598</v>
      </c>
      <c r="AA601" s="135">
        <v>0.900612273956998</v>
      </c>
      <c r="AB601" s="135">
        <v>0.949730700179533</v>
      </c>
      <c r="AC601" s="135">
        <v>0.932896286903895</v>
      </c>
      <c r="AD601" s="135">
        <v>0.92</v>
      </c>
      <c r="AE601" s="133">
        <v>0.999067164179104</v>
      </c>
      <c r="AF601" s="133">
        <v>0.999138502319417</v>
      </c>
      <c r="AG601" s="133">
        <v>0.999887921694624</v>
      </c>
      <c r="AH601" s="133">
        <v>0.999214701586603</v>
      </c>
      <c r="AI601" s="135">
        <v>0.92</v>
      </c>
      <c r="AJ601" s="133">
        <v>0.876583518349223</v>
      </c>
      <c r="AK601" s="133">
        <v>0.932959673897219</v>
      </c>
      <c r="AL601" s="133">
        <v>0.961490203648297</v>
      </c>
      <c r="AM601" s="133">
        <v>0.954228541034746</v>
      </c>
      <c r="AN601" s="132">
        <v>0.99</v>
      </c>
      <c r="AO601" s="137">
        <v>1</v>
      </c>
      <c r="AP601" s="137">
        <v>1</v>
      </c>
      <c r="AQ601" s="137">
        <v>1</v>
      </c>
      <c r="AR601" s="137">
        <v>1</v>
      </c>
      <c r="AS601" s="158">
        <v>0.05</v>
      </c>
      <c r="AT601" s="141">
        <v>0</v>
      </c>
      <c r="AU601" s="141">
        <v>0</v>
      </c>
      <c r="AV601" s="141">
        <v>0.0571428571428571</v>
      </c>
      <c r="AW601" s="141">
        <v>0.0455284552845528</v>
      </c>
      <c r="AX601" s="95"/>
      <c r="AY601" s="93"/>
    </row>
    <row r="602" ht="14.5" spans="1:51">
      <c r="A602" s="91"/>
      <c r="B602" s="95"/>
      <c r="C602" s="152" t="s">
        <v>375</v>
      </c>
      <c r="D602" s="153" t="s">
        <v>25</v>
      </c>
      <c r="E602" s="130" t="s">
        <v>376</v>
      </c>
      <c r="F602" s="154" t="s">
        <v>628</v>
      </c>
      <c r="G602" s="154" t="s">
        <v>628</v>
      </c>
      <c r="H602" s="154" t="s">
        <v>628</v>
      </c>
      <c r="I602" s="154" t="s">
        <v>628</v>
      </c>
      <c r="J602" s="132">
        <v>0.9</v>
      </c>
      <c r="K602" s="133">
        <v>0.962962962962963</v>
      </c>
      <c r="L602" s="133">
        <v>1</v>
      </c>
      <c r="M602" s="134">
        <v>0.90625</v>
      </c>
      <c r="N602" s="133">
        <v>0.948717948717949</v>
      </c>
      <c r="O602" s="135">
        <v>0.9</v>
      </c>
      <c r="P602" s="133">
        <v>0.944139194139194</v>
      </c>
      <c r="Q602" s="133">
        <v>0.950155763239875</v>
      </c>
      <c r="R602" s="133">
        <v>0.983050847457627</v>
      </c>
      <c r="S602" s="133">
        <v>0.938675163244434</v>
      </c>
      <c r="T602" s="135">
        <v>0.9</v>
      </c>
      <c r="U602" s="133">
        <v>0.787545787545788</v>
      </c>
      <c r="V602" s="133">
        <v>0.916926272066459</v>
      </c>
      <c r="W602" s="133">
        <v>0.923728813559322</v>
      </c>
      <c r="X602" s="133">
        <v>0.897529698686177</v>
      </c>
      <c r="Y602" s="135">
        <v>0.92</v>
      </c>
      <c r="Z602" s="135">
        <v>0.609220636663008</v>
      </c>
      <c r="AA602" s="135">
        <v>0.874305906108026</v>
      </c>
      <c r="AB602" s="135">
        <v>0.896345116836429</v>
      </c>
      <c r="AC602" s="135">
        <v>0.885505389311826</v>
      </c>
      <c r="AD602" s="135">
        <v>0.92</v>
      </c>
      <c r="AE602" s="133">
        <v>1</v>
      </c>
      <c r="AF602" s="133">
        <v>0.991304347826087</v>
      </c>
      <c r="AG602" s="133">
        <v>0.991228070175439</v>
      </c>
      <c r="AH602" s="133">
        <v>0.988831272437176</v>
      </c>
      <c r="AI602" s="135">
        <v>0.92</v>
      </c>
      <c r="AJ602" s="133">
        <v>0.771342985521717</v>
      </c>
      <c r="AK602" s="133">
        <v>0.924494497056565</v>
      </c>
      <c r="AL602" s="133">
        <v>0.931554931554932</v>
      </c>
      <c r="AM602" s="133">
        <v>0.928003695079002</v>
      </c>
      <c r="AN602" s="132">
        <v>0.99</v>
      </c>
      <c r="AO602" s="137">
        <v>1</v>
      </c>
      <c r="AP602" s="137">
        <v>1</v>
      </c>
      <c r="AQ602" s="137">
        <v>1</v>
      </c>
      <c r="AR602" s="137">
        <v>1</v>
      </c>
      <c r="AS602" s="158">
        <v>0.05</v>
      </c>
      <c r="AT602" s="141">
        <v>0</v>
      </c>
      <c r="AU602" s="141">
        <v>0.166666666666667</v>
      </c>
      <c r="AV602" s="141">
        <v>0</v>
      </c>
      <c r="AW602" s="141">
        <v>0.0952380952380952</v>
      </c>
      <c r="AX602" s="95"/>
      <c r="AY602" s="93"/>
    </row>
    <row r="603" ht="14.5" spans="1:51">
      <c r="A603" s="91"/>
      <c r="B603" s="95"/>
      <c r="C603" s="152" t="s">
        <v>375</v>
      </c>
      <c r="D603" s="153" t="s">
        <v>25</v>
      </c>
      <c r="E603" s="130" t="s">
        <v>376</v>
      </c>
      <c r="F603" s="154" t="s">
        <v>629</v>
      </c>
      <c r="G603" s="154" t="s">
        <v>629</v>
      </c>
      <c r="H603" s="154" t="s">
        <v>629</v>
      </c>
      <c r="I603" s="154" t="s">
        <v>629</v>
      </c>
      <c r="J603" s="132">
        <v>0.9</v>
      </c>
      <c r="K603" s="133">
        <v>0.951219512195122</v>
      </c>
      <c r="L603" s="133">
        <v>0.854166666666667</v>
      </c>
      <c r="M603" s="134">
        <v>0.961538461538462</v>
      </c>
      <c r="N603" s="133">
        <v>0.940774487471526</v>
      </c>
      <c r="O603" s="135">
        <v>0.9</v>
      </c>
      <c r="P603" s="133">
        <v>0.889595375722543</v>
      </c>
      <c r="Q603" s="133">
        <v>0.93197061641648</v>
      </c>
      <c r="R603" s="133">
        <v>0.966917293233083</v>
      </c>
      <c r="S603" s="133">
        <v>0.951547979923471</v>
      </c>
      <c r="T603" s="135">
        <v>0.9</v>
      </c>
      <c r="U603" s="133">
        <v>0.847398843930636</v>
      </c>
      <c r="V603" s="133">
        <v>0.879271798147557</v>
      </c>
      <c r="W603" s="133">
        <v>0.923308270676692</v>
      </c>
      <c r="X603" s="133">
        <v>0.905580678825225</v>
      </c>
      <c r="Y603" s="135">
        <v>0.92</v>
      </c>
      <c r="Z603" s="135">
        <v>0.761153054221002</v>
      </c>
      <c r="AA603" s="135">
        <v>0.886706418800421</v>
      </c>
      <c r="AB603" s="135">
        <v>0.910003862495172</v>
      </c>
      <c r="AC603" s="135">
        <v>0.899909535849319</v>
      </c>
      <c r="AD603" s="135">
        <v>0.92</v>
      </c>
      <c r="AE603" s="133">
        <v>0.995865139949109</v>
      </c>
      <c r="AF603" s="133">
        <v>0.997661502484654</v>
      </c>
      <c r="AG603" s="133">
        <v>0.993337195828505</v>
      </c>
      <c r="AH603" s="133">
        <v>0.993626787057938</v>
      </c>
      <c r="AI603" s="135">
        <v>0.92</v>
      </c>
      <c r="AJ603" s="133">
        <v>0.848275862068966</v>
      </c>
      <c r="AK603" s="133">
        <v>0.928487886382623</v>
      </c>
      <c r="AL603" s="133">
        <v>0.938726559092891</v>
      </c>
      <c r="AM603" s="133">
        <v>0.934265264773231</v>
      </c>
      <c r="AN603" s="132">
        <v>0.99</v>
      </c>
      <c r="AO603" s="137">
        <v>1</v>
      </c>
      <c r="AP603" s="137">
        <v>1</v>
      </c>
      <c r="AQ603" s="137">
        <v>1</v>
      </c>
      <c r="AR603" s="137">
        <v>1</v>
      </c>
      <c r="AS603" s="158">
        <v>0.05</v>
      </c>
      <c r="AT603" s="141">
        <v>0</v>
      </c>
      <c r="AU603" s="141">
        <v>0</v>
      </c>
      <c r="AV603" s="141">
        <v>0</v>
      </c>
      <c r="AW603" s="141">
        <v>0.0687830687830688</v>
      </c>
      <c r="AX603" s="95"/>
      <c r="AY603" s="93"/>
    </row>
    <row r="604" ht="14.5" spans="1:51">
      <c r="A604" s="91"/>
      <c r="B604" s="95"/>
      <c r="C604" s="152" t="s">
        <v>375</v>
      </c>
      <c r="D604" s="153" t="s">
        <v>25</v>
      </c>
      <c r="E604" s="130" t="s">
        <v>376</v>
      </c>
      <c r="F604" s="154" t="s">
        <v>630</v>
      </c>
      <c r="G604" s="154" t="s">
        <v>630</v>
      </c>
      <c r="H604" s="154" t="s">
        <v>630</v>
      </c>
      <c r="I604" s="154" t="s">
        <v>630</v>
      </c>
      <c r="J604" s="132">
        <v>0.9</v>
      </c>
      <c r="K604" s="133">
        <v>0.833333333333333</v>
      </c>
      <c r="L604" s="133">
        <v>0.869565217391304</v>
      </c>
      <c r="M604" s="134">
        <v>0.882352941176471</v>
      </c>
      <c r="N604" s="133">
        <v>0.857463524130191</v>
      </c>
      <c r="O604" s="135">
        <v>0.9</v>
      </c>
      <c r="P604" s="133">
        <v>0.959211732355637</v>
      </c>
      <c r="Q604" s="133">
        <v>0.957619196011218</v>
      </c>
      <c r="R604" s="133">
        <v>0.970814132104455</v>
      </c>
      <c r="S604" s="133">
        <v>0.965872681667552</v>
      </c>
      <c r="T604" s="135">
        <v>0.9</v>
      </c>
      <c r="U604" s="133">
        <v>0.834555453712191</v>
      </c>
      <c r="V604" s="133">
        <v>0.849174197569336</v>
      </c>
      <c r="W604" s="133">
        <v>0.912826420890937</v>
      </c>
      <c r="X604" s="133">
        <v>0.888866511653454</v>
      </c>
      <c r="Y604" s="135">
        <v>0.92</v>
      </c>
      <c r="Z604" s="135">
        <v>0.799317406143345</v>
      </c>
      <c r="AA604" s="135">
        <v>0.892880258899676</v>
      </c>
      <c r="AB604" s="135">
        <v>0.927489177489177</v>
      </c>
      <c r="AC604" s="135">
        <v>0.916905295842677</v>
      </c>
      <c r="AD604" s="135">
        <v>0.92</v>
      </c>
      <c r="AE604" s="133">
        <v>0.919824341279799</v>
      </c>
      <c r="AF604" s="133">
        <v>0.990722127725375</v>
      </c>
      <c r="AG604" s="133">
        <v>0.987996607736969</v>
      </c>
      <c r="AH604" s="133">
        <v>0.975931220332955</v>
      </c>
      <c r="AI604" s="135">
        <v>0.92</v>
      </c>
      <c r="AJ604" s="133">
        <v>0.868421052631579</v>
      </c>
      <c r="AK604" s="133">
        <v>0.917856010149064</v>
      </c>
      <c r="AL604" s="133">
        <v>0.95146894756415</v>
      </c>
      <c r="AM604" s="133">
        <v>0.942910643131617</v>
      </c>
      <c r="AN604" s="132">
        <v>0.99</v>
      </c>
      <c r="AO604" s="137">
        <v>1</v>
      </c>
      <c r="AP604" s="137">
        <v>1</v>
      </c>
      <c r="AQ604" s="137">
        <v>1</v>
      </c>
      <c r="AR604" s="137">
        <v>1</v>
      </c>
      <c r="AS604" s="158">
        <v>0.05</v>
      </c>
      <c r="AT604" s="141">
        <v>0.0714285714285714</v>
      </c>
      <c r="AU604" s="141">
        <v>0.162790697674419</v>
      </c>
      <c r="AV604" s="141">
        <v>0.025</v>
      </c>
      <c r="AW604" s="141">
        <v>0.0746268656716418</v>
      </c>
      <c r="AX604" s="95"/>
      <c r="AY604" s="93"/>
    </row>
    <row r="605" ht="14.5" spans="1:51">
      <c r="A605" s="91"/>
      <c r="B605" s="95"/>
      <c r="C605" s="152" t="s">
        <v>375</v>
      </c>
      <c r="D605" s="153" t="s">
        <v>25</v>
      </c>
      <c r="E605" s="130" t="s">
        <v>376</v>
      </c>
      <c r="F605" s="154" t="s">
        <v>631</v>
      </c>
      <c r="G605" s="154" t="s">
        <v>631</v>
      </c>
      <c r="H605" s="154" t="s">
        <v>631</v>
      </c>
      <c r="I605" s="154" t="s">
        <v>631</v>
      </c>
      <c r="J605" s="132">
        <v>0.9</v>
      </c>
      <c r="K605" s="133">
        <v>0.888888888888889</v>
      </c>
      <c r="L605" s="133">
        <v>0.844444444444444</v>
      </c>
      <c r="M605" s="134">
        <v>0.884615384615385</v>
      </c>
      <c r="N605" s="133">
        <v>0.85297418630752</v>
      </c>
      <c r="O605" s="135">
        <v>0.9</v>
      </c>
      <c r="P605" s="133">
        <v>0.97466307277628</v>
      </c>
      <c r="Q605" s="133">
        <v>0.987094639311714</v>
      </c>
      <c r="R605" s="133">
        <v>0.993220338983051</v>
      </c>
      <c r="S605" s="133">
        <v>0.983888678152888</v>
      </c>
      <c r="T605" s="135">
        <v>0.9</v>
      </c>
      <c r="U605" s="133">
        <v>0.829649595687332</v>
      </c>
      <c r="V605" s="133">
        <v>0.870284579748511</v>
      </c>
      <c r="W605" s="133">
        <v>0.903813559322034</v>
      </c>
      <c r="X605" s="133">
        <v>0.885923056958614</v>
      </c>
      <c r="Y605" s="135">
        <v>0.92</v>
      </c>
      <c r="Z605" s="135">
        <v>0.890082122552116</v>
      </c>
      <c r="AA605" s="135">
        <v>0.919049148731128</v>
      </c>
      <c r="AB605" s="135">
        <v>0.931149981391887</v>
      </c>
      <c r="AC605" s="135">
        <v>0.934106039209933</v>
      </c>
      <c r="AD605" s="135">
        <v>0.92</v>
      </c>
      <c r="AE605" s="133">
        <v>0.897885919425608</v>
      </c>
      <c r="AF605" s="133">
        <v>0.977768184761494</v>
      </c>
      <c r="AG605" s="133">
        <v>0.993918014840044</v>
      </c>
      <c r="AH605" s="133">
        <v>0.980451547614893</v>
      </c>
      <c r="AI605" s="135">
        <v>0.92</v>
      </c>
      <c r="AJ605" s="133">
        <v>0.9173938336242</v>
      </c>
      <c r="AK605" s="133">
        <v>0.936461388074291</v>
      </c>
      <c r="AL605" s="133">
        <v>0.952050723201902</v>
      </c>
      <c r="AM605" s="133">
        <v>0.952572040051976</v>
      </c>
      <c r="AN605" s="132">
        <v>0.99</v>
      </c>
      <c r="AO605" s="137">
        <v>1</v>
      </c>
      <c r="AP605" s="137">
        <v>1</v>
      </c>
      <c r="AQ605" s="137">
        <v>1</v>
      </c>
      <c r="AR605" s="137">
        <v>1</v>
      </c>
      <c r="AS605" s="158">
        <v>0.05</v>
      </c>
      <c r="AT605" s="141">
        <v>0.0666666666666667</v>
      </c>
      <c r="AU605" s="141">
        <v>0</v>
      </c>
      <c r="AV605" s="141">
        <v>0</v>
      </c>
      <c r="AW605" s="141">
        <v>0.0371681415929204</v>
      </c>
      <c r="AX605" s="95"/>
      <c r="AY605" s="93"/>
    </row>
    <row r="606" ht="14.5" spans="1:51">
      <c r="A606" s="91"/>
      <c r="B606" s="95"/>
      <c r="C606" s="152" t="s">
        <v>375</v>
      </c>
      <c r="D606" s="153" t="s">
        <v>25</v>
      </c>
      <c r="E606" s="130" t="s">
        <v>376</v>
      </c>
      <c r="F606" s="154" t="s">
        <v>632</v>
      </c>
      <c r="G606" s="154" t="s">
        <v>632</v>
      </c>
      <c r="H606" s="154" t="s">
        <v>632</v>
      </c>
      <c r="I606" s="154" t="s">
        <v>632</v>
      </c>
      <c r="J606" s="132">
        <v>0.9</v>
      </c>
      <c r="K606" s="133">
        <v>0.636363636363636</v>
      </c>
      <c r="L606" s="133">
        <v>0.764705882352941</v>
      </c>
      <c r="M606" s="134">
        <v>0.638888888888889</v>
      </c>
      <c r="N606" s="133">
        <v>0.729411764705882</v>
      </c>
      <c r="O606" s="135">
        <v>0.9</v>
      </c>
      <c r="P606" s="133">
        <v>0.847575057736721</v>
      </c>
      <c r="Q606" s="133">
        <v>0.932212028542304</v>
      </c>
      <c r="R606" s="133">
        <v>0.965779467680608</v>
      </c>
      <c r="S606" s="133">
        <v>0.837357998634304</v>
      </c>
      <c r="T606" s="135">
        <v>0.9</v>
      </c>
      <c r="U606" s="133">
        <v>0.787528868360277</v>
      </c>
      <c r="V606" s="133">
        <v>0.883282364933741</v>
      </c>
      <c r="W606" s="133">
        <v>0.914448669201521</v>
      </c>
      <c r="X606" s="133">
        <v>0.818827984356571</v>
      </c>
      <c r="Y606" s="135">
        <v>0.92</v>
      </c>
      <c r="Z606" s="135">
        <v>0.620020429009193</v>
      </c>
      <c r="AA606" s="135">
        <v>0.707261292166953</v>
      </c>
      <c r="AB606" s="135">
        <v>0.818024263431542</v>
      </c>
      <c r="AC606" s="135">
        <v>0.752907519124324</v>
      </c>
      <c r="AD606" s="135">
        <v>0.92</v>
      </c>
      <c r="AE606" s="133">
        <v>0.995083709806006</v>
      </c>
      <c r="AF606" s="133">
        <v>0.987376237623762</v>
      </c>
      <c r="AG606" s="133">
        <v>0.805746626033957</v>
      </c>
      <c r="AH606" s="133">
        <v>0.804619396856044</v>
      </c>
      <c r="AI606" s="135">
        <v>0.92</v>
      </c>
      <c r="AJ606" s="133">
        <v>0.749451513821852</v>
      </c>
      <c r="AK606" s="133">
        <v>0.821486268174475</v>
      </c>
      <c r="AL606" s="133">
        <v>0.887311178247734</v>
      </c>
      <c r="AM606" s="133">
        <v>0.838860425399783</v>
      </c>
      <c r="AN606" s="132">
        <v>0.99</v>
      </c>
      <c r="AO606" s="137">
        <v>1</v>
      </c>
      <c r="AP606" s="137">
        <v>1</v>
      </c>
      <c r="AQ606" s="137">
        <v>1</v>
      </c>
      <c r="AR606" s="137">
        <v>1</v>
      </c>
      <c r="AS606" s="158">
        <v>0.05</v>
      </c>
      <c r="AT606" s="141">
        <v>0</v>
      </c>
      <c r="AU606" s="141">
        <v>0.0526315789473684</v>
      </c>
      <c r="AV606" s="141">
        <v>0.142857142857143</v>
      </c>
      <c r="AW606" s="141">
        <v>0.0319327731092437</v>
      </c>
      <c r="AX606" s="95"/>
      <c r="AY606" s="93"/>
    </row>
    <row r="607" ht="14.5" spans="1:51">
      <c r="A607" s="91"/>
      <c r="B607" s="95"/>
      <c r="C607" s="152" t="s">
        <v>375</v>
      </c>
      <c r="D607" s="153" t="s">
        <v>25</v>
      </c>
      <c r="E607" s="130" t="s">
        <v>376</v>
      </c>
      <c r="F607" s="154" t="s">
        <v>633</v>
      </c>
      <c r="G607" s="154" t="s">
        <v>633</v>
      </c>
      <c r="H607" s="154" t="s">
        <v>633</v>
      </c>
      <c r="I607" s="154" t="s">
        <v>633</v>
      </c>
      <c r="J607" s="132">
        <v>0.9</v>
      </c>
      <c r="K607" s="133">
        <v>0.92</v>
      </c>
      <c r="L607" s="133">
        <v>0.909090909090909</v>
      </c>
      <c r="M607" s="134">
        <v>0.888888888888889</v>
      </c>
      <c r="N607" s="133">
        <v>0.905292479108635</v>
      </c>
      <c r="O607" s="135">
        <v>0.9</v>
      </c>
      <c r="P607" s="133">
        <v>0.955613577023499</v>
      </c>
      <c r="Q607" s="133">
        <v>0.969636635141862</v>
      </c>
      <c r="R607" s="133">
        <v>0.965930599369085</v>
      </c>
      <c r="S607" s="133">
        <v>0.968187446423469</v>
      </c>
      <c r="T607" s="135">
        <v>0.9</v>
      </c>
      <c r="U607" s="133">
        <v>0.867586721372622</v>
      </c>
      <c r="V607" s="133">
        <v>0.903683424589348</v>
      </c>
      <c r="W607" s="133">
        <v>0.942271293375394</v>
      </c>
      <c r="X607" s="133">
        <v>0.90338762421818</v>
      </c>
      <c r="Y607" s="135">
        <v>0.92</v>
      </c>
      <c r="Z607" s="135">
        <v>0.804028307022319</v>
      </c>
      <c r="AA607" s="135">
        <v>0.878488372093023</v>
      </c>
      <c r="AB607" s="135">
        <v>0.927776105928378</v>
      </c>
      <c r="AC607" s="135">
        <v>0.899917554438319</v>
      </c>
      <c r="AD607" s="135">
        <v>0.92</v>
      </c>
      <c r="AE607" s="133">
        <v>0.984021137393055</v>
      </c>
      <c r="AF607" s="133">
        <v>0.988923766816143</v>
      </c>
      <c r="AG607" s="133">
        <v>0.997994755514422</v>
      </c>
      <c r="AH607" s="133">
        <v>0.991521644310925</v>
      </c>
      <c r="AI607" s="135">
        <v>0.92</v>
      </c>
      <c r="AJ607" s="133">
        <v>0.875663716814159</v>
      </c>
      <c r="AK607" s="133">
        <v>0.916532690246517</v>
      </c>
      <c r="AL607" s="133">
        <v>0.952446906740536</v>
      </c>
      <c r="AM607" s="133">
        <v>0.934791831768369</v>
      </c>
      <c r="AN607" s="132">
        <v>0.99</v>
      </c>
      <c r="AO607" s="137">
        <v>1</v>
      </c>
      <c r="AP607" s="137">
        <v>1</v>
      </c>
      <c r="AQ607" s="137">
        <v>1</v>
      </c>
      <c r="AR607" s="137">
        <v>1</v>
      </c>
      <c r="AS607" s="158">
        <v>0.05</v>
      </c>
      <c r="AT607" s="141">
        <v>0.0769230769230769</v>
      </c>
      <c r="AU607" s="141">
        <v>0.0363636363636364</v>
      </c>
      <c r="AV607" s="141">
        <v>0.152173913043478</v>
      </c>
      <c r="AW607" s="141">
        <v>0.0625610948191593</v>
      </c>
      <c r="AX607" s="95"/>
      <c r="AY607" s="93"/>
    </row>
    <row r="608" ht="14.5" spans="1:51">
      <c r="A608" s="91"/>
      <c r="B608" s="95"/>
      <c r="C608" s="152" t="s">
        <v>375</v>
      </c>
      <c r="D608" s="153" t="s">
        <v>25</v>
      </c>
      <c r="E608" s="130" t="s">
        <v>376</v>
      </c>
      <c r="F608" s="154" t="s">
        <v>634</v>
      </c>
      <c r="G608" s="154" t="s">
        <v>634</v>
      </c>
      <c r="H608" s="154" t="s">
        <v>634</v>
      </c>
      <c r="I608" s="154" t="s">
        <v>634</v>
      </c>
      <c r="J608" s="132">
        <v>0.9</v>
      </c>
      <c r="K608" s="133">
        <v>0.939393939393939</v>
      </c>
      <c r="L608" s="133">
        <v>0.837837837837838</v>
      </c>
      <c r="M608" s="134">
        <v>0.831168831168831</v>
      </c>
      <c r="N608" s="133">
        <v>0.918838421444527</v>
      </c>
      <c r="O608" s="135">
        <v>0.9</v>
      </c>
      <c r="P608" s="133">
        <v>0.922237380627558</v>
      </c>
      <c r="Q608" s="133">
        <v>0.926687974430683</v>
      </c>
      <c r="R608" s="133">
        <v>0.940553266627428</v>
      </c>
      <c r="S608" s="133">
        <v>0.941317399426722</v>
      </c>
      <c r="T608" s="135">
        <v>0.9</v>
      </c>
      <c r="U608" s="133">
        <v>0.809345156889495</v>
      </c>
      <c r="V608" s="133">
        <v>0.879744306831802</v>
      </c>
      <c r="W608" s="133">
        <v>0.902295467922307</v>
      </c>
      <c r="X608" s="133">
        <v>0.889166179427577</v>
      </c>
      <c r="Y608" s="135">
        <v>0.92</v>
      </c>
      <c r="Z608" s="135">
        <v>0.779947427713106</v>
      </c>
      <c r="AA608" s="135">
        <v>0.899876644736842</v>
      </c>
      <c r="AB608" s="135">
        <v>0.957343887423043</v>
      </c>
      <c r="AC608" s="135">
        <v>0.937318826450363</v>
      </c>
      <c r="AD608" s="135">
        <v>0.92</v>
      </c>
      <c r="AE608" s="133">
        <v>0.999297950014041</v>
      </c>
      <c r="AF608" s="133">
        <v>0.998973938025857</v>
      </c>
      <c r="AG608" s="133">
        <v>0.999815027191003</v>
      </c>
      <c r="AH608" s="133">
        <v>0.999660370335908</v>
      </c>
      <c r="AI608" s="135">
        <v>0.92</v>
      </c>
      <c r="AJ608" s="133">
        <v>0.850258789933964</v>
      </c>
      <c r="AK608" s="133">
        <v>0.931558165434849</v>
      </c>
      <c r="AL608" s="133">
        <v>0.967287367891293</v>
      </c>
      <c r="AM608" s="133">
        <v>0.953753023344294</v>
      </c>
      <c r="AN608" s="132">
        <v>0.99</v>
      </c>
      <c r="AO608" s="137">
        <v>1</v>
      </c>
      <c r="AP608" s="137">
        <v>1</v>
      </c>
      <c r="AQ608" s="137">
        <v>1</v>
      </c>
      <c r="AR608" s="137">
        <v>1</v>
      </c>
      <c r="AS608" s="158">
        <v>0.05</v>
      </c>
      <c r="AT608" s="141">
        <v>0.0434782608695652</v>
      </c>
      <c r="AU608" s="141">
        <v>0.0810810810810811</v>
      </c>
      <c r="AV608" s="141">
        <v>0.0192307692307692</v>
      </c>
      <c r="AW608" s="141">
        <v>0.0324074074074074</v>
      </c>
      <c r="AX608" s="95"/>
      <c r="AY608" s="93"/>
    </row>
    <row r="609" ht="14.5" spans="1:51">
      <c r="A609" s="91"/>
      <c r="B609" s="95"/>
      <c r="C609" s="152" t="s">
        <v>375</v>
      </c>
      <c r="D609" s="153" t="s">
        <v>25</v>
      </c>
      <c r="E609" s="130" t="s">
        <v>376</v>
      </c>
      <c r="F609" s="154" t="s">
        <v>635</v>
      </c>
      <c r="G609" s="154" t="s">
        <v>635</v>
      </c>
      <c r="H609" s="154" t="s">
        <v>635</v>
      </c>
      <c r="I609" s="154" t="s">
        <v>635</v>
      </c>
      <c r="J609" s="132">
        <v>0.9</v>
      </c>
      <c r="K609" s="133">
        <v>0.957746478873239</v>
      </c>
      <c r="L609" s="133">
        <v>0.91304347826087</v>
      </c>
      <c r="M609" s="134">
        <v>0.87012987012987</v>
      </c>
      <c r="N609" s="133">
        <v>0.937160589604344</v>
      </c>
      <c r="O609" s="135">
        <v>0.9</v>
      </c>
      <c r="P609" s="133">
        <v>0.959114959114959</v>
      </c>
      <c r="Q609" s="133">
        <v>0.955223880597015</v>
      </c>
      <c r="R609" s="133">
        <v>0.976878612716763</v>
      </c>
      <c r="S609" s="133">
        <v>0.96480686695279</v>
      </c>
      <c r="T609" s="135">
        <v>0.9</v>
      </c>
      <c r="U609" s="133">
        <v>0.912698412698413</v>
      </c>
      <c r="V609" s="133">
        <v>0.889994472084024</v>
      </c>
      <c r="W609" s="133">
        <v>0.947514450867052</v>
      </c>
      <c r="X609" s="133">
        <v>0.907204577968526</v>
      </c>
      <c r="Y609" s="135">
        <v>0.92</v>
      </c>
      <c r="Z609" s="135">
        <v>0.909604519774011</v>
      </c>
      <c r="AA609" s="135">
        <v>0.902439024390244</v>
      </c>
      <c r="AB609" s="135">
        <v>0.9555</v>
      </c>
      <c r="AC609" s="135">
        <v>0.936581795367805</v>
      </c>
      <c r="AD609" s="135">
        <v>0.92</v>
      </c>
      <c r="AE609" s="133">
        <v>1</v>
      </c>
      <c r="AF609" s="133">
        <v>0.977254264825345</v>
      </c>
      <c r="AG609" s="133">
        <v>0.993783303730018</v>
      </c>
      <c r="AH609" s="133">
        <v>0.982763300760043</v>
      </c>
      <c r="AI609" s="135">
        <v>0.92</v>
      </c>
      <c r="AJ609" s="133">
        <v>0.954983327158207</v>
      </c>
      <c r="AK609" s="133">
        <v>0.942806973535683</v>
      </c>
      <c r="AL609" s="133">
        <v>0.974229249011858</v>
      </c>
      <c r="AM609" s="133">
        <v>0.966094007368446</v>
      </c>
      <c r="AN609" s="132">
        <v>0.99</v>
      </c>
      <c r="AO609" s="137">
        <v>1</v>
      </c>
      <c r="AP609" s="137">
        <v>1</v>
      </c>
      <c r="AQ609" s="137">
        <v>1</v>
      </c>
      <c r="AR609" s="137">
        <v>1</v>
      </c>
      <c r="AS609" s="158">
        <v>0.05</v>
      </c>
      <c r="AT609" s="141">
        <v>0.00674157303370787</v>
      </c>
      <c r="AU609" s="141">
        <v>0.00387596899224806</v>
      </c>
      <c r="AV609" s="141">
        <v>0.0103092783505155</v>
      </c>
      <c r="AW609" s="141">
        <v>0.0119018702939033</v>
      </c>
      <c r="AX609" s="95"/>
      <c r="AY609" s="93"/>
    </row>
    <row r="610" ht="14.5" spans="1:51">
      <c r="A610" s="91"/>
      <c r="B610" s="95"/>
      <c r="C610" s="152" t="s">
        <v>375</v>
      </c>
      <c r="D610" s="153" t="s">
        <v>25</v>
      </c>
      <c r="E610" s="130" t="s">
        <v>376</v>
      </c>
      <c r="F610" s="154" t="s">
        <v>636</v>
      </c>
      <c r="G610" s="154" t="s">
        <v>636</v>
      </c>
      <c r="H610" s="154" t="s">
        <v>636</v>
      </c>
      <c r="I610" s="154" t="s">
        <v>636</v>
      </c>
      <c r="J610" s="132">
        <v>0.9</v>
      </c>
      <c r="K610" s="133">
        <v>1</v>
      </c>
      <c r="L610" s="133">
        <v>1</v>
      </c>
      <c r="M610" s="134">
        <v>1</v>
      </c>
      <c r="N610" s="133">
        <v>0.995136186770428</v>
      </c>
      <c r="O610" s="135">
        <v>0.9</v>
      </c>
      <c r="P610" s="133">
        <v>0.984235417761429</v>
      </c>
      <c r="Q610" s="133">
        <v>0.985124950416501</v>
      </c>
      <c r="R610" s="133">
        <v>0.993299832495812</v>
      </c>
      <c r="S610" s="133">
        <v>0.986579749361103</v>
      </c>
      <c r="T610" s="135">
        <v>0.9</v>
      </c>
      <c r="U610" s="133">
        <v>0.959537572254335</v>
      </c>
      <c r="V610" s="133">
        <v>0.943078143593812</v>
      </c>
      <c r="W610" s="133">
        <v>0.972082635399218</v>
      </c>
      <c r="X610" s="133">
        <v>0.951771828406653</v>
      </c>
      <c r="Y610" s="135">
        <v>0.92</v>
      </c>
      <c r="Z610" s="135">
        <v>0.905241935483871</v>
      </c>
      <c r="AA610" s="135">
        <v>0.940347071583514</v>
      </c>
      <c r="AB610" s="135">
        <v>0.948249619482496</v>
      </c>
      <c r="AC610" s="135">
        <v>0.946644664466447</v>
      </c>
      <c r="AD610" s="135">
        <v>0.92</v>
      </c>
      <c r="AE610" s="133">
        <v>0.997572815533981</v>
      </c>
      <c r="AF610" s="133">
        <v>0.977653631284916</v>
      </c>
      <c r="AG610" s="133">
        <v>0.995670995670996</v>
      </c>
      <c r="AH610" s="133">
        <v>0.995554567681707</v>
      </c>
      <c r="AI610" s="135">
        <v>0.92</v>
      </c>
      <c r="AJ610" s="133">
        <v>0.967103893399958</v>
      </c>
      <c r="AK610" s="133">
        <v>0.977926227127505</v>
      </c>
      <c r="AL610" s="133">
        <v>0.980396160914846</v>
      </c>
      <c r="AM610" s="133">
        <v>0.979516545887599</v>
      </c>
      <c r="AN610" s="132">
        <v>0.99</v>
      </c>
      <c r="AO610" s="137">
        <v>1</v>
      </c>
      <c r="AP610" s="137">
        <v>1</v>
      </c>
      <c r="AQ610" s="137">
        <v>1</v>
      </c>
      <c r="AR610" s="137">
        <v>1</v>
      </c>
      <c r="AS610" s="158">
        <v>0.05</v>
      </c>
      <c r="AT610" s="141">
        <v>0</v>
      </c>
      <c r="AU610" s="141">
        <v>0</v>
      </c>
      <c r="AV610" s="141">
        <v>0.0078125</v>
      </c>
      <c r="AW610" s="141">
        <v>0.0115295926210607</v>
      </c>
      <c r="AX610" s="95"/>
      <c r="AY610" s="93"/>
    </row>
    <row r="611" ht="14.5" spans="1:51">
      <c r="A611" s="91"/>
      <c r="B611" s="95"/>
      <c r="C611" s="152" t="s">
        <v>375</v>
      </c>
      <c r="D611" s="153" t="s">
        <v>25</v>
      </c>
      <c r="E611" s="130" t="s">
        <v>376</v>
      </c>
      <c r="F611" s="154" t="s">
        <v>637</v>
      </c>
      <c r="G611" s="154" t="s">
        <v>637</v>
      </c>
      <c r="H611" s="154" t="s">
        <v>637</v>
      </c>
      <c r="I611" s="154" t="s">
        <v>637</v>
      </c>
      <c r="J611" s="132">
        <v>0.9</v>
      </c>
      <c r="K611" s="133">
        <v>0.956521739130435</v>
      </c>
      <c r="L611" s="133">
        <v>0.872340425531915</v>
      </c>
      <c r="M611" s="134">
        <v>0.96078431372549</v>
      </c>
      <c r="N611" s="133">
        <v>0.92654028436019</v>
      </c>
      <c r="O611" s="135">
        <v>0.9</v>
      </c>
      <c r="P611" s="133">
        <v>0.869127516778524</v>
      </c>
      <c r="Q611" s="133">
        <v>0.926234384295062</v>
      </c>
      <c r="R611" s="133">
        <v>0.933430338304838</v>
      </c>
      <c r="S611" s="133">
        <v>0.9316534914361</v>
      </c>
      <c r="T611" s="135">
        <v>0.9</v>
      </c>
      <c r="U611" s="133">
        <v>0.82475764354959</v>
      </c>
      <c r="V611" s="133">
        <v>0.846817370612731</v>
      </c>
      <c r="W611" s="133">
        <v>0.911240451073117</v>
      </c>
      <c r="X611" s="133">
        <v>0.860580442102181</v>
      </c>
      <c r="Y611" s="135">
        <v>0.92</v>
      </c>
      <c r="Z611" s="135">
        <v>0.8865598027127</v>
      </c>
      <c r="AA611" s="135">
        <v>0.900709219858156</v>
      </c>
      <c r="AB611" s="135">
        <v>0.931983805668016</v>
      </c>
      <c r="AC611" s="135">
        <v>0.930859307732048</v>
      </c>
      <c r="AD611" s="135">
        <v>0.92</v>
      </c>
      <c r="AE611" s="133">
        <v>0.995260663507109</v>
      </c>
      <c r="AF611" s="133">
        <v>0.986175115207373</v>
      </c>
      <c r="AG611" s="133">
        <v>0.989864864864865</v>
      </c>
      <c r="AH611" s="133">
        <v>0.968588997839455</v>
      </c>
      <c r="AI611" s="135">
        <v>0.92</v>
      </c>
      <c r="AJ611" s="133">
        <v>0.945267958950969</v>
      </c>
      <c r="AK611" s="133">
        <v>0.951760635049868</v>
      </c>
      <c r="AL611" s="133">
        <v>0.969126506024096</v>
      </c>
      <c r="AM611" s="133">
        <v>0.966234166249567</v>
      </c>
      <c r="AN611" s="132">
        <v>0.99</v>
      </c>
      <c r="AO611" s="137">
        <v>1</v>
      </c>
      <c r="AP611" s="137">
        <v>1</v>
      </c>
      <c r="AQ611" s="137">
        <v>1</v>
      </c>
      <c r="AR611" s="137">
        <v>1</v>
      </c>
      <c r="AS611" s="158">
        <v>0.05</v>
      </c>
      <c r="AT611" s="141">
        <v>0.1</v>
      </c>
      <c r="AU611" s="141">
        <v>0</v>
      </c>
      <c r="AV611" s="141">
        <v>0</v>
      </c>
      <c r="AW611" s="141">
        <v>0.112994350282486</v>
      </c>
      <c r="AX611" s="95"/>
      <c r="AY611" s="93"/>
    </row>
    <row r="612" ht="14.5" spans="1:51">
      <c r="A612" s="91"/>
      <c r="B612" s="95"/>
      <c r="C612" s="152" t="s">
        <v>375</v>
      </c>
      <c r="D612" s="153" t="s">
        <v>25</v>
      </c>
      <c r="E612" s="130" t="s">
        <v>376</v>
      </c>
      <c r="F612" s="154" t="s">
        <v>638</v>
      </c>
      <c r="G612" s="154" t="s">
        <v>638</v>
      </c>
      <c r="H612" s="154" t="s">
        <v>638</v>
      </c>
      <c r="I612" s="154" t="s">
        <v>638</v>
      </c>
      <c r="J612" s="132">
        <v>0.9</v>
      </c>
      <c r="K612" s="133">
        <v>0.976744186046512</v>
      </c>
      <c r="L612" s="133">
        <v>0.975</v>
      </c>
      <c r="M612" s="134">
        <v>1</v>
      </c>
      <c r="N612" s="133">
        <v>0.974504249291785</v>
      </c>
      <c r="O612" s="135">
        <v>0.9</v>
      </c>
      <c r="P612" s="133">
        <v>0.979912663755458</v>
      </c>
      <c r="Q612" s="133">
        <v>0.987573577501635</v>
      </c>
      <c r="R612" s="133">
        <v>0.989006156552331</v>
      </c>
      <c r="S612" s="133">
        <v>0.986240743175146</v>
      </c>
      <c r="T612" s="135">
        <v>0.9</v>
      </c>
      <c r="U612" s="133">
        <v>0.94410480349345</v>
      </c>
      <c r="V612" s="133">
        <v>0.893394375408764</v>
      </c>
      <c r="W612" s="133">
        <v>0.929639401934916</v>
      </c>
      <c r="X612" s="133">
        <v>0.910564830638447</v>
      </c>
      <c r="Y612" s="135">
        <v>0.92</v>
      </c>
      <c r="Z612" s="135">
        <v>0.932692307692308</v>
      </c>
      <c r="AA612" s="135">
        <v>0.916267942583732</v>
      </c>
      <c r="AB612" s="135">
        <v>0.926038500506586</v>
      </c>
      <c r="AC612" s="135">
        <v>0.92739959518483</v>
      </c>
      <c r="AD612" s="135">
        <v>0.92</v>
      </c>
      <c r="AE612" s="133">
        <v>1</v>
      </c>
      <c r="AF612" s="133">
        <v>1</v>
      </c>
      <c r="AG612" s="133">
        <v>0.98804780876494</v>
      </c>
      <c r="AH612" s="133">
        <v>0.991613060825666</v>
      </c>
      <c r="AI612" s="135">
        <v>0.92</v>
      </c>
      <c r="AJ612" s="133">
        <v>0.971183533447684</v>
      </c>
      <c r="AK612" s="133">
        <v>0.965237543453071</v>
      </c>
      <c r="AL612" s="133">
        <v>0.965961361545538</v>
      </c>
      <c r="AM612" s="133">
        <v>0.967878091927625</v>
      </c>
      <c r="AN612" s="132">
        <v>0.99</v>
      </c>
      <c r="AO612" s="137">
        <v>1</v>
      </c>
      <c r="AP612" s="137">
        <v>1</v>
      </c>
      <c r="AQ612" s="137">
        <v>1</v>
      </c>
      <c r="AR612" s="137">
        <v>1</v>
      </c>
      <c r="AS612" s="158">
        <v>0.05</v>
      </c>
      <c r="AT612" s="141">
        <v>0.0769230769230769</v>
      </c>
      <c r="AU612" s="141">
        <v>0</v>
      </c>
      <c r="AV612" s="141">
        <v>0</v>
      </c>
      <c r="AW612" s="141">
        <v>0.05</v>
      </c>
      <c r="AX612" s="95"/>
      <c r="AY612" s="93"/>
    </row>
    <row r="613" ht="14.5" spans="1:51">
      <c r="A613" s="91"/>
      <c r="B613" s="95"/>
      <c r="C613" s="152" t="s">
        <v>375</v>
      </c>
      <c r="D613" s="153" t="s">
        <v>25</v>
      </c>
      <c r="E613" s="130" t="s">
        <v>376</v>
      </c>
      <c r="F613" s="154" t="s">
        <v>639</v>
      </c>
      <c r="G613" s="154" t="s">
        <v>639</v>
      </c>
      <c r="H613" s="154" t="s">
        <v>639</v>
      </c>
      <c r="I613" s="154" t="s">
        <v>639</v>
      </c>
      <c r="J613" s="132">
        <v>0.9</v>
      </c>
      <c r="K613" s="133">
        <v>0.863636363636364</v>
      </c>
      <c r="L613" s="133">
        <v>0.777777777777778</v>
      </c>
      <c r="M613" s="134">
        <v>0.766666666666667</v>
      </c>
      <c r="N613" s="133">
        <v>0.79372197309417</v>
      </c>
      <c r="O613" s="135">
        <v>0.9</v>
      </c>
      <c r="P613" s="133" t="s">
        <v>35</v>
      </c>
      <c r="Q613" s="133" t="s">
        <v>35</v>
      </c>
      <c r="R613" s="133">
        <v>0.5</v>
      </c>
      <c r="S613" s="133">
        <v>0.5</v>
      </c>
      <c r="T613" s="135">
        <v>0.9</v>
      </c>
      <c r="U613" s="133" t="s">
        <v>35</v>
      </c>
      <c r="V613" s="133" t="s">
        <v>35</v>
      </c>
      <c r="W613" s="133">
        <v>1</v>
      </c>
      <c r="X613" s="133">
        <v>1</v>
      </c>
      <c r="Y613" s="135">
        <v>0.92</v>
      </c>
      <c r="Z613" s="135" t="s">
        <v>35</v>
      </c>
      <c r="AA613" s="135" t="s">
        <v>35</v>
      </c>
      <c r="AB613" s="135" t="s">
        <v>35</v>
      </c>
      <c r="AC613" s="135">
        <v>0.666666666666667</v>
      </c>
      <c r="AD613" s="135">
        <v>0.92</v>
      </c>
      <c r="AE613" s="133">
        <v>0.977272727272727</v>
      </c>
      <c r="AF613" s="133">
        <v>1</v>
      </c>
      <c r="AG613" s="133">
        <v>1</v>
      </c>
      <c r="AH613" s="133">
        <v>0.951923076923077</v>
      </c>
      <c r="AI613" s="135">
        <v>0.92</v>
      </c>
      <c r="AJ613" s="133">
        <v>0.828672705789681</v>
      </c>
      <c r="AK613" s="133">
        <v>0.93543956043956</v>
      </c>
      <c r="AL613" s="133">
        <v>0.975740131578947</v>
      </c>
      <c r="AM613" s="133">
        <v>0.908254491797587</v>
      </c>
      <c r="AN613" s="132">
        <v>0.99</v>
      </c>
      <c r="AO613" s="137">
        <v>1</v>
      </c>
      <c r="AP613" s="137">
        <v>1</v>
      </c>
      <c r="AQ613" s="137">
        <v>1</v>
      </c>
      <c r="AR613" s="137">
        <v>1</v>
      </c>
      <c r="AS613" s="158">
        <v>0.05</v>
      </c>
      <c r="AT613" s="141">
        <v>0.2</v>
      </c>
      <c r="AU613" s="141">
        <v>0</v>
      </c>
      <c r="AV613" s="141">
        <v>0</v>
      </c>
      <c r="AW613" s="141">
        <v>0.0703125</v>
      </c>
      <c r="AX613" s="95"/>
      <c r="AY613" s="93"/>
    </row>
    <row r="614" ht="14.5" spans="1:51">
      <c r="A614" s="91"/>
      <c r="B614" s="95"/>
      <c r="C614" s="152" t="s">
        <v>375</v>
      </c>
      <c r="D614" s="153" t="s">
        <v>25</v>
      </c>
      <c r="E614" s="130" t="s">
        <v>376</v>
      </c>
      <c r="F614" s="154" t="s">
        <v>640</v>
      </c>
      <c r="G614" s="154" t="s">
        <v>640</v>
      </c>
      <c r="H614" s="154" t="s">
        <v>640</v>
      </c>
      <c r="I614" s="154" t="s">
        <v>640</v>
      </c>
      <c r="J614" s="132">
        <v>0.9</v>
      </c>
      <c r="K614" s="133">
        <v>0.9875</v>
      </c>
      <c r="L614" s="133">
        <v>0.891566265060241</v>
      </c>
      <c r="M614" s="134">
        <v>0.934065934065934</v>
      </c>
      <c r="N614" s="133">
        <v>0.941136671177267</v>
      </c>
      <c r="O614" s="135">
        <v>0.9</v>
      </c>
      <c r="P614" s="133">
        <v>0.684210526315789</v>
      </c>
      <c r="Q614" s="133">
        <v>1</v>
      </c>
      <c r="R614" s="133">
        <v>1</v>
      </c>
      <c r="S614" s="133">
        <v>0.960474308300395</v>
      </c>
      <c r="T614" s="135">
        <v>0.9</v>
      </c>
      <c r="U614" s="133">
        <v>0.526315789473684</v>
      </c>
      <c r="V614" s="133">
        <v>1</v>
      </c>
      <c r="W614" s="133">
        <v>1</v>
      </c>
      <c r="X614" s="133">
        <v>0.952569169960474</v>
      </c>
      <c r="Y614" s="135">
        <v>0.92</v>
      </c>
      <c r="Z614" s="135">
        <v>0.2</v>
      </c>
      <c r="AA614" s="135" t="s">
        <v>35</v>
      </c>
      <c r="AB614" s="135">
        <v>0</v>
      </c>
      <c r="AC614" s="135">
        <v>0.545454545454545</v>
      </c>
      <c r="AD614" s="135">
        <v>0.92</v>
      </c>
      <c r="AE614" s="133">
        <v>0.998883928571429</v>
      </c>
      <c r="AF614" s="133">
        <v>0.965919701213819</v>
      </c>
      <c r="AG614" s="133">
        <v>0.995677233429395</v>
      </c>
      <c r="AH614" s="133">
        <v>0.987469452297666</v>
      </c>
      <c r="AI614" s="135">
        <v>0.92</v>
      </c>
      <c r="AJ614" s="133">
        <v>0.925631140405422</v>
      </c>
      <c r="AK614" s="133">
        <v>0.943385392742306</v>
      </c>
      <c r="AL614" s="133">
        <v>0.964803585552333</v>
      </c>
      <c r="AM614" s="133">
        <v>0.956673271278491</v>
      </c>
      <c r="AN614" s="132">
        <v>0.99</v>
      </c>
      <c r="AO614" s="137">
        <v>1</v>
      </c>
      <c r="AP614" s="137">
        <v>1</v>
      </c>
      <c r="AQ614" s="137">
        <v>1</v>
      </c>
      <c r="AR614" s="137">
        <v>1</v>
      </c>
      <c r="AS614" s="158">
        <v>0.05</v>
      </c>
      <c r="AT614" s="141">
        <v>0.00289017341040462</v>
      </c>
      <c r="AU614" s="141">
        <v>0.00199468085106383</v>
      </c>
      <c r="AV614" s="141">
        <v>0</v>
      </c>
      <c r="AW614" s="141">
        <v>0.0204965056847815</v>
      </c>
      <c r="AX614" s="95"/>
      <c r="AY614" s="93"/>
    </row>
    <row r="615" ht="14.5" spans="1:51">
      <c r="A615" s="91"/>
      <c r="B615" s="95"/>
      <c r="C615" s="152" t="s">
        <v>375</v>
      </c>
      <c r="D615" s="153" t="s">
        <v>25</v>
      </c>
      <c r="E615" s="130" t="s">
        <v>376</v>
      </c>
      <c r="F615" s="154" t="s">
        <v>641</v>
      </c>
      <c r="G615" s="154" t="s">
        <v>641</v>
      </c>
      <c r="H615" s="154" t="s">
        <v>641</v>
      </c>
      <c r="I615" s="154" t="s">
        <v>641</v>
      </c>
      <c r="J615" s="132">
        <v>0.9</v>
      </c>
      <c r="K615" s="133">
        <v>1</v>
      </c>
      <c r="L615" s="133">
        <v>0.941176470588235</v>
      </c>
      <c r="M615" s="134">
        <v>0.95</v>
      </c>
      <c r="N615" s="133">
        <v>0.966049382716049</v>
      </c>
      <c r="O615" s="135">
        <v>0.9</v>
      </c>
      <c r="P615" s="133">
        <v>0.952270977675135</v>
      </c>
      <c r="Q615" s="133">
        <v>0.966807483403742</v>
      </c>
      <c r="R615" s="133">
        <v>0.967330677290837</v>
      </c>
      <c r="S615" s="133">
        <v>0.96323140807852</v>
      </c>
      <c r="T615" s="135">
        <v>0.9</v>
      </c>
      <c r="U615" s="133">
        <v>0.891454965357968</v>
      </c>
      <c r="V615" s="133">
        <v>0.87929993964997</v>
      </c>
      <c r="W615" s="133">
        <v>0.925896414342629</v>
      </c>
      <c r="X615" s="133">
        <v>0.91593053982635</v>
      </c>
      <c r="Y615" s="135">
        <v>0.92</v>
      </c>
      <c r="Z615" s="135">
        <v>0.914110429447853</v>
      </c>
      <c r="AA615" s="135">
        <v>0.935374149659864</v>
      </c>
      <c r="AB615" s="135">
        <v>0.943478260869565</v>
      </c>
      <c r="AC615" s="135">
        <v>0.954268642996668</v>
      </c>
      <c r="AD615" s="135">
        <v>0.92</v>
      </c>
      <c r="AE615" s="133">
        <v>0.954545454545455</v>
      </c>
      <c r="AF615" s="133">
        <v>0.967391304347826</v>
      </c>
      <c r="AG615" s="133">
        <v>0.988235294117647</v>
      </c>
      <c r="AH615" s="133">
        <v>0.968998410174881</v>
      </c>
      <c r="AI615" s="135">
        <v>0.92</v>
      </c>
      <c r="AJ615" s="133">
        <v>0.934315531000614</v>
      </c>
      <c r="AK615" s="133">
        <v>0.966651845264562</v>
      </c>
      <c r="AL615" s="133">
        <v>0.969096209912536</v>
      </c>
      <c r="AM615" s="133">
        <v>0.974639327501988</v>
      </c>
      <c r="AN615" s="132">
        <v>0.99</v>
      </c>
      <c r="AO615" s="137">
        <v>1</v>
      </c>
      <c r="AP615" s="137">
        <v>1</v>
      </c>
      <c r="AQ615" s="137">
        <v>1</v>
      </c>
      <c r="AR615" s="137">
        <v>1</v>
      </c>
      <c r="AS615" s="158">
        <v>0.05</v>
      </c>
      <c r="AT615" s="141">
        <v>0</v>
      </c>
      <c r="AU615" s="141">
        <v>0</v>
      </c>
      <c r="AV615" s="141">
        <v>0</v>
      </c>
      <c r="AW615" s="141">
        <v>0.142857142857143</v>
      </c>
      <c r="AX615" s="95"/>
      <c r="AY615" s="93"/>
    </row>
    <row r="616" ht="14.5" spans="1:51">
      <c r="A616" s="91"/>
      <c r="B616" s="95"/>
      <c r="C616" s="152" t="s">
        <v>375</v>
      </c>
      <c r="D616" s="153" t="s">
        <v>25</v>
      </c>
      <c r="E616" s="130" t="s">
        <v>376</v>
      </c>
      <c r="F616" s="154" t="s">
        <v>642</v>
      </c>
      <c r="G616" s="154" t="s">
        <v>642</v>
      </c>
      <c r="H616" s="154" t="s">
        <v>642</v>
      </c>
      <c r="I616" s="154" t="s">
        <v>642</v>
      </c>
      <c r="J616" s="132">
        <v>0.9</v>
      </c>
      <c r="K616" s="133">
        <v>0.9</v>
      </c>
      <c r="L616" s="133">
        <v>0.886363636363636</v>
      </c>
      <c r="M616" s="134">
        <v>0.875</v>
      </c>
      <c r="N616" s="133">
        <v>0.890829694323144</v>
      </c>
      <c r="O616" s="135">
        <v>0.9</v>
      </c>
      <c r="P616" s="133">
        <v>0.266666666666667</v>
      </c>
      <c r="Q616" s="133">
        <v>1</v>
      </c>
      <c r="R616" s="133">
        <v>0.666666666666667</v>
      </c>
      <c r="S616" s="133">
        <v>0.564705882352941</v>
      </c>
      <c r="T616" s="135">
        <v>0.9</v>
      </c>
      <c r="U616" s="133">
        <v>0.133333333333333</v>
      </c>
      <c r="V616" s="133">
        <v>1</v>
      </c>
      <c r="W616" s="133">
        <v>1</v>
      </c>
      <c r="X616" s="133">
        <v>0.694117647058824</v>
      </c>
      <c r="Y616" s="135">
        <v>0.92</v>
      </c>
      <c r="Z616" s="135">
        <v>0.25</v>
      </c>
      <c r="AA616" s="135" t="s">
        <v>35</v>
      </c>
      <c r="AB616" s="135">
        <v>1</v>
      </c>
      <c r="AC616" s="135">
        <v>0.869565217391304</v>
      </c>
      <c r="AD616" s="135">
        <v>0.92</v>
      </c>
      <c r="AE616" s="133">
        <v>1</v>
      </c>
      <c r="AF616" s="133">
        <v>0.992111650485437</v>
      </c>
      <c r="AG616" s="133">
        <v>0.997910572503134</v>
      </c>
      <c r="AH616" s="133">
        <v>0.9964341868823</v>
      </c>
      <c r="AI616" s="135">
        <v>0.92</v>
      </c>
      <c r="AJ616" s="133">
        <v>0.941071228894107</v>
      </c>
      <c r="AK616" s="133">
        <v>0.954597048808173</v>
      </c>
      <c r="AL616" s="133">
        <v>0.975487804878049</v>
      </c>
      <c r="AM616" s="133">
        <v>0.975861795511526</v>
      </c>
      <c r="AN616" s="132">
        <v>0.99</v>
      </c>
      <c r="AO616" s="137">
        <v>1</v>
      </c>
      <c r="AP616" s="137">
        <v>1</v>
      </c>
      <c r="AQ616" s="137">
        <v>1</v>
      </c>
      <c r="AR616" s="137">
        <v>1</v>
      </c>
      <c r="AS616" s="158">
        <v>0.05</v>
      </c>
      <c r="AT616" s="141">
        <v>0.00647249190938511</v>
      </c>
      <c r="AU616" s="141">
        <v>0.002710027100271</v>
      </c>
      <c r="AV616" s="141">
        <v>0.0275482093663912</v>
      </c>
      <c r="AW616" s="141">
        <v>0.00797552714956845</v>
      </c>
      <c r="AX616" s="95"/>
      <c r="AY616" s="93"/>
    </row>
    <row r="617" ht="14.5" spans="1:51">
      <c r="A617" s="91"/>
      <c r="B617" s="95"/>
      <c r="C617" s="152" t="s">
        <v>375</v>
      </c>
      <c r="D617" s="153" t="s">
        <v>25</v>
      </c>
      <c r="E617" s="130" t="s">
        <v>376</v>
      </c>
      <c r="F617" s="154" t="s">
        <v>643</v>
      </c>
      <c r="G617" s="154" t="s">
        <v>643</v>
      </c>
      <c r="H617" s="154" t="s">
        <v>643</v>
      </c>
      <c r="I617" s="154" t="s">
        <v>643</v>
      </c>
      <c r="J617" s="132">
        <v>0.9</v>
      </c>
      <c r="K617" s="133">
        <v>1</v>
      </c>
      <c r="L617" s="133">
        <v>0.987654320987654</v>
      </c>
      <c r="M617" s="134">
        <v>1</v>
      </c>
      <c r="N617" s="133">
        <v>0.998019801980198</v>
      </c>
      <c r="O617" s="135">
        <v>0.9</v>
      </c>
      <c r="P617" s="133">
        <v>0.991960852848654</v>
      </c>
      <c r="Q617" s="133">
        <v>0.993973634651601</v>
      </c>
      <c r="R617" s="133">
        <v>0.994487320837927</v>
      </c>
      <c r="S617" s="133">
        <v>0.991794222437401</v>
      </c>
      <c r="T617" s="135">
        <v>0.9</v>
      </c>
      <c r="U617" s="133">
        <v>0.901083537224747</v>
      </c>
      <c r="V617" s="133">
        <v>0.94180790960452</v>
      </c>
      <c r="W617" s="133">
        <v>0.957828004410143</v>
      </c>
      <c r="X617" s="133">
        <v>0.950430151577222</v>
      </c>
      <c r="Y617" s="135">
        <v>0.92</v>
      </c>
      <c r="Z617" s="135">
        <v>0.928002548582351</v>
      </c>
      <c r="AA617" s="135">
        <v>0.962988000676018</v>
      </c>
      <c r="AB617" s="135">
        <v>0.976117242627103</v>
      </c>
      <c r="AC617" s="135">
        <v>0.968820775316616</v>
      </c>
      <c r="AD617" s="135">
        <v>0.92</v>
      </c>
      <c r="AE617" s="133">
        <v>0.998269230769231</v>
      </c>
      <c r="AF617" s="133">
        <v>0.998879970132537</v>
      </c>
      <c r="AG617" s="133">
        <v>0.998754213688993</v>
      </c>
      <c r="AH617" s="133">
        <v>0.997134503167896</v>
      </c>
      <c r="AI617" s="135">
        <v>0.92</v>
      </c>
      <c r="AJ617" s="133">
        <v>0.944027986006997</v>
      </c>
      <c r="AK617" s="133">
        <v>0.972034200213751</v>
      </c>
      <c r="AL617" s="133">
        <v>0.981760594145915</v>
      </c>
      <c r="AM617" s="133">
        <v>0.977724292750483</v>
      </c>
      <c r="AN617" s="132">
        <v>0.99</v>
      </c>
      <c r="AO617" s="137">
        <v>1</v>
      </c>
      <c r="AP617" s="137">
        <v>1</v>
      </c>
      <c r="AQ617" s="137">
        <v>1</v>
      </c>
      <c r="AR617" s="137">
        <v>1</v>
      </c>
      <c r="AS617" s="158">
        <v>0.05</v>
      </c>
      <c r="AT617" s="141">
        <v>0</v>
      </c>
      <c r="AU617" s="141">
        <v>0.15</v>
      </c>
      <c r="AV617" s="141">
        <v>0.05</v>
      </c>
      <c r="AW617" s="141">
        <v>0.05175983436853</v>
      </c>
      <c r="AX617" s="95"/>
      <c r="AY617" s="93"/>
    </row>
    <row r="618" ht="14.5" spans="1:51">
      <c r="A618" s="91"/>
      <c r="B618" s="95"/>
      <c r="C618" s="152" t="s">
        <v>375</v>
      </c>
      <c r="D618" s="153" t="s">
        <v>25</v>
      </c>
      <c r="E618" s="130" t="s">
        <v>376</v>
      </c>
      <c r="F618" s="154" t="s">
        <v>644</v>
      </c>
      <c r="G618" s="154" t="s">
        <v>644</v>
      </c>
      <c r="H618" s="154" t="s">
        <v>644</v>
      </c>
      <c r="I618" s="154" t="s">
        <v>644</v>
      </c>
      <c r="J618" s="132">
        <v>0.9</v>
      </c>
      <c r="K618" s="133">
        <v>1</v>
      </c>
      <c r="L618" s="133">
        <v>0.971428571428571</v>
      </c>
      <c r="M618" s="134">
        <v>1</v>
      </c>
      <c r="N618" s="133">
        <v>0.979041916167665</v>
      </c>
      <c r="O618" s="135">
        <v>0.9</v>
      </c>
      <c r="P618" s="133">
        <v>0.986718317653569</v>
      </c>
      <c r="Q618" s="133">
        <v>0.989667896678967</v>
      </c>
      <c r="R618" s="133">
        <v>0.992633517495396</v>
      </c>
      <c r="S618" s="133">
        <v>0.984908122671494</v>
      </c>
      <c r="T618" s="135">
        <v>0.9</v>
      </c>
      <c r="U618" s="133">
        <v>0.851134477033758</v>
      </c>
      <c r="V618" s="133">
        <v>0.869372693726937</v>
      </c>
      <c r="W618" s="133">
        <v>0.923572744014733</v>
      </c>
      <c r="X618" s="133">
        <v>0.899597970910775</v>
      </c>
      <c r="Y618" s="135">
        <v>0.92</v>
      </c>
      <c r="Z618" s="135">
        <v>0.867025365103766</v>
      </c>
      <c r="AA618" s="135">
        <v>0.887291981845688</v>
      </c>
      <c r="AB618" s="135">
        <v>0.949742268041237</v>
      </c>
      <c r="AC618" s="135">
        <v>0.933359621451104</v>
      </c>
      <c r="AD618" s="135">
        <v>0.92</v>
      </c>
      <c r="AE618" s="133">
        <v>0.999211356466877</v>
      </c>
      <c r="AF618" s="133">
        <v>0.99759137082417</v>
      </c>
      <c r="AG618" s="133">
        <v>0.994492391551215</v>
      </c>
      <c r="AH618" s="133">
        <v>0.974167564276682</v>
      </c>
      <c r="AI618" s="135">
        <v>0.92</v>
      </c>
      <c r="AJ618" s="133">
        <v>0.905405405405405</v>
      </c>
      <c r="AK618" s="133">
        <v>0.917833800186741</v>
      </c>
      <c r="AL618" s="133">
        <v>0.964904486894713</v>
      </c>
      <c r="AM618" s="133">
        <v>0.954350346210483</v>
      </c>
      <c r="AN618" s="132">
        <v>0.99</v>
      </c>
      <c r="AO618" s="137">
        <v>1</v>
      </c>
      <c r="AP618" s="137">
        <v>1</v>
      </c>
      <c r="AQ618" s="137">
        <v>1</v>
      </c>
      <c r="AR618" s="137">
        <v>1</v>
      </c>
      <c r="AS618" s="158">
        <v>0.05</v>
      </c>
      <c r="AT618" s="141">
        <v>0.291666666666667</v>
      </c>
      <c r="AU618" s="141">
        <v>0</v>
      </c>
      <c r="AV618" s="141">
        <v>0.0652173913043478</v>
      </c>
      <c r="AW618" s="141">
        <v>0.0591133004926108</v>
      </c>
      <c r="AX618" s="95"/>
      <c r="AY618" s="93"/>
    </row>
    <row r="619" ht="14.5" spans="1:51">
      <c r="A619" s="91"/>
      <c r="B619" s="95"/>
      <c r="C619" s="152" t="s">
        <v>375</v>
      </c>
      <c r="D619" s="153" t="s">
        <v>25</v>
      </c>
      <c r="E619" s="130" t="s">
        <v>376</v>
      </c>
      <c r="F619" s="154" t="s">
        <v>645</v>
      </c>
      <c r="G619" s="154" t="s">
        <v>645</v>
      </c>
      <c r="H619" s="154" t="s">
        <v>645</v>
      </c>
      <c r="I619" s="154" t="s">
        <v>645</v>
      </c>
      <c r="J619" s="132">
        <v>0.9</v>
      </c>
      <c r="K619" s="133">
        <v>0.82089552238806</v>
      </c>
      <c r="L619" s="133">
        <v>0.756756756756757</v>
      </c>
      <c r="M619" s="134">
        <v>0.744186046511628</v>
      </c>
      <c r="N619" s="133">
        <v>0.862800565770863</v>
      </c>
      <c r="O619" s="135">
        <v>0.9</v>
      </c>
      <c r="P619" s="133">
        <v>0.969964664310954</v>
      </c>
      <c r="Q619" s="133">
        <v>0.967202432667246</v>
      </c>
      <c r="R619" s="133">
        <v>0.984926052332196</v>
      </c>
      <c r="S619" s="133">
        <v>0.977781118049767</v>
      </c>
      <c r="T619" s="135">
        <v>0.9</v>
      </c>
      <c r="U619" s="133">
        <v>0.823321554770318</v>
      </c>
      <c r="V619" s="133">
        <v>0.885099913119027</v>
      </c>
      <c r="W619" s="133">
        <v>0.921217292377702</v>
      </c>
      <c r="X619" s="133">
        <v>0.898703215315451</v>
      </c>
      <c r="Y619" s="135">
        <v>0.92</v>
      </c>
      <c r="Z619" s="135">
        <v>0.862672811059908</v>
      </c>
      <c r="AA619" s="135">
        <v>0.90590248075278</v>
      </c>
      <c r="AB619" s="135">
        <v>0.951930080116533</v>
      </c>
      <c r="AC619" s="135">
        <v>0.935818063807479</v>
      </c>
      <c r="AD619" s="135">
        <v>0.92</v>
      </c>
      <c r="AE619" s="133">
        <v>0.998032904148784</v>
      </c>
      <c r="AF619" s="133">
        <v>0.994309892033849</v>
      </c>
      <c r="AG619" s="133">
        <v>0.993617947106319</v>
      </c>
      <c r="AH619" s="133">
        <v>0.962363011117766</v>
      </c>
      <c r="AI619" s="135">
        <v>0.92</v>
      </c>
      <c r="AJ619" s="133">
        <v>0.8988</v>
      </c>
      <c r="AK619" s="133">
        <v>0.934806034482759</v>
      </c>
      <c r="AL619" s="133">
        <v>0.967526515647506</v>
      </c>
      <c r="AM619" s="133">
        <v>0.955983538665223</v>
      </c>
      <c r="AN619" s="132">
        <v>0.99</v>
      </c>
      <c r="AO619" s="137">
        <v>1</v>
      </c>
      <c r="AP619" s="137">
        <v>1</v>
      </c>
      <c r="AQ619" s="137">
        <v>1</v>
      </c>
      <c r="AR619" s="137">
        <v>0.999503968253968</v>
      </c>
      <c r="AS619" s="158">
        <v>0.05</v>
      </c>
      <c r="AT619" s="141">
        <v>0.0588235294117647</v>
      </c>
      <c r="AU619" s="141">
        <v>0</v>
      </c>
      <c r="AV619" s="141">
        <v>0.0540540540540541</v>
      </c>
      <c r="AW619" s="141">
        <v>0.0612903225806452</v>
      </c>
      <c r="AX619" s="95"/>
      <c r="AY619" s="93"/>
    </row>
    <row r="620" ht="14.5" spans="1:51">
      <c r="A620" s="91"/>
      <c r="B620" s="95"/>
      <c r="C620" s="152" t="s">
        <v>375</v>
      </c>
      <c r="D620" s="153" t="s">
        <v>25</v>
      </c>
      <c r="E620" s="130" t="s">
        <v>376</v>
      </c>
      <c r="F620" s="154" t="s">
        <v>646</v>
      </c>
      <c r="G620" s="154" t="s">
        <v>646</v>
      </c>
      <c r="H620" s="154" t="s">
        <v>646</v>
      </c>
      <c r="I620" s="154" t="s">
        <v>646</v>
      </c>
      <c r="J620" s="132">
        <v>0.9</v>
      </c>
      <c r="K620" s="133">
        <v>0.9</v>
      </c>
      <c r="L620" s="133">
        <v>0.805555555555556</v>
      </c>
      <c r="M620" s="134">
        <v>0.948717948717949</v>
      </c>
      <c r="N620" s="133">
        <v>0.9392</v>
      </c>
      <c r="O620" s="135">
        <v>0.9</v>
      </c>
      <c r="P620" s="133">
        <v>0.970030581039755</v>
      </c>
      <c r="Q620" s="133">
        <v>0.993155619596542</v>
      </c>
      <c r="R620" s="133">
        <v>0.995618838992333</v>
      </c>
      <c r="S620" s="133">
        <v>0.99061779874904</v>
      </c>
      <c r="T620" s="135">
        <v>0.9</v>
      </c>
      <c r="U620" s="133">
        <v>0.831804281345566</v>
      </c>
      <c r="V620" s="133">
        <v>0.929394812680115</v>
      </c>
      <c r="W620" s="133">
        <v>0.981380065717415</v>
      </c>
      <c r="X620" s="133">
        <v>0.952842093712279</v>
      </c>
      <c r="Y620" s="135">
        <v>0.92</v>
      </c>
      <c r="Z620" s="135">
        <v>0.723065798987708</v>
      </c>
      <c r="AA620" s="135">
        <v>0.894077448747153</v>
      </c>
      <c r="AB620" s="135">
        <v>0.944044086477321</v>
      </c>
      <c r="AC620" s="135">
        <v>0.928770343118469</v>
      </c>
      <c r="AD620" s="135">
        <v>0.92</v>
      </c>
      <c r="AE620" s="133">
        <v>0.996344907791992</v>
      </c>
      <c r="AF620" s="133">
        <v>0.995671267252196</v>
      </c>
      <c r="AG620" s="133">
        <v>0.994967369070424</v>
      </c>
      <c r="AH620" s="133">
        <v>0.977331138477668</v>
      </c>
      <c r="AI620" s="135">
        <v>0.92</v>
      </c>
      <c r="AJ620" s="133">
        <v>0.838025836369659</v>
      </c>
      <c r="AK620" s="133">
        <v>0.936980225466642</v>
      </c>
      <c r="AL620" s="133">
        <v>0.964874551971326</v>
      </c>
      <c r="AM620" s="133">
        <v>0.95558699475083</v>
      </c>
      <c r="AN620" s="132">
        <v>0.99</v>
      </c>
      <c r="AO620" s="137">
        <v>1</v>
      </c>
      <c r="AP620" s="137">
        <v>1</v>
      </c>
      <c r="AQ620" s="137">
        <v>1</v>
      </c>
      <c r="AR620" s="137">
        <v>1</v>
      </c>
      <c r="AS620" s="158">
        <v>0.05</v>
      </c>
      <c r="AT620" s="141">
        <v>0.4</v>
      </c>
      <c r="AU620" s="141">
        <v>0.0909090909090909</v>
      </c>
      <c r="AV620" s="141">
        <v>0.125</v>
      </c>
      <c r="AW620" s="141">
        <v>0.0786516853932584</v>
      </c>
      <c r="AX620" s="95"/>
      <c r="AY620" s="93"/>
    </row>
    <row r="621" ht="14.5" spans="1:51">
      <c r="A621" s="91"/>
      <c r="B621" s="95"/>
      <c r="C621" s="152" t="s">
        <v>375</v>
      </c>
      <c r="D621" s="153" t="s">
        <v>25</v>
      </c>
      <c r="E621" s="130" t="s">
        <v>376</v>
      </c>
      <c r="F621" s="154" t="s">
        <v>647</v>
      </c>
      <c r="G621" s="154" t="s">
        <v>647</v>
      </c>
      <c r="H621" s="154" t="s">
        <v>647</v>
      </c>
      <c r="I621" s="154" t="s">
        <v>647</v>
      </c>
      <c r="J621" s="132">
        <v>0.9</v>
      </c>
      <c r="K621" s="133">
        <v>1</v>
      </c>
      <c r="L621" s="133">
        <v>0.95</v>
      </c>
      <c r="M621" s="134">
        <v>0.975609756097561</v>
      </c>
      <c r="N621" s="133">
        <v>0.965194109772423</v>
      </c>
      <c r="O621" s="135">
        <v>0.9</v>
      </c>
      <c r="P621" s="133">
        <v>0.941776710684274</v>
      </c>
      <c r="Q621" s="133">
        <v>0.956999085086917</v>
      </c>
      <c r="R621" s="133">
        <v>0.963452223690004</v>
      </c>
      <c r="S621" s="133">
        <v>0.96535895986433</v>
      </c>
      <c r="T621" s="135">
        <v>0.9</v>
      </c>
      <c r="U621" s="133">
        <v>0.884753901560624</v>
      </c>
      <c r="V621" s="133">
        <v>0.914303141201586</v>
      </c>
      <c r="W621" s="133">
        <v>0.958168207837957</v>
      </c>
      <c r="X621" s="133">
        <v>0.927484454494064</v>
      </c>
      <c r="Y621" s="135">
        <v>0.92</v>
      </c>
      <c r="Z621" s="135">
        <v>0.838147138964578</v>
      </c>
      <c r="AA621" s="135">
        <v>0.885200124107974</v>
      </c>
      <c r="AB621" s="135">
        <v>0.93027153871941</v>
      </c>
      <c r="AC621" s="135">
        <v>0.931515320778806</v>
      </c>
      <c r="AD621" s="135">
        <v>0.92</v>
      </c>
      <c r="AE621" s="133">
        <v>0.997221579069229</v>
      </c>
      <c r="AF621" s="133">
        <v>0.98955463728191</v>
      </c>
      <c r="AG621" s="133">
        <v>0.997990838222294</v>
      </c>
      <c r="AH621" s="133">
        <v>0.989067513789384</v>
      </c>
      <c r="AI621" s="135">
        <v>0.92</v>
      </c>
      <c r="AJ621" s="133">
        <v>0.882604970008569</v>
      </c>
      <c r="AK621" s="133">
        <v>0.922047970479705</v>
      </c>
      <c r="AL621" s="133">
        <v>0.954917253186228</v>
      </c>
      <c r="AM621" s="133">
        <v>0.953716065865599</v>
      </c>
      <c r="AN621" s="132">
        <v>0.99</v>
      </c>
      <c r="AO621" s="137">
        <v>1</v>
      </c>
      <c r="AP621" s="137">
        <v>1</v>
      </c>
      <c r="AQ621" s="137">
        <v>1</v>
      </c>
      <c r="AR621" s="137">
        <v>1</v>
      </c>
      <c r="AS621" s="158">
        <v>0.05</v>
      </c>
      <c r="AT621" s="141">
        <v>0.166666666666667</v>
      </c>
      <c r="AU621" s="141">
        <v>0.1</v>
      </c>
      <c r="AV621" s="141">
        <v>0.142857142857143</v>
      </c>
      <c r="AW621" s="141">
        <v>0.0666666666666667</v>
      </c>
      <c r="AX621" s="95"/>
      <c r="AY621" s="93"/>
    </row>
    <row r="622" ht="14.5" spans="1:51">
      <c r="A622" s="91"/>
      <c r="B622" s="95"/>
      <c r="C622" s="152" t="s">
        <v>375</v>
      </c>
      <c r="D622" s="153" t="s">
        <v>25</v>
      </c>
      <c r="E622" s="130" t="s">
        <v>376</v>
      </c>
      <c r="F622" s="154" t="s">
        <v>648</v>
      </c>
      <c r="G622" s="154" t="s">
        <v>648</v>
      </c>
      <c r="H622" s="154" t="s">
        <v>648</v>
      </c>
      <c r="I622" s="154" t="s">
        <v>648</v>
      </c>
      <c r="J622" s="132">
        <v>0.9</v>
      </c>
      <c r="K622" s="133">
        <v>0.930232558139535</v>
      </c>
      <c r="L622" s="133">
        <v>0.977272727272727</v>
      </c>
      <c r="M622" s="134">
        <v>0.956521739130435</v>
      </c>
      <c r="N622" s="133">
        <v>0.966547192353644</v>
      </c>
      <c r="O622" s="135">
        <v>0.9</v>
      </c>
      <c r="P622" s="133">
        <v>0.964517741129435</v>
      </c>
      <c r="Q622" s="133">
        <v>0.978424015009381</v>
      </c>
      <c r="R622" s="133">
        <v>0.988176964149504</v>
      </c>
      <c r="S622" s="133">
        <v>0.982205189103602</v>
      </c>
      <c r="T622" s="135">
        <v>0.9</v>
      </c>
      <c r="U622" s="133">
        <v>0.866066966516742</v>
      </c>
      <c r="V622" s="133">
        <v>0.870231394621639</v>
      </c>
      <c r="W622" s="133">
        <v>0.931350114416476</v>
      </c>
      <c r="X622" s="133">
        <v>0.908938788729353</v>
      </c>
      <c r="Y622" s="135">
        <v>0.92</v>
      </c>
      <c r="Z622" s="135">
        <v>0.874083129584352</v>
      </c>
      <c r="AA622" s="135">
        <v>0.899574746483481</v>
      </c>
      <c r="AB622" s="135">
        <v>0.945494994438265</v>
      </c>
      <c r="AC622" s="135">
        <v>0.938520102205767</v>
      </c>
      <c r="AD622" s="135">
        <v>0.92</v>
      </c>
      <c r="AE622" s="133">
        <v>0.998849781458477</v>
      </c>
      <c r="AF622" s="133">
        <v>0.994452849218356</v>
      </c>
      <c r="AG622" s="133">
        <v>0.993191830196235</v>
      </c>
      <c r="AH622" s="133">
        <v>0.976163373380681</v>
      </c>
      <c r="AI622" s="135">
        <v>0.92</v>
      </c>
      <c r="AJ622" s="133">
        <v>0.90376684080286</v>
      </c>
      <c r="AK622" s="133">
        <v>0.914815406744446</v>
      </c>
      <c r="AL622" s="133">
        <v>0.965607968426987</v>
      </c>
      <c r="AM622" s="133">
        <v>0.956044830207357</v>
      </c>
      <c r="AN622" s="132">
        <v>0.99</v>
      </c>
      <c r="AO622" s="137">
        <v>1</v>
      </c>
      <c r="AP622" s="137">
        <v>1</v>
      </c>
      <c r="AQ622" s="137">
        <v>1</v>
      </c>
      <c r="AR622" s="137">
        <v>1</v>
      </c>
      <c r="AS622" s="158">
        <v>0.05</v>
      </c>
      <c r="AT622" s="141">
        <v>0.0645161290322581</v>
      </c>
      <c r="AU622" s="141">
        <v>0</v>
      </c>
      <c r="AV622" s="141">
        <v>0.08</v>
      </c>
      <c r="AW622" s="141">
        <v>0.0721649484536082</v>
      </c>
      <c r="AX622" s="95"/>
      <c r="AY622" s="93"/>
    </row>
    <row r="623" ht="14.5" spans="1:51">
      <c r="A623" s="91"/>
      <c r="B623" s="95"/>
      <c r="C623" s="152" t="s">
        <v>375</v>
      </c>
      <c r="D623" s="153" t="s">
        <v>25</v>
      </c>
      <c r="E623" s="130" t="s">
        <v>376</v>
      </c>
      <c r="F623" s="154" t="s">
        <v>649</v>
      </c>
      <c r="G623" s="154" t="s">
        <v>649</v>
      </c>
      <c r="H623" s="154" t="s">
        <v>649</v>
      </c>
      <c r="I623" s="154" t="s">
        <v>649</v>
      </c>
      <c r="J623" s="132">
        <v>0.9</v>
      </c>
      <c r="K623" s="133">
        <v>1</v>
      </c>
      <c r="L623" s="133">
        <v>1</v>
      </c>
      <c r="M623" s="134">
        <v>1</v>
      </c>
      <c r="N623" s="133">
        <v>0.998729351969504</v>
      </c>
      <c r="O623" s="135">
        <v>0.9</v>
      </c>
      <c r="P623" s="133">
        <v>0.984639016897081</v>
      </c>
      <c r="Q623" s="133">
        <v>0.980885632366996</v>
      </c>
      <c r="R623" s="133">
        <v>0.984112974404237</v>
      </c>
      <c r="S623" s="133">
        <v>0.981995610764281</v>
      </c>
      <c r="T623" s="135">
        <v>0.9</v>
      </c>
      <c r="U623" s="133">
        <v>0.938044034818228</v>
      </c>
      <c r="V623" s="133">
        <v>0.945842625039822</v>
      </c>
      <c r="W623" s="133">
        <v>0.971315092674316</v>
      </c>
      <c r="X623" s="133">
        <v>0.965802313936889</v>
      </c>
      <c r="Y623" s="135">
        <v>0.92</v>
      </c>
      <c r="Z623" s="135">
        <v>0.948852459016393</v>
      </c>
      <c r="AA623" s="135">
        <v>0.972014925373134</v>
      </c>
      <c r="AB623" s="135">
        <v>0.970611285266458</v>
      </c>
      <c r="AC623" s="135">
        <v>0.981165009133347</v>
      </c>
      <c r="AD623" s="135">
        <v>0.92</v>
      </c>
      <c r="AE623" s="133">
        <v>0.991980558930741</v>
      </c>
      <c r="AF623" s="133">
        <v>0.995409568499439</v>
      </c>
      <c r="AG623" s="133">
        <v>0.986120077469335</v>
      </c>
      <c r="AH623" s="133">
        <v>0.990102088407524</v>
      </c>
      <c r="AI623" s="135">
        <v>0.92</v>
      </c>
      <c r="AJ623" s="133">
        <v>0.965527147371445</v>
      </c>
      <c r="AK623" s="133">
        <v>0.982495280590355</v>
      </c>
      <c r="AL623" s="133">
        <v>0.982376114451586</v>
      </c>
      <c r="AM623" s="133">
        <v>0.987838946526674</v>
      </c>
      <c r="AN623" s="132">
        <v>0.99</v>
      </c>
      <c r="AO623" s="137">
        <v>1</v>
      </c>
      <c r="AP623" s="137">
        <v>1</v>
      </c>
      <c r="AQ623" s="137">
        <v>1</v>
      </c>
      <c r="AR623" s="137">
        <v>1</v>
      </c>
      <c r="AS623" s="158">
        <v>0.05</v>
      </c>
      <c r="AT623" s="141">
        <v>0</v>
      </c>
      <c r="AU623" s="141">
        <v>0</v>
      </c>
      <c r="AV623" s="141">
        <v>0</v>
      </c>
      <c r="AW623" s="141">
        <v>0.00289383251944294</v>
      </c>
      <c r="AX623" s="95"/>
      <c r="AY623" s="93"/>
    </row>
    <row r="624" ht="14.5" spans="1:51">
      <c r="A624" s="91"/>
      <c r="B624" s="95"/>
      <c r="C624" s="152" t="s">
        <v>375</v>
      </c>
      <c r="D624" s="153" t="s">
        <v>25</v>
      </c>
      <c r="E624" s="130" t="s">
        <v>376</v>
      </c>
      <c r="F624" s="154" t="s">
        <v>650</v>
      </c>
      <c r="G624" s="154" t="s">
        <v>650</v>
      </c>
      <c r="H624" s="154" t="s">
        <v>650</v>
      </c>
      <c r="I624" s="154" t="s">
        <v>650</v>
      </c>
      <c r="J624" s="132">
        <v>0.9</v>
      </c>
      <c r="K624" s="133">
        <v>1</v>
      </c>
      <c r="L624" s="133">
        <v>1</v>
      </c>
      <c r="M624" s="134">
        <v>1</v>
      </c>
      <c r="N624" s="133">
        <v>1</v>
      </c>
      <c r="O624" s="135">
        <v>0.9</v>
      </c>
      <c r="P624" s="133">
        <v>0.993110236220472</v>
      </c>
      <c r="Q624" s="133">
        <v>0.994332818134982</v>
      </c>
      <c r="R624" s="133">
        <v>0.989326217478319</v>
      </c>
      <c r="S624" s="133">
        <v>0.987734377389655</v>
      </c>
      <c r="T624" s="135">
        <v>0.9</v>
      </c>
      <c r="U624" s="133">
        <v>0.93011811023622</v>
      </c>
      <c r="V624" s="133">
        <v>0.969603297269449</v>
      </c>
      <c r="W624" s="133">
        <v>0.971314209472982</v>
      </c>
      <c r="X624" s="133">
        <v>0.964028997033004</v>
      </c>
      <c r="Y624" s="135">
        <v>0.92</v>
      </c>
      <c r="Z624" s="135">
        <v>0.958208955223881</v>
      </c>
      <c r="AA624" s="135">
        <v>0.975280898876404</v>
      </c>
      <c r="AB624" s="135">
        <v>0.981385729058945</v>
      </c>
      <c r="AC624" s="135">
        <v>0.982903663500678</v>
      </c>
      <c r="AD624" s="135">
        <v>0.92</v>
      </c>
      <c r="AE624" s="133">
        <v>0.997995991983968</v>
      </c>
      <c r="AF624" s="133">
        <v>0.977198697068404</v>
      </c>
      <c r="AG624" s="133">
        <v>0.997981836528759</v>
      </c>
      <c r="AH624" s="133">
        <v>0.989957579430352</v>
      </c>
      <c r="AI624" s="135">
        <v>0.92</v>
      </c>
      <c r="AJ624" s="133">
        <v>0.966353290450272</v>
      </c>
      <c r="AK624" s="133">
        <v>0.983197311569851</v>
      </c>
      <c r="AL624" s="133">
        <v>0.986604542807222</v>
      </c>
      <c r="AM624" s="133">
        <v>0.988010523137965</v>
      </c>
      <c r="AN624" s="132">
        <v>0.99</v>
      </c>
      <c r="AO624" s="137">
        <v>1</v>
      </c>
      <c r="AP624" s="137">
        <v>1</v>
      </c>
      <c r="AQ624" s="137">
        <v>1</v>
      </c>
      <c r="AR624" s="137">
        <v>1</v>
      </c>
      <c r="AS624" s="158">
        <v>0.05</v>
      </c>
      <c r="AT624" s="141">
        <v>0</v>
      </c>
      <c r="AU624" s="141">
        <v>0.1</v>
      </c>
      <c r="AV624" s="141">
        <v>0.0769230769230769</v>
      </c>
      <c r="AW624" s="141">
        <v>0.0613026819923372</v>
      </c>
      <c r="AX624" s="95"/>
      <c r="AY624" s="93"/>
    </row>
    <row r="625" ht="14.5" spans="1:51">
      <c r="A625" s="91"/>
      <c r="B625" s="95"/>
      <c r="C625" s="152" t="s">
        <v>375</v>
      </c>
      <c r="D625" s="153" t="s">
        <v>25</v>
      </c>
      <c r="E625" s="130" t="s">
        <v>376</v>
      </c>
      <c r="F625" s="154" t="s">
        <v>651</v>
      </c>
      <c r="G625" s="154" t="s">
        <v>651</v>
      </c>
      <c r="H625" s="154" t="s">
        <v>651</v>
      </c>
      <c r="I625" s="154" t="s">
        <v>651</v>
      </c>
      <c r="J625" s="132">
        <v>0.9</v>
      </c>
      <c r="K625" s="133">
        <v>0.727272727272727</v>
      </c>
      <c r="L625" s="133">
        <v>0.728813559322034</v>
      </c>
      <c r="M625" s="134">
        <v>0.888888888888889</v>
      </c>
      <c r="N625" s="133">
        <v>0.829765545361876</v>
      </c>
      <c r="O625" s="135">
        <v>0.9</v>
      </c>
      <c r="P625" s="133">
        <v>0.710124826629681</v>
      </c>
      <c r="Q625" s="133">
        <v>0.957804984696108</v>
      </c>
      <c r="R625" s="133">
        <v>0.978546910755149</v>
      </c>
      <c r="S625" s="133">
        <v>0.963813773706456</v>
      </c>
      <c r="T625" s="135">
        <v>0.9</v>
      </c>
      <c r="U625" s="133">
        <v>0.469486823855756</v>
      </c>
      <c r="V625" s="133">
        <v>0.921512898994316</v>
      </c>
      <c r="W625" s="133">
        <v>0.955949656750572</v>
      </c>
      <c r="X625" s="133">
        <v>0.919378407680342</v>
      </c>
      <c r="Y625" s="135">
        <v>0.92</v>
      </c>
      <c r="Z625" s="135">
        <v>0.220409870347135</v>
      </c>
      <c r="AA625" s="135">
        <v>0.878463329452852</v>
      </c>
      <c r="AB625" s="135">
        <v>0.893150684931507</v>
      </c>
      <c r="AC625" s="135">
        <v>0.859338789638886</v>
      </c>
      <c r="AD625" s="135">
        <v>0.92</v>
      </c>
      <c r="AE625" s="133">
        <v>0.998182595680992</v>
      </c>
      <c r="AF625" s="133">
        <v>0.984936684936685</v>
      </c>
      <c r="AG625" s="133">
        <v>0.995968678456485</v>
      </c>
      <c r="AH625" s="133">
        <v>0.976494458942012</v>
      </c>
      <c r="AI625" s="135">
        <v>0.92</v>
      </c>
      <c r="AJ625" s="133">
        <v>0.360811066894069</v>
      </c>
      <c r="AK625" s="133">
        <v>0.920509640320217</v>
      </c>
      <c r="AL625" s="133">
        <v>0.937300319488818</v>
      </c>
      <c r="AM625" s="133">
        <v>0.90683846894742</v>
      </c>
      <c r="AN625" s="132">
        <v>0.99</v>
      </c>
      <c r="AO625" s="137">
        <v>1</v>
      </c>
      <c r="AP625" s="137">
        <v>1</v>
      </c>
      <c r="AQ625" s="137">
        <v>1</v>
      </c>
      <c r="AR625" s="137">
        <v>1</v>
      </c>
      <c r="AS625" s="158">
        <v>0.05</v>
      </c>
      <c r="AT625" s="141">
        <v>0</v>
      </c>
      <c r="AU625" s="141">
        <v>0.0952380952380952</v>
      </c>
      <c r="AV625" s="141">
        <v>0.0625</v>
      </c>
      <c r="AW625" s="141">
        <v>0.0530503978779841</v>
      </c>
      <c r="AX625" s="95"/>
      <c r="AY625" s="93"/>
    </row>
    <row r="626" ht="14.5" spans="1:51">
      <c r="A626" s="91"/>
      <c r="B626" s="95"/>
      <c r="C626" s="152" t="s">
        <v>375</v>
      </c>
      <c r="D626" s="153" t="s">
        <v>25</v>
      </c>
      <c r="E626" s="130" t="s">
        <v>376</v>
      </c>
      <c r="F626" s="154" t="s">
        <v>652</v>
      </c>
      <c r="G626" s="154" t="s">
        <v>652</v>
      </c>
      <c r="H626" s="154" t="s">
        <v>652</v>
      </c>
      <c r="I626" s="154" t="s">
        <v>652</v>
      </c>
      <c r="J626" s="132">
        <v>0.9</v>
      </c>
      <c r="K626" s="133">
        <v>0.844444444444444</v>
      </c>
      <c r="L626" s="133">
        <v>0.866666666666667</v>
      </c>
      <c r="M626" s="134">
        <v>0.912280701754386</v>
      </c>
      <c r="N626" s="133">
        <v>0.907103825136612</v>
      </c>
      <c r="O626" s="135">
        <v>0.9</v>
      </c>
      <c r="P626" s="133">
        <v>0.977873183619551</v>
      </c>
      <c r="Q626" s="133">
        <v>0.987592008412198</v>
      </c>
      <c r="R626" s="133">
        <v>0.985680812288466</v>
      </c>
      <c r="S626" s="133">
        <v>0.966383245584611</v>
      </c>
      <c r="T626" s="135">
        <v>0.9</v>
      </c>
      <c r="U626" s="133">
        <v>0.850396301188904</v>
      </c>
      <c r="V626" s="133">
        <v>0.879495268138801</v>
      </c>
      <c r="W626" s="133">
        <v>0.938036969539182</v>
      </c>
      <c r="X626" s="133">
        <v>0.898901804074847</v>
      </c>
      <c r="Y626" s="135">
        <v>0.92</v>
      </c>
      <c r="Z626" s="135">
        <v>0.773277222514466</v>
      </c>
      <c r="AA626" s="135">
        <v>0.823464610300193</v>
      </c>
      <c r="AB626" s="135">
        <v>0.916692667706708</v>
      </c>
      <c r="AC626" s="135">
        <v>0.929229382905584</v>
      </c>
      <c r="AD626" s="135">
        <v>0.92</v>
      </c>
      <c r="AE626" s="133">
        <v>0.996608937870897</v>
      </c>
      <c r="AF626" s="133">
        <v>0.997835609379026</v>
      </c>
      <c r="AG626" s="133">
        <v>0.998017799352751</v>
      </c>
      <c r="AH626" s="133">
        <v>0.970138557891334</v>
      </c>
      <c r="AI626" s="135">
        <v>0.92</v>
      </c>
      <c r="AJ626" s="133">
        <v>0.859460555668221</v>
      </c>
      <c r="AK626" s="133">
        <v>0.891511683357177</v>
      </c>
      <c r="AL626" s="133">
        <v>0.952489008651255</v>
      </c>
      <c r="AM626" s="133">
        <v>0.950133009754049</v>
      </c>
      <c r="AN626" s="132">
        <v>0.99</v>
      </c>
      <c r="AO626" s="137">
        <v>1</v>
      </c>
      <c r="AP626" s="137">
        <v>1</v>
      </c>
      <c r="AQ626" s="137">
        <v>1</v>
      </c>
      <c r="AR626" s="137">
        <v>1</v>
      </c>
      <c r="AS626" s="158">
        <v>0.05</v>
      </c>
      <c r="AT626" s="141">
        <v>0.027027027027027</v>
      </c>
      <c r="AU626" s="141">
        <v>0.0196078431372549</v>
      </c>
      <c r="AV626" s="141">
        <v>0.0285714285714286</v>
      </c>
      <c r="AW626" s="141">
        <v>0.0433815350389321</v>
      </c>
      <c r="AX626" s="95"/>
      <c r="AY626" s="93"/>
    </row>
    <row r="627" ht="14.5" spans="1:51">
      <c r="A627" s="91"/>
      <c r="B627" s="95"/>
      <c r="C627" s="152" t="s">
        <v>375</v>
      </c>
      <c r="D627" s="153" t="s">
        <v>25</v>
      </c>
      <c r="E627" s="130" t="s">
        <v>376</v>
      </c>
      <c r="F627" s="154" t="s">
        <v>653</v>
      </c>
      <c r="G627" s="154" t="s">
        <v>653</v>
      </c>
      <c r="H627" s="154" t="s">
        <v>653</v>
      </c>
      <c r="I627" s="154" t="s">
        <v>653</v>
      </c>
      <c r="J627" s="132">
        <v>0.9</v>
      </c>
      <c r="K627" s="133">
        <v>0.973684210526316</v>
      </c>
      <c r="L627" s="133">
        <v>1</v>
      </c>
      <c r="M627" s="134">
        <v>1</v>
      </c>
      <c r="N627" s="133">
        <v>0.977304964539007</v>
      </c>
      <c r="O627" s="135">
        <v>0.9</v>
      </c>
      <c r="P627" s="133">
        <v>0.968059936908517</v>
      </c>
      <c r="Q627" s="133">
        <v>0.973377206102303</v>
      </c>
      <c r="R627" s="133">
        <v>0.968085106382979</v>
      </c>
      <c r="S627" s="133">
        <v>0.97235131018862</v>
      </c>
      <c r="T627" s="135">
        <v>0.9</v>
      </c>
      <c r="U627" s="133">
        <v>0.93217665615142</v>
      </c>
      <c r="V627" s="133">
        <v>0.965001495662579</v>
      </c>
      <c r="W627" s="133">
        <v>0.959346504559271</v>
      </c>
      <c r="X627" s="133">
        <v>0.948178232514547</v>
      </c>
      <c r="Y627" s="135">
        <v>0.92</v>
      </c>
      <c r="Z627" s="135">
        <v>0.947289156626506</v>
      </c>
      <c r="AA627" s="135">
        <v>0.972501676727029</v>
      </c>
      <c r="AB627" s="135">
        <v>0.96078431372549</v>
      </c>
      <c r="AC627" s="135">
        <v>0.973000944966926</v>
      </c>
      <c r="AD627" s="135">
        <v>0.92</v>
      </c>
      <c r="AE627" s="133">
        <v>0.98997995991984</v>
      </c>
      <c r="AF627" s="133">
        <v>0.991596638655462</v>
      </c>
      <c r="AG627" s="133">
        <v>0.993472584856397</v>
      </c>
      <c r="AH627" s="133">
        <v>0.991114083699599</v>
      </c>
      <c r="AI627" s="135">
        <v>0.92</v>
      </c>
      <c r="AJ627" s="133">
        <v>0.968144909431605</v>
      </c>
      <c r="AK627" s="133">
        <v>0.983247156153051</v>
      </c>
      <c r="AL627" s="133">
        <v>0.97847510373444</v>
      </c>
      <c r="AM627" s="133">
        <v>0.98569055658425</v>
      </c>
      <c r="AN627" s="132">
        <v>0.99</v>
      </c>
      <c r="AO627" s="137">
        <v>1</v>
      </c>
      <c r="AP627" s="137">
        <v>1</v>
      </c>
      <c r="AQ627" s="137">
        <v>1</v>
      </c>
      <c r="AR627" s="137">
        <v>1</v>
      </c>
      <c r="AS627" s="158">
        <v>0.05</v>
      </c>
      <c r="AT627" s="141">
        <v>0.0526315789473684</v>
      </c>
      <c r="AU627" s="141">
        <v>0.166666666666667</v>
      </c>
      <c r="AV627" s="141">
        <v>0.0833333333333333</v>
      </c>
      <c r="AW627" s="141">
        <v>0.0622710622710623</v>
      </c>
      <c r="AX627" s="95"/>
      <c r="AY627" s="93"/>
    </row>
    <row r="628" ht="14.5" spans="1:51">
      <c r="A628" s="91"/>
      <c r="B628" s="95"/>
      <c r="C628" s="152" t="s">
        <v>375</v>
      </c>
      <c r="D628" s="153" t="s">
        <v>25</v>
      </c>
      <c r="E628" s="130" t="s">
        <v>376</v>
      </c>
      <c r="F628" s="154" t="s">
        <v>654</v>
      </c>
      <c r="G628" s="154" t="s">
        <v>654</v>
      </c>
      <c r="H628" s="154" t="s">
        <v>654</v>
      </c>
      <c r="I628" s="154" t="s">
        <v>654</v>
      </c>
      <c r="J628" s="132">
        <v>0.9</v>
      </c>
      <c r="K628" s="133">
        <v>0.941860465116279</v>
      </c>
      <c r="L628" s="133">
        <v>0.918604651162791</v>
      </c>
      <c r="M628" s="134">
        <v>0.950980392156863</v>
      </c>
      <c r="N628" s="133">
        <v>0.922711058263971</v>
      </c>
      <c r="O628" s="135">
        <v>0.9</v>
      </c>
      <c r="P628" s="133">
        <v>0.948290241868224</v>
      </c>
      <c r="Q628" s="133">
        <v>0.969094247246022</v>
      </c>
      <c r="R628" s="133">
        <v>0.950396076952094</v>
      </c>
      <c r="S628" s="133">
        <v>0.952122988267567</v>
      </c>
      <c r="T628" s="135">
        <v>0.9</v>
      </c>
      <c r="U628" s="133">
        <v>0.762301918265221</v>
      </c>
      <c r="V628" s="133">
        <v>0.747399020807833</v>
      </c>
      <c r="W628" s="133">
        <v>0.85081101471143</v>
      </c>
      <c r="X628" s="133">
        <v>0.755483851869394</v>
      </c>
      <c r="Y628" s="135">
        <v>0.92</v>
      </c>
      <c r="Z628" s="135">
        <v>0.885877318116976</v>
      </c>
      <c r="AA628" s="135">
        <v>0.913086913086913</v>
      </c>
      <c r="AB628" s="135">
        <v>0.959226565783943</v>
      </c>
      <c r="AC628" s="135">
        <v>0.940362811791383</v>
      </c>
      <c r="AD628" s="135">
        <v>0.92</v>
      </c>
      <c r="AE628" s="133">
        <v>0.999275887038378</v>
      </c>
      <c r="AF628" s="133">
        <v>0.994902293967715</v>
      </c>
      <c r="AG628" s="133">
        <v>0.997814685314685</v>
      </c>
      <c r="AH628" s="133">
        <v>0.998046528147754</v>
      </c>
      <c r="AI628" s="135">
        <v>0.92</v>
      </c>
      <c r="AJ628" s="133">
        <v>0.933204259438529</v>
      </c>
      <c r="AK628" s="133">
        <v>0.95083857442348</v>
      </c>
      <c r="AL628" s="133">
        <v>0.977870346263994</v>
      </c>
      <c r="AM628" s="133">
        <v>0.967205676099332</v>
      </c>
      <c r="AN628" s="132">
        <v>0.99</v>
      </c>
      <c r="AO628" s="137">
        <v>1</v>
      </c>
      <c r="AP628" s="137">
        <v>1</v>
      </c>
      <c r="AQ628" s="137">
        <v>1</v>
      </c>
      <c r="AR628" s="137">
        <v>1</v>
      </c>
      <c r="AS628" s="158">
        <v>0.05</v>
      </c>
      <c r="AT628" s="141">
        <v>0.142857142857143</v>
      </c>
      <c r="AU628" s="141">
        <v>0.0606060606060606</v>
      </c>
      <c r="AV628" s="141">
        <v>0.172413793103448</v>
      </c>
      <c r="AW628" s="141">
        <v>0.110070257611241</v>
      </c>
      <c r="AX628" s="95"/>
      <c r="AY628" s="93"/>
    </row>
    <row r="629" ht="14.5" spans="1:51">
      <c r="A629" s="91"/>
      <c r="B629" s="95"/>
      <c r="C629" s="152" t="s">
        <v>375</v>
      </c>
      <c r="D629" s="153" t="s">
        <v>25</v>
      </c>
      <c r="E629" s="130" t="s">
        <v>376</v>
      </c>
      <c r="F629" s="154" t="s">
        <v>655</v>
      </c>
      <c r="G629" s="154" t="s">
        <v>655</v>
      </c>
      <c r="H629" s="154" t="s">
        <v>655</v>
      </c>
      <c r="I629" s="154" t="s">
        <v>655</v>
      </c>
      <c r="J629" s="132">
        <v>0.9</v>
      </c>
      <c r="K629" s="133">
        <v>0.802816901408451</v>
      </c>
      <c r="L629" s="133">
        <v>0.875</v>
      </c>
      <c r="M629" s="134">
        <v>0.853333333333333</v>
      </c>
      <c r="N629" s="133">
        <v>0.796946564885496</v>
      </c>
      <c r="O629" s="135">
        <v>0.9</v>
      </c>
      <c r="P629" s="133">
        <v>0.913895781637717</v>
      </c>
      <c r="Q629" s="133">
        <v>0.910676225537686</v>
      </c>
      <c r="R629" s="133">
        <v>0.922613531047266</v>
      </c>
      <c r="S629" s="133">
        <v>0.924572308328642</v>
      </c>
      <c r="T629" s="135">
        <v>0.9</v>
      </c>
      <c r="U629" s="133">
        <v>0.627791563275434</v>
      </c>
      <c r="V629" s="133">
        <v>0.612478201898857</v>
      </c>
      <c r="W629" s="133">
        <v>0.674467099165894</v>
      </c>
      <c r="X629" s="133">
        <v>0.607661109643025</v>
      </c>
      <c r="Y629" s="135">
        <v>0.92</v>
      </c>
      <c r="Z629" s="135">
        <v>0.776747503566334</v>
      </c>
      <c r="AA629" s="135">
        <v>0.841803865425913</v>
      </c>
      <c r="AB629" s="135">
        <v>0.88500663423264</v>
      </c>
      <c r="AC629" s="135">
        <v>0.859465765165222</v>
      </c>
      <c r="AD629" s="135">
        <v>0.92</v>
      </c>
      <c r="AE629" s="133">
        <v>0.999725651577503</v>
      </c>
      <c r="AF629" s="133">
        <v>0.998116760828625</v>
      </c>
      <c r="AG629" s="133">
        <v>0.999366888255777</v>
      </c>
      <c r="AH629" s="133">
        <v>0.980164670658683</v>
      </c>
      <c r="AI629" s="135">
        <v>0.92</v>
      </c>
      <c r="AJ629" s="133">
        <v>0.860114117430517</v>
      </c>
      <c r="AK629" s="133">
        <v>0.875942684766214</v>
      </c>
      <c r="AL629" s="133">
        <v>0.920644572818486</v>
      </c>
      <c r="AM629" s="133">
        <v>0.909169101067003</v>
      </c>
      <c r="AN629" s="132">
        <v>0.99</v>
      </c>
      <c r="AO629" s="137">
        <v>1</v>
      </c>
      <c r="AP629" s="137">
        <v>1</v>
      </c>
      <c r="AQ629" s="137">
        <v>1</v>
      </c>
      <c r="AR629" s="137">
        <v>1</v>
      </c>
      <c r="AS629" s="158">
        <v>0.05</v>
      </c>
      <c r="AT629" s="141">
        <v>0.075</v>
      </c>
      <c r="AU629" s="141">
        <v>0.111111111111111</v>
      </c>
      <c r="AV629" s="141">
        <v>0.111111111111111</v>
      </c>
      <c r="AW629" s="141">
        <v>0.0498974709501025</v>
      </c>
      <c r="AX629" s="95"/>
      <c r="AY629" s="93"/>
    </row>
    <row r="630" ht="14.5" spans="1:51">
      <c r="A630" s="91"/>
      <c r="B630" s="95"/>
      <c r="C630" s="152" t="s">
        <v>375</v>
      </c>
      <c r="D630" s="153" t="s">
        <v>25</v>
      </c>
      <c r="E630" s="130" t="s">
        <v>376</v>
      </c>
      <c r="F630" s="154" t="s">
        <v>656</v>
      </c>
      <c r="G630" s="154" t="s">
        <v>656</v>
      </c>
      <c r="H630" s="154" t="s">
        <v>656</v>
      </c>
      <c r="I630" s="154" t="s">
        <v>656</v>
      </c>
      <c r="J630" s="132">
        <v>0.9</v>
      </c>
      <c r="K630" s="133">
        <v>0.887096774193548</v>
      </c>
      <c r="L630" s="133">
        <v>0.892307692307692</v>
      </c>
      <c r="M630" s="134">
        <v>0.880597014925373</v>
      </c>
      <c r="N630" s="133">
        <v>0.850970017636684</v>
      </c>
      <c r="O630" s="135">
        <v>0.9</v>
      </c>
      <c r="P630" s="133">
        <v>0.970653202903124</v>
      </c>
      <c r="Q630" s="133">
        <v>0.961317694035438</v>
      </c>
      <c r="R630" s="133">
        <v>0.971547125074096</v>
      </c>
      <c r="S630" s="133">
        <v>0.943609131049609</v>
      </c>
      <c r="T630" s="135">
        <v>0.9</v>
      </c>
      <c r="U630" s="133">
        <v>0.734616598295992</v>
      </c>
      <c r="V630" s="133">
        <v>0.744696780633891</v>
      </c>
      <c r="W630" s="133">
        <v>0.81416716064019</v>
      </c>
      <c r="X630" s="133">
        <v>0.754465960578338</v>
      </c>
      <c r="Y630" s="135">
        <v>0.92</v>
      </c>
      <c r="Z630" s="135">
        <v>0.839960238568588</v>
      </c>
      <c r="AA630" s="135">
        <v>0.879843273835437</v>
      </c>
      <c r="AB630" s="135">
        <v>0.930539609644087</v>
      </c>
      <c r="AC630" s="135">
        <v>0.920134536003669</v>
      </c>
      <c r="AD630" s="135">
        <v>0.92</v>
      </c>
      <c r="AE630" s="133">
        <v>0.9921875</v>
      </c>
      <c r="AF630" s="133">
        <v>0.997720797720798</v>
      </c>
      <c r="AG630" s="133">
        <v>0.995520114685064</v>
      </c>
      <c r="AH630" s="133">
        <v>0.982769874853696</v>
      </c>
      <c r="AI630" s="135">
        <v>0.92</v>
      </c>
      <c r="AJ630" s="133">
        <v>0.897988505747126</v>
      </c>
      <c r="AK630" s="133">
        <v>0.917710480418582</v>
      </c>
      <c r="AL630" s="133">
        <v>0.956020328381548</v>
      </c>
      <c r="AM630" s="133">
        <v>0.951009888182201</v>
      </c>
      <c r="AN630" s="132">
        <v>0.99</v>
      </c>
      <c r="AO630" s="137">
        <v>1</v>
      </c>
      <c r="AP630" s="137">
        <v>1</v>
      </c>
      <c r="AQ630" s="137">
        <v>1</v>
      </c>
      <c r="AR630" s="137">
        <v>1</v>
      </c>
      <c r="AS630" s="158">
        <v>0.05</v>
      </c>
      <c r="AT630" s="141">
        <v>0.121951219512195</v>
      </c>
      <c r="AU630" s="141">
        <v>0.294117647058824</v>
      </c>
      <c r="AV630" s="141">
        <v>0.342857142857143</v>
      </c>
      <c r="AW630" s="141">
        <v>0.154850746268657</v>
      </c>
      <c r="AX630" s="95"/>
      <c r="AY630" s="93"/>
    </row>
    <row r="631" ht="14.5" spans="1:51">
      <c r="A631" s="91"/>
      <c r="B631" s="95"/>
      <c r="C631" s="152" t="s">
        <v>375</v>
      </c>
      <c r="D631" s="153" t="s">
        <v>25</v>
      </c>
      <c r="E631" s="130" t="s">
        <v>376</v>
      </c>
      <c r="F631" s="154" t="s">
        <v>657</v>
      </c>
      <c r="G631" s="154" t="s">
        <v>657</v>
      </c>
      <c r="H631" s="154" t="s">
        <v>657</v>
      </c>
      <c r="I631" s="154" t="s">
        <v>657</v>
      </c>
      <c r="J631" s="132">
        <v>0.9</v>
      </c>
      <c r="K631" s="133">
        <v>0.824324324324324</v>
      </c>
      <c r="L631" s="133">
        <v>0.917808219178082</v>
      </c>
      <c r="M631" s="134">
        <v>0.945945945945946</v>
      </c>
      <c r="N631" s="133">
        <v>0.92378752886836</v>
      </c>
      <c r="O631" s="135">
        <v>0.9</v>
      </c>
      <c r="P631" s="133">
        <v>0.976200080677693</v>
      </c>
      <c r="Q631" s="133">
        <v>0.946758580228806</v>
      </c>
      <c r="R631" s="133">
        <v>0.969484457922669</v>
      </c>
      <c r="S631" s="133">
        <v>0.89593903676528</v>
      </c>
      <c r="T631" s="135">
        <v>0.9</v>
      </c>
      <c r="U631" s="133">
        <v>0.885841064945543</v>
      </c>
      <c r="V631" s="133">
        <v>0.821648577295395</v>
      </c>
      <c r="W631" s="133">
        <v>0.908642911296437</v>
      </c>
      <c r="X631" s="133">
        <v>0.847943173834986</v>
      </c>
      <c r="Y631" s="135">
        <v>0.92</v>
      </c>
      <c r="Z631" s="135">
        <v>0.924180327868853</v>
      </c>
      <c r="AA631" s="135">
        <v>0.92807570977918</v>
      </c>
      <c r="AB631" s="135">
        <v>0.953784860557769</v>
      </c>
      <c r="AC631" s="135">
        <v>0.942279942279942</v>
      </c>
      <c r="AD631" s="135">
        <v>0.92</v>
      </c>
      <c r="AE631" s="133">
        <v>0.999397953040337</v>
      </c>
      <c r="AF631" s="133">
        <v>0.98109640831758</v>
      </c>
      <c r="AG631" s="133">
        <v>0.992143168921868</v>
      </c>
      <c r="AH631" s="133">
        <v>0.993474312802044</v>
      </c>
      <c r="AI631" s="135">
        <v>0.92</v>
      </c>
      <c r="AJ631" s="133">
        <v>0.961382746807848</v>
      </c>
      <c r="AK631" s="133">
        <v>0.959459459459459</v>
      </c>
      <c r="AL631" s="133">
        <v>0.973177618069815</v>
      </c>
      <c r="AM631" s="133">
        <v>0.97072141081946</v>
      </c>
      <c r="AN631" s="132">
        <v>0.99</v>
      </c>
      <c r="AO631" s="137">
        <v>1</v>
      </c>
      <c r="AP631" s="137">
        <v>1</v>
      </c>
      <c r="AQ631" s="137">
        <v>1</v>
      </c>
      <c r="AR631" s="137">
        <v>1</v>
      </c>
      <c r="AS631" s="158">
        <v>0.05</v>
      </c>
      <c r="AT631" s="141">
        <v>0.108108108108108</v>
      </c>
      <c r="AU631" s="141">
        <v>0.0645161290322581</v>
      </c>
      <c r="AV631" s="141">
        <v>0.0645161290322581</v>
      </c>
      <c r="AW631" s="141">
        <v>0.0671936758893281</v>
      </c>
      <c r="AX631" s="95"/>
      <c r="AY631" s="93"/>
    </row>
    <row r="632" ht="14.5" spans="1:51">
      <c r="A632" s="91"/>
      <c r="B632" s="95"/>
      <c r="C632" s="152" t="s">
        <v>375</v>
      </c>
      <c r="D632" s="153" t="s">
        <v>25</v>
      </c>
      <c r="E632" s="130" t="s">
        <v>376</v>
      </c>
      <c r="F632" s="154" t="s">
        <v>658</v>
      </c>
      <c r="G632" s="154" t="s">
        <v>658</v>
      </c>
      <c r="H632" s="154" t="s">
        <v>658</v>
      </c>
      <c r="I632" s="154" t="s">
        <v>658</v>
      </c>
      <c r="J632" s="132">
        <v>0.9</v>
      </c>
      <c r="K632" s="133">
        <v>0.972222222222222</v>
      </c>
      <c r="L632" s="133">
        <v>0.944444444444444</v>
      </c>
      <c r="M632" s="134">
        <v>0.95</v>
      </c>
      <c r="N632" s="133">
        <v>0.983257229832572</v>
      </c>
      <c r="O632" s="135">
        <v>0.9</v>
      </c>
      <c r="P632" s="133">
        <v>0.98643592142189</v>
      </c>
      <c r="Q632" s="133">
        <v>0.994795055302537</v>
      </c>
      <c r="R632" s="133">
        <v>0.989200863930886</v>
      </c>
      <c r="S632" s="133">
        <v>0.99043252940004</v>
      </c>
      <c r="T632" s="135">
        <v>0.9</v>
      </c>
      <c r="U632" s="133">
        <v>0.934985968194574</v>
      </c>
      <c r="V632" s="133">
        <v>0.931034482758621</v>
      </c>
      <c r="W632" s="133">
        <v>0.950755939524838</v>
      </c>
      <c r="X632" s="133">
        <v>0.956326268464997</v>
      </c>
      <c r="Y632" s="135">
        <v>0.92</v>
      </c>
      <c r="Z632" s="135">
        <v>0.95578231292517</v>
      </c>
      <c r="AA632" s="135">
        <v>0.96671490593343</v>
      </c>
      <c r="AB632" s="135">
        <v>0.96228150873965</v>
      </c>
      <c r="AC632" s="135">
        <v>0.971641549181656</v>
      </c>
      <c r="AD632" s="135">
        <v>0.92</v>
      </c>
      <c r="AE632" s="133">
        <v>1</v>
      </c>
      <c r="AF632" s="133">
        <v>0.975903614457831</v>
      </c>
      <c r="AG632" s="133">
        <v>0.992063492063492</v>
      </c>
      <c r="AH632" s="133">
        <v>0.985104669887279</v>
      </c>
      <c r="AI632" s="135">
        <v>0.92</v>
      </c>
      <c r="AJ632" s="133">
        <v>0.975797579757976</v>
      </c>
      <c r="AK632" s="133">
        <v>0.98138178555406</v>
      </c>
      <c r="AL632" s="133">
        <v>0.981481481481482</v>
      </c>
      <c r="AM632" s="133">
        <v>0.985472649317607</v>
      </c>
      <c r="AN632" s="132">
        <v>0.99</v>
      </c>
      <c r="AO632" s="137">
        <v>1</v>
      </c>
      <c r="AP632" s="137">
        <v>1</v>
      </c>
      <c r="AQ632" s="137">
        <v>1</v>
      </c>
      <c r="AR632" s="137">
        <v>1</v>
      </c>
      <c r="AS632" s="158">
        <v>0.05</v>
      </c>
      <c r="AT632" s="141">
        <v>0.142857142857143</v>
      </c>
      <c r="AU632" s="141">
        <v>0.0909090909090909</v>
      </c>
      <c r="AV632" s="141">
        <v>0.2</v>
      </c>
      <c r="AW632" s="141">
        <v>0.0828402366863905</v>
      </c>
      <c r="AX632" s="95"/>
      <c r="AY632" s="93"/>
    </row>
    <row r="633" ht="14.5" spans="1:51">
      <c r="A633" s="91"/>
      <c r="B633" s="95"/>
      <c r="C633" s="152" t="s">
        <v>375</v>
      </c>
      <c r="D633" s="153" t="s">
        <v>25</v>
      </c>
      <c r="E633" s="130" t="s">
        <v>376</v>
      </c>
      <c r="F633" s="154" t="s">
        <v>659</v>
      </c>
      <c r="G633" s="154" t="s">
        <v>659</v>
      </c>
      <c r="H633" s="154" t="s">
        <v>659</v>
      </c>
      <c r="I633" s="154" t="s">
        <v>659</v>
      </c>
      <c r="J633" s="132">
        <v>0.9</v>
      </c>
      <c r="K633" s="133">
        <v>0.666666666666667</v>
      </c>
      <c r="L633" s="133">
        <v>0.744186046511628</v>
      </c>
      <c r="M633" s="134">
        <v>0.778947368421053</v>
      </c>
      <c r="N633" s="133">
        <v>0.757324840764331</v>
      </c>
      <c r="O633" s="135">
        <v>0.9</v>
      </c>
      <c r="P633" s="133">
        <v>0.97924427887174</v>
      </c>
      <c r="Q633" s="133">
        <v>0.989751098096633</v>
      </c>
      <c r="R633" s="133">
        <v>0.977781575799009</v>
      </c>
      <c r="S633" s="133">
        <v>0.968856744510282</v>
      </c>
      <c r="T633" s="135">
        <v>0.9</v>
      </c>
      <c r="U633" s="133">
        <v>0.69877594465141</v>
      </c>
      <c r="V633" s="133">
        <v>0.689471582590177</v>
      </c>
      <c r="W633" s="133">
        <v>0.773372073149889</v>
      </c>
      <c r="X633" s="133">
        <v>0.696566747995817</v>
      </c>
      <c r="Y633" s="135">
        <v>0.92</v>
      </c>
      <c r="Z633" s="135">
        <v>0.809063444108761</v>
      </c>
      <c r="AA633" s="135">
        <v>0.868459092223186</v>
      </c>
      <c r="AB633" s="135">
        <v>0.917568983583653</v>
      </c>
      <c r="AC633" s="135">
        <v>0.893436638000974</v>
      </c>
      <c r="AD633" s="135">
        <v>0.92</v>
      </c>
      <c r="AE633" s="133">
        <v>0.998091603053435</v>
      </c>
      <c r="AF633" s="133">
        <v>0.929889298892989</v>
      </c>
      <c r="AG633" s="133">
        <v>0.994029850746269</v>
      </c>
      <c r="AH633" s="133">
        <v>0.993006527241241</v>
      </c>
      <c r="AI633" s="135">
        <v>0.92</v>
      </c>
      <c r="AJ633" s="133">
        <v>0.91417603509734</v>
      </c>
      <c r="AK633" s="133">
        <v>0.940125763237036</v>
      </c>
      <c r="AL633" s="133">
        <v>0.960867569428506</v>
      </c>
      <c r="AM633" s="133">
        <v>0.953108525667201</v>
      </c>
      <c r="AN633" s="132">
        <v>0.99</v>
      </c>
      <c r="AO633" s="137">
        <v>1</v>
      </c>
      <c r="AP633" s="137">
        <v>1</v>
      </c>
      <c r="AQ633" s="137">
        <v>1</v>
      </c>
      <c r="AR633" s="137">
        <v>1</v>
      </c>
      <c r="AS633" s="158">
        <v>0.05</v>
      </c>
      <c r="AT633" s="141">
        <v>0.12</v>
      </c>
      <c r="AU633" s="141">
        <v>0.19047619047619</v>
      </c>
      <c r="AV633" s="141">
        <v>0.121212121212121</v>
      </c>
      <c r="AW633" s="141">
        <v>0.102119460500963</v>
      </c>
      <c r="AX633" s="95"/>
      <c r="AY633" s="93"/>
    </row>
    <row r="634" ht="14.5" spans="1:51">
      <c r="A634" s="91"/>
      <c r="B634" s="95"/>
      <c r="C634" s="152" t="s">
        <v>375</v>
      </c>
      <c r="D634" s="153" t="s">
        <v>25</v>
      </c>
      <c r="E634" s="130" t="s">
        <v>376</v>
      </c>
      <c r="F634" s="154" t="s">
        <v>660</v>
      </c>
      <c r="G634" s="154" t="s">
        <v>660</v>
      </c>
      <c r="H634" s="154" t="s">
        <v>660</v>
      </c>
      <c r="I634" s="154" t="s">
        <v>660</v>
      </c>
      <c r="J634" s="132">
        <v>0.9</v>
      </c>
      <c r="K634" s="133">
        <v>0.833333333333333</v>
      </c>
      <c r="L634" s="133">
        <v>0.75</v>
      </c>
      <c r="M634" s="134">
        <v>0.711111111111111</v>
      </c>
      <c r="N634" s="133">
        <v>0.748998664886515</v>
      </c>
      <c r="O634" s="135">
        <v>0.9</v>
      </c>
      <c r="P634" s="133">
        <v>0.947313328681089</v>
      </c>
      <c r="Q634" s="133">
        <v>0.991745643534087</v>
      </c>
      <c r="R634" s="133">
        <v>0.980438184663537</v>
      </c>
      <c r="S634" s="133">
        <v>0.931519681505045</v>
      </c>
      <c r="T634" s="135">
        <v>0.9</v>
      </c>
      <c r="U634" s="133">
        <v>0.399511514305652</v>
      </c>
      <c r="V634" s="133">
        <v>0.394986242739224</v>
      </c>
      <c r="W634" s="133">
        <v>0.662754303599374</v>
      </c>
      <c r="X634" s="133">
        <v>0.5270193790129</v>
      </c>
      <c r="Y634" s="135">
        <v>0.92</v>
      </c>
      <c r="Z634" s="135">
        <v>0.458970792767733</v>
      </c>
      <c r="AA634" s="135">
        <v>0.802336903602726</v>
      </c>
      <c r="AB634" s="135">
        <v>0.940019665683382</v>
      </c>
      <c r="AC634" s="135">
        <v>0.870766248451887</v>
      </c>
      <c r="AD634" s="135">
        <v>0.92</v>
      </c>
      <c r="AE634" s="133">
        <v>1</v>
      </c>
      <c r="AF634" s="133">
        <v>1</v>
      </c>
      <c r="AG634" s="133">
        <v>1</v>
      </c>
      <c r="AH634" s="133">
        <v>0.994666872777864</v>
      </c>
      <c r="AI634" s="135">
        <v>0.92</v>
      </c>
      <c r="AJ634" s="133">
        <v>0.668898186889819</v>
      </c>
      <c r="AK634" s="133">
        <v>0.783720930232558</v>
      </c>
      <c r="AL634" s="133">
        <v>0.929750909599776</v>
      </c>
      <c r="AM634" s="133">
        <v>0.901712829032166</v>
      </c>
      <c r="AN634" s="132">
        <v>0.99</v>
      </c>
      <c r="AO634" s="137">
        <v>1</v>
      </c>
      <c r="AP634" s="137">
        <v>1</v>
      </c>
      <c r="AQ634" s="137">
        <v>1</v>
      </c>
      <c r="AR634" s="137">
        <v>1</v>
      </c>
      <c r="AS634" s="158">
        <v>0.05</v>
      </c>
      <c r="AT634" s="141">
        <v>0</v>
      </c>
      <c r="AU634" s="141">
        <v>0</v>
      </c>
      <c r="AV634" s="141">
        <v>0.181818181818182</v>
      </c>
      <c r="AW634" s="141">
        <v>0.105072463768116</v>
      </c>
      <c r="AX634" s="95"/>
      <c r="AY634" s="93"/>
    </row>
    <row r="635" ht="14.5" spans="1:51">
      <c r="A635" s="91"/>
      <c r="B635" s="95"/>
      <c r="C635" s="152" t="s">
        <v>375</v>
      </c>
      <c r="D635" s="153" t="s">
        <v>25</v>
      </c>
      <c r="E635" s="130" t="s">
        <v>376</v>
      </c>
      <c r="F635" s="154" t="s">
        <v>661</v>
      </c>
      <c r="G635" s="154" t="s">
        <v>661</v>
      </c>
      <c r="H635" s="154" t="s">
        <v>661</v>
      </c>
      <c r="I635" s="154" t="s">
        <v>661</v>
      </c>
      <c r="J635" s="132">
        <v>0.9</v>
      </c>
      <c r="K635" s="133">
        <v>0.867647058823529</v>
      </c>
      <c r="L635" s="133">
        <v>0.928571428571429</v>
      </c>
      <c r="M635" s="134">
        <v>0.91304347826087</v>
      </c>
      <c r="N635" s="133">
        <v>0.912605042016807</v>
      </c>
      <c r="O635" s="135">
        <v>0.9</v>
      </c>
      <c r="P635" s="133">
        <v>0.971255950201391</v>
      </c>
      <c r="Q635" s="133">
        <v>0.986283754822117</v>
      </c>
      <c r="R635" s="133">
        <v>0.971150171952618</v>
      </c>
      <c r="S635" s="133">
        <v>0.953210091505205</v>
      </c>
      <c r="T635" s="135">
        <v>0.9</v>
      </c>
      <c r="U635" s="133">
        <v>0.87422189674112</v>
      </c>
      <c r="V635" s="133">
        <v>0.900128589798543</v>
      </c>
      <c r="W635" s="133">
        <v>0.913068398930073</v>
      </c>
      <c r="X635" s="133">
        <v>0.891573741340348</v>
      </c>
      <c r="Y635" s="135">
        <v>0.92</v>
      </c>
      <c r="Z635" s="135">
        <v>0.858250276854928</v>
      </c>
      <c r="AA635" s="135">
        <v>0.761182317551661</v>
      </c>
      <c r="AB635" s="135">
        <v>0.822139723253459</v>
      </c>
      <c r="AC635" s="135">
        <v>0.789808165272996</v>
      </c>
      <c r="AD635" s="135">
        <v>0.92</v>
      </c>
      <c r="AE635" s="133">
        <v>0.996819743035237</v>
      </c>
      <c r="AF635" s="133">
        <v>0.993119910137602</v>
      </c>
      <c r="AG635" s="133">
        <v>0.979267231146633</v>
      </c>
      <c r="AH635" s="133">
        <v>0.986829250477069</v>
      </c>
      <c r="AI635" s="135">
        <v>0.92</v>
      </c>
      <c r="AJ635" s="133">
        <v>0.907753643112455</v>
      </c>
      <c r="AK635" s="133">
        <v>0.883890633659708</v>
      </c>
      <c r="AL635" s="133">
        <v>0.909889037922205</v>
      </c>
      <c r="AM635" s="133">
        <v>0.891775682107198</v>
      </c>
      <c r="AN635" s="132">
        <v>0.99</v>
      </c>
      <c r="AO635" s="137">
        <v>1</v>
      </c>
      <c r="AP635" s="137">
        <v>1</v>
      </c>
      <c r="AQ635" s="137">
        <v>1</v>
      </c>
      <c r="AR635" s="137">
        <v>1</v>
      </c>
      <c r="AS635" s="158">
        <v>0.05</v>
      </c>
      <c r="AT635" s="141">
        <v>0.00269541778975741</v>
      </c>
      <c r="AU635" s="141">
        <v>0.0043859649122807</v>
      </c>
      <c r="AV635" s="141">
        <v>0.0149625935162095</v>
      </c>
      <c r="AW635" s="141">
        <v>0.00744846700155898</v>
      </c>
      <c r="AX635" s="95"/>
      <c r="AY635" s="93"/>
    </row>
    <row r="636" ht="14.5" spans="1:51">
      <c r="A636" s="91"/>
      <c r="B636" s="95"/>
      <c r="C636" s="152" t="s">
        <v>375</v>
      </c>
      <c r="D636" s="153" t="s">
        <v>25</v>
      </c>
      <c r="E636" s="130" t="s">
        <v>376</v>
      </c>
      <c r="F636" s="154" t="s">
        <v>662</v>
      </c>
      <c r="G636" s="154" t="s">
        <v>662</v>
      </c>
      <c r="H636" s="154" t="s">
        <v>662</v>
      </c>
      <c r="I636" s="154" t="s">
        <v>662</v>
      </c>
      <c r="J636" s="132">
        <v>0.9</v>
      </c>
      <c r="K636" s="133">
        <v>0.879518072289157</v>
      </c>
      <c r="L636" s="133">
        <v>0.931818181818182</v>
      </c>
      <c r="M636" s="134">
        <v>0.952941176470588</v>
      </c>
      <c r="N636" s="133">
        <v>0.925877763328999</v>
      </c>
      <c r="O636" s="135">
        <v>0.9</v>
      </c>
      <c r="P636" s="133">
        <v>0.988540296825099</v>
      </c>
      <c r="Q636" s="133">
        <v>0.992154583757083</v>
      </c>
      <c r="R636" s="133">
        <v>0.980618028890108</v>
      </c>
      <c r="S636" s="133">
        <v>0.97532662468581</v>
      </c>
      <c r="T636" s="135">
        <v>0.9</v>
      </c>
      <c r="U636" s="133">
        <v>0.834867555889536</v>
      </c>
      <c r="V636" s="133">
        <v>0.843236960627633</v>
      </c>
      <c r="W636" s="133">
        <v>0.894130554031816</v>
      </c>
      <c r="X636" s="133">
        <v>0.893295201215017</v>
      </c>
      <c r="Y636" s="135">
        <v>0.92</v>
      </c>
      <c r="Z636" s="135">
        <v>0.740471869328494</v>
      </c>
      <c r="AA636" s="135">
        <v>0.751342642320086</v>
      </c>
      <c r="AB636" s="135">
        <v>0.841258980499487</v>
      </c>
      <c r="AC636" s="135">
        <v>0.837235483809415</v>
      </c>
      <c r="AD636" s="135">
        <v>0.92</v>
      </c>
      <c r="AE636" s="133">
        <v>0.995847750865052</v>
      </c>
      <c r="AF636" s="133">
        <v>0.996879875195008</v>
      </c>
      <c r="AG636" s="133">
        <v>0.998594095199839</v>
      </c>
      <c r="AH636" s="133">
        <v>0.998718256829288</v>
      </c>
      <c r="AI636" s="135">
        <v>0.92</v>
      </c>
      <c r="AJ636" s="133">
        <v>0.873441307152071</v>
      </c>
      <c r="AK636" s="133">
        <v>0.86769694685262</v>
      </c>
      <c r="AL636" s="133">
        <v>0.907683144729005</v>
      </c>
      <c r="AM636" s="133">
        <v>0.918890423907511</v>
      </c>
      <c r="AN636" s="132">
        <v>0.99</v>
      </c>
      <c r="AO636" s="137">
        <v>1</v>
      </c>
      <c r="AP636" s="137">
        <v>1</v>
      </c>
      <c r="AQ636" s="137">
        <v>1</v>
      </c>
      <c r="AR636" s="137">
        <v>1</v>
      </c>
      <c r="AS636" s="158">
        <v>0.05</v>
      </c>
      <c r="AT636" s="141">
        <v>0.120689655172414</v>
      </c>
      <c r="AU636" s="141">
        <v>0.101449275362319</v>
      </c>
      <c r="AV636" s="141">
        <v>0.174603174603175</v>
      </c>
      <c r="AW636" s="141">
        <v>0.0562103354487761</v>
      </c>
      <c r="AX636" s="95"/>
      <c r="AY636" s="93"/>
    </row>
    <row r="637" ht="14.5" spans="1:51">
      <c r="A637" s="91"/>
      <c r="B637" s="95"/>
      <c r="C637" s="152" t="s">
        <v>375</v>
      </c>
      <c r="D637" s="153" t="s">
        <v>25</v>
      </c>
      <c r="E637" s="130" t="s">
        <v>376</v>
      </c>
      <c r="F637" s="154" t="s">
        <v>663</v>
      </c>
      <c r="G637" s="154" t="s">
        <v>663</v>
      </c>
      <c r="H637" s="154" t="s">
        <v>663</v>
      </c>
      <c r="I637" s="154" t="s">
        <v>663</v>
      </c>
      <c r="J637" s="132">
        <v>0.9</v>
      </c>
      <c r="K637" s="133">
        <v>0.780821917808219</v>
      </c>
      <c r="L637" s="133">
        <v>0.802816901408451</v>
      </c>
      <c r="M637" s="134">
        <v>0.82051282051282</v>
      </c>
      <c r="N637" s="133">
        <v>0.81103552532124</v>
      </c>
      <c r="O637" s="135">
        <v>0.9</v>
      </c>
      <c r="P637" s="133">
        <v>0.974793989335919</v>
      </c>
      <c r="Q637" s="133">
        <v>0.816027740319784</v>
      </c>
      <c r="R637" s="133">
        <v>0.914553990610329</v>
      </c>
      <c r="S637" s="133">
        <v>0.893824075559937</v>
      </c>
      <c r="T637" s="135">
        <v>0.9</v>
      </c>
      <c r="U637" s="133">
        <v>0.55865244789142</v>
      </c>
      <c r="V637" s="133">
        <v>0.544211134656136</v>
      </c>
      <c r="W637" s="133">
        <v>0.71830985915493</v>
      </c>
      <c r="X637" s="133">
        <v>0.593246372160198</v>
      </c>
      <c r="Y637" s="135">
        <v>0.92</v>
      </c>
      <c r="Z637" s="135">
        <v>0.769817073170732</v>
      </c>
      <c r="AA637" s="135">
        <v>0.771468629512794</v>
      </c>
      <c r="AB637" s="135">
        <v>0.905249110320285</v>
      </c>
      <c r="AC637" s="135">
        <v>0.860335462876558</v>
      </c>
      <c r="AD637" s="135">
        <v>0.92</v>
      </c>
      <c r="AE637" s="133">
        <v>0.996954314720812</v>
      </c>
      <c r="AF637" s="133">
        <v>0.989439480097482</v>
      </c>
      <c r="AG637" s="133">
        <v>0.998608695652174</v>
      </c>
      <c r="AH637" s="133">
        <v>0.971796876970813</v>
      </c>
      <c r="AI637" s="135">
        <v>0.92</v>
      </c>
      <c r="AJ637" s="133">
        <v>0.847030704173561</v>
      </c>
      <c r="AK637" s="133">
        <v>0.854373757455268</v>
      </c>
      <c r="AL637" s="133">
        <v>0.94701274765781</v>
      </c>
      <c r="AM637" s="133">
        <v>0.919405945196353</v>
      </c>
      <c r="AN637" s="132">
        <v>0.99</v>
      </c>
      <c r="AO637" s="137">
        <v>1</v>
      </c>
      <c r="AP637" s="137">
        <v>1</v>
      </c>
      <c r="AQ637" s="137">
        <v>1</v>
      </c>
      <c r="AR637" s="137">
        <v>1</v>
      </c>
      <c r="AS637" s="158">
        <v>0.05</v>
      </c>
      <c r="AT637" s="141">
        <v>0.13768115942029</v>
      </c>
      <c r="AU637" s="141">
        <v>0.00892857142857143</v>
      </c>
      <c r="AV637" s="141">
        <v>0.0921052631578947</v>
      </c>
      <c r="AW637" s="141">
        <v>0.0300588782150604</v>
      </c>
      <c r="AX637" s="95"/>
      <c r="AY637" s="93"/>
    </row>
    <row r="638" ht="14.5" spans="1:51">
      <c r="A638" s="91"/>
      <c r="B638" s="95"/>
      <c r="C638" s="152" t="s">
        <v>375</v>
      </c>
      <c r="D638" s="153" t="s">
        <v>25</v>
      </c>
      <c r="E638" s="130" t="s">
        <v>376</v>
      </c>
      <c r="F638" s="154" t="s">
        <v>664</v>
      </c>
      <c r="G638" s="154" t="s">
        <v>664</v>
      </c>
      <c r="H638" s="154" t="s">
        <v>664</v>
      </c>
      <c r="I638" s="154" t="s">
        <v>664</v>
      </c>
      <c r="J638" s="132">
        <v>0.9</v>
      </c>
      <c r="K638" s="133">
        <v>0.435483870967742</v>
      </c>
      <c r="L638" s="133">
        <v>0.43859649122807</v>
      </c>
      <c r="M638" s="134">
        <v>0.472222222222222</v>
      </c>
      <c r="N638" s="133">
        <v>0.39612676056338</v>
      </c>
      <c r="O638" s="135">
        <v>0.9</v>
      </c>
      <c r="P638" s="133">
        <v>0.387012230634828</v>
      </c>
      <c r="Q638" s="133">
        <v>0.441941539286672</v>
      </c>
      <c r="R638" s="133">
        <v>0.482335623159961</v>
      </c>
      <c r="S638" s="133">
        <v>0.451110981609904</v>
      </c>
      <c r="T638" s="135">
        <v>0.9</v>
      </c>
      <c r="U638" s="133">
        <v>0.38905066977286</v>
      </c>
      <c r="V638" s="133">
        <v>0.408420488066506</v>
      </c>
      <c r="W638" s="133">
        <v>0.471050049067713</v>
      </c>
      <c r="X638" s="133">
        <v>0.445699681149527</v>
      </c>
      <c r="Y638" s="135">
        <v>0.92</v>
      </c>
      <c r="Z638" s="135">
        <v>0.142857142857143</v>
      </c>
      <c r="AA638" s="135">
        <v>0</v>
      </c>
      <c r="AB638" s="135" t="s">
        <v>35</v>
      </c>
      <c r="AC638" s="135">
        <v>0.0714285714285714</v>
      </c>
      <c r="AD638" s="135">
        <v>0.92</v>
      </c>
      <c r="AE638" s="133">
        <v>0.9979633401222</v>
      </c>
      <c r="AF638" s="133">
        <v>0.975155279503106</v>
      </c>
      <c r="AG638" s="133">
        <v>0.995207667731629</v>
      </c>
      <c r="AH638" s="133">
        <v>0.994526001492909</v>
      </c>
      <c r="AI638" s="135">
        <v>0.92</v>
      </c>
      <c r="AJ638" s="133">
        <v>0.810063990692263</v>
      </c>
      <c r="AK638" s="133">
        <v>0.787907226169728</v>
      </c>
      <c r="AL638" s="133">
        <v>0.921328099443899</v>
      </c>
      <c r="AM638" s="133">
        <v>0.88554472586834</v>
      </c>
      <c r="AN638" s="132">
        <v>0.99</v>
      </c>
      <c r="AO638" s="137">
        <v>1</v>
      </c>
      <c r="AP638" s="137">
        <v>1</v>
      </c>
      <c r="AQ638" s="137">
        <v>1</v>
      </c>
      <c r="AR638" s="137">
        <v>1</v>
      </c>
      <c r="AS638" s="158">
        <v>0.05</v>
      </c>
      <c r="AT638" s="141">
        <v>0.0833333333333333</v>
      </c>
      <c r="AU638" s="141">
        <v>0.259259259259259</v>
      </c>
      <c r="AV638" s="141">
        <v>0.153846153846154</v>
      </c>
      <c r="AW638" s="141">
        <v>0.116279069767442</v>
      </c>
      <c r="AX638" s="95"/>
      <c r="AY638" s="93"/>
    </row>
    <row r="639" ht="14.5" spans="1:51">
      <c r="A639" s="91"/>
      <c r="B639" s="95"/>
      <c r="C639" s="152" t="s">
        <v>375</v>
      </c>
      <c r="D639" s="153" t="s">
        <v>25</v>
      </c>
      <c r="E639" s="130" t="s">
        <v>376</v>
      </c>
      <c r="F639" s="154" t="s">
        <v>665</v>
      </c>
      <c r="G639" s="154" t="s">
        <v>665</v>
      </c>
      <c r="H639" s="154" t="s">
        <v>665</v>
      </c>
      <c r="I639" s="154" t="s">
        <v>665</v>
      </c>
      <c r="J639" s="132">
        <v>0.9</v>
      </c>
      <c r="K639" s="133">
        <v>0.296875</v>
      </c>
      <c r="L639" s="133">
        <v>0.375</v>
      </c>
      <c r="M639" s="134">
        <v>0.421052631578947</v>
      </c>
      <c r="N639" s="133">
        <v>0.267857142857143</v>
      </c>
      <c r="O639" s="135">
        <v>0.9</v>
      </c>
      <c r="P639" s="133">
        <v>0.627809523809524</v>
      </c>
      <c r="Q639" s="133">
        <v>0.559135847674844</v>
      </c>
      <c r="R639" s="133">
        <v>0.925250556792873</v>
      </c>
      <c r="S639" s="133">
        <v>0.614765130615189</v>
      </c>
      <c r="T639" s="135">
        <v>0.9</v>
      </c>
      <c r="U639" s="133">
        <v>0.584507936507937</v>
      </c>
      <c r="V639" s="133">
        <v>0.640546808250946</v>
      </c>
      <c r="W639" s="133">
        <v>0.756124721603563</v>
      </c>
      <c r="X639" s="133">
        <v>0.655143182206887</v>
      </c>
      <c r="Y639" s="135">
        <v>0.92</v>
      </c>
      <c r="Z639" s="135">
        <v>0</v>
      </c>
      <c r="AA639" s="135">
        <v>0.333333333333333</v>
      </c>
      <c r="AB639" s="135">
        <v>0</v>
      </c>
      <c r="AC639" s="135">
        <v>0.793814432989691</v>
      </c>
      <c r="AD639" s="135">
        <v>0.92</v>
      </c>
      <c r="AE639" s="133">
        <v>0.99710200927357</v>
      </c>
      <c r="AF639" s="133">
        <v>0.897297891036907</v>
      </c>
      <c r="AG639" s="133">
        <v>0.854715094968344</v>
      </c>
      <c r="AH639" s="133">
        <v>0.901394947134312</v>
      </c>
      <c r="AI639" s="135">
        <v>0.92</v>
      </c>
      <c r="AJ639" s="133">
        <v>0.873366324070549</v>
      </c>
      <c r="AK639" s="133">
        <v>0.886896046852123</v>
      </c>
      <c r="AL639" s="133">
        <v>0.959521491167061</v>
      </c>
      <c r="AM639" s="133">
        <v>0.939505000445144</v>
      </c>
      <c r="AN639" s="132">
        <v>0.99</v>
      </c>
      <c r="AO639" s="137">
        <v>1</v>
      </c>
      <c r="AP639" s="137">
        <v>1</v>
      </c>
      <c r="AQ639" s="137">
        <v>1</v>
      </c>
      <c r="AR639" s="137">
        <v>0.986717267552182</v>
      </c>
      <c r="AS639" s="158">
        <v>0.05</v>
      </c>
      <c r="AT639" s="141">
        <v>0.133333333333333</v>
      </c>
      <c r="AU639" s="141">
        <v>0.1</v>
      </c>
      <c r="AV639" s="141">
        <v>0.222222222222222</v>
      </c>
      <c r="AW639" s="141">
        <v>0.103260869565217</v>
      </c>
      <c r="AX639" s="95"/>
      <c r="AY639" s="93"/>
    </row>
    <row r="640" ht="14.5" spans="1:51">
      <c r="A640" s="91"/>
      <c r="B640" s="95"/>
      <c r="C640" s="152" t="s">
        <v>375</v>
      </c>
      <c r="D640" s="153" t="s">
        <v>25</v>
      </c>
      <c r="E640" s="130" t="s">
        <v>376</v>
      </c>
      <c r="F640" s="154" t="s">
        <v>666</v>
      </c>
      <c r="G640" s="154" t="s">
        <v>666</v>
      </c>
      <c r="H640" s="154" t="s">
        <v>666</v>
      </c>
      <c r="I640" s="154" t="s">
        <v>666</v>
      </c>
      <c r="J640" s="132">
        <v>0.9</v>
      </c>
      <c r="K640" s="133">
        <v>0.975</v>
      </c>
      <c r="L640" s="133">
        <v>0.977272727272727</v>
      </c>
      <c r="M640" s="134">
        <v>0.977777777777778</v>
      </c>
      <c r="N640" s="133">
        <v>0.974059662775616</v>
      </c>
      <c r="O640" s="135">
        <v>0.9</v>
      </c>
      <c r="P640" s="133">
        <v>0.98224043715847</v>
      </c>
      <c r="Q640" s="133">
        <v>0.967316816025303</v>
      </c>
      <c r="R640" s="133">
        <v>0.975584594222834</v>
      </c>
      <c r="S640" s="133">
        <v>0.968667046657438</v>
      </c>
      <c r="T640" s="135">
        <v>0.9</v>
      </c>
      <c r="U640" s="133">
        <v>0.761612021857924</v>
      </c>
      <c r="V640" s="133">
        <v>0.790195044807591</v>
      </c>
      <c r="W640" s="133">
        <v>0.842503438789546</v>
      </c>
      <c r="X640" s="133">
        <v>0.794544418206986</v>
      </c>
      <c r="Y640" s="135">
        <v>0.92</v>
      </c>
      <c r="Z640" s="135">
        <v>0.878378378378378</v>
      </c>
      <c r="AA640" s="135">
        <v>0.883456790123457</v>
      </c>
      <c r="AB640" s="135">
        <v>0.941897998708844</v>
      </c>
      <c r="AC640" s="135">
        <v>0.928013640238704</v>
      </c>
      <c r="AD640" s="135">
        <v>0.92</v>
      </c>
      <c r="AE640" s="133">
        <v>0.998331943286072</v>
      </c>
      <c r="AF640" s="133">
        <v>0.996039603960396</v>
      </c>
      <c r="AG640" s="133">
        <v>0.999223300970874</v>
      </c>
      <c r="AH640" s="133">
        <v>0.998781402324709</v>
      </c>
      <c r="AI640" s="135">
        <v>0.92</v>
      </c>
      <c r="AJ640" s="133">
        <v>0.918828666837914</v>
      </c>
      <c r="AK640" s="133">
        <v>0.931958762886598</v>
      </c>
      <c r="AL640" s="133">
        <v>0.965447610500337</v>
      </c>
      <c r="AM640" s="133">
        <v>0.956883443154021</v>
      </c>
      <c r="AN640" s="132">
        <v>0.99</v>
      </c>
      <c r="AO640" s="137">
        <v>1</v>
      </c>
      <c r="AP640" s="137">
        <v>1</v>
      </c>
      <c r="AQ640" s="137">
        <v>1</v>
      </c>
      <c r="AR640" s="137">
        <v>1</v>
      </c>
      <c r="AS640" s="158">
        <v>0.05</v>
      </c>
      <c r="AT640" s="141">
        <v>0.227272727272727</v>
      </c>
      <c r="AU640" s="141">
        <v>0</v>
      </c>
      <c r="AV640" s="141">
        <v>0.133333333333333</v>
      </c>
      <c r="AW640" s="141">
        <v>0.103359173126615</v>
      </c>
      <c r="AX640" s="95"/>
      <c r="AY640" s="93"/>
    </row>
    <row r="641" ht="14.5" spans="1:51">
      <c r="A641" s="91"/>
      <c r="B641" s="95"/>
      <c r="C641" s="152" t="s">
        <v>375</v>
      </c>
      <c r="D641" s="153" t="s">
        <v>25</v>
      </c>
      <c r="E641" s="130" t="s">
        <v>376</v>
      </c>
      <c r="F641" s="154" t="s">
        <v>667</v>
      </c>
      <c r="G641" s="154" t="s">
        <v>667</v>
      </c>
      <c r="H641" s="154" t="s">
        <v>667</v>
      </c>
      <c r="I641" s="154" t="s">
        <v>667</v>
      </c>
      <c r="J641" s="132">
        <v>0.9</v>
      </c>
      <c r="K641" s="133">
        <v>0.836734693877551</v>
      </c>
      <c r="L641" s="133">
        <v>0.826086956521739</v>
      </c>
      <c r="M641" s="134">
        <v>0.775862068965517</v>
      </c>
      <c r="N641" s="133">
        <v>0.8</v>
      </c>
      <c r="O641" s="135">
        <v>0.9</v>
      </c>
      <c r="P641" s="133">
        <v>0.951900921658986</v>
      </c>
      <c r="Q641" s="133">
        <v>0.957495957495958</v>
      </c>
      <c r="R641" s="133">
        <v>0.98378041172801</v>
      </c>
      <c r="S641" s="133">
        <v>0.973011989605969</v>
      </c>
      <c r="T641" s="135">
        <v>0.9</v>
      </c>
      <c r="U641" s="133">
        <v>0.630184331797235</v>
      </c>
      <c r="V641" s="133">
        <v>0.590898590898591</v>
      </c>
      <c r="W641" s="133">
        <v>0.737991266375546</v>
      </c>
      <c r="X641" s="133">
        <v>0.650143601744495</v>
      </c>
      <c r="Y641" s="135">
        <v>0.92</v>
      </c>
      <c r="Z641" s="135">
        <v>0.73921028466483</v>
      </c>
      <c r="AA641" s="135">
        <v>0.784941583729987</v>
      </c>
      <c r="AB641" s="135">
        <v>0.885913229780396</v>
      </c>
      <c r="AC641" s="135">
        <v>0.84400672747267</v>
      </c>
      <c r="AD641" s="135">
        <v>0.92</v>
      </c>
      <c r="AE641" s="133">
        <v>0.999467140319716</v>
      </c>
      <c r="AF641" s="133">
        <v>0.995220075682135</v>
      </c>
      <c r="AG641" s="133">
        <v>0.991112051634748</v>
      </c>
      <c r="AH641" s="133">
        <v>0.98427576255751</v>
      </c>
      <c r="AI641" s="135">
        <v>0.92</v>
      </c>
      <c r="AJ641" s="133">
        <v>0.865599649199737</v>
      </c>
      <c r="AK641" s="133">
        <v>0.891948833709556</v>
      </c>
      <c r="AL641" s="133">
        <v>0.924729064039409</v>
      </c>
      <c r="AM641" s="133">
        <v>0.921140211257416</v>
      </c>
      <c r="AN641" s="132">
        <v>0.99</v>
      </c>
      <c r="AO641" s="137">
        <v>1</v>
      </c>
      <c r="AP641" s="137">
        <v>1</v>
      </c>
      <c r="AQ641" s="137">
        <v>1</v>
      </c>
      <c r="AR641" s="137">
        <v>1</v>
      </c>
      <c r="AS641" s="158">
        <v>0.05</v>
      </c>
      <c r="AT641" s="141">
        <v>0.0666666666666667</v>
      </c>
      <c r="AU641" s="141">
        <v>0.0434782608695652</v>
      </c>
      <c r="AV641" s="141">
        <v>0.266666666666667</v>
      </c>
      <c r="AW641" s="141">
        <v>0.0880681818181818</v>
      </c>
      <c r="AX641" s="95"/>
      <c r="AY641" s="93"/>
    </row>
    <row r="642" ht="14.5" spans="1:51">
      <c r="A642" s="91"/>
      <c r="B642" s="95"/>
      <c r="C642" s="174"/>
      <c r="D642" s="175"/>
      <c r="E642" s="176"/>
      <c r="F642" s="176"/>
      <c r="G642" s="145"/>
      <c r="H642" s="145"/>
      <c r="I642" s="176"/>
      <c r="J642" s="177"/>
      <c r="K642" s="178"/>
      <c r="L642" s="178"/>
      <c r="M642" s="134"/>
      <c r="N642" s="178"/>
      <c r="O642" s="150"/>
      <c r="P642" s="178"/>
      <c r="Q642" s="178"/>
      <c r="R642" s="133"/>
      <c r="S642" s="178"/>
      <c r="T642" s="150"/>
      <c r="U642" s="178"/>
      <c r="V642" s="178"/>
      <c r="W642" s="133"/>
      <c r="X642" s="178"/>
      <c r="Y642" s="150"/>
      <c r="Z642" s="150"/>
      <c r="AA642" s="150"/>
      <c r="AB642" s="135"/>
      <c r="AC642" s="150"/>
      <c r="AD642" s="178"/>
      <c r="AE642" s="178"/>
      <c r="AF642" s="178"/>
      <c r="AG642" s="133"/>
      <c r="AH642" s="178"/>
      <c r="AI642" s="178"/>
      <c r="AJ642" s="178"/>
      <c r="AK642" s="178"/>
      <c r="AL642" s="133"/>
      <c r="AM642" s="178"/>
      <c r="AN642" s="177"/>
      <c r="AO642" s="177"/>
      <c r="AP642" s="177"/>
      <c r="AQ642" s="137"/>
      <c r="AR642" s="177"/>
      <c r="AS642" s="178"/>
      <c r="AT642" s="177"/>
      <c r="AU642" s="177"/>
      <c r="AV642" s="141"/>
      <c r="AW642" s="177"/>
      <c r="AX642" s="95"/>
      <c r="AY642" s="93"/>
    </row>
    <row r="643" ht="14.5" spans="1:51">
      <c r="A643" s="91"/>
      <c r="B643" s="95"/>
      <c r="C643" s="152" t="s">
        <v>668</v>
      </c>
      <c r="D643" s="153" t="s">
        <v>25</v>
      </c>
      <c r="E643" s="130" t="s">
        <v>669</v>
      </c>
      <c r="F643" s="179" t="s">
        <v>670</v>
      </c>
      <c r="G643" s="179" t="s">
        <v>670</v>
      </c>
      <c r="H643" s="179" t="s">
        <v>670</v>
      </c>
      <c r="I643" s="179" t="s">
        <v>670</v>
      </c>
      <c r="J643" s="132">
        <v>0.9</v>
      </c>
      <c r="K643" s="133">
        <v>1</v>
      </c>
      <c r="L643" s="133">
        <v>1</v>
      </c>
      <c r="M643" s="134">
        <v>1</v>
      </c>
      <c r="N643" s="133">
        <v>0.986381322957198</v>
      </c>
      <c r="O643" s="135">
        <v>0.9</v>
      </c>
      <c r="P643" s="133">
        <v>0.964217557251908</v>
      </c>
      <c r="Q643" s="133">
        <v>0.97270955165692</v>
      </c>
      <c r="R643" s="133">
        <v>0.982062780269058</v>
      </c>
      <c r="S643" s="133">
        <v>0.977080106997044</v>
      </c>
      <c r="T643" s="135">
        <v>0.9</v>
      </c>
      <c r="U643" s="133">
        <v>0.946564885496183</v>
      </c>
      <c r="V643" s="133">
        <v>0.939571150097466</v>
      </c>
      <c r="W643" s="133">
        <v>0.937219730941704</v>
      </c>
      <c r="X643" s="133">
        <v>0.955145713078981</v>
      </c>
      <c r="Y643" s="135">
        <v>0.92</v>
      </c>
      <c r="Z643" s="135">
        <v>0.930769230769231</v>
      </c>
      <c r="AA643" s="135">
        <v>0.929588014981273</v>
      </c>
      <c r="AB643" s="135">
        <v>0.928662420382166</v>
      </c>
      <c r="AC643" s="135">
        <v>0.926634768740032</v>
      </c>
      <c r="AD643" s="135">
        <v>0.92</v>
      </c>
      <c r="AE643" s="133">
        <v>1</v>
      </c>
      <c r="AF643" s="133">
        <v>0.98936170212766</v>
      </c>
      <c r="AG643" s="133">
        <v>1</v>
      </c>
      <c r="AH643" s="133">
        <v>0.992269984917044</v>
      </c>
      <c r="AI643" s="135">
        <v>0.92</v>
      </c>
      <c r="AJ643" s="133">
        <v>0.963232617400801</v>
      </c>
      <c r="AK643" s="133">
        <v>0.950260869565217</v>
      </c>
      <c r="AL643" s="133">
        <v>0.967765042979943</v>
      </c>
      <c r="AM643" s="133">
        <v>0.964761019596986</v>
      </c>
      <c r="AN643" s="132">
        <v>0.99</v>
      </c>
      <c r="AO643" s="137">
        <v>1</v>
      </c>
      <c r="AP643" s="137">
        <v>1</v>
      </c>
      <c r="AQ643" s="137">
        <v>1</v>
      </c>
      <c r="AR643" s="137">
        <v>1</v>
      </c>
      <c r="AS643" s="158">
        <v>0.0810595228934205</v>
      </c>
      <c r="AT643" s="141">
        <v>0.04</v>
      </c>
      <c r="AU643" s="141">
        <v>0</v>
      </c>
      <c r="AV643" s="141">
        <v>0</v>
      </c>
      <c r="AW643" s="141">
        <v>0.033457249070632</v>
      </c>
      <c r="AX643" s="95"/>
      <c r="AY643" s="93"/>
    </row>
    <row r="644" ht="14.5" spans="1:51">
      <c r="A644" s="91"/>
      <c r="B644" s="95"/>
      <c r="C644" s="152" t="s">
        <v>668</v>
      </c>
      <c r="D644" s="153" t="s">
        <v>25</v>
      </c>
      <c r="E644" s="130" t="s">
        <v>669</v>
      </c>
      <c r="F644" s="179" t="s">
        <v>671</v>
      </c>
      <c r="G644" s="179" t="s">
        <v>671</v>
      </c>
      <c r="H644" s="179" t="s">
        <v>671</v>
      </c>
      <c r="I644" s="179" t="s">
        <v>671</v>
      </c>
      <c r="J644" s="132">
        <v>0.9</v>
      </c>
      <c r="K644" s="133">
        <v>0.961538461538462</v>
      </c>
      <c r="L644" s="133">
        <v>1</v>
      </c>
      <c r="M644" s="134">
        <v>1</v>
      </c>
      <c r="N644" s="133">
        <v>0.99537037037037</v>
      </c>
      <c r="O644" s="135">
        <v>0.9</v>
      </c>
      <c r="P644" s="133">
        <v>0.974040632054176</v>
      </c>
      <c r="Q644" s="133">
        <v>0.980864635010631</v>
      </c>
      <c r="R644" s="133">
        <v>0.983277591973244</v>
      </c>
      <c r="S644" s="133">
        <v>0.980334961161548</v>
      </c>
      <c r="T644" s="135">
        <v>0.9</v>
      </c>
      <c r="U644" s="133">
        <v>0.951467268623025</v>
      </c>
      <c r="V644" s="133">
        <v>0.957476966690291</v>
      </c>
      <c r="W644" s="133">
        <v>0.962653288740245</v>
      </c>
      <c r="X644" s="133">
        <v>0.95821179246829</v>
      </c>
      <c r="Y644" s="135">
        <v>0.92</v>
      </c>
      <c r="Z644" s="135">
        <v>0.957281553398058</v>
      </c>
      <c r="AA644" s="135">
        <v>0.965909090909091</v>
      </c>
      <c r="AB644" s="135">
        <v>0.971768202080238</v>
      </c>
      <c r="AC644" s="135">
        <v>0.968003144654088</v>
      </c>
      <c r="AD644" s="135">
        <v>0.92</v>
      </c>
      <c r="AE644" s="133">
        <v>0.999132697311362</v>
      </c>
      <c r="AF644" s="133">
        <v>0.992717516289766</v>
      </c>
      <c r="AG644" s="133">
        <v>0.994202014037229</v>
      </c>
      <c r="AH644" s="133">
        <v>0.991684893620867</v>
      </c>
      <c r="AI644" s="135">
        <v>0.92</v>
      </c>
      <c r="AJ644" s="133">
        <v>0.980323567993004</v>
      </c>
      <c r="AK644" s="133">
        <v>0.974960876369327</v>
      </c>
      <c r="AL644" s="133">
        <v>0.985413290113452</v>
      </c>
      <c r="AM644" s="133">
        <v>0.982797290110754</v>
      </c>
      <c r="AN644" s="132">
        <v>0.99</v>
      </c>
      <c r="AO644" s="137">
        <v>1</v>
      </c>
      <c r="AP644" s="137">
        <v>1</v>
      </c>
      <c r="AQ644" s="137">
        <v>1</v>
      </c>
      <c r="AR644" s="137">
        <v>1</v>
      </c>
      <c r="AS644" s="158">
        <v>0.0810595228934205</v>
      </c>
      <c r="AT644" s="141">
        <v>0</v>
      </c>
      <c r="AU644" s="141">
        <v>0</v>
      </c>
      <c r="AV644" s="141">
        <v>0</v>
      </c>
      <c r="AW644" s="141">
        <v>0.0530973451327434</v>
      </c>
      <c r="AX644" s="95"/>
      <c r="AY644" s="93"/>
    </row>
    <row r="645" ht="14.5" spans="1:51">
      <c r="A645" s="91"/>
      <c r="B645" s="95"/>
      <c r="C645" s="152" t="s">
        <v>668</v>
      </c>
      <c r="D645" s="153" t="s">
        <v>25</v>
      </c>
      <c r="E645" s="130" t="s">
        <v>669</v>
      </c>
      <c r="F645" s="179" t="s">
        <v>672</v>
      </c>
      <c r="G645" s="179" t="s">
        <v>672</v>
      </c>
      <c r="H645" s="179" t="s">
        <v>672</v>
      </c>
      <c r="I645" s="179" t="s">
        <v>672</v>
      </c>
      <c r="J645" s="132">
        <v>0.9</v>
      </c>
      <c r="K645" s="133">
        <v>0.928571428571429</v>
      </c>
      <c r="L645" s="133">
        <v>1</v>
      </c>
      <c r="M645" s="134">
        <v>0.975609756097561</v>
      </c>
      <c r="N645" s="133">
        <v>0.982142857142857</v>
      </c>
      <c r="O645" s="135">
        <v>0.9</v>
      </c>
      <c r="P645" s="133">
        <v>0.933481976960238</v>
      </c>
      <c r="Q645" s="133">
        <v>0.979874776386404</v>
      </c>
      <c r="R645" s="133">
        <v>0.965937612047329</v>
      </c>
      <c r="S645" s="133">
        <v>0.967188665175242</v>
      </c>
      <c r="T645" s="135">
        <v>0.9</v>
      </c>
      <c r="U645" s="133">
        <v>0.908584169453735</v>
      </c>
      <c r="V645" s="133">
        <v>0.938282647584973</v>
      </c>
      <c r="W645" s="133">
        <v>0.925421297956257</v>
      </c>
      <c r="X645" s="133">
        <v>0.929540854373069</v>
      </c>
      <c r="Y645" s="135">
        <v>0.92</v>
      </c>
      <c r="Z645" s="135">
        <v>0.612339930151339</v>
      </c>
      <c r="AA645" s="135">
        <v>0.797956867196368</v>
      </c>
      <c r="AB645" s="135">
        <v>0.748806112702961</v>
      </c>
      <c r="AC645" s="135">
        <v>0.757035214516377</v>
      </c>
      <c r="AD645" s="135">
        <v>0.92</v>
      </c>
      <c r="AE645" s="133">
        <v>1</v>
      </c>
      <c r="AF645" s="133">
        <v>0.956043956043956</v>
      </c>
      <c r="AG645" s="133">
        <v>0.97752808988764</v>
      </c>
      <c r="AH645" s="133">
        <v>0.982521847690387</v>
      </c>
      <c r="AI645" s="135">
        <v>0.92</v>
      </c>
      <c r="AJ645" s="133">
        <v>0.8659532526049</v>
      </c>
      <c r="AK645" s="133">
        <v>0.896448224112056</v>
      </c>
      <c r="AL645" s="133">
        <v>0.903570497784728</v>
      </c>
      <c r="AM645" s="133">
        <v>0.906008758069613</v>
      </c>
      <c r="AN645" s="132">
        <v>0.99</v>
      </c>
      <c r="AO645" s="137">
        <v>1</v>
      </c>
      <c r="AP645" s="137">
        <v>1</v>
      </c>
      <c r="AQ645" s="137">
        <v>1</v>
      </c>
      <c r="AR645" s="137">
        <v>1</v>
      </c>
      <c r="AS645" s="158">
        <v>0.0810595228934205</v>
      </c>
      <c r="AT645" s="141">
        <v>0</v>
      </c>
      <c r="AU645" s="141">
        <v>0.05</v>
      </c>
      <c r="AV645" s="141">
        <v>0.384615384615385</v>
      </c>
      <c r="AW645" s="141">
        <v>0.053921568627451</v>
      </c>
      <c r="AX645" s="95"/>
      <c r="AY645" s="93"/>
    </row>
    <row r="646" ht="14.5" spans="1:51">
      <c r="A646" s="91"/>
      <c r="B646" s="95"/>
      <c r="C646" s="152" t="s">
        <v>668</v>
      </c>
      <c r="D646" s="153" t="s">
        <v>25</v>
      </c>
      <c r="E646" s="130" t="s">
        <v>669</v>
      </c>
      <c r="F646" s="179" t="s">
        <v>673</v>
      </c>
      <c r="G646" s="179" t="s">
        <v>673</v>
      </c>
      <c r="H646" s="179" t="s">
        <v>673</v>
      </c>
      <c r="I646" s="179" t="s">
        <v>673</v>
      </c>
      <c r="J646" s="132">
        <v>0.9</v>
      </c>
      <c r="K646" s="133">
        <v>0.906976744186046</v>
      </c>
      <c r="L646" s="133">
        <v>0.902439024390244</v>
      </c>
      <c r="M646" s="134">
        <v>0.906976744186046</v>
      </c>
      <c r="N646" s="133">
        <v>0.896265560165975</v>
      </c>
      <c r="O646" s="135">
        <v>0.9</v>
      </c>
      <c r="P646" s="133">
        <v>0.977943561466104</v>
      </c>
      <c r="Q646" s="133">
        <v>0.975330396475771</v>
      </c>
      <c r="R646" s="133">
        <v>0.980870712401055</v>
      </c>
      <c r="S646" s="133">
        <v>0.980757994780509</v>
      </c>
      <c r="T646" s="135">
        <v>0.9</v>
      </c>
      <c r="U646" s="133">
        <v>0.950373013298735</v>
      </c>
      <c r="V646" s="133">
        <v>0.955506607929515</v>
      </c>
      <c r="W646" s="133">
        <v>0.944261213720317</v>
      </c>
      <c r="X646" s="133">
        <v>0.953978888326257</v>
      </c>
      <c r="Y646" s="135">
        <v>0.92</v>
      </c>
      <c r="Z646" s="135">
        <v>0.907590759075908</v>
      </c>
      <c r="AA646" s="135">
        <v>0.936416184971098</v>
      </c>
      <c r="AB646" s="135">
        <v>0.909248055315471</v>
      </c>
      <c r="AC646" s="135">
        <v>0.923483713964807</v>
      </c>
      <c r="AD646" s="135">
        <v>0.92</v>
      </c>
      <c r="AE646" s="133">
        <v>1</v>
      </c>
      <c r="AF646" s="133">
        <v>0.985401459854015</v>
      </c>
      <c r="AG646" s="133">
        <v>0.996987951807229</v>
      </c>
      <c r="AH646" s="133">
        <v>0.993719008264463</v>
      </c>
      <c r="AI646" s="135">
        <v>0.92</v>
      </c>
      <c r="AJ646" s="133">
        <v>0.961211211211211</v>
      </c>
      <c r="AK646" s="133">
        <v>0.957834211787254</v>
      </c>
      <c r="AL646" s="133">
        <v>0.957985199331583</v>
      </c>
      <c r="AM646" s="133">
        <v>0.964099602634437</v>
      </c>
      <c r="AN646" s="132">
        <v>0.99</v>
      </c>
      <c r="AO646" s="137">
        <v>1</v>
      </c>
      <c r="AP646" s="137">
        <v>1</v>
      </c>
      <c r="AQ646" s="137">
        <v>1</v>
      </c>
      <c r="AR646" s="137">
        <v>1</v>
      </c>
      <c r="AS646" s="158">
        <v>0.0810595228934205</v>
      </c>
      <c r="AT646" s="141">
        <v>0</v>
      </c>
      <c r="AU646" s="141">
        <v>0</v>
      </c>
      <c r="AV646" s="141">
        <v>0.117647058823529</v>
      </c>
      <c r="AW646" s="141">
        <v>0.0423728813559322</v>
      </c>
      <c r="AX646" s="95"/>
      <c r="AY646" s="93"/>
    </row>
    <row r="647" ht="14.5" spans="1:51">
      <c r="A647" s="91"/>
      <c r="B647" s="95"/>
      <c r="C647" s="152" t="s">
        <v>668</v>
      </c>
      <c r="D647" s="153" t="s">
        <v>25</v>
      </c>
      <c r="E647" s="130" t="s">
        <v>669</v>
      </c>
      <c r="F647" s="179" t="s">
        <v>674</v>
      </c>
      <c r="G647" s="179" t="s">
        <v>674</v>
      </c>
      <c r="H647" s="179" t="s">
        <v>674</v>
      </c>
      <c r="I647" s="179" t="s">
        <v>674</v>
      </c>
      <c r="J647" s="132">
        <v>0.9</v>
      </c>
      <c r="K647" s="133">
        <v>1</v>
      </c>
      <c r="L647" s="133">
        <v>1</v>
      </c>
      <c r="M647" s="134">
        <v>1</v>
      </c>
      <c r="N647" s="133">
        <v>1</v>
      </c>
      <c r="O647" s="135">
        <v>0.9</v>
      </c>
      <c r="P647" s="133">
        <v>0.979913916786227</v>
      </c>
      <c r="Q647" s="133">
        <v>0.994296577946768</v>
      </c>
      <c r="R647" s="133">
        <v>0.99347471451876</v>
      </c>
      <c r="S647" s="133">
        <v>0.991359240687679</v>
      </c>
      <c r="T647" s="135">
        <v>0.9</v>
      </c>
      <c r="U647" s="133">
        <v>0.956958393113343</v>
      </c>
      <c r="V647" s="133">
        <v>0.975285171102662</v>
      </c>
      <c r="W647" s="133">
        <v>0.970636215334421</v>
      </c>
      <c r="X647" s="133">
        <v>0.971525787965616</v>
      </c>
      <c r="Y647" s="135">
        <v>0.92</v>
      </c>
      <c r="Z647" s="135">
        <v>0.954081632653061</v>
      </c>
      <c r="AA647" s="135">
        <v>0.978698224852071</v>
      </c>
      <c r="AB647" s="135">
        <v>0.961065573770492</v>
      </c>
      <c r="AC647" s="135">
        <v>0.96167097329888</v>
      </c>
      <c r="AD647" s="135">
        <v>0.92</v>
      </c>
      <c r="AE647" s="133">
        <v>1</v>
      </c>
      <c r="AF647" s="133">
        <v>0.99468085106383</v>
      </c>
      <c r="AG647" s="133">
        <v>0.990783410138249</v>
      </c>
      <c r="AH647" s="133">
        <v>0.993345323741007</v>
      </c>
      <c r="AI647" s="135">
        <v>0.92</v>
      </c>
      <c r="AJ647" s="133">
        <v>0.981522956326988</v>
      </c>
      <c r="AK647" s="133">
        <v>0.984185556141276</v>
      </c>
      <c r="AL647" s="133">
        <v>0.977829638273045</v>
      </c>
      <c r="AM647" s="133">
        <v>0.982418972332016</v>
      </c>
      <c r="AN647" s="132">
        <v>0.99</v>
      </c>
      <c r="AO647" s="137">
        <v>1</v>
      </c>
      <c r="AP647" s="137">
        <v>1</v>
      </c>
      <c r="AQ647" s="137">
        <v>1</v>
      </c>
      <c r="AR647" s="137">
        <v>1</v>
      </c>
      <c r="AS647" s="158">
        <v>0.0810595228934205</v>
      </c>
      <c r="AT647" s="141">
        <v>0</v>
      </c>
      <c r="AU647" s="141">
        <v>0.333333333333333</v>
      </c>
      <c r="AV647" s="141">
        <v>0</v>
      </c>
      <c r="AW647" s="141">
        <v>0.0597014925373134</v>
      </c>
      <c r="AX647" s="95"/>
      <c r="AY647" s="93"/>
    </row>
    <row r="648" ht="14.5" spans="1:51">
      <c r="A648" s="91"/>
      <c r="B648" s="95"/>
      <c r="C648" s="152" t="s">
        <v>668</v>
      </c>
      <c r="D648" s="153" t="s">
        <v>25</v>
      </c>
      <c r="E648" s="130" t="s">
        <v>669</v>
      </c>
      <c r="F648" s="179" t="s">
        <v>675</v>
      </c>
      <c r="G648" s="179" t="s">
        <v>675</v>
      </c>
      <c r="H648" s="179" t="s">
        <v>675</v>
      </c>
      <c r="I648" s="179" t="s">
        <v>675</v>
      </c>
      <c r="J648" s="132">
        <v>0.9</v>
      </c>
      <c r="K648" s="133">
        <v>0.958333333333333</v>
      </c>
      <c r="L648" s="133">
        <v>1</v>
      </c>
      <c r="M648" s="134">
        <v>1</v>
      </c>
      <c r="N648" s="133">
        <v>0.995283018867924</v>
      </c>
      <c r="O648" s="135">
        <v>0.9</v>
      </c>
      <c r="P648" s="133">
        <v>0.966682998530132</v>
      </c>
      <c r="Q648" s="133">
        <v>0.972329472329472</v>
      </c>
      <c r="R648" s="133">
        <v>0.977930358018637</v>
      </c>
      <c r="S648" s="133">
        <v>0.978472444147468</v>
      </c>
      <c r="T648" s="135">
        <v>0.9</v>
      </c>
      <c r="U648" s="133">
        <v>0.943165115139637</v>
      </c>
      <c r="V648" s="133">
        <v>0.94980694980695</v>
      </c>
      <c r="W648" s="133">
        <v>0.958312898479647</v>
      </c>
      <c r="X648" s="133">
        <v>0.965369977629935</v>
      </c>
      <c r="Y648" s="135">
        <v>0.92</v>
      </c>
      <c r="Z648" s="135">
        <v>0.918269230769231</v>
      </c>
      <c r="AA648" s="135">
        <v>0.951575710991545</v>
      </c>
      <c r="AB648" s="135">
        <v>0.939153439153439</v>
      </c>
      <c r="AC648" s="135">
        <v>0.947296090153233</v>
      </c>
      <c r="AD648" s="135">
        <v>0.92</v>
      </c>
      <c r="AE648" s="133">
        <v>1</v>
      </c>
      <c r="AF648" s="133">
        <v>0.994708994708995</v>
      </c>
      <c r="AG648" s="133">
        <v>0.990196078431373</v>
      </c>
      <c r="AH648" s="133">
        <v>0.988274706867672</v>
      </c>
      <c r="AI648" s="135">
        <v>0.92</v>
      </c>
      <c r="AJ648" s="133">
        <v>0.958364591147787</v>
      </c>
      <c r="AK648" s="133">
        <v>0.961471103327496</v>
      </c>
      <c r="AL648" s="133">
        <v>0.968168812589413</v>
      </c>
      <c r="AM648" s="133">
        <v>0.973438680304608</v>
      </c>
      <c r="AN648" s="132">
        <v>0.99</v>
      </c>
      <c r="AO648" s="137">
        <v>1</v>
      </c>
      <c r="AP648" s="137">
        <v>1</v>
      </c>
      <c r="AQ648" s="137">
        <v>1</v>
      </c>
      <c r="AR648" s="137">
        <v>1</v>
      </c>
      <c r="AS648" s="158">
        <v>0.0810595228934205</v>
      </c>
      <c r="AT648" s="141">
        <v>0</v>
      </c>
      <c r="AU648" s="141">
        <v>0.0526315789473684</v>
      </c>
      <c r="AV648" s="141">
        <v>0</v>
      </c>
      <c r="AW648" s="141">
        <v>0.0340425531914894</v>
      </c>
      <c r="AX648" s="95"/>
      <c r="AY648" s="93"/>
    </row>
    <row r="649" ht="14.5" spans="1:51">
      <c r="A649" s="91"/>
      <c r="B649" s="95"/>
      <c r="C649" s="152" t="s">
        <v>668</v>
      </c>
      <c r="D649" s="153" t="s">
        <v>25</v>
      </c>
      <c r="E649" s="130" t="s">
        <v>669</v>
      </c>
      <c r="F649" s="179" t="s">
        <v>676</v>
      </c>
      <c r="G649" s="179" t="s">
        <v>676</v>
      </c>
      <c r="H649" s="179" t="s">
        <v>676</v>
      </c>
      <c r="I649" s="179" t="s">
        <v>676</v>
      </c>
      <c r="J649" s="132">
        <v>0.9</v>
      </c>
      <c r="K649" s="133">
        <v>1</v>
      </c>
      <c r="L649" s="133">
        <v>1</v>
      </c>
      <c r="M649" s="134">
        <v>1</v>
      </c>
      <c r="N649" s="133">
        <v>1</v>
      </c>
      <c r="O649" s="135">
        <v>0.9</v>
      </c>
      <c r="P649" s="133">
        <v>0.977721196690006</v>
      </c>
      <c r="Q649" s="133">
        <v>0.996034892942109</v>
      </c>
      <c r="R649" s="133">
        <v>0.994516792323509</v>
      </c>
      <c r="S649" s="133">
        <v>0.991119920713578</v>
      </c>
      <c r="T649" s="135">
        <v>0.9</v>
      </c>
      <c r="U649" s="133">
        <v>0.94080203691916</v>
      </c>
      <c r="V649" s="133">
        <v>0.944488501189532</v>
      </c>
      <c r="W649" s="133">
        <v>0.952707333790267</v>
      </c>
      <c r="X649" s="133">
        <v>0.95199207135778</v>
      </c>
      <c r="Y649" s="135">
        <v>0.92</v>
      </c>
      <c r="Z649" s="135">
        <v>0.808247422680412</v>
      </c>
      <c r="AA649" s="135">
        <v>0.842105263157895</v>
      </c>
      <c r="AB649" s="135">
        <v>0.916496945010183</v>
      </c>
      <c r="AC649" s="135">
        <v>0.890338438268104</v>
      </c>
      <c r="AD649" s="135">
        <v>0.92</v>
      </c>
      <c r="AE649" s="133">
        <v>1</v>
      </c>
      <c r="AF649" s="133">
        <v>1</v>
      </c>
      <c r="AG649" s="133">
        <v>1</v>
      </c>
      <c r="AH649" s="133">
        <v>0.994247123561781</v>
      </c>
      <c r="AI649" s="135">
        <v>0.92</v>
      </c>
      <c r="AJ649" s="133">
        <v>0.945038910505837</v>
      </c>
      <c r="AK649" s="133">
        <v>0.92649036306589</v>
      </c>
      <c r="AL649" s="133">
        <v>0.972820512820513</v>
      </c>
      <c r="AM649" s="133">
        <v>0.961878962214092</v>
      </c>
      <c r="AN649" s="132">
        <v>0.99</v>
      </c>
      <c r="AO649" s="137">
        <v>1</v>
      </c>
      <c r="AP649" s="137">
        <v>1</v>
      </c>
      <c r="AQ649" s="137">
        <v>1</v>
      </c>
      <c r="AR649" s="137">
        <v>1</v>
      </c>
      <c r="AS649" s="158">
        <v>0.0810595228934205</v>
      </c>
      <c r="AT649" s="141">
        <v>0</v>
      </c>
      <c r="AU649" s="141">
        <v>0.5</v>
      </c>
      <c r="AV649" s="141">
        <v>0</v>
      </c>
      <c r="AW649" s="141">
        <v>0.0571428571428571</v>
      </c>
      <c r="AX649" s="95"/>
      <c r="AY649" s="93"/>
    </row>
    <row r="650" ht="14.5" spans="1:51">
      <c r="A650" s="91"/>
      <c r="B650" s="95"/>
      <c r="C650" s="152" t="s">
        <v>668</v>
      </c>
      <c r="D650" s="153" t="s">
        <v>25</v>
      </c>
      <c r="E650" s="130" t="s">
        <v>669</v>
      </c>
      <c r="F650" s="179" t="s">
        <v>677</v>
      </c>
      <c r="G650" s="179" t="s">
        <v>677</v>
      </c>
      <c r="H650" s="179" t="s">
        <v>677</v>
      </c>
      <c r="I650" s="179" t="s">
        <v>677</v>
      </c>
      <c r="J650" s="132">
        <v>0.9</v>
      </c>
      <c r="K650" s="133">
        <v>0.8</v>
      </c>
      <c r="L650" s="133">
        <v>0.833333333333333</v>
      </c>
      <c r="M650" s="134">
        <v>0.851851851851852</v>
      </c>
      <c r="N650" s="133">
        <v>0.841409691629956</v>
      </c>
      <c r="O650" s="135">
        <v>0.9</v>
      </c>
      <c r="P650" s="133">
        <v>0.971740208230045</v>
      </c>
      <c r="Q650" s="133">
        <v>0.988946684005202</v>
      </c>
      <c r="R650" s="133">
        <v>0.977091633466135</v>
      </c>
      <c r="S650" s="133">
        <v>0.979108512326272</v>
      </c>
      <c r="T650" s="135">
        <v>0.9</v>
      </c>
      <c r="U650" s="133">
        <v>0.950917203767972</v>
      </c>
      <c r="V650" s="133">
        <v>0.967490247074122</v>
      </c>
      <c r="W650" s="133">
        <v>0.955179282868526</v>
      </c>
      <c r="X650" s="133">
        <v>0.962213146064114</v>
      </c>
      <c r="Y650" s="135">
        <v>0.92</v>
      </c>
      <c r="Z650" s="135">
        <v>0.9632</v>
      </c>
      <c r="AA650" s="135">
        <v>0.968674698795181</v>
      </c>
      <c r="AB650" s="135">
        <v>0.957046979865772</v>
      </c>
      <c r="AC650" s="135">
        <v>0.968218094498199</v>
      </c>
      <c r="AD650" s="135">
        <v>0.92</v>
      </c>
      <c r="AE650" s="133">
        <v>1</v>
      </c>
      <c r="AF650" s="133">
        <v>0.996212121212121</v>
      </c>
      <c r="AG650" s="133">
        <v>0.995798319327731</v>
      </c>
      <c r="AH650" s="133">
        <v>0.994857916102842</v>
      </c>
      <c r="AI650" s="135">
        <v>0.92</v>
      </c>
      <c r="AJ650" s="133">
        <v>0.978425435276306</v>
      </c>
      <c r="AK650" s="133">
        <v>0.979518505210205</v>
      </c>
      <c r="AL650" s="133">
        <v>0.981837994914639</v>
      </c>
      <c r="AM650" s="133">
        <v>0.98275754746343</v>
      </c>
      <c r="AN650" s="132">
        <v>0.99</v>
      </c>
      <c r="AO650" s="137">
        <v>1</v>
      </c>
      <c r="AP650" s="137">
        <v>1</v>
      </c>
      <c r="AQ650" s="137">
        <v>1</v>
      </c>
      <c r="AR650" s="137">
        <v>1</v>
      </c>
      <c r="AS650" s="158">
        <v>0.0810595228934205</v>
      </c>
      <c r="AT650" s="141">
        <v>0</v>
      </c>
      <c r="AU650" s="141">
        <v>0</v>
      </c>
      <c r="AV650" s="141">
        <v>0</v>
      </c>
      <c r="AW650" s="141">
        <v>0.032</v>
      </c>
      <c r="AX650" s="95"/>
      <c r="AY650" s="93"/>
    </row>
    <row r="651" ht="14.5" spans="1:51">
      <c r="A651" s="91"/>
      <c r="B651" s="95"/>
      <c r="C651" s="152" t="s">
        <v>668</v>
      </c>
      <c r="D651" s="153" t="s">
        <v>25</v>
      </c>
      <c r="E651" s="130" t="s">
        <v>669</v>
      </c>
      <c r="F651" s="179" t="s">
        <v>678</v>
      </c>
      <c r="G651" s="179" t="s">
        <v>678</v>
      </c>
      <c r="H651" s="179" t="s">
        <v>678</v>
      </c>
      <c r="I651" s="179" t="s">
        <v>678</v>
      </c>
      <c r="J651" s="132">
        <v>0.9</v>
      </c>
      <c r="K651" s="133">
        <v>0.904761904761905</v>
      </c>
      <c r="L651" s="133">
        <v>0.975</v>
      </c>
      <c r="M651" s="134">
        <v>0.953488372093023</v>
      </c>
      <c r="N651" s="133">
        <v>0.968345323741007</v>
      </c>
      <c r="O651" s="135">
        <v>0.9</v>
      </c>
      <c r="P651" s="133">
        <v>0.944556046605062</v>
      </c>
      <c r="Q651" s="133">
        <v>0.954570037858302</v>
      </c>
      <c r="R651" s="133">
        <v>0.959967320261438</v>
      </c>
      <c r="S651" s="133">
        <v>0.947365740622852</v>
      </c>
      <c r="T651" s="135">
        <v>0.9</v>
      </c>
      <c r="U651" s="133">
        <v>0.910004017677782</v>
      </c>
      <c r="V651" s="133">
        <v>0.932936722552731</v>
      </c>
      <c r="W651" s="133">
        <v>0.939542483660131</v>
      </c>
      <c r="X651" s="133">
        <v>0.936008759644521</v>
      </c>
      <c r="Y651" s="135">
        <v>0.92</v>
      </c>
      <c r="Z651" s="135">
        <v>0.815405046480744</v>
      </c>
      <c r="AA651" s="135">
        <v>0.740923076923077</v>
      </c>
      <c r="AB651" s="135">
        <v>0.87672688629118</v>
      </c>
      <c r="AC651" s="135">
        <v>0.814850242123513</v>
      </c>
      <c r="AD651" s="135">
        <v>0.92</v>
      </c>
      <c r="AE651" s="133">
        <v>1</v>
      </c>
      <c r="AF651" s="133">
        <v>0.98961038961039</v>
      </c>
      <c r="AG651" s="133">
        <v>0.978520286396181</v>
      </c>
      <c r="AH651" s="133">
        <v>0.986052409129332</v>
      </c>
      <c r="AI651" s="135">
        <v>0.92</v>
      </c>
      <c r="AJ651" s="133">
        <v>0.922270203578038</v>
      </c>
      <c r="AK651" s="133">
        <v>0.861255037420841</v>
      </c>
      <c r="AL651" s="133">
        <v>0.945706698141045</v>
      </c>
      <c r="AM651" s="133">
        <v>0.926827961789126</v>
      </c>
      <c r="AN651" s="132">
        <v>0.99</v>
      </c>
      <c r="AO651" s="137">
        <v>1</v>
      </c>
      <c r="AP651" s="137">
        <v>1</v>
      </c>
      <c r="AQ651" s="137">
        <v>1</v>
      </c>
      <c r="AR651" s="137">
        <v>1</v>
      </c>
      <c r="AS651" s="158">
        <v>0.0810595228934205</v>
      </c>
      <c r="AT651" s="141">
        <v>0</v>
      </c>
      <c r="AU651" s="141">
        <v>0.0476190476190476</v>
      </c>
      <c r="AV651" s="141">
        <v>0.0833333333333333</v>
      </c>
      <c r="AW651" s="141">
        <v>0.0555555555555556</v>
      </c>
      <c r="AX651" s="95"/>
      <c r="AY651" s="93"/>
    </row>
    <row r="652" ht="14.5" spans="1:51">
      <c r="A652" s="91"/>
      <c r="B652" s="95"/>
      <c r="C652" s="152" t="s">
        <v>668</v>
      </c>
      <c r="D652" s="153" t="s">
        <v>25</v>
      </c>
      <c r="E652" s="130" t="s">
        <v>669</v>
      </c>
      <c r="F652" s="179" t="s">
        <v>679</v>
      </c>
      <c r="G652" s="179" t="s">
        <v>679</v>
      </c>
      <c r="H652" s="179" t="s">
        <v>679</v>
      </c>
      <c r="I652" s="179" t="s">
        <v>679</v>
      </c>
      <c r="J652" s="132">
        <v>0.9</v>
      </c>
      <c r="K652" s="133">
        <v>1</v>
      </c>
      <c r="L652" s="133">
        <v>1</v>
      </c>
      <c r="M652" s="134">
        <v>1</v>
      </c>
      <c r="N652" s="133">
        <v>0.995604395604396</v>
      </c>
      <c r="O652" s="135">
        <v>0.9</v>
      </c>
      <c r="P652" s="133">
        <v>0.954136690647482</v>
      </c>
      <c r="Q652" s="133">
        <v>0.933843384338434</v>
      </c>
      <c r="R652" s="133">
        <v>0.943786982248521</v>
      </c>
      <c r="S652" s="133">
        <v>0.936205489907098</v>
      </c>
      <c r="T652" s="135">
        <v>0.9</v>
      </c>
      <c r="U652" s="133">
        <v>0.920863309352518</v>
      </c>
      <c r="V652" s="133">
        <v>0.914041404140414</v>
      </c>
      <c r="W652" s="133">
        <v>0.928500986193294</v>
      </c>
      <c r="X652" s="133">
        <v>0.920362133852673</v>
      </c>
      <c r="Y652" s="135">
        <v>0.92</v>
      </c>
      <c r="Z652" s="135">
        <v>0.837606837606838</v>
      </c>
      <c r="AA652" s="135">
        <v>0.87344398340249</v>
      </c>
      <c r="AB652" s="135">
        <v>0.86</v>
      </c>
      <c r="AC652" s="135">
        <v>0.872768135847172</v>
      </c>
      <c r="AD652" s="135">
        <v>0.92</v>
      </c>
      <c r="AE652" s="133">
        <v>0.998588567395907</v>
      </c>
      <c r="AF652" s="133">
        <v>0.996523388116308</v>
      </c>
      <c r="AG652" s="133">
        <v>0.998620055197792</v>
      </c>
      <c r="AH652" s="133">
        <v>0.993946081355123</v>
      </c>
      <c r="AI652" s="135">
        <v>0.92</v>
      </c>
      <c r="AJ652" s="133">
        <v>0.939381611065907</v>
      </c>
      <c r="AK652" s="133">
        <v>0.946005917159763</v>
      </c>
      <c r="AL652" s="133">
        <v>0.946068340881021</v>
      </c>
      <c r="AM652" s="133">
        <v>0.950339041989046</v>
      </c>
      <c r="AN652" s="132">
        <v>0.99</v>
      </c>
      <c r="AO652" s="137">
        <v>1</v>
      </c>
      <c r="AP652" s="137">
        <v>1</v>
      </c>
      <c r="AQ652" s="137">
        <v>1</v>
      </c>
      <c r="AR652" s="137">
        <v>1</v>
      </c>
      <c r="AS652" s="158">
        <v>0.0810595228934205</v>
      </c>
      <c r="AT652" s="141">
        <v>0.222222222222222</v>
      </c>
      <c r="AU652" s="141">
        <v>0</v>
      </c>
      <c r="AV652" s="141">
        <v>0</v>
      </c>
      <c r="AW652" s="141">
        <v>0.0443037974683544</v>
      </c>
      <c r="AX652" s="95"/>
      <c r="AY652" s="93"/>
    </row>
    <row r="653" ht="14.5" spans="1:51">
      <c r="A653" s="91"/>
      <c r="B653" s="95"/>
      <c r="C653" s="152" t="s">
        <v>668</v>
      </c>
      <c r="D653" s="153" t="s">
        <v>25</v>
      </c>
      <c r="E653" s="130" t="s">
        <v>669</v>
      </c>
      <c r="F653" s="179" t="s">
        <v>680</v>
      </c>
      <c r="G653" s="179" t="s">
        <v>680</v>
      </c>
      <c r="H653" s="179" t="s">
        <v>680</v>
      </c>
      <c r="I653" s="179" t="s">
        <v>680</v>
      </c>
      <c r="J653" s="132">
        <v>0.9</v>
      </c>
      <c r="K653" s="133">
        <v>0.967741935483871</v>
      </c>
      <c r="L653" s="133">
        <v>0.952380952380952</v>
      </c>
      <c r="M653" s="134">
        <v>0.984126984126984</v>
      </c>
      <c r="N653" s="133">
        <v>0.961254612546125</v>
      </c>
      <c r="O653" s="135">
        <v>0.9</v>
      </c>
      <c r="P653" s="133">
        <v>0.973572439830109</v>
      </c>
      <c r="Q653" s="133">
        <v>0.968735942420153</v>
      </c>
      <c r="R653" s="133">
        <v>0.97289905519642</v>
      </c>
      <c r="S653" s="133">
        <v>0.967646006002698</v>
      </c>
      <c r="T653" s="135">
        <v>0.9</v>
      </c>
      <c r="U653" s="133">
        <v>0.938650306748466</v>
      </c>
      <c r="V653" s="133">
        <v>0.954116059379217</v>
      </c>
      <c r="W653" s="133">
        <v>0.950770760815515</v>
      </c>
      <c r="X653" s="133">
        <v>0.947159732356748</v>
      </c>
      <c r="Y653" s="135">
        <v>0.92</v>
      </c>
      <c r="Z653" s="135">
        <v>0.979301423027167</v>
      </c>
      <c r="AA653" s="135">
        <v>0.974169741697417</v>
      </c>
      <c r="AB653" s="135">
        <v>0.966340933767644</v>
      </c>
      <c r="AC653" s="135">
        <v>0.970702894270526</v>
      </c>
      <c r="AD653" s="135">
        <v>0.92</v>
      </c>
      <c r="AE653" s="133">
        <v>0.968085946757248</v>
      </c>
      <c r="AF653" s="133">
        <v>0.94675793877163</v>
      </c>
      <c r="AG653" s="133">
        <v>0.968963004244009</v>
      </c>
      <c r="AH653" s="133">
        <v>0.964847235721898</v>
      </c>
      <c r="AI653" s="135">
        <v>0.92</v>
      </c>
      <c r="AJ653" s="133">
        <v>0.982043096568236</v>
      </c>
      <c r="AK653" s="133">
        <v>0.985360563889391</v>
      </c>
      <c r="AL653" s="133">
        <v>0.986650485436893</v>
      </c>
      <c r="AM653" s="133">
        <v>0.986627076263618</v>
      </c>
      <c r="AN653" s="132">
        <v>0.99</v>
      </c>
      <c r="AO653" s="137">
        <v>1</v>
      </c>
      <c r="AP653" s="137">
        <v>1</v>
      </c>
      <c r="AQ653" s="137">
        <v>1</v>
      </c>
      <c r="AR653" s="137">
        <v>1</v>
      </c>
      <c r="AS653" s="158">
        <v>0.0810595228934205</v>
      </c>
      <c r="AT653" s="141">
        <v>0</v>
      </c>
      <c r="AU653" s="141">
        <v>0.133333333333333</v>
      </c>
      <c r="AV653" s="141">
        <v>0.0909090909090909</v>
      </c>
      <c r="AW653" s="141">
        <v>0.03125</v>
      </c>
      <c r="AX653" s="95"/>
      <c r="AY653" s="93"/>
    </row>
    <row r="654" ht="14.5" spans="1:51">
      <c r="A654" s="91"/>
      <c r="B654" s="95"/>
      <c r="C654" s="152" t="s">
        <v>668</v>
      </c>
      <c r="D654" s="153" t="s">
        <v>25</v>
      </c>
      <c r="E654" s="130" t="s">
        <v>669</v>
      </c>
      <c r="F654" s="179" t="s">
        <v>681</v>
      </c>
      <c r="G654" s="179" t="s">
        <v>681</v>
      </c>
      <c r="H654" s="179" t="s">
        <v>681</v>
      </c>
      <c r="I654" s="179" t="s">
        <v>681</v>
      </c>
      <c r="J654" s="132">
        <v>0.9</v>
      </c>
      <c r="K654" s="133">
        <v>0.944444444444444</v>
      </c>
      <c r="L654" s="133">
        <v>1</v>
      </c>
      <c r="M654" s="134">
        <v>1</v>
      </c>
      <c r="N654" s="133">
        <v>0.973856209150327</v>
      </c>
      <c r="O654" s="135">
        <v>0.9</v>
      </c>
      <c r="P654" s="133">
        <v>0.905759162303665</v>
      </c>
      <c r="Q654" s="133">
        <v>0.942261904761905</v>
      </c>
      <c r="R654" s="133">
        <v>0.95494923857868</v>
      </c>
      <c r="S654" s="133">
        <v>0.923677020419902</v>
      </c>
      <c r="T654" s="135">
        <v>0.9</v>
      </c>
      <c r="U654" s="133">
        <v>0.849476439790576</v>
      </c>
      <c r="V654" s="133">
        <v>0.906547619047619</v>
      </c>
      <c r="W654" s="133">
        <v>0.932106598984772</v>
      </c>
      <c r="X654" s="133">
        <v>0.892364106988783</v>
      </c>
      <c r="Y654" s="135">
        <v>0.92</v>
      </c>
      <c r="Z654" s="135">
        <v>0.864705882352941</v>
      </c>
      <c r="AA654" s="135">
        <v>0.844919786096257</v>
      </c>
      <c r="AB654" s="135">
        <v>0.728888888888889</v>
      </c>
      <c r="AC654" s="135">
        <v>0.814309764309764</v>
      </c>
      <c r="AD654" s="135">
        <v>0.92</v>
      </c>
      <c r="AE654" s="133">
        <v>0.999081726354454</v>
      </c>
      <c r="AF654" s="133">
        <v>0.996935079409306</v>
      </c>
      <c r="AG654" s="133">
        <v>0.999217935349322</v>
      </c>
      <c r="AH654" s="133">
        <v>0.98938554399087</v>
      </c>
      <c r="AI654" s="135">
        <v>0.92</v>
      </c>
      <c r="AJ654" s="133">
        <v>0.905182567726737</v>
      </c>
      <c r="AK654" s="133">
        <v>0.94795719844358</v>
      </c>
      <c r="AL654" s="133">
        <v>0.934480843975569</v>
      </c>
      <c r="AM654" s="133">
        <v>0.937618483412322</v>
      </c>
      <c r="AN654" s="132">
        <v>0.99</v>
      </c>
      <c r="AO654" s="137">
        <v>1</v>
      </c>
      <c r="AP654" s="137">
        <v>1</v>
      </c>
      <c r="AQ654" s="137">
        <v>1</v>
      </c>
      <c r="AR654" s="137">
        <v>1</v>
      </c>
      <c r="AS654" s="158">
        <v>0.0810595228934205</v>
      </c>
      <c r="AT654" s="141">
        <v>0.5</v>
      </c>
      <c r="AU654" s="141">
        <v>0</v>
      </c>
      <c r="AV654" s="141">
        <v>0</v>
      </c>
      <c r="AW654" s="141">
        <v>0.0759493670886076</v>
      </c>
      <c r="AX654" s="95"/>
      <c r="AY654" s="93"/>
    </row>
    <row r="655" ht="14.5" spans="1:51">
      <c r="A655" s="91"/>
      <c r="B655" s="95"/>
      <c r="C655" s="152" t="s">
        <v>668</v>
      </c>
      <c r="D655" s="153" t="s">
        <v>25</v>
      </c>
      <c r="E655" s="130" t="s">
        <v>669</v>
      </c>
      <c r="F655" s="179" t="s">
        <v>682</v>
      </c>
      <c r="G655" s="179" t="s">
        <v>682</v>
      </c>
      <c r="H655" s="179" t="s">
        <v>682</v>
      </c>
      <c r="I655" s="179" t="s">
        <v>682</v>
      </c>
      <c r="J655" s="132">
        <v>0.9</v>
      </c>
      <c r="K655" s="133">
        <v>0.92156862745098</v>
      </c>
      <c r="L655" s="133">
        <v>0.979166666666667</v>
      </c>
      <c r="M655" s="134">
        <v>0.96078431372549</v>
      </c>
      <c r="N655" s="133">
        <v>0.974025974025974</v>
      </c>
      <c r="O655" s="135">
        <v>0.9</v>
      </c>
      <c r="P655" s="133">
        <v>0.973385790326313</v>
      </c>
      <c r="Q655" s="133">
        <v>0.968455743879473</v>
      </c>
      <c r="R655" s="133">
        <v>0.991943866943867</v>
      </c>
      <c r="S655" s="133">
        <v>0.983230067715987</v>
      </c>
      <c r="T655" s="135">
        <v>0.9</v>
      </c>
      <c r="U655" s="133">
        <v>0.892848877574635</v>
      </c>
      <c r="V655" s="133">
        <v>0.916195856873823</v>
      </c>
      <c r="W655" s="133">
        <v>0.923336798336798</v>
      </c>
      <c r="X655" s="133">
        <v>0.899850024995834</v>
      </c>
      <c r="Y655" s="135">
        <v>0.92</v>
      </c>
      <c r="Z655" s="135">
        <v>0.898465171192444</v>
      </c>
      <c r="AA655" s="135">
        <v>0.888793103448276</v>
      </c>
      <c r="AB655" s="135">
        <v>0.888657648283039</v>
      </c>
      <c r="AC655" s="135">
        <v>0.86365227537923</v>
      </c>
      <c r="AD655" s="135">
        <v>0.92</v>
      </c>
      <c r="AE655" s="133">
        <v>0.999119365943479</v>
      </c>
      <c r="AF655" s="133">
        <v>0.978532329798153</v>
      </c>
      <c r="AG655" s="133">
        <v>0.963289341797528</v>
      </c>
      <c r="AH655" s="133">
        <v>0.978513746303285</v>
      </c>
      <c r="AI655" s="135">
        <v>0.92</v>
      </c>
      <c r="AJ655" s="133">
        <v>0.93752417794971</v>
      </c>
      <c r="AK655" s="133">
        <v>0.941970060986879</v>
      </c>
      <c r="AL655" s="133">
        <v>0.956765745167325</v>
      </c>
      <c r="AM655" s="133">
        <v>0.939847544846823</v>
      </c>
      <c r="AN655" s="132">
        <v>0.99</v>
      </c>
      <c r="AO655" s="137">
        <v>1</v>
      </c>
      <c r="AP655" s="137">
        <v>1</v>
      </c>
      <c r="AQ655" s="137">
        <v>1</v>
      </c>
      <c r="AR655" s="137">
        <v>1</v>
      </c>
      <c r="AS655" s="158">
        <v>0.0810595228934205</v>
      </c>
      <c r="AT655" s="141">
        <v>0.0769230769230769</v>
      </c>
      <c r="AU655" s="141">
        <v>0</v>
      </c>
      <c r="AV655" s="141">
        <v>0</v>
      </c>
      <c r="AW655" s="141">
        <v>0.0384615384615385</v>
      </c>
      <c r="AX655" s="95"/>
      <c r="AY655" s="93"/>
    </row>
    <row r="656" ht="14.5" spans="1:51">
      <c r="A656" s="91"/>
      <c r="B656" s="95"/>
      <c r="C656" s="152" t="s">
        <v>668</v>
      </c>
      <c r="D656" s="153" t="s">
        <v>25</v>
      </c>
      <c r="E656" s="130" t="s">
        <v>669</v>
      </c>
      <c r="F656" s="179" t="s">
        <v>683</v>
      </c>
      <c r="G656" s="179" t="s">
        <v>683</v>
      </c>
      <c r="H656" s="179" t="s">
        <v>683</v>
      </c>
      <c r="I656" s="179" t="s">
        <v>683</v>
      </c>
      <c r="J656" s="132">
        <v>0.9</v>
      </c>
      <c r="K656" s="133">
        <v>0.846153846153846</v>
      </c>
      <c r="L656" s="133">
        <v>0.8</v>
      </c>
      <c r="M656" s="134">
        <v>0.909090909090909</v>
      </c>
      <c r="N656" s="133">
        <v>0.90952380952381</v>
      </c>
      <c r="O656" s="135">
        <v>0.9</v>
      </c>
      <c r="P656" s="133">
        <v>0.947584789311408</v>
      </c>
      <c r="Q656" s="133">
        <v>0.891433418150975</v>
      </c>
      <c r="R656" s="133">
        <v>0.975409836065574</v>
      </c>
      <c r="S656" s="133">
        <v>0.933564992049002</v>
      </c>
      <c r="T656" s="135">
        <v>0.9</v>
      </c>
      <c r="U656" s="133">
        <v>0.910585817060637</v>
      </c>
      <c r="V656" s="133">
        <v>0.904156064461408</v>
      </c>
      <c r="W656" s="133">
        <v>0.894613583138173</v>
      </c>
      <c r="X656" s="133">
        <v>0.89469344484363</v>
      </c>
      <c r="Y656" s="135">
        <v>0.92</v>
      </c>
      <c r="Z656" s="135">
        <v>0.895238095238095</v>
      </c>
      <c r="AA656" s="135">
        <v>0.742574257425743</v>
      </c>
      <c r="AB656" s="135">
        <v>0.893023255813953</v>
      </c>
      <c r="AC656" s="135">
        <v>0.82378223495702</v>
      </c>
      <c r="AD656" s="135">
        <v>0.92</v>
      </c>
      <c r="AE656" s="133">
        <v>1</v>
      </c>
      <c r="AF656" s="133">
        <v>0.995475113122172</v>
      </c>
      <c r="AG656" s="133">
        <v>0.995121951219512</v>
      </c>
      <c r="AH656" s="133">
        <v>0.996571428571429</v>
      </c>
      <c r="AI656" s="135">
        <v>0.92</v>
      </c>
      <c r="AJ656" s="133">
        <v>0.939703153988868</v>
      </c>
      <c r="AK656" s="133">
        <v>0.916002896451847</v>
      </c>
      <c r="AL656" s="133">
        <v>0.95977549111319</v>
      </c>
      <c r="AM656" s="133">
        <v>0.939420587229469</v>
      </c>
      <c r="AN656" s="132">
        <v>0.99</v>
      </c>
      <c r="AO656" s="137">
        <v>1</v>
      </c>
      <c r="AP656" s="137">
        <v>1</v>
      </c>
      <c r="AQ656" s="137">
        <v>1</v>
      </c>
      <c r="AR656" s="137">
        <v>1</v>
      </c>
      <c r="AS656" s="158">
        <v>0.0810595228934205</v>
      </c>
      <c r="AT656" s="141">
        <v>0</v>
      </c>
      <c r="AU656" s="141">
        <v>0</v>
      </c>
      <c r="AV656" s="141">
        <v>0</v>
      </c>
      <c r="AW656" s="141">
        <v>0.0285714285714286</v>
      </c>
      <c r="AX656" s="95"/>
      <c r="AY656" s="93"/>
    </row>
    <row r="657" ht="14.5" spans="1:51">
      <c r="A657" s="91"/>
      <c r="B657" s="95"/>
      <c r="C657" s="152" t="s">
        <v>668</v>
      </c>
      <c r="D657" s="153" t="s">
        <v>25</v>
      </c>
      <c r="E657" s="130" t="s">
        <v>669</v>
      </c>
      <c r="F657" s="179" t="s">
        <v>684</v>
      </c>
      <c r="G657" s="179" t="s">
        <v>684</v>
      </c>
      <c r="H657" s="179" t="s">
        <v>684</v>
      </c>
      <c r="I657" s="179" t="s">
        <v>684</v>
      </c>
      <c r="J657" s="132">
        <v>0.9</v>
      </c>
      <c r="K657" s="133">
        <v>0.935483870967742</v>
      </c>
      <c r="L657" s="133">
        <v>0.933333333333333</v>
      </c>
      <c r="M657" s="134">
        <v>1</v>
      </c>
      <c r="N657" s="133">
        <v>0.965779467680608</v>
      </c>
      <c r="O657" s="135">
        <v>0.9</v>
      </c>
      <c r="P657" s="133">
        <v>0.933833259814733</v>
      </c>
      <c r="Q657" s="133">
        <v>0.931287219422813</v>
      </c>
      <c r="R657" s="133">
        <v>0.954434100930916</v>
      </c>
      <c r="S657" s="133">
        <v>0.88468966257175</v>
      </c>
      <c r="T657" s="135">
        <v>0.9</v>
      </c>
      <c r="U657" s="133">
        <v>0.936479929422144</v>
      </c>
      <c r="V657" s="133">
        <v>0.943655519926706</v>
      </c>
      <c r="W657" s="133">
        <v>0.965703086722195</v>
      </c>
      <c r="X657" s="133">
        <v>0.953409151869535</v>
      </c>
      <c r="Y657" s="135">
        <v>0.92</v>
      </c>
      <c r="Z657" s="135">
        <v>0.943181818181818</v>
      </c>
      <c r="AA657" s="135">
        <v>0.959074733096085</v>
      </c>
      <c r="AB657" s="135">
        <v>0.956331877729258</v>
      </c>
      <c r="AC657" s="135">
        <v>0.963612963612964</v>
      </c>
      <c r="AD657" s="135">
        <v>0.92</v>
      </c>
      <c r="AE657" s="133">
        <v>0.994722692422583</v>
      </c>
      <c r="AF657" s="133">
        <v>0.992830820770519</v>
      </c>
      <c r="AG657" s="133">
        <v>0.997753913104513</v>
      </c>
      <c r="AH657" s="133">
        <v>0.989087020185371</v>
      </c>
      <c r="AI657" s="135">
        <v>0.92</v>
      </c>
      <c r="AJ657" s="133">
        <v>0.978617793050783</v>
      </c>
      <c r="AK657" s="133">
        <v>0.979614124499454</v>
      </c>
      <c r="AL657" s="133">
        <v>0.984</v>
      </c>
      <c r="AM657" s="133">
        <v>0.984185498647587</v>
      </c>
      <c r="AN657" s="132">
        <v>0.99</v>
      </c>
      <c r="AO657" s="137">
        <v>1</v>
      </c>
      <c r="AP657" s="137">
        <v>1</v>
      </c>
      <c r="AQ657" s="137">
        <v>1</v>
      </c>
      <c r="AR657" s="137">
        <v>1</v>
      </c>
      <c r="AS657" s="158">
        <v>0.0810595228934205</v>
      </c>
      <c r="AT657" s="141">
        <v>0.0909090909090909</v>
      </c>
      <c r="AU657" s="141">
        <v>0</v>
      </c>
      <c r="AV657" s="141">
        <v>0.2</v>
      </c>
      <c r="AW657" s="141">
        <v>0.049645390070922</v>
      </c>
      <c r="AX657" s="95"/>
      <c r="AY657" s="93"/>
    </row>
    <row r="658" ht="14.5" spans="1:51">
      <c r="A658" s="91"/>
      <c r="B658" s="95"/>
      <c r="C658" s="152" t="s">
        <v>668</v>
      </c>
      <c r="D658" s="153" t="s">
        <v>25</v>
      </c>
      <c r="E658" s="130" t="s">
        <v>669</v>
      </c>
      <c r="F658" s="179" t="s">
        <v>685</v>
      </c>
      <c r="G658" s="179" t="s">
        <v>685</v>
      </c>
      <c r="H658" s="179" t="s">
        <v>685</v>
      </c>
      <c r="I658" s="179" t="s">
        <v>685</v>
      </c>
      <c r="J658" s="132">
        <v>0.9</v>
      </c>
      <c r="K658" s="133">
        <v>0.941176470588235</v>
      </c>
      <c r="L658" s="133">
        <v>0.846153846153846</v>
      </c>
      <c r="M658" s="134">
        <v>0.928571428571429</v>
      </c>
      <c r="N658" s="133">
        <v>0.910344827586207</v>
      </c>
      <c r="O658" s="135">
        <v>0.9</v>
      </c>
      <c r="P658" s="133">
        <v>0.858599290780142</v>
      </c>
      <c r="Q658" s="133">
        <v>0.596761757902853</v>
      </c>
      <c r="R658" s="133">
        <v>0.78989010989011</v>
      </c>
      <c r="S658" s="133">
        <v>0.859491413635586</v>
      </c>
      <c r="T658" s="135">
        <v>0.9</v>
      </c>
      <c r="U658" s="133">
        <v>0.475177304964539</v>
      </c>
      <c r="V658" s="133">
        <v>0.432536622976099</v>
      </c>
      <c r="W658" s="133">
        <v>0.521318681318681</v>
      </c>
      <c r="X658" s="133">
        <v>0.511077997899211</v>
      </c>
      <c r="Y658" s="135">
        <v>0.92</v>
      </c>
      <c r="Z658" s="135">
        <v>0.444444444444444</v>
      </c>
      <c r="AA658" s="135">
        <v>0.359019264448336</v>
      </c>
      <c r="AB658" s="135">
        <v>0.449367088607595</v>
      </c>
      <c r="AC658" s="135">
        <v>0.471501390176089</v>
      </c>
      <c r="AD658" s="135">
        <v>0.92</v>
      </c>
      <c r="AE658" s="133">
        <v>0.999078341013825</v>
      </c>
      <c r="AF658" s="133">
        <v>0.994984326018809</v>
      </c>
      <c r="AG658" s="133">
        <v>0.97201646090535</v>
      </c>
      <c r="AH658" s="133">
        <v>0.980505315477012</v>
      </c>
      <c r="AI658" s="135">
        <v>0.92</v>
      </c>
      <c r="AJ658" s="133">
        <v>0.615261044176707</v>
      </c>
      <c r="AK658" s="133">
        <v>0.819905213270142</v>
      </c>
      <c r="AL658" s="133">
        <v>0.758821389596217</v>
      </c>
      <c r="AM658" s="133">
        <v>0.790051236535281</v>
      </c>
      <c r="AN658" s="132">
        <v>0.99</v>
      </c>
      <c r="AO658" s="137">
        <v>1</v>
      </c>
      <c r="AP658" s="137">
        <v>1</v>
      </c>
      <c r="AQ658" s="137">
        <v>1</v>
      </c>
      <c r="AR658" s="137">
        <v>1</v>
      </c>
      <c r="AS658" s="158">
        <v>0.0810595228934205</v>
      </c>
      <c r="AT658" s="141">
        <v>0</v>
      </c>
      <c r="AU658" s="141">
        <v>0</v>
      </c>
      <c r="AV658" s="141">
        <v>0.0769230769230769</v>
      </c>
      <c r="AW658" s="141">
        <v>0.0204081632653061</v>
      </c>
      <c r="AX658" s="95"/>
      <c r="AY658" s="93"/>
    </row>
    <row r="659" ht="14.5" spans="1:51">
      <c r="A659" s="91"/>
      <c r="B659" s="95"/>
      <c r="C659" s="152" t="s">
        <v>668</v>
      </c>
      <c r="D659" s="153" t="s">
        <v>25</v>
      </c>
      <c r="E659" s="130" t="s">
        <v>669</v>
      </c>
      <c r="F659" s="179" t="s">
        <v>686</v>
      </c>
      <c r="G659" s="179" t="s">
        <v>686</v>
      </c>
      <c r="H659" s="179" t="s">
        <v>686</v>
      </c>
      <c r="I659" s="179" t="s">
        <v>686</v>
      </c>
      <c r="J659" s="132">
        <v>0.9</v>
      </c>
      <c r="K659" s="133">
        <v>1</v>
      </c>
      <c r="L659" s="133">
        <v>1</v>
      </c>
      <c r="M659" s="134">
        <v>1</v>
      </c>
      <c r="N659" s="133">
        <v>0.981666666666667</v>
      </c>
      <c r="O659" s="135">
        <v>0.9</v>
      </c>
      <c r="P659" s="133">
        <v>0.984573852680293</v>
      </c>
      <c r="Q659" s="133">
        <v>0.983619047619048</v>
      </c>
      <c r="R659" s="133">
        <v>0.983985765124555</v>
      </c>
      <c r="S659" s="133">
        <v>0.972467015185462</v>
      </c>
      <c r="T659" s="135">
        <v>0.9</v>
      </c>
      <c r="U659" s="133">
        <v>0.970690320092557</v>
      </c>
      <c r="V659" s="133">
        <v>0.96952380952381</v>
      </c>
      <c r="W659" s="133">
        <v>0.976423487544484</v>
      </c>
      <c r="X659" s="133">
        <v>0.964177246701518</v>
      </c>
      <c r="Y659" s="135">
        <v>0.92</v>
      </c>
      <c r="Z659" s="135">
        <v>0.985365853658537</v>
      </c>
      <c r="AA659" s="135">
        <v>0.977181208053691</v>
      </c>
      <c r="AB659" s="135">
        <v>0.991440798858773</v>
      </c>
      <c r="AC659" s="135">
        <v>0.974643279105698</v>
      </c>
      <c r="AD659" s="135">
        <v>0.92</v>
      </c>
      <c r="AE659" s="133">
        <v>0.996966057771317</v>
      </c>
      <c r="AF659" s="133">
        <v>0.98232527971461</v>
      </c>
      <c r="AG659" s="133">
        <v>0.980320321618467</v>
      </c>
      <c r="AH659" s="133">
        <v>0.978115775751527</v>
      </c>
      <c r="AI659" s="135">
        <v>0.92</v>
      </c>
      <c r="AJ659" s="133">
        <v>0.988466334164589</v>
      </c>
      <c r="AK659" s="133">
        <v>0.983990512896531</v>
      </c>
      <c r="AL659" s="133">
        <v>0.993220338983051</v>
      </c>
      <c r="AM659" s="133">
        <v>0.986696880310992</v>
      </c>
      <c r="AN659" s="132">
        <v>0.99</v>
      </c>
      <c r="AO659" s="137">
        <v>1</v>
      </c>
      <c r="AP659" s="137">
        <v>1</v>
      </c>
      <c r="AQ659" s="137">
        <v>1</v>
      </c>
      <c r="AR659" s="137">
        <v>1</v>
      </c>
      <c r="AS659" s="158">
        <v>0.0810595228934205</v>
      </c>
      <c r="AT659" s="141">
        <v>0</v>
      </c>
      <c r="AU659" s="141">
        <v>0</v>
      </c>
      <c r="AV659" s="141">
        <v>0</v>
      </c>
      <c r="AW659" s="141">
        <v>0.0377358490566038</v>
      </c>
      <c r="AX659" s="95"/>
      <c r="AY659" s="93"/>
    </row>
    <row r="660" ht="14.5" spans="1:51">
      <c r="A660" s="91"/>
      <c r="B660" s="95"/>
      <c r="C660" s="152" t="s">
        <v>668</v>
      </c>
      <c r="D660" s="153" t="s">
        <v>25</v>
      </c>
      <c r="E660" s="130" t="s">
        <v>669</v>
      </c>
      <c r="F660" s="179" t="s">
        <v>687</v>
      </c>
      <c r="G660" s="179" t="s">
        <v>687</v>
      </c>
      <c r="H660" s="179" t="s">
        <v>687</v>
      </c>
      <c r="I660" s="179" t="s">
        <v>687</v>
      </c>
      <c r="J660" s="132">
        <v>0.9</v>
      </c>
      <c r="K660" s="133">
        <v>0.880597014925373</v>
      </c>
      <c r="L660" s="133">
        <v>0.901639344262295</v>
      </c>
      <c r="M660" s="134">
        <v>0.941176470588235</v>
      </c>
      <c r="N660" s="133">
        <v>0.949912126537786</v>
      </c>
      <c r="O660" s="135">
        <v>0.9</v>
      </c>
      <c r="P660" s="133">
        <v>0.969516348773842</v>
      </c>
      <c r="Q660" s="133">
        <v>0.919148936170213</v>
      </c>
      <c r="R660" s="133">
        <v>0.913709376167351</v>
      </c>
      <c r="S660" s="133">
        <v>0.923924396078299</v>
      </c>
      <c r="T660" s="135">
        <v>0.9</v>
      </c>
      <c r="U660" s="133">
        <v>0.940735694822888</v>
      </c>
      <c r="V660" s="133">
        <v>0.95063829787234</v>
      </c>
      <c r="W660" s="133">
        <v>0.95442659693687</v>
      </c>
      <c r="X660" s="133">
        <v>0.948317105218827</v>
      </c>
      <c r="Y660" s="135">
        <v>0.92</v>
      </c>
      <c r="Z660" s="135">
        <v>0.853174603174603</v>
      </c>
      <c r="AA660" s="135">
        <v>0.903284671532847</v>
      </c>
      <c r="AB660" s="135">
        <v>0.90356394129979</v>
      </c>
      <c r="AC660" s="135">
        <v>0.884071835456799</v>
      </c>
      <c r="AD660" s="135">
        <v>0.92</v>
      </c>
      <c r="AE660" s="133">
        <v>0.995141095122407</v>
      </c>
      <c r="AF660" s="133">
        <v>0.975194943417537</v>
      </c>
      <c r="AG660" s="133">
        <v>0.970011827859158</v>
      </c>
      <c r="AH660" s="133">
        <v>0.974403580362611</v>
      </c>
      <c r="AI660" s="135">
        <v>0.92</v>
      </c>
      <c r="AJ660" s="133">
        <v>0.948157489141096</v>
      </c>
      <c r="AK660" s="133">
        <v>0.962637947081505</v>
      </c>
      <c r="AL660" s="133">
        <v>0.966273932253314</v>
      </c>
      <c r="AM660" s="133">
        <v>0.960885780053889</v>
      </c>
      <c r="AN660" s="132">
        <v>0.99</v>
      </c>
      <c r="AO660" s="137">
        <v>1</v>
      </c>
      <c r="AP660" s="137">
        <v>1</v>
      </c>
      <c r="AQ660" s="137">
        <v>1</v>
      </c>
      <c r="AR660" s="137">
        <v>1</v>
      </c>
      <c r="AS660" s="158">
        <v>0.0810595228934205</v>
      </c>
      <c r="AT660" s="141">
        <v>0.0588235294117647</v>
      </c>
      <c r="AU660" s="141">
        <v>0</v>
      </c>
      <c r="AV660" s="141">
        <v>0</v>
      </c>
      <c r="AW660" s="141">
        <v>0.0203389830508475</v>
      </c>
      <c r="AX660" s="95"/>
      <c r="AY660" s="93"/>
    </row>
    <row r="661" ht="14.5" spans="1:51">
      <c r="A661" s="91"/>
      <c r="B661" s="95"/>
      <c r="C661" s="152" t="s">
        <v>668</v>
      </c>
      <c r="D661" s="153" t="s">
        <v>25</v>
      </c>
      <c r="E661" s="130" t="s">
        <v>669</v>
      </c>
      <c r="F661" s="179" t="s">
        <v>688</v>
      </c>
      <c r="G661" s="179" t="s">
        <v>688</v>
      </c>
      <c r="H661" s="179" t="s">
        <v>688</v>
      </c>
      <c r="I661" s="179" t="s">
        <v>688</v>
      </c>
      <c r="J661" s="132">
        <v>0.9</v>
      </c>
      <c r="K661" s="133">
        <v>0.96</v>
      </c>
      <c r="L661" s="133">
        <v>0.92</v>
      </c>
      <c r="M661" s="134">
        <v>0.962962962962963</v>
      </c>
      <c r="N661" s="133">
        <v>0.954648526077097</v>
      </c>
      <c r="O661" s="135">
        <v>0.9</v>
      </c>
      <c r="P661" s="133">
        <v>0.965038099506948</v>
      </c>
      <c r="Q661" s="133">
        <v>0.734205776173285</v>
      </c>
      <c r="R661" s="133">
        <v>0.846857991093518</v>
      </c>
      <c r="S661" s="133">
        <v>0.85334723406944</v>
      </c>
      <c r="T661" s="135">
        <v>0.9</v>
      </c>
      <c r="U661" s="133">
        <v>0.943747198565666</v>
      </c>
      <c r="V661" s="133">
        <v>0.950812274368231</v>
      </c>
      <c r="W661" s="133">
        <v>0.950766947055913</v>
      </c>
      <c r="X661" s="133">
        <v>0.943196537453006</v>
      </c>
      <c r="Y661" s="135">
        <v>0.92</v>
      </c>
      <c r="Z661" s="135">
        <v>0.89585172109444</v>
      </c>
      <c r="AA661" s="135">
        <v>0.953632148377125</v>
      </c>
      <c r="AB661" s="135">
        <v>0.957676348547718</v>
      </c>
      <c r="AC661" s="135">
        <v>0.947951037786056</v>
      </c>
      <c r="AD661" s="135">
        <v>0.92</v>
      </c>
      <c r="AE661" s="133">
        <v>0.998712169993561</v>
      </c>
      <c r="AF661" s="133">
        <v>0.965471626802008</v>
      </c>
      <c r="AG661" s="133">
        <v>0.846220757825371</v>
      </c>
      <c r="AH661" s="133">
        <v>0.96127089950302</v>
      </c>
      <c r="AI661" s="135">
        <v>0.92</v>
      </c>
      <c r="AJ661" s="133">
        <v>0.949070764832023</v>
      </c>
      <c r="AK661" s="133">
        <v>0.969972067039106</v>
      </c>
      <c r="AL661" s="133">
        <v>0.97770154373928</v>
      </c>
      <c r="AM661" s="133">
        <v>0.972777520757749</v>
      </c>
      <c r="AN661" s="132">
        <v>0.99</v>
      </c>
      <c r="AO661" s="137">
        <v>1</v>
      </c>
      <c r="AP661" s="137">
        <v>1</v>
      </c>
      <c r="AQ661" s="137">
        <v>1</v>
      </c>
      <c r="AR661" s="137">
        <v>1</v>
      </c>
      <c r="AS661" s="158">
        <v>0.0810595228934205</v>
      </c>
      <c r="AT661" s="141">
        <v>0</v>
      </c>
      <c r="AU661" s="141">
        <v>0</v>
      </c>
      <c r="AV661" s="141">
        <v>0</v>
      </c>
      <c r="AW661" s="141">
        <v>0.0258620689655172</v>
      </c>
      <c r="AX661" s="95"/>
      <c r="AY661" s="93"/>
    </row>
    <row r="662" ht="14.5" spans="1:51">
      <c r="A662" s="91"/>
      <c r="B662" s="95"/>
      <c r="C662" s="152" t="s">
        <v>668</v>
      </c>
      <c r="D662" s="153" t="s">
        <v>25</v>
      </c>
      <c r="E662" s="130" t="s">
        <v>669</v>
      </c>
      <c r="F662" s="179" t="s">
        <v>689</v>
      </c>
      <c r="G662" s="179" t="s">
        <v>689</v>
      </c>
      <c r="H662" s="179" t="s">
        <v>689</v>
      </c>
      <c r="I662" s="179" t="s">
        <v>689</v>
      </c>
      <c r="J662" s="132">
        <v>0.9</v>
      </c>
      <c r="K662" s="133">
        <v>0.885714285714286</v>
      </c>
      <c r="L662" s="133">
        <v>0.96875</v>
      </c>
      <c r="M662" s="134">
        <v>0.944444444444444</v>
      </c>
      <c r="N662" s="133">
        <v>0.975450081833061</v>
      </c>
      <c r="O662" s="135">
        <v>0.9</v>
      </c>
      <c r="P662" s="133">
        <v>0.836779586449626</v>
      </c>
      <c r="Q662" s="133">
        <v>0.919909331318474</v>
      </c>
      <c r="R662" s="133">
        <v>0.969615728328865</v>
      </c>
      <c r="S662" s="133">
        <v>0.947610570365061</v>
      </c>
      <c r="T662" s="135">
        <v>0.9</v>
      </c>
      <c r="U662" s="133">
        <v>0.92608886933568</v>
      </c>
      <c r="V662" s="133">
        <v>0.868908197959955</v>
      </c>
      <c r="W662" s="133">
        <v>0.933869526362824</v>
      </c>
      <c r="X662" s="133">
        <v>0.925068781356207</v>
      </c>
      <c r="Y662" s="135">
        <v>0.92</v>
      </c>
      <c r="Z662" s="135">
        <v>0.902127659574468</v>
      </c>
      <c r="AA662" s="135">
        <v>0.869481765834933</v>
      </c>
      <c r="AB662" s="135">
        <v>0.922431865828092</v>
      </c>
      <c r="AC662" s="135">
        <v>0.920149652592197</v>
      </c>
      <c r="AD662" s="135">
        <v>0.92</v>
      </c>
      <c r="AE662" s="133">
        <v>0.998796630565584</v>
      </c>
      <c r="AF662" s="133">
        <v>0.979787234042553</v>
      </c>
      <c r="AG662" s="133">
        <v>0.97815362931642</v>
      </c>
      <c r="AH662" s="133">
        <v>0.98981331007967</v>
      </c>
      <c r="AI662" s="135">
        <v>0.92</v>
      </c>
      <c r="AJ662" s="133">
        <v>0.944998007174173</v>
      </c>
      <c r="AK662" s="133">
        <v>0.933774834437086</v>
      </c>
      <c r="AL662" s="133">
        <v>0.962062615101289</v>
      </c>
      <c r="AM662" s="133">
        <v>0.955734215227886</v>
      </c>
      <c r="AN662" s="132">
        <v>0.99</v>
      </c>
      <c r="AO662" s="137">
        <v>1</v>
      </c>
      <c r="AP662" s="137">
        <v>1</v>
      </c>
      <c r="AQ662" s="137">
        <v>1</v>
      </c>
      <c r="AR662" s="137">
        <v>1</v>
      </c>
      <c r="AS662" s="158">
        <v>0.0810595228934205</v>
      </c>
      <c r="AT662" s="141">
        <v>0</v>
      </c>
      <c r="AU662" s="141">
        <v>0</v>
      </c>
      <c r="AV662" s="141">
        <v>0</v>
      </c>
      <c r="AW662" s="141">
        <v>0.0174927113702624</v>
      </c>
      <c r="AX662" s="95"/>
      <c r="AY662" s="93"/>
    </row>
    <row r="663" ht="14.5" spans="1:51">
      <c r="A663" s="91"/>
      <c r="B663" s="95"/>
      <c r="C663" s="152" t="s">
        <v>668</v>
      </c>
      <c r="D663" s="153" t="s">
        <v>25</v>
      </c>
      <c r="E663" s="130" t="s">
        <v>669</v>
      </c>
      <c r="F663" s="179" t="s">
        <v>690</v>
      </c>
      <c r="G663" s="179" t="s">
        <v>690</v>
      </c>
      <c r="H663" s="179" t="s">
        <v>690</v>
      </c>
      <c r="I663" s="179" t="s">
        <v>690</v>
      </c>
      <c r="J663" s="132">
        <v>0.9</v>
      </c>
      <c r="K663" s="133">
        <v>0.791666666666667</v>
      </c>
      <c r="L663" s="133">
        <v>0.954545454545455</v>
      </c>
      <c r="M663" s="134">
        <v>0.916666666666667</v>
      </c>
      <c r="N663" s="133">
        <v>0.900990099009901</v>
      </c>
      <c r="O663" s="135">
        <v>0.9</v>
      </c>
      <c r="P663" s="133">
        <v>0.676328502415459</v>
      </c>
      <c r="Q663" s="133">
        <v>0.671340437464947</v>
      </c>
      <c r="R663" s="133">
        <v>0.666001330671989</v>
      </c>
      <c r="S663" s="133">
        <v>0.730670395283803</v>
      </c>
      <c r="T663" s="135">
        <v>0.9</v>
      </c>
      <c r="U663" s="133">
        <v>0.922705314009662</v>
      </c>
      <c r="V663" s="133">
        <v>0.878295008412787</v>
      </c>
      <c r="W663" s="133">
        <v>0.908848968729208</v>
      </c>
      <c r="X663" s="133">
        <v>0.917428765777341</v>
      </c>
      <c r="Y663" s="135">
        <v>0.92</v>
      </c>
      <c r="Z663" s="135">
        <v>0.917647058823529</v>
      </c>
      <c r="AA663" s="135">
        <v>0.92896174863388</v>
      </c>
      <c r="AB663" s="135">
        <v>0.948387096774194</v>
      </c>
      <c r="AC663" s="135">
        <v>0.934877475662974</v>
      </c>
      <c r="AD663" s="135">
        <v>0.92</v>
      </c>
      <c r="AE663" s="133">
        <v>1</v>
      </c>
      <c r="AF663" s="133">
        <v>0.99601593625498</v>
      </c>
      <c r="AG663" s="133">
        <v>0.990267639902676</v>
      </c>
      <c r="AH663" s="133">
        <v>0.988091406501448</v>
      </c>
      <c r="AI663" s="135">
        <v>0.92</v>
      </c>
      <c r="AJ663" s="133">
        <v>0.947498455836936</v>
      </c>
      <c r="AK663" s="133">
        <v>0.941368078175896</v>
      </c>
      <c r="AL663" s="133">
        <v>0.969128996692392</v>
      </c>
      <c r="AM663" s="133">
        <v>0.963328501372482</v>
      </c>
      <c r="AN663" s="132">
        <v>0.99</v>
      </c>
      <c r="AO663" s="137">
        <v>1</v>
      </c>
      <c r="AP663" s="137">
        <v>1</v>
      </c>
      <c r="AQ663" s="137">
        <v>1</v>
      </c>
      <c r="AR663" s="137">
        <v>1</v>
      </c>
      <c r="AS663" s="158">
        <v>0.0810595228934205</v>
      </c>
      <c r="AT663" s="141">
        <v>0</v>
      </c>
      <c r="AU663" s="141">
        <v>0.0625</v>
      </c>
      <c r="AV663" s="141">
        <v>0</v>
      </c>
      <c r="AW663" s="141">
        <v>0.0252525252525253</v>
      </c>
      <c r="AX663" s="95"/>
      <c r="AY663" s="93"/>
    </row>
    <row r="664" ht="14.5" spans="1:51">
      <c r="A664" s="91"/>
      <c r="B664" s="95"/>
      <c r="C664" s="152" t="s">
        <v>668</v>
      </c>
      <c r="D664" s="153" t="s">
        <v>25</v>
      </c>
      <c r="E664" s="130" t="s">
        <v>669</v>
      </c>
      <c r="F664" s="179" t="s">
        <v>691</v>
      </c>
      <c r="G664" s="179" t="s">
        <v>691</v>
      </c>
      <c r="H664" s="179" t="s">
        <v>691</v>
      </c>
      <c r="I664" s="179" t="s">
        <v>691</v>
      </c>
      <c r="J664" s="132">
        <v>0.9</v>
      </c>
      <c r="K664" s="133">
        <v>0.966666666666667</v>
      </c>
      <c r="L664" s="133">
        <v>1</v>
      </c>
      <c r="M664" s="134">
        <v>0.939393939393939</v>
      </c>
      <c r="N664" s="133">
        <v>0.948717948717949</v>
      </c>
      <c r="O664" s="135">
        <v>0.9</v>
      </c>
      <c r="P664" s="133">
        <v>0.993300852618758</v>
      </c>
      <c r="Q664" s="133">
        <v>0.992991913746631</v>
      </c>
      <c r="R664" s="133">
        <v>0.991813602015113</v>
      </c>
      <c r="S664" s="133">
        <v>0.91781780031474</v>
      </c>
      <c r="T664" s="135">
        <v>0.9</v>
      </c>
      <c r="U664" s="133">
        <v>0.881242387332521</v>
      </c>
      <c r="V664" s="133">
        <v>0.911051212938005</v>
      </c>
      <c r="W664" s="133">
        <v>0.923173803526448</v>
      </c>
      <c r="X664" s="133">
        <v>0.912257387655184</v>
      </c>
      <c r="Y664" s="135">
        <v>0.92</v>
      </c>
      <c r="Z664" s="135">
        <v>0.859459459459459</v>
      </c>
      <c r="AA664" s="135">
        <v>0.820638820638821</v>
      </c>
      <c r="AB664" s="135">
        <v>0.906705539358601</v>
      </c>
      <c r="AC664" s="135">
        <v>0.86015625</v>
      </c>
      <c r="AD664" s="135">
        <v>0.92</v>
      </c>
      <c r="AE664" s="133">
        <v>0.990476190476191</v>
      </c>
      <c r="AF664" s="133">
        <v>0.99418911780243</v>
      </c>
      <c r="AG664" s="133">
        <v>0.995040912472105</v>
      </c>
      <c r="AH664" s="133">
        <v>0.988693891326358</v>
      </c>
      <c r="AI664" s="135">
        <v>0.92</v>
      </c>
      <c r="AJ664" s="133">
        <v>0.933260393873085</v>
      </c>
      <c r="AK664" s="133">
        <v>0.928824049513705</v>
      </c>
      <c r="AL664" s="133">
        <v>0.945624029000518</v>
      </c>
      <c r="AM664" s="133">
        <v>0.936798194234121</v>
      </c>
      <c r="AN664" s="132">
        <v>0.99</v>
      </c>
      <c r="AO664" s="137">
        <v>1</v>
      </c>
      <c r="AP664" s="137">
        <v>1</v>
      </c>
      <c r="AQ664" s="137">
        <v>1</v>
      </c>
      <c r="AR664" s="137">
        <v>1</v>
      </c>
      <c r="AS664" s="158">
        <v>0.0810595228934205</v>
      </c>
      <c r="AT664" s="141">
        <v>0</v>
      </c>
      <c r="AU664" s="141">
        <v>0</v>
      </c>
      <c r="AV664" s="141">
        <v>0</v>
      </c>
      <c r="AW664" s="141">
        <v>0.0245398773006135</v>
      </c>
      <c r="AX664" s="95"/>
      <c r="AY664" s="93"/>
    </row>
    <row r="665" ht="14.5" spans="1:51">
      <c r="A665" s="91"/>
      <c r="B665" s="95"/>
      <c r="C665" s="152" t="s">
        <v>668</v>
      </c>
      <c r="D665" s="153" t="s">
        <v>25</v>
      </c>
      <c r="E665" s="130" t="s">
        <v>669</v>
      </c>
      <c r="F665" s="179" t="s">
        <v>692</v>
      </c>
      <c r="G665" s="179" t="s">
        <v>692</v>
      </c>
      <c r="H665" s="179" t="s">
        <v>692</v>
      </c>
      <c r="I665" s="179" t="s">
        <v>692</v>
      </c>
      <c r="J665" s="132">
        <v>0.9</v>
      </c>
      <c r="K665" s="133">
        <v>0.96</v>
      </c>
      <c r="L665" s="133">
        <v>0.851851851851852</v>
      </c>
      <c r="M665" s="134">
        <v>0.928571428571429</v>
      </c>
      <c r="N665" s="133">
        <v>0.950431034482759</v>
      </c>
      <c r="O665" s="135">
        <v>0.9</v>
      </c>
      <c r="P665" s="133">
        <v>0.968783638320775</v>
      </c>
      <c r="Q665" s="133">
        <v>0.905915230554262</v>
      </c>
      <c r="R665" s="133">
        <v>0.982878544676298</v>
      </c>
      <c r="S665" s="133">
        <v>0.966902227390643</v>
      </c>
      <c r="T665" s="135">
        <v>0.9</v>
      </c>
      <c r="U665" s="133">
        <v>0.919806243272336</v>
      </c>
      <c r="V665" s="133">
        <v>0.904983698183512</v>
      </c>
      <c r="W665" s="133">
        <v>0.948100588550027</v>
      </c>
      <c r="X665" s="133">
        <v>0.934132450726064</v>
      </c>
      <c r="Y665" s="135">
        <v>0.92</v>
      </c>
      <c r="Z665" s="135">
        <v>0.886255924170616</v>
      </c>
      <c r="AA665" s="135">
        <v>0.896470588235294</v>
      </c>
      <c r="AB665" s="135">
        <v>0.937662337662338</v>
      </c>
      <c r="AC665" s="135">
        <v>0.915158065387733</v>
      </c>
      <c r="AD665" s="135">
        <v>0.92</v>
      </c>
      <c r="AE665" s="133">
        <v>0.999309392265193</v>
      </c>
      <c r="AF665" s="133">
        <v>0.990881458966565</v>
      </c>
      <c r="AG665" s="133">
        <v>0.988653555219365</v>
      </c>
      <c r="AH665" s="133">
        <v>0.987580770817103</v>
      </c>
      <c r="AI665" s="135">
        <v>0.92</v>
      </c>
      <c r="AJ665" s="133">
        <v>0.954567423876269</v>
      </c>
      <c r="AK665" s="133">
        <v>0.949863972017101</v>
      </c>
      <c r="AL665" s="133">
        <v>0.966725820763088</v>
      </c>
      <c r="AM665" s="133">
        <v>0.963703866539655</v>
      </c>
      <c r="AN665" s="132">
        <v>0.99</v>
      </c>
      <c r="AO665" s="137">
        <v>1</v>
      </c>
      <c r="AP665" s="137">
        <v>1</v>
      </c>
      <c r="AQ665" s="137">
        <v>1</v>
      </c>
      <c r="AR665" s="137">
        <v>1</v>
      </c>
      <c r="AS665" s="158">
        <v>0.0810595228934205</v>
      </c>
      <c r="AT665" s="141">
        <v>0</v>
      </c>
      <c r="AU665" s="141">
        <v>0</v>
      </c>
      <c r="AV665" s="141">
        <v>0</v>
      </c>
      <c r="AW665" s="141">
        <v>0.02</v>
      </c>
      <c r="AX665" s="95"/>
      <c r="AY665" s="93"/>
    </row>
    <row r="666" ht="14.5" spans="1:51">
      <c r="A666" s="91"/>
      <c r="B666" s="95"/>
      <c r="C666" s="152" t="s">
        <v>668</v>
      </c>
      <c r="D666" s="153" t="s">
        <v>25</v>
      </c>
      <c r="E666" s="130" t="s">
        <v>669</v>
      </c>
      <c r="F666" s="179" t="s">
        <v>693</v>
      </c>
      <c r="G666" s="179" t="s">
        <v>693</v>
      </c>
      <c r="H666" s="179" t="s">
        <v>693</v>
      </c>
      <c r="I666" s="179" t="s">
        <v>693</v>
      </c>
      <c r="J666" s="132">
        <v>0.9</v>
      </c>
      <c r="K666" s="133">
        <v>0.956521739130435</v>
      </c>
      <c r="L666" s="133">
        <v>0.916666666666667</v>
      </c>
      <c r="M666" s="134">
        <v>0.92</v>
      </c>
      <c r="N666" s="133">
        <v>0.956834532374101</v>
      </c>
      <c r="O666" s="135">
        <v>0.9</v>
      </c>
      <c r="P666" s="133">
        <v>0.976152623211447</v>
      </c>
      <c r="Q666" s="133">
        <v>0.922627080521817</v>
      </c>
      <c r="R666" s="133">
        <v>0.984298863021115</v>
      </c>
      <c r="S666" s="133">
        <v>0.973964429472723</v>
      </c>
      <c r="T666" s="135">
        <v>0.9</v>
      </c>
      <c r="U666" s="133">
        <v>0.917329093799682</v>
      </c>
      <c r="V666" s="133">
        <v>0.909581646423752</v>
      </c>
      <c r="W666" s="133">
        <v>0.955062263129399</v>
      </c>
      <c r="X666" s="133">
        <v>0.945816323617574</v>
      </c>
      <c r="Y666" s="135">
        <v>0.92</v>
      </c>
      <c r="Z666" s="135">
        <v>0.916666666666667</v>
      </c>
      <c r="AA666" s="135">
        <v>0.89010989010989</v>
      </c>
      <c r="AB666" s="135">
        <v>0.94212962962963</v>
      </c>
      <c r="AC666" s="135">
        <v>0.932740626207963</v>
      </c>
      <c r="AD666" s="135">
        <v>0.92</v>
      </c>
      <c r="AE666" s="133">
        <v>1</v>
      </c>
      <c r="AF666" s="133">
        <v>0.998175182481752</v>
      </c>
      <c r="AG666" s="133">
        <v>0.996794871794872</v>
      </c>
      <c r="AH666" s="133">
        <v>0.996132650101518</v>
      </c>
      <c r="AI666" s="135">
        <v>0.92</v>
      </c>
      <c r="AJ666" s="133">
        <v>0.944684944684945</v>
      </c>
      <c r="AK666" s="133">
        <v>0.954850746268657</v>
      </c>
      <c r="AL666" s="133">
        <v>0.974989030276437</v>
      </c>
      <c r="AM666" s="133">
        <v>0.9732912723449</v>
      </c>
      <c r="AN666" s="132">
        <v>0.99</v>
      </c>
      <c r="AO666" s="137">
        <v>1</v>
      </c>
      <c r="AP666" s="137">
        <v>1</v>
      </c>
      <c r="AQ666" s="137">
        <v>1</v>
      </c>
      <c r="AR666" s="137">
        <v>1</v>
      </c>
      <c r="AS666" s="158">
        <v>0.0810595228934205</v>
      </c>
      <c r="AT666" s="141">
        <v>0</v>
      </c>
      <c r="AU666" s="141">
        <v>0</v>
      </c>
      <c r="AV666" s="141">
        <v>0.285714285714286</v>
      </c>
      <c r="AW666" s="141">
        <v>0.0620689655172414</v>
      </c>
      <c r="AX666" s="95"/>
      <c r="AY666" s="93"/>
    </row>
    <row r="667" ht="14.5" spans="1:51">
      <c r="A667" s="91"/>
      <c r="B667" s="95"/>
      <c r="C667" s="152" t="s">
        <v>668</v>
      </c>
      <c r="D667" s="153" t="s">
        <v>25</v>
      </c>
      <c r="E667" s="130" t="s">
        <v>669</v>
      </c>
      <c r="F667" s="179" t="s">
        <v>694</v>
      </c>
      <c r="G667" s="179" t="s">
        <v>694</v>
      </c>
      <c r="H667" s="179" t="s">
        <v>694</v>
      </c>
      <c r="I667" s="179" t="s">
        <v>694</v>
      </c>
      <c r="J667" s="132">
        <v>0.9</v>
      </c>
      <c r="K667" s="133">
        <v>1</v>
      </c>
      <c r="L667" s="133">
        <v>1</v>
      </c>
      <c r="M667" s="134">
        <v>1</v>
      </c>
      <c r="N667" s="133">
        <v>1</v>
      </c>
      <c r="O667" s="135">
        <v>0.9</v>
      </c>
      <c r="P667" s="133">
        <v>0.938173115277224</v>
      </c>
      <c r="Q667" s="133">
        <v>0.953835227272727</v>
      </c>
      <c r="R667" s="133">
        <v>0.955024311183144</v>
      </c>
      <c r="S667" s="133">
        <v>0.954796274224165</v>
      </c>
      <c r="T667" s="135">
        <v>0.9</v>
      </c>
      <c r="U667" s="133">
        <v>0.974072596729158</v>
      </c>
      <c r="V667" s="133">
        <v>0.97265625</v>
      </c>
      <c r="W667" s="133">
        <v>0.980145867098866</v>
      </c>
      <c r="X667" s="133">
        <v>0.977596786297621</v>
      </c>
      <c r="Y667" s="135">
        <v>0.92</v>
      </c>
      <c r="Z667" s="135">
        <v>0.923611111111111</v>
      </c>
      <c r="AA667" s="135">
        <v>0.962356792144026</v>
      </c>
      <c r="AB667" s="135">
        <v>0.966796875</v>
      </c>
      <c r="AC667" s="135">
        <v>0.966791535891465</v>
      </c>
      <c r="AD667" s="135">
        <v>0.92</v>
      </c>
      <c r="AE667" s="133">
        <v>1</v>
      </c>
      <c r="AF667" s="133">
        <v>0.983870967741935</v>
      </c>
      <c r="AG667" s="133">
        <v>0.996656378600823</v>
      </c>
      <c r="AH667" s="133">
        <v>0.99666427704057</v>
      </c>
      <c r="AI667" s="135">
        <v>0.92</v>
      </c>
      <c r="AJ667" s="133">
        <v>0.98221906116643</v>
      </c>
      <c r="AK667" s="133">
        <v>0.986620127981385</v>
      </c>
      <c r="AL667" s="133">
        <v>0.987621278019404</v>
      </c>
      <c r="AM667" s="133">
        <v>0.988205285913276</v>
      </c>
      <c r="AN667" s="132">
        <v>0.99</v>
      </c>
      <c r="AO667" s="137">
        <v>1</v>
      </c>
      <c r="AP667" s="137">
        <v>1</v>
      </c>
      <c r="AQ667" s="137">
        <v>1</v>
      </c>
      <c r="AR667" s="137">
        <v>1</v>
      </c>
      <c r="AS667" s="158">
        <v>0.0810595228934205</v>
      </c>
      <c r="AT667" s="141">
        <v>0</v>
      </c>
      <c r="AU667" s="141">
        <v>0</v>
      </c>
      <c r="AV667" s="141">
        <v>0</v>
      </c>
      <c r="AW667" s="141">
        <v>0.0173160173160173</v>
      </c>
      <c r="AX667" s="95"/>
      <c r="AY667" s="93"/>
    </row>
    <row r="668" ht="14.5" spans="1:51">
      <c r="A668" s="91"/>
      <c r="B668" s="95"/>
      <c r="C668" s="152" t="s">
        <v>668</v>
      </c>
      <c r="D668" s="153" t="s">
        <v>25</v>
      </c>
      <c r="E668" s="130" t="s">
        <v>669</v>
      </c>
      <c r="F668" s="179" t="s">
        <v>695</v>
      </c>
      <c r="G668" s="179" t="s">
        <v>695</v>
      </c>
      <c r="H668" s="179" t="s">
        <v>695</v>
      </c>
      <c r="I668" s="179" t="s">
        <v>695</v>
      </c>
      <c r="J668" s="132">
        <v>0.9</v>
      </c>
      <c r="K668" s="133">
        <v>0.970588235294118</v>
      </c>
      <c r="L668" s="133">
        <v>1</v>
      </c>
      <c r="M668" s="134">
        <v>1</v>
      </c>
      <c r="N668" s="133">
        <v>0.994949494949495</v>
      </c>
      <c r="O668" s="135">
        <v>0.9</v>
      </c>
      <c r="P668" s="133">
        <v>0.994011976047904</v>
      </c>
      <c r="Q668" s="133">
        <v>0.986717267552182</v>
      </c>
      <c r="R668" s="133">
        <v>0.996555683122847</v>
      </c>
      <c r="S668" s="133">
        <v>0.99318209737521</v>
      </c>
      <c r="T668" s="135">
        <v>0.9</v>
      </c>
      <c r="U668" s="133">
        <v>0.943488023952096</v>
      </c>
      <c r="V668" s="133">
        <v>0.919671094244149</v>
      </c>
      <c r="W668" s="133">
        <v>0.964408725602755</v>
      </c>
      <c r="X668" s="133">
        <v>0.952847958724049</v>
      </c>
      <c r="Y668" s="135">
        <v>0.92</v>
      </c>
      <c r="Z668" s="135">
        <v>0.875621890547264</v>
      </c>
      <c r="AA668" s="135">
        <v>0.911179173047473</v>
      </c>
      <c r="AB668" s="135">
        <v>0.937996820349762</v>
      </c>
      <c r="AC668" s="135">
        <v>0.927490542244641</v>
      </c>
      <c r="AD668" s="135">
        <v>0.92</v>
      </c>
      <c r="AE668" s="133">
        <v>0.99746835443038</v>
      </c>
      <c r="AF668" s="133">
        <v>0.99079754601227</v>
      </c>
      <c r="AG668" s="133">
        <v>1</v>
      </c>
      <c r="AH668" s="133">
        <v>0.996764091858038</v>
      </c>
      <c r="AI668" s="135">
        <v>0.92</v>
      </c>
      <c r="AJ668" s="133">
        <v>0.957426064348391</v>
      </c>
      <c r="AK668" s="133">
        <v>0.964884696016772</v>
      </c>
      <c r="AL668" s="133">
        <v>0.975015422578655</v>
      </c>
      <c r="AM668" s="133">
        <v>0.97092819614711</v>
      </c>
      <c r="AN668" s="132">
        <v>0.99</v>
      </c>
      <c r="AO668" s="137">
        <v>1</v>
      </c>
      <c r="AP668" s="137">
        <v>1</v>
      </c>
      <c r="AQ668" s="137">
        <v>1</v>
      </c>
      <c r="AR668" s="137">
        <v>1</v>
      </c>
      <c r="AS668" s="158">
        <v>0.0810595228934205</v>
      </c>
      <c r="AT668" s="141">
        <v>0.0833333333333333</v>
      </c>
      <c r="AU668" s="141">
        <v>0</v>
      </c>
      <c r="AV668" s="141">
        <v>0</v>
      </c>
      <c r="AW668" s="141">
        <v>0.024390243902439</v>
      </c>
      <c r="AX668" s="95"/>
      <c r="AY668" s="93"/>
    </row>
    <row r="669" ht="14.5" spans="1:51">
      <c r="A669" s="91"/>
      <c r="B669" s="95"/>
      <c r="C669" s="152" t="s">
        <v>668</v>
      </c>
      <c r="D669" s="153" t="s">
        <v>25</v>
      </c>
      <c r="E669" s="130" t="s">
        <v>669</v>
      </c>
      <c r="F669" s="179" t="s">
        <v>696</v>
      </c>
      <c r="G669" s="179" t="s">
        <v>696</v>
      </c>
      <c r="H669" s="179" t="s">
        <v>696</v>
      </c>
      <c r="I669" s="179" t="s">
        <v>696</v>
      </c>
      <c r="J669" s="132">
        <v>0.9</v>
      </c>
      <c r="K669" s="133">
        <v>1</v>
      </c>
      <c r="L669" s="133">
        <v>1</v>
      </c>
      <c r="M669" s="134">
        <v>0.923076923076923</v>
      </c>
      <c r="N669" s="133">
        <v>0.995867768595041</v>
      </c>
      <c r="O669" s="135">
        <v>0.9</v>
      </c>
      <c r="P669" s="133">
        <v>0.986194995685936</v>
      </c>
      <c r="Q669" s="133">
        <v>0.899275362318841</v>
      </c>
      <c r="R669" s="133">
        <v>0.992098331870061</v>
      </c>
      <c r="S669" s="133">
        <v>0.982407839477368</v>
      </c>
      <c r="T669" s="135">
        <v>0.9</v>
      </c>
      <c r="U669" s="133">
        <v>0.911130284728214</v>
      </c>
      <c r="V669" s="133">
        <v>0.873188405797101</v>
      </c>
      <c r="W669" s="133">
        <v>0.935908691834943</v>
      </c>
      <c r="X669" s="133">
        <v>0.933831077928138</v>
      </c>
      <c r="Y669" s="135">
        <v>0.92</v>
      </c>
      <c r="Z669" s="135">
        <v>0.894366197183099</v>
      </c>
      <c r="AA669" s="135">
        <v>0.925</v>
      </c>
      <c r="AB669" s="135">
        <v>0.898230088495575</v>
      </c>
      <c r="AC669" s="135">
        <v>0.93467984529437</v>
      </c>
      <c r="AD669" s="135">
        <v>0.92</v>
      </c>
      <c r="AE669" s="133">
        <v>0.988235294117647</v>
      </c>
      <c r="AF669" s="133">
        <v>1</v>
      </c>
      <c r="AG669" s="133">
        <v>0.990990990990991</v>
      </c>
      <c r="AH669" s="133">
        <v>0.993415276558385</v>
      </c>
      <c r="AI669" s="135">
        <v>0.92</v>
      </c>
      <c r="AJ669" s="133">
        <v>0.958493466564181</v>
      </c>
      <c r="AK669" s="133">
        <v>0.957228915662651</v>
      </c>
      <c r="AL669" s="133">
        <v>0.967032967032967</v>
      </c>
      <c r="AM669" s="133">
        <v>0.972281858610643</v>
      </c>
      <c r="AN669" s="132">
        <v>0.99</v>
      </c>
      <c r="AO669" s="137">
        <v>1</v>
      </c>
      <c r="AP669" s="137">
        <v>1</v>
      </c>
      <c r="AQ669" s="137">
        <v>1</v>
      </c>
      <c r="AR669" s="137">
        <v>1</v>
      </c>
      <c r="AS669" s="158">
        <v>0.0810595228934205</v>
      </c>
      <c r="AT669" s="141">
        <v>0</v>
      </c>
      <c r="AU669" s="141">
        <v>0.0714285714285714</v>
      </c>
      <c r="AV669" s="141">
        <v>0</v>
      </c>
      <c r="AW669" s="141">
        <v>0.0240963855421687</v>
      </c>
      <c r="AX669" s="95"/>
      <c r="AY669" s="93"/>
    </row>
    <row r="670" ht="14.5" spans="1:51">
      <c r="A670" s="91"/>
      <c r="B670" s="95"/>
      <c r="C670" s="152" t="s">
        <v>668</v>
      </c>
      <c r="D670" s="153" t="s">
        <v>25</v>
      </c>
      <c r="E670" s="130" t="s">
        <v>669</v>
      </c>
      <c r="F670" s="179" t="s">
        <v>697</v>
      </c>
      <c r="G670" s="179" t="s">
        <v>697</v>
      </c>
      <c r="H670" s="179" t="s">
        <v>697</v>
      </c>
      <c r="I670" s="179" t="s">
        <v>697</v>
      </c>
      <c r="J670" s="132">
        <v>0.9</v>
      </c>
      <c r="K670" s="133" t="s">
        <v>35</v>
      </c>
      <c r="L670" s="133" t="s">
        <v>35</v>
      </c>
      <c r="M670" s="134" t="s">
        <v>35</v>
      </c>
      <c r="N670" s="133" t="s">
        <v>35</v>
      </c>
      <c r="O670" s="135">
        <v>0.9</v>
      </c>
      <c r="P670" s="133" t="s">
        <v>35</v>
      </c>
      <c r="Q670" s="133" t="s">
        <v>35</v>
      </c>
      <c r="R670" s="133" t="s">
        <v>35</v>
      </c>
      <c r="S670" s="133" t="s">
        <v>35</v>
      </c>
      <c r="T670" s="135">
        <v>0.9</v>
      </c>
      <c r="U670" s="133" t="s">
        <v>35</v>
      </c>
      <c r="V670" s="133" t="s">
        <v>35</v>
      </c>
      <c r="W670" s="133" t="s">
        <v>35</v>
      </c>
      <c r="X670" s="133" t="s">
        <v>35</v>
      </c>
      <c r="Y670" s="135">
        <v>0.92</v>
      </c>
      <c r="Z670" s="135" t="s">
        <v>35</v>
      </c>
      <c r="AA670" s="135" t="s">
        <v>35</v>
      </c>
      <c r="AB670" s="135" t="s">
        <v>35</v>
      </c>
      <c r="AC670" s="135" t="s">
        <v>35</v>
      </c>
      <c r="AD670" s="135">
        <v>0.92</v>
      </c>
      <c r="AE670" s="133" t="s">
        <v>35</v>
      </c>
      <c r="AF670" s="133" t="s">
        <v>35</v>
      </c>
      <c r="AG670" s="133" t="s">
        <v>35</v>
      </c>
      <c r="AH670" s="133" t="s">
        <v>35</v>
      </c>
      <c r="AI670" s="135">
        <v>0.92</v>
      </c>
      <c r="AJ670" s="133" t="s">
        <v>35</v>
      </c>
      <c r="AK670" s="133" t="s">
        <v>35</v>
      </c>
      <c r="AL670" s="133" t="s">
        <v>35</v>
      </c>
      <c r="AM670" s="133" t="s">
        <v>35</v>
      </c>
      <c r="AN670" s="132">
        <v>0.99</v>
      </c>
      <c r="AO670" s="137" t="s">
        <v>35</v>
      </c>
      <c r="AP670" s="137" t="s">
        <v>35</v>
      </c>
      <c r="AQ670" s="137" t="s">
        <v>35</v>
      </c>
      <c r="AR670" s="137" t="s">
        <v>35</v>
      </c>
      <c r="AS670" s="158">
        <v>0.0810595228934205</v>
      </c>
      <c r="AT670" s="141" t="s">
        <v>35</v>
      </c>
      <c r="AU670" s="141" t="s">
        <v>35</v>
      </c>
      <c r="AV670" s="141" t="s">
        <v>35</v>
      </c>
      <c r="AW670" s="141" t="s">
        <v>35</v>
      </c>
      <c r="AX670" s="95"/>
      <c r="AY670" s="93"/>
    </row>
    <row r="671" ht="14.5" spans="1:51">
      <c r="A671" s="91"/>
      <c r="B671" s="95"/>
      <c r="C671" s="152" t="s">
        <v>668</v>
      </c>
      <c r="D671" s="153" t="s">
        <v>25</v>
      </c>
      <c r="E671" s="130" t="s">
        <v>669</v>
      </c>
      <c r="F671" s="179" t="s">
        <v>698</v>
      </c>
      <c r="G671" s="179" t="s">
        <v>698</v>
      </c>
      <c r="H671" s="179" t="s">
        <v>698</v>
      </c>
      <c r="I671" s="179" t="s">
        <v>698</v>
      </c>
      <c r="J671" s="132">
        <v>0.9</v>
      </c>
      <c r="K671" s="133">
        <v>0.807692307692308</v>
      </c>
      <c r="L671" s="133">
        <v>0.857142857142857</v>
      </c>
      <c r="M671" s="134">
        <v>0.777777777777778</v>
      </c>
      <c r="N671" s="133">
        <v>0.87741935483871</v>
      </c>
      <c r="O671" s="135">
        <v>0.9</v>
      </c>
      <c r="P671" s="133">
        <v>0.952618453865337</v>
      </c>
      <c r="Q671" s="133">
        <v>0.948259642521166</v>
      </c>
      <c r="R671" s="133">
        <v>0.957351290684624</v>
      </c>
      <c r="S671" s="133">
        <v>0.950162848158131</v>
      </c>
      <c r="T671" s="135">
        <v>0.9</v>
      </c>
      <c r="U671" s="133">
        <v>0.954613466334165</v>
      </c>
      <c r="V671" s="133">
        <v>0.952963311382879</v>
      </c>
      <c r="W671" s="133">
        <v>0.951739618406285</v>
      </c>
      <c r="X671" s="133">
        <v>0.948141284815813</v>
      </c>
      <c r="Y671" s="135">
        <v>0.92</v>
      </c>
      <c r="Z671" s="135">
        <v>0.9490022172949</v>
      </c>
      <c r="AA671" s="135">
        <v>0.960410557184751</v>
      </c>
      <c r="AB671" s="135">
        <v>0.959876543209877</v>
      </c>
      <c r="AC671" s="135">
        <v>0.960365035340431</v>
      </c>
      <c r="AD671" s="135">
        <v>0.92</v>
      </c>
      <c r="AE671" s="133">
        <v>0.996941896024465</v>
      </c>
      <c r="AF671" s="133">
        <v>0.995454545454545</v>
      </c>
      <c r="AG671" s="133">
        <v>0.998678996036988</v>
      </c>
      <c r="AH671" s="133">
        <v>0.997311827956989</v>
      </c>
      <c r="AI671" s="135">
        <v>0.92</v>
      </c>
      <c r="AJ671" s="133">
        <v>0.97557003257329</v>
      </c>
      <c r="AK671" s="133">
        <v>0.979700854700855</v>
      </c>
      <c r="AL671" s="133">
        <v>0.979835390946502</v>
      </c>
      <c r="AM671" s="133">
        <v>0.978527476284078</v>
      </c>
      <c r="AN671" s="132">
        <v>0.99</v>
      </c>
      <c r="AO671" s="137">
        <v>1</v>
      </c>
      <c r="AP671" s="137">
        <v>1</v>
      </c>
      <c r="AQ671" s="137">
        <v>1</v>
      </c>
      <c r="AR671" s="137">
        <v>1</v>
      </c>
      <c r="AS671" s="158">
        <v>0.0810595228934205</v>
      </c>
      <c r="AT671" s="141">
        <v>0</v>
      </c>
      <c r="AU671" s="141">
        <v>0.111111111111111</v>
      </c>
      <c r="AV671" s="141">
        <v>0</v>
      </c>
      <c r="AW671" s="141">
        <v>0.0357142857142857</v>
      </c>
      <c r="AX671" s="95"/>
      <c r="AY671" s="93"/>
    </row>
    <row r="672" ht="14.5" spans="1:51">
      <c r="A672" s="91"/>
      <c r="B672" s="95"/>
      <c r="C672" s="152" t="s">
        <v>668</v>
      </c>
      <c r="D672" s="153" t="s">
        <v>25</v>
      </c>
      <c r="E672" s="130" t="s">
        <v>669</v>
      </c>
      <c r="F672" s="179" t="s">
        <v>699</v>
      </c>
      <c r="G672" s="179" t="s">
        <v>699</v>
      </c>
      <c r="H672" s="179" t="s">
        <v>699</v>
      </c>
      <c r="I672" s="179" t="s">
        <v>699</v>
      </c>
      <c r="J672" s="132">
        <v>0.9</v>
      </c>
      <c r="K672" s="133">
        <v>0.851851851851852</v>
      </c>
      <c r="L672" s="133">
        <v>0.846153846153846</v>
      </c>
      <c r="M672" s="134">
        <v>0.851851851851852</v>
      </c>
      <c r="N672" s="133">
        <v>0.850446428571429</v>
      </c>
      <c r="O672" s="135">
        <v>0.9</v>
      </c>
      <c r="P672" s="133">
        <v>0.950670705322371</v>
      </c>
      <c r="Q672" s="133">
        <v>0.947781885397412</v>
      </c>
      <c r="R672" s="133">
        <v>0.956298200514139</v>
      </c>
      <c r="S672" s="133">
        <v>0.955386631716907</v>
      </c>
      <c r="T672" s="135">
        <v>0.9</v>
      </c>
      <c r="U672" s="133">
        <v>0.934227607096495</v>
      </c>
      <c r="V672" s="133">
        <v>0.936691312384473</v>
      </c>
      <c r="W672" s="133">
        <v>0.948586118251928</v>
      </c>
      <c r="X672" s="133">
        <v>0.944587155963303</v>
      </c>
      <c r="Y672" s="135">
        <v>0.92</v>
      </c>
      <c r="Z672" s="135">
        <v>0.89587852494577</v>
      </c>
      <c r="AA672" s="135">
        <v>0.925294888597641</v>
      </c>
      <c r="AB672" s="135">
        <v>0.925233644859813</v>
      </c>
      <c r="AC672" s="135">
        <v>0.928288605367356</v>
      </c>
      <c r="AD672" s="135">
        <v>0.92</v>
      </c>
      <c r="AE672" s="133">
        <v>0.991666666666667</v>
      </c>
      <c r="AF672" s="133">
        <v>0.992063492063492</v>
      </c>
      <c r="AG672" s="133">
        <v>0.988023952095808</v>
      </c>
      <c r="AH672" s="133">
        <v>0.986363636363636</v>
      </c>
      <c r="AI672" s="135">
        <v>0.92</v>
      </c>
      <c r="AJ672" s="133">
        <v>0.958513708513709</v>
      </c>
      <c r="AK672" s="133">
        <v>0.961393918688077</v>
      </c>
      <c r="AL672" s="133">
        <v>0.967529957479706</v>
      </c>
      <c r="AM672" s="133">
        <v>0.968504095879908</v>
      </c>
      <c r="AN672" s="132">
        <v>0.99</v>
      </c>
      <c r="AO672" s="137">
        <v>1</v>
      </c>
      <c r="AP672" s="137">
        <v>1</v>
      </c>
      <c r="AQ672" s="137">
        <v>1</v>
      </c>
      <c r="AR672" s="137">
        <v>1</v>
      </c>
      <c r="AS672" s="158">
        <v>0.0810595228934205</v>
      </c>
      <c r="AT672" s="141">
        <v>0</v>
      </c>
      <c r="AU672" s="141">
        <v>0</v>
      </c>
      <c r="AV672" s="141">
        <v>0</v>
      </c>
      <c r="AW672" s="141">
        <v>0.0230769230769231</v>
      </c>
      <c r="AX672" s="95"/>
      <c r="AY672" s="93"/>
    </row>
    <row r="673" ht="14.5" spans="1:51">
      <c r="A673" s="91"/>
      <c r="B673" s="95"/>
      <c r="C673" s="152" t="s">
        <v>668</v>
      </c>
      <c r="D673" s="153" t="s">
        <v>25</v>
      </c>
      <c r="E673" s="130" t="s">
        <v>669</v>
      </c>
      <c r="F673" s="179" t="s">
        <v>700</v>
      </c>
      <c r="G673" s="179" t="s">
        <v>700</v>
      </c>
      <c r="H673" s="179" t="s">
        <v>700</v>
      </c>
      <c r="I673" s="179" t="s">
        <v>700</v>
      </c>
      <c r="J673" s="132">
        <v>0.9</v>
      </c>
      <c r="K673" s="133">
        <v>0.852941176470588</v>
      </c>
      <c r="L673" s="133">
        <v>0.705882352941177</v>
      </c>
      <c r="M673" s="134">
        <v>0.75</v>
      </c>
      <c r="N673" s="133">
        <v>0.8369384359401</v>
      </c>
      <c r="O673" s="135">
        <v>0.9</v>
      </c>
      <c r="P673" s="133">
        <v>0.792393852565772</v>
      </c>
      <c r="Q673" s="133">
        <v>0.833459500378501</v>
      </c>
      <c r="R673" s="133">
        <v>0.960942158616577</v>
      </c>
      <c r="S673" s="133">
        <v>0.863558822617164</v>
      </c>
      <c r="T673" s="135">
        <v>0.9</v>
      </c>
      <c r="U673" s="133">
        <v>0.92836676217765</v>
      </c>
      <c r="V673" s="133">
        <v>0.927832450164017</v>
      </c>
      <c r="W673" s="133">
        <v>0.930530709600477</v>
      </c>
      <c r="X673" s="133">
        <v>0.918302782171769</v>
      </c>
      <c r="Y673" s="135">
        <v>0.92</v>
      </c>
      <c r="Z673" s="135">
        <v>0.904953145917001</v>
      </c>
      <c r="AA673" s="135">
        <v>0.888713496448303</v>
      </c>
      <c r="AB673" s="135">
        <v>0.926208651399491</v>
      </c>
      <c r="AC673" s="135">
        <v>0.928640851194435</v>
      </c>
      <c r="AD673" s="135">
        <v>0.92</v>
      </c>
      <c r="AE673" s="133">
        <v>0.999692780337942</v>
      </c>
      <c r="AF673" s="133">
        <v>0.987692307692308</v>
      </c>
      <c r="AG673" s="133">
        <v>0.992273730684327</v>
      </c>
      <c r="AH673" s="133">
        <v>0.992896983494593</v>
      </c>
      <c r="AI673" s="135">
        <v>0.92</v>
      </c>
      <c r="AJ673" s="133">
        <v>0.965329262974269</v>
      </c>
      <c r="AK673" s="133">
        <v>0.960611854684512</v>
      </c>
      <c r="AL673" s="133">
        <v>0.97022496691663</v>
      </c>
      <c r="AM673" s="133">
        <v>0.970682372538521</v>
      </c>
      <c r="AN673" s="132">
        <v>0.99</v>
      </c>
      <c r="AO673" s="137">
        <v>1</v>
      </c>
      <c r="AP673" s="137">
        <v>1</v>
      </c>
      <c r="AQ673" s="137">
        <v>1</v>
      </c>
      <c r="AR673" s="137">
        <v>1</v>
      </c>
      <c r="AS673" s="158">
        <v>0.0810595228934205</v>
      </c>
      <c r="AT673" s="141">
        <v>0</v>
      </c>
      <c r="AU673" s="141">
        <v>0.0666666666666667</v>
      </c>
      <c r="AV673" s="141">
        <v>0</v>
      </c>
      <c r="AW673" s="141">
        <v>0.0154639175257732</v>
      </c>
      <c r="AX673" s="95"/>
      <c r="AY673" s="93"/>
    </row>
    <row r="674" ht="14.5" spans="1:51">
      <c r="A674" s="91"/>
      <c r="B674" s="95"/>
      <c r="C674" s="152" t="s">
        <v>668</v>
      </c>
      <c r="D674" s="153" t="s">
        <v>25</v>
      </c>
      <c r="E674" s="130" t="s">
        <v>669</v>
      </c>
      <c r="F674" s="179" t="s">
        <v>701</v>
      </c>
      <c r="G674" s="179" t="s">
        <v>701</v>
      </c>
      <c r="H674" s="179" t="s">
        <v>701</v>
      </c>
      <c r="I674" s="179" t="s">
        <v>701</v>
      </c>
      <c r="J674" s="132">
        <v>0.9</v>
      </c>
      <c r="K674" s="133">
        <v>0.814814814814815</v>
      </c>
      <c r="L674" s="133">
        <v>0.642857142857143</v>
      </c>
      <c r="M674" s="134">
        <v>0.814814814814815</v>
      </c>
      <c r="N674" s="133">
        <v>0.753747323340471</v>
      </c>
      <c r="O674" s="135">
        <v>0.9</v>
      </c>
      <c r="P674" s="133">
        <v>0.932021466905188</v>
      </c>
      <c r="Q674" s="133">
        <v>0.924287537218205</v>
      </c>
      <c r="R674" s="133">
        <v>0.916164891153312</v>
      </c>
      <c r="S674" s="133">
        <v>0.93519882179676</v>
      </c>
      <c r="T674" s="135">
        <v>0.9</v>
      </c>
      <c r="U674" s="133">
        <v>0.915026833631485</v>
      </c>
      <c r="V674" s="133">
        <v>0.911952360697575</v>
      </c>
      <c r="W674" s="133">
        <v>0.913385826771654</v>
      </c>
      <c r="X674" s="133">
        <v>0.924817112919192</v>
      </c>
      <c r="Y674" s="135">
        <v>0.92</v>
      </c>
      <c r="Z674" s="135">
        <v>0.856521739130435</v>
      </c>
      <c r="AA674" s="135">
        <v>0.898305084745763</v>
      </c>
      <c r="AB674" s="135">
        <v>0.900420757363254</v>
      </c>
      <c r="AC674" s="135">
        <v>0.905271695052717</v>
      </c>
      <c r="AD674" s="135">
        <v>0.92</v>
      </c>
      <c r="AE674" s="133">
        <v>0.999109924343569</v>
      </c>
      <c r="AF674" s="133">
        <v>1</v>
      </c>
      <c r="AG674" s="133">
        <v>0.998784933171324</v>
      </c>
      <c r="AH674" s="133">
        <v>0.998717449556833</v>
      </c>
      <c r="AI674" s="135">
        <v>0.92</v>
      </c>
      <c r="AJ674" s="133">
        <v>0.944362017804154</v>
      </c>
      <c r="AK674" s="133">
        <v>0.938742783835792</v>
      </c>
      <c r="AL674" s="133">
        <v>0.956143404107205</v>
      </c>
      <c r="AM674" s="133">
        <v>0.954782188162643</v>
      </c>
      <c r="AN674" s="132">
        <v>0.99</v>
      </c>
      <c r="AO674" s="137">
        <v>1</v>
      </c>
      <c r="AP674" s="137">
        <v>1</v>
      </c>
      <c r="AQ674" s="137">
        <v>1</v>
      </c>
      <c r="AR674" s="137">
        <v>1</v>
      </c>
      <c r="AS674" s="158">
        <v>0.0810595228934205</v>
      </c>
      <c r="AT674" s="141">
        <v>0</v>
      </c>
      <c r="AU674" s="141">
        <v>0.272727272727273</v>
      </c>
      <c r="AV674" s="141">
        <v>0</v>
      </c>
      <c r="AW674" s="141">
        <v>0.0157894736842105</v>
      </c>
      <c r="AX674" s="95"/>
      <c r="AY674" s="93"/>
    </row>
    <row r="675" ht="14.5" spans="1:51">
      <c r="A675" s="91"/>
      <c r="B675" s="95"/>
      <c r="C675" s="152" t="s">
        <v>668</v>
      </c>
      <c r="D675" s="153" t="s">
        <v>25</v>
      </c>
      <c r="E675" s="130" t="s">
        <v>669</v>
      </c>
      <c r="F675" s="179" t="s">
        <v>702</v>
      </c>
      <c r="G675" s="179" t="s">
        <v>702</v>
      </c>
      <c r="H675" s="179" t="s">
        <v>702</v>
      </c>
      <c r="I675" s="179" t="s">
        <v>702</v>
      </c>
      <c r="J675" s="132">
        <v>0.9</v>
      </c>
      <c r="K675" s="133">
        <v>0.666666666666667</v>
      </c>
      <c r="L675" s="133">
        <v>0.789473684210526</v>
      </c>
      <c r="M675" s="134">
        <v>0.588235294117647</v>
      </c>
      <c r="N675" s="133">
        <v>0.775641025641026</v>
      </c>
      <c r="O675" s="135">
        <v>0.9</v>
      </c>
      <c r="P675" s="133">
        <v>0.975442604226156</v>
      </c>
      <c r="Q675" s="133">
        <v>0.982509047044632</v>
      </c>
      <c r="R675" s="133">
        <v>0.991413474240423</v>
      </c>
      <c r="S675" s="133">
        <v>0.98265022159618</v>
      </c>
      <c r="T675" s="135">
        <v>0.9</v>
      </c>
      <c r="U675" s="133">
        <v>0.938892061679041</v>
      </c>
      <c r="V675" s="133">
        <v>0.948733413751508</v>
      </c>
      <c r="W675" s="133">
        <v>0.937912813738441</v>
      </c>
      <c r="X675" s="133">
        <v>0.940976397430171</v>
      </c>
      <c r="Y675" s="135">
        <v>0.92</v>
      </c>
      <c r="Z675" s="135">
        <v>0.909560723514212</v>
      </c>
      <c r="AA675" s="135">
        <v>0.927835051546392</v>
      </c>
      <c r="AB675" s="135">
        <v>0.926739926739927</v>
      </c>
      <c r="AC675" s="135">
        <v>0.941440455341506</v>
      </c>
      <c r="AD675" s="135">
        <v>0.92</v>
      </c>
      <c r="AE675" s="133">
        <v>0.999044890162369</v>
      </c>
      <c r="AF675" s="133">
        <v>1</v>
      </c>
      <c r="AG675" s="133">
        <v>0.998721227621483</v>
      </c>
      <c r="AH675" s="133">
        <v>0.996827978853192</v>
      </c>
      <c r="AI675" s="135">
        <v>0.92</v>
      </c>
      <c r="AJ675" s="133">
        <v>0.961178671655753</v>
      </c>
      <c r="AK675" s="133">
        <v>0.964732142857143</v>
      </c>
      <c r="AL675" s="133">
        <v>0.965533980582524</v>
      </c>
      <c r="AM675" s="133">
        <v>0.971716115540452</v>
      </c>
      <c r="AN675" s="132">
        <v>0.99</v>
      </c>
      <c r="AO675" s="137">
        <v>1</v>
      </c>
      <c r="AP675" s="137">
        <v>1</v>
      </c>
      <c r="AQ675" s="137">
        <v>1</v>
      </c>
      <c r="AR675" s="137">
        <v>1</v>
      </c>
      <c r="AS675" s="158">
        <v>0.0810595228934205</v>
      </c>
      <c r="AT675" s="141">
        <v>0</v>
      </c>
      <c r="AU675" s="141">
        <v>0</v>
      </c>
      <c r="AV675" s="141">
        <v>0.2</v>
      </c>
      <c r="AW675" s="141">
        <v>0.0721649484536082</v>
      </c>
      <c r="AX675" s="95"/>
      <c r="AY675" s="93"/>
    </row>
    <row r="676" ht="14.5" spans="1:51">
      <c r="A676" s="91"/>
      <c r="B676" s="95"/>
      <c r="C676" s="152" t="s">
        <v>668</v>
      </c>
      <c r="D676" s="153" t="s">
        <v>25</v>
      </c>
      <c r="E676" s="130" t="s">
        <v>669</v>
      </c>
      <c r="F676" s="179" t="s">
        <v>703</v>
      </c>
      <c r="G676" s="179" t="s">
        <v>703</v>
      </c>
      <c r="H676" s="179" t="s">
        <v>703</v>
      </c>
      <c r="I676" s="179" t="s">
        <v>703</v>
      </c>
      <c r="J676" s="132">
        <v>0.9</v>
      </c>
      <c r="K676" s="133">
        <v>1</v>
      </c>
      <c r="L676" s="133">
        <v>1</v>
      </c>
      <c r="M676" s="134">
        <v>0.952380952380952</v>
      </c>
      <c r="N676" s="133">
        <v>0.969187675070028</v>
      </c>
      <c r="O676" s="135">
        <v>0.9</v>
      </c>
      <c r="P676" s="133">
        <v>0.99281682914315</v>
      </c>
      <c r="Q676" s="133">
        <v>0.996789727126806</v>
      </c>
      <c r="R676" s="133">
        <v>0.998798798798799</v>
      </c>
      <c r="S676" s="133">
        <v>0.995969547693686</v>
      </c>
      <c r="T676" s="135">
        <v>0.9</v>
      </c>
      <c r="U676" s="133">
        <v>0.963057978450487</v>
      </c>
      <c r="V676" s="133">
        <v>0.957196361690744</v>
      </c>
      <c r="W676" s="133">
        <v>0.970570570570571</v>
      </c>
      <c r="X676" s="133">
        <v>0.96375578444544</v>
      </c>
      <c r="Y676" s="135">
        <v>0.92</v>
      </c>
      <c r="Z676" s="135">
        <v>0.975169300225734</v>
      </c>
      <c r="AA676" s="135">
        <v>0.959481361426256</v>
      </c>
      <c r="AB676" s="135">
        <v>0.990180032733224</v>
      </c>
      <c r="AC676" s="135">
        <v>0.975354396368016</v>
      </c>
      <c r="AD676" s="135">
        <v>0.92</v>
      </c>
      <c r="AE676" s="133">
        <v>0.991304347826087</v>
      </c>
      <c r="AF676" s="133">
        <v>0.986666666666667</v>
      </c>
      <c r="AG676" s="133">
        <v>0.977443609022556</v>
      </c>
      <c r="AH676" s="133">
        <v>0.991556534508076</v>
      </c>
      <c r="AI676" s="135">
        <v>0.92</v>
      </c>
      <c r="AJ676" s="133">
        <v>0.987040133779264</v>
      </c>
      <c r="AK676" s="133">
        <v>0.985116653258246</v>
      </c>
      <c r="AL676" s="133">
        <v>0.992970123022847</v>
      </c>
      <c r="AM676" s="133">
        <v>0.988710515026304</v>
      </c>
      <c r="AN676" s="132">
        <v>0.99</v>
      </c>
      <c r="AO676" s="137">
        <v>1</v>
      </c>
      <c r="AP676" s="137">
        <v>1</v>
      </c>
      <c r="AQ676" s="137">
        <v>1</v>
      </c>
      <c r="AR676" s="137">
        <v>1</v>
      </c>
      <c r="AS676" s="158">
        <v>0.0810595228934205</v>
      </c>
      <c r="AT676" s="141">
        <v>0</v>
      </c>
      <c r="AU676" s="141">
        <v>0</v>
      </c>
      <c r="AV676" s="141">
        <v>0.142857142857143</v>
      </c>
      <c r="AW676" s="141">
        <v>0.0384615384615385</v>
      </c>
      <c r="AX676" s="95"/>
      <c r="AY676" s="93"/>
    </row>
    <row r="677" ht="14.5" spans="1:51">
      <c r="A677" s="91"/>
      <c r="B677" s="95"/>
      <c r="C677" s="152" t="s">
        <v>668</v>
      </c>
      <c r="D677" s="153" t="s">
        <v>25</v>
      </c>
      <c r="E677" s="130" t="s">
        <v>669</v>
      </c>
      <c r="F677" s="179" t="s">
        <v>704</v>
      </c>
      <c r="G677" s="179" t="s">
        <v>704</v>
      </c>
      <c r="H677" s="179" t="s">
        <v>704</v>
      </c>
      <c r="I677" s="179" t="s">
        <v>704</v>
      </c>
      <c r="J677" s="132">
        <v>0.9</v>
      </c>
      <c r="K677" s="133">
        <v>0.930555555555556</v>
      </c>
      <c r="L677" s="133">
        <v>0.945205479452055</v>
      </c>
      <c r="M677" s="134">
        <v>0.893333333333333</v>
      </c>
      <c r="N677" s="133">
        <v>0.88056206088993</v>
      </c>
      <c r="O677" s="135">
        <v>0.9</v>
      </c>
      <c r="P677" s="133">
        <v>0.958975346687211</v>
      </c>
      <c r="Q677" s="133">
        <v>0.959107109360345</v>
      </c>
      <c r="R677" s="133">
        <v>0.975411501727291</v>
      </c>
      <c r="S677" s="133">
        <v>0.903577567683713</v>
      </c>
      <c r="T677" s="135">
        <v>0.9</v>
      </c>
      <c r="U677" s="133">
        <v>0.923343605546995</v>
      </c>
      <c r="V677" s="133">
        <v>0.928531232414181</v>
      </c>
      <c r="W677" s="133">
        <v>0.93111156269051</v>
      </c>
      <c r="X677" s="133">
        <v>0.928749462827675</v>
      </c>
      <c r="Y677" s="135">
        <v>0.92</v>
      </c>
      <c r="Z677" s="135">
        <v>0.87037037037037</v>
      </c>
      <c r="AA677" s="135">
        <v>0.874930824571112</v>
      </c>
      <c r="AB677" s="135">
        <v>0.897190293742018</v>
      </c>
      <c r="AC677" s="135">
        <v>0.906847756524212</v>
      </c>
      <c r="AD677" s="135">
        <v>0.92</v>
      </c>
      <c r="AE677" s="133">
        <v>0.998287671232877</v>
      </c>
      <c r="AF677" s="133">
        <v>0.987046632124352</v>
      </c>
      <c r="AG677" s="133">
        <v>0.993344425956739</v>
      </c>
      <c r="AH677" s="133">
        <v>0.99534352486382</v>
      </c>
      <c r="AI677" s="135">
        <v>0.92</v>
      </c>
      <c r="AJ677" s="133">
        <v>0.946445802508845</v>
      </c>
      <c r="AK677" s="133">
        <v>0.945790726992576</v>
      </c>
      <c r="AL677" s="133">
        <v>0.956226880394575</v>
      </c>
      <c r="AM677" s="133">
        <v>0.96109401934989</v>
      </c>
      <c r="AN677" s="132">
        <v>0.99</v>
      </c>
      <c r="AO677" s="137">
        <v>1</v>
      </c>
      <c r="AP677" s="137">
        <v>1</v>
      </c>
      <c r="AQ677" s="137">
        <v>1</v>
      </c>
      <c r="AR677" s="137">
        <v>1</v>
      </c>
      <c r="AS677" s="158">
        <v>0.0810595228934205</v>
      </c>
      <c r="AT677" s="141">
        <v>0</v>
      </c>
      <c r="AU677" s="141">
        <v>0.0666666666666667</v>
      </c>
      <c r="AV677" s="141">
        <v>0.0357142857142857</v>
      </c>
      <c r="AW677" s="141">
        <v>0.0560747663551402</v>
      </c>
      <c r="AX677" s="95"/>
      <c r="AY677" s="93"/>
    </row>
    <row r="678" ht="14.5" spans="1:51">
      <c r="A678" s="91"/>
      <c r="B678" s="95"/>
      <c r="C678" s="152" t="s">
        <v>668</v>
      </c>
      <c r="D678" s="153" t="s">
        <v>25</v>
      </c>
      <c r="E678" s="130" t="s">
        <v>669</v>
      </c>
      <c r="F678" s="179" t="s">
        <v>705</v>
      </c>
      <c r="G678" s="179" t="s">
        <v>705</v>
      </c>
      <c r="H678" s="179" t="s">
        <v>705</v>
      </c>
      <c r="I678" s="179" t="s">
        <v>705</v>
      </c>
      <c r="J678" s="132">
        <v>0.9</v>
      </c>
      <c r="K678" s="133">
        <v>0.833333333333333</v>
      </c>
      <c r="L678" s="133">
        <v>0.833333333333333</v>
      </c>
      <c r="M678" s="134">
        <v>0.75</v>
      </c>
      <c r="N678" s="133">
        <v>0.808823529411765</v>
      </c>
      <c r="O678" s="135">
        <v>0.9</v>
      </c>
      <c r="P678" s="133">
        <v>0.992333901192504</v>
      </c>
      <c r="Q678" s="133">
        <v>0.987912973408541</v>
      </c>
      <c r="R678" s="133">
        <v>0.991720331186753</v>
      </c>
      <c r="S678" s="133">
        <v>0.987138263665595</v>
      </c>
      <c r="T678" s="135">
        <v>0.9</v>
      </c>
      <c r="U678" s="133">
        <v>0.942078364565588</v>
      </c>
      <c r="V678" s="133">
        <v>0.935535858178888</v>
      </c>
      <c r="W678" s="133">
        <v>0.939282428702852</v>
      </c>
      <c r="X678" s="133">
        <v>0.940112540192926</v>
      </c>
      <c r="Y678" s="135">
        <v>0.92</v>
      </c>
      <c r="Z678" s="135">
        <v>0.826254826254826</v>
      </c>
      <c r="AA678" s="135">
        <v>0.936386768447837</v>
      </c>
      <c r="AB678" s="135">
        <v>0.818435754189944</v>
      </c>
      <c r="AC678" s="135">
        <v>0.874055010455204</v>
      </c>
      <c r="AD678" s="135">
        <v>0.92</v>
      </c>
      <c r="AE678" s="133">
        <v>1</v>
      </c>
      <c r="AF678" s="133">
        <v>1</v>
      </c>
      <c r="AG678" s="133">
        <v>1</v>
      </c>
      <c r="AH678" s="133">
        <v>0.98806860551827</v>
      </c>
      <c r="AI678" s="135">
        <v>0.92</v>
      </c>
      <c r="AJ678" s="133">
        <v>0.955338450802512</v>
      </c>
      <c r="AK678" s="133">
        <v>0.972460220318237</v>
      </c>
      <c r="AL678" s="133">
        <v>0.942560553633218</v>
      </c>
      <c r="AM678" s="133">
        <v>0.957854846118512</v>
      </c>
      <c r="AN678" s="132">
        <v>0.99</v>
      </c>
      <c r="AO678" s="137">
        <v>1</v>
      </c>
      <c r="AP678" s="137">
        <v>1</v>
      </c>
      <c r="AQ678" s="137">
        <v>1</v>
      </c>
      <c r="AR678" s="137">
        <v>1</v>
      </c>
      <c r="AS678" s="158">
        <v>0.0810595228934205</v>
      </c>
      <c r="AT678" s="141">
        <v>0</v>
      </c>
      <c r="AU678" s="141">
        <v>0</v>
      </c>
      <c r="AV678" s="141">
        <v>0</v>
      </c>
      <c r="AW678" s="141">
        <v>0.0142857142857143</v>
      </c>
      <c r="AX678" s="95"/>
      <c r="AY678" s="93"/>
    </row>
    <row r="679" ht="14.5" spans="1:51">
      <c r="A679" s="91"/>
      <c r="B679" s="95"/>
      <c r="C679" s="152" t="s">
        <v>668</v>
      </c>
      <c r="D679" s="153" t="s">
        <v>25</v>
      </c>
      <c r="E679" s="130" t="s">
        <v>669</v>
      </c>
      <c r="F679" s="179" t="s">
        <v>706</v>
      </c>
      <c r="G679" s="179" t="s">
        <v>706</v>
      </c>
      <c r="H679" s="179" t="s">
        <v>706</v>
      </c>
      <c r="I679" s="179" t="s">
        <v>706</v>
      </c>
      <c r="J679" s="132">
        <v>0.9</v>
      </c>
      <c r="K679" s="133">
        <v>0.909090909090909</v>
      </c>
      <c r="L679" s="133">
        <v>0.80952380952381</v>
      </c>
      <c r="M679" s="134">
        <v>0.652173913043478</v>
      </c>
      <c r="N679" s="133">
        <v>0.826771653543307</v>
      </c>
      <c r="O679" s="135">
        <v>0.9</v>
      </c>
      <c r="P679" s="133">
        <v>0.883148831488315</v>
      </c>
      <c r="Q679" s="133">
        <v>0.907107231920199</v>
      </c>
      <c r="R679" s="133">
        <v>0.954921111945905</v>
      </c>
      <c r="S679" s="133">
        <v>0.905187382433801</v>
      </c>
      <c r="T679" s="135">
        <v>0.9</v>
      </c>
      <c r="U679" s="133">
        <v>0.88130381303813</v>
      </c>
      <c r="V679" s="133">
        <v>0.893391521197007</v>
      </c>
      <c r="W679" s="133">
        <v>0.891810668670173</v>
      </c>
      <c r="X679" s="133">
        <v>0.901063521921574</v>
      </c>
      <c r="Y679" s="135">
        <v>0.92</v>
      </c>
      <c r="Z679" s="135">
        <v>0.834355828220859</v>
      </c>
      <c r="AA679" s="135">
        <v>0.870300751879699</v>
      </c>
      <c r="AB679" s="135">
        <v>0.893700787401575</v>
      </c>
      <c r="AC679" s="135">
        <v>0.877197039777983</v>
      </c>
      <c r="AD679" s="135">
        <v>0.92</v>
      </c>
      <c r="AE679" s="133">
        <v>0.976190476190476</v>
      </c>
      <c r="AF679" s="133">
        <v>0.9</v>
      </c>
      <c r="AG679" s="133">
        <v>0.955555555555556</v>
      </c>
      <c r="AH679" s="133">
        <v>0.965346534653465</v>
      </c>
      <c r="AI679" s="135">
        <v>0.92</v>
      </c>
      <c r="AJ679" s="133">
        <v>0.91905737704918</v>
      </c>
      <c r="AK679" s="133">
        <v>0.924157303370786</v>
      </c>
      <c r="AL679" s="133">
        <v>0.924959216965742</v>
      </c>
      <c r="AM679" s="133">
        <v>0.933708050917507</v>
      </c>
      <c r="AN679" s="132">
        <v>0.99</v>
      </c>
      <c r="AO679" s="137">
        <v>1</v>
      </c>
      <c r="AP679" s="137">
        <v>1</v>
      </c>
      <c r="AQ679" s="137">
        <v>1</v>
      </c>
      <c r="AR679" s="137">
        <v>1</v>
      </c>
      <c r="AS679" s="158">
        <v>0.0810595228934205</v>
      </c>
      <c r="AT679" s="141">
        <v>0</v>
      </c>
      <c r="AU679" s="141">
        <v>0</v>
      </c>
      <c r="AV679" s="141">
        <v>0</v>
      </c>
      <c r="AW679" s="141">
        <v>0.0526315789473684</v>
      </c>
      <c r="AX679" s="95"/>
      <c r="AY679" s="93"/>
    </row>
    <row r="680" ht="14.5" spans="1:51">
      <c r="A680" s="91"/>
      <c r="B680" s="95"/>
      <c r="C680" s="152" t="s">
        <v>668</v>
      </c>
      <c r="D680" s="153" t="s">
        <v>25</v>
      </c>
      <c r="E680" s="130" t="s">
        <v>669</v>
      </c>
      <c r="F680" s="179" t="s">
        <v>707</v>
      </c>
      <c r="G680" s="179" t="s">
        <v>707</v>
      </c>
      <c r="H680" s="179" t="s">
        <v>707</v>
      </c>
      <c r="I680" s="179" t="s">
        <v>707</v>
      </c>
      <c r="J680" s="132">
        <v>0.9</v>
      </c>
      <c r="K680" s="133">
        <v>0.870967741935484</v>
      </c>
      <c r="L680" s="133">
        <v>0.870967741935484</v>
      </c>
      <c r="M680" s="134">
        <v>0.914285714285714</v>
      </c>
      <c r="N680" s="133">
        <v>0.918003565062389</v>
      </c>
      <c r="O680" s="135">
        <v>0.9</v>
      </c>
      <c r="P680" s="133">
        <v>0.965827338129496</v>
      </c>
      <c r="Q680" s="133">
        <v>0.963926940639269</v>
      </c>
      <c r="R680" s="133">
        <v>0.977389516957862</v>
      </c>
      <c r="S680" s="133">
        <v>0.97123200266319</v>
      </c>
      <c r="T680" s="135">
        <v>0.9</v>
      </c>
      <c r="U680" s="133">
        <v>0.902877697841727</v>
      </c>
      <c r="V680" s="133">
        <v>0.907305936073059</v>
      </c>
      <c r="W680" s="133">
        <v>0.929085303186023</v>
      </c>
      <c r="X680" s="133">
        <v>0.937026659638805</v>
      </c>
      <c r="Y680" s="135">
        <v>0.92</v>
      </c>
      <c r="Z680" s="135">
        <v>0.938871473354232</v>
      </c>
      <c r="AA680" s="135">
        <v>0.869328493647913</v>
      </c>
      <c r="AB680" s="135">
        <v>0.922155688622755</v>
      </c>
      <c r="AC680" s="135">
        <v>0.927635274293203</v>
      </c>
      <c r="AD680" s="135">
        <v>0.92</v>
      </c>
      <c r="AE680" s="133">
        <v>1</v>
      </c>
      <c r="AF680" s="133">
        <v>0.995918367346939</v>
      </c>
      <c r="AG680" s="133">
        <v>0.997429305912596</v>
      </c>
      <c r="AH680" s="133">
        <v>0.996415276437336</v>
      </c>
      <c r="AI680" s="135">
        <v>0.92</v>
      </c>
      <c r="AJ680" s="133">
        <v>0.94179229480737</v>
      </c>
      <c r="AK680" s="133">
        <v>0.933600875592849</v>
      </c>
      <c r="AL680" s="133">
        <v>0.956272987331426</v>
      </c>
      <c r="AM680" s="133">
        <v>0.958484913331907</v>
      </c>
      <c r="AN680" s="132">
        <v>0.99</v>
      </c>
      <c r="AO680" s="137">
        <v>1</v>
      </c>
      <c r="AP680" s="137">
        <v>1</v>
      </c>
      <c r="AQ680" s="137">
        <v>1</v>
      </c>
      <c r="AR680" s="137">
        <v>1</v>
      </c>
      <c r="AS680" s="158">
        <v>0.0810595228934205</v>
      </c>
      <c r="AT680" s="141">
        <v>0.125</v>
      </c>
      <c r="AU680" s="141">
        <v>0</v>
      </c>
      <c r="AV680" s="141">
        <v>0</v>
      </c>
      <c r="AW680" s="141">
        <v>0.032</v>
      </c>
      <c r="AX680" s="95"/>
      <c r="AY680" s="93"/>
    </row>
    <row r="681" ht="14.5" spans="1:51">
      <c r="A681" s="91"/>
      <c r="B681" s="95"/>
      <c r="C681" s="152" t="s">
        <v>668</v>
      </c>
      <c r="D681" s="153" t="s">
        <v>25</v>
      </c>
      <c r="E681" s="130" t="s">
        <v>669</v>
      </c>
      <c r="F681" s="179" t="s">
        <v>708</v>
      </c>
      <c r="G681" s="179" t="s">
        <v>708</v>
      </c>
      <c r="H681" s="179" t="s">
        <v>708</v>
      </c>
      <c r="I681" s="179" t="s">
        <v>708</v>
      </c>
      <c r="J681" s="132">
        <v>0.9</v>
      </c>
      <c r="K681" s="133">
        <v>0.8</v>
      </c>
      <c r="L681" s="133">
        <v>0.9</v>
      </c>
      <c r="M681" s="134">
        <v>0.95</v>
      </c>
      <c r="N681" s="133">
        <v>0.845930232558139</v>
      </c>
      <c r="O681" s="135">
        <v>0.9</v>
      </c>
      <c r="P681" s="133">
        <v>0.955538809344386</v>
      </c>
      <c r="Q681" s="133">
        <v>0.97779422649889</v>
      </c>
      <c r="R681" s="133">
        <v>0.976903336184773</v>
      </c>
      <c r="S681" s="133">
        <v>0.968840671124007</v>
      </c>
      <c r="T681" s="135">
        <v>0.9</v>
      </c>
      <c r="U681" s="133">
        <v>0.914091936699322</v>
      </c>
      <c r="V681" s="133">
        <v>0.928941524796447</v>
      </c>
      <c r="W681" s="133">
        <v>0.932420872540633</v>
      </c>
      <c r="X681" s="133">
        <v>0.939069004667592</v>
      </c>
      <c r="Y681" s="135">
        <v>0.92</v>
      </c>
      <c r="Z681" s="135">
        <v>0.873239436619718</v>
      </c>
      <c r="AA681" s="135">
        <v>0.958860759493671</v>
      </c>
      <c r="AB681" s="135">
        <v>0.91740412979351</v>
      </c>
      <c r="AC681" s="135">
        <v>0.941657493316559</v>
      </c>
      <c r="AD681" s="135">
        <v>0.92</v>
      </c>
      <c r="AE681" s="133">
        <v>1</v>
      </c>
      <c r="AF681" s="133">
        <v>1</v>
      </c>
      <c r="AG681" s="133">
        <v>1</v>
      </c>
      <c r="AH681" s="133">
        <v>0.998898920942524</v>
      </c>
      <c r="AI681" s="135">
        <v>0.92</v>
      </c>
      <c r="AJ681" s="133">
        <v>0.931245745405037</v>
      </c>
      <c r="AK681" s="133">
        <v>0.948441247002398</v>
      </c>
      <c r="AL681" s="133">
        <v>0.949602122015915</v>
      </c>
      <c r="AM681" s="133">
        <v>0.960619733262557</v>
      </c>
      <c r="AN681" s="132">
        <v>0.99</v>
      </c>
      <c r="AO681" s="137">
        <v>1</v>
      </c>
      <c r="AP681" s="137">
        <v>1</v>
      </c>
      <c r="AQ681" s="137">
        <v>1</v>
      </c>
      <c r="AR681" s="137">
        <v>1</v>
      </c>
      <c r="AS681" s="158">
        <v>0.0810595228934205</v>
      </c>
      <c r="AT681" s="141">
        <v>0</v>
      </c>
      <c r="AU681" s="141">
        <v>0</v>
      </c>
      <c r="AV681" s="141">
        <v>0.0909090909090909</v>
      </c>
      <c r="AW681" s="141">
        <v>0.05</v>
      </c>
      <c r="AX681" s="95"/>
      <c r="AY681" s="93"/>
    </row>
    <row r="682" ht="14.5" spans="1:51">
      <c r="A682" s="91"/>
      <c r="B682" s="95"/>
      <c r="C682" s="152" t="s">
        <v>668</v>
      </c>
      <c r="D682" s="153" t="s">
        <v>25</v>
      </c>
      <c r="E682" s="130" t="s">
        <v>669</v>
      </c>
      <c r="F682" s="179" t="s">
        <v>709</v>
      </c>
      <c r="G682" s="179" t="s">
        <v>709</v>
      </c>
      <c r="H682" s="179" t="s">
        <v>709</v>
      </c>
      <c r="I682" s="179" t="s">
        <v>709</v>
      </c>
      <c r="J682" s="132">
        <v>0.9</v>
      </c>
      <c r="K682" s="133">
        <v>0.846153846153846</v>
      </c>
      <c r="L682" s="133">
        <v>0.84</v>
      </c>
      <c r="M682" s="134">
        <v>0.939393939393939</v>
      </c>
      <c r="N682" s="133">
        <v>0.920792079207921</v>
      </c>
      <c r="O682" s="135">
        <v>0.9</v>
      </c>
      <c r="P682" s="133">
        <v>0.934201266713582</v>
      </c>
      <c r="Q682" s="133">
        <v>0.929731638418079</v>
      </c>
      <c r="R682" s="133">
        <v>0.947912818618397</v>
      </c>
      <c r="S682" s="133">
        <v>0.940998783884508</v>
      </c>
      <c r="T682" s="135">
        <v>0.9</v>
      </c>
      <c r="U682" s="133">
        <v>0.898662913441239</v>
      </c>
      <c r="V682" s="133">
        <v>0.883474576271186</v>
      </c>
      <c r="W682" s="133">
        <v>0.924270410048024</v>
      </c>
      <c r="X682" s="133">
        <v>0.924365462320034</v>
      </c>
      <c r="Y682" s="135">
        <v>0.92</v>
      </c>
      <c r="Z682" s="135">
        <v>0.89568345323741</v>
      </c>
      <c r="AA682" s="135">
        <v>0.894488188976378</v>
      </c>
      <c r="AB682" s="135">
        <v>0.935828877005348</v>
      </c>
      <c r="AC682" s="135">
        <v>0.93599525262801</v>
      </c>
      <c r="AD682" s="135">
        <v>0.92</v>
      </c>
      <c r="AE682" s="133">
        <v>0.996062992125984</v>
      </c>
      <c r="AF682" s="133">
        <v>0.989847715736041</v>
      </c>
      <c r="AG682" s="133">
        <v>0.987562189054726</v>
      </c>
      <c r="AH682" s="133">
        <v>0.993392401261451</v>
      </c>
      <c r="AI682" s="135">
        <v>0.92</v>
      </c>
      <c r="AJ682" s="133">
        <v>0.92948717948718</v>
      </c>
      <c r="AK682" s="133">
        <v>0.914912027689645</v>
      </c>
      <c r="AL682" s="133">
        <v>0.955324357405141</v>
      </c>
      <c r="AM682" s="133">
        <v>0.958301478083588</v>
      </c>
      <c r="AN682" s="132">
        <v>0.99</v>
      </c>
      <c r="AO682" s="137">
        <v>1</v>
      </c>
      <c r="AP682" s="137">
        <v>1</v>
      </c>
      <c r="AQ682" s="137">
        <v>1</v>
      </c>
      <c r="AR682" s="137">
        <v>1</v>
      </c>
      <c r="AS682" s="158">
        <v>0.0810595228934205</v>
      </c>
      <c r="AT682" s="141">
        <v>0.166666666666667</v>
      </c>
      <c r="AU682" s="141">
        <v>0</v>
      </c>
      <c r="AV682" s="141">
        <v>0</v>
      </c>
      <c r="AW682" s="141">
        <v>0.0609756097560976</v>
      </c>
      <c r="AX682" s="95"/>
      <c r="AY682" s="93"/>
    </row>
    <row r="683" ht="14.5" spans="1:51">
      <c r="A683" s="91"/>
      <c r="B683" s="95"/>
      <c r="C683" s="152" t="s">
        <v>668</v>
      </c>
      <c r="D683" s="153" t="s">
        <v>25</v>
      </c>
      <c r="E683" s="130" t="s">
        <v>669</v>
      </c>
      <c r="F683" s="179" t="s">
        <v>710</v>
      </c>
      <c r="G683" s="179" t="s">
        <v>710</v>
      </c>
      <c r="H683" s="179" t="s">
        <v>710</v>
      </c>
      <c r="I683" s="179" t="s">
        <v>710</v>
      </c>
      <c r="J683" s="132">
        <v>0.9</v>
      </c>
      <c r="K683" s="133">
        <v>0.875</v>
      </c>
      <c r="L683" s="133">
        <v>0.956521739130435</v>
      </c>
      <c r="M683" s="134">
        <v>1</v>
      </c>
      <c r="N683" s="133">
        <v>0.945945945945946</v>
      </c>
      <c r="O683" s="135">
        <v>0.9</v>
      </c>
      <c r="P683" s="133">
        <v>0.938337801608579</v>
      </c>
      <c r="Q683" s="133">
        <v>0.943228858663513</v>
      </c>
      <c r="R683" s="133">
        <v>0.940860215053763</v>
      </c>
      <c r="S683" s="133">
        <v>0.941057394617766</v>
      </c>
      <c r="T683" s="135">
        <v>0.9</v>
      </c>
      <c r="U683" s="133">
        <v>0.93029490616622</v>
      </c>
      <c r="V683" s="133">
        <v>0.931992903607333</v>
      </c>
      <c r="W683" s="133">
        <v>0.917562724014337</v>
      </c>
      <c r="X683" s="133">
        <v>0.923166230054775</v>
      </c>
      <c r="Y683" s="135">
        <v>0.92</v>
      </c>
      <c r="Z683" s="135">
        <v>0.925287356321839</v>
      </c>
      <c r="AA683" s="135">
        <v>0.87218045112782</v>
      </c>
      <c r="AB683" s="135">
        <v>0.896825396825397</v>
      </c>
      <c r="AC683" s="135">
        <v>0.919302194710186</v>
      </c>
      <c r="AD683" s="135">
        <v>0.92</v>
      </c>
      <c r="AE683" s="133">
        <v>0.991071428571429</v>
      </c>
      <c r="AF683" s="133">
        <v>1</v>
      </c>
      <c r="AG683" s="133">
        <v>1</v>
      </c>
      <c r="AH683" s="133">
        <v>0.995676754240106</v>
      </c>
      <c r="AI683" s="135">
        <v>0.92</v>
      </c>
      <c r="AJ683" s="133">
        <v>0.945978391356543</v>
      </c>
      <c r="AK683" s="133">
        <v>0.935885167464115</v>
      </c>
      <c r="AL683" s="133">
        <v>0.954678362573099</v>
      </c>
      <c r="AM683" s="133">
        <v>0.957907622769434</v>
      </c>
      <c r="AN683" s="132">
        <v>0.99</v>
      </c>
      <c r="AO683" s="137">
        <v>1</v>
      </c>
      <c r="AP683" s="137">
        <v>1</v>
      </c>
      <c r="AQ683" s="137">
        <v>1</v>
      </c>
      <c r="AR683" s="137">
        <v>1</v>
      </c>
      <c r="AS683" s="158">
        <v>0.0810595228934205</v>
      </c>
      <c r="AT683" s="141">
        <v>0.142857142857143</v>
      </c>
      <c r="AU683" s="141">
        <v>0</v>
      </c>
      <c r="AV683" s="141">
        <v>0</v>
      </c>
      <c r="AW683" s="141">
        <v>0.0564102564102564</v>
      </c>
      <c r="AX683" s="95"/>
      <c r="AY683" s="93"/>
    </row>
    <row r="684" ht="14.5" spans="1:51">
      <c r="A684" s="91"/>
      <c r="B684" s="95"/>
      <c r="C684" s="152" t="s">
        <v>668</v>
      </c>
      <c r="D684" s="153" t="s">
        <v>25</v>
      </c>
      <c r="E684" s="130" t="s">
        <v>669</v>
      </c>
      <c r="F684" s="179" t="s">
        <v>711</v>
      </c>
      <c r="G684" s="179" t="s">
        <v>711</v>
      </c>
      <c r="H684" s="179" t="s">
        <v>711</v>
      </c>
      <c r="I684" s="179" t="s">
        <v>711</v>
      </c>
      <c r="J684" s="132">
        <v>0.9</v>
      </c>
      <c r="K684" s="133">
        <v>0.769230769230769</v>
      </c>
      <c r="L684" s="133">
        <v>0.909090909090909</v>
      </c>
      <c r="M684" s="134">
        <v>0.821428571428571</v>
      </c>
      <c r="N684" s="133">
        <v>0.885416666666667</v>
      </c>
      <c r="O684" s="135">
        <v>0.9</v>
      </c>
      <c r="P684" s="133">
        <v>0.85059331175836</v>
      </c>
      <c r="Q684" s="133">
        <v>0.78023598820059</v>
      </c>
      <c r="R684" s="133">
        <v>0.881507188894398</v>
      </c>
      <c r="S684" s="133">
        <v>0.893183331747693</v>
      </c>
      <c r="T684" s="135">
        <v>0.9</v>
      </c>
      <c r="U684" s="133">
        <v>0.916396979503776</v>
      </c>
      <c r="V684" s="133">
        <v>0.907079646017699</v>
      </c>
      <c r="W684" s="133">
        <v>0.910758552305404</v>
      </c>
      <c r="X684" s="133">
        <v>0.933973932071164</v>
      </c>
      <c r="Y684" s="135">
        <v>0.92</v>
      </c>
      <c r="Z684" s="135">
        <v>0.91701244813278</v>
      </c>
      <c r="AA684" s="135">
        <v>0.931914893617021</v>
      </c>
      <c r="AB684" s="135">
        <v>0.966804979253112</v>
      </c>
      <c r="AC684" s="135">
        <v>0.945792233182262</v>
      </c>
      <c r="AD684" s="135">
        <v>0.92</v>
      </c>
      <c r="AE684" s="133">
        <v>0.995934959349594</v>
      </c>
      <c r="AF684" s="133">
        <v>0.992592592592593</v>
      </c>
      <c r="AG684" s="133">
        <v>0.996491228070175</v>
      </c>
      <c r="AH684" s="133">
        <v>0.996040955631399</v>
      </c>
      <c r="AI684" s="135">
        <v>0.92</v>
      </c>
      <c r="AJ684" s="133">
        <v>0.943198090692124</v>
      </c>
      <c r="AK684" s="133">
        <v>0.934105431309904</v>
      </c>
      <c r="AL684" s="133">
        <v>0.9376</v>
      </c>
      <c r="AM684" s="133">
        <v>0.960957580533198</v>
      </c>
      <c r="AN684" s="132">
        <v>0.99</v>
      </c>
      <c r="AO684" s="137">
        <v>1</v>
      </c>
      <c r="AP684" s="137">
        <v>1</v>
      </c>
      <c r="AQ684" s="137">
        <v>1</v>
      </c>
      <c r="AR684" s="137">
        <v>1</v>
      </c>
      <c r="AS684" s="158">
        <v>0.0810595228934205</v>
      </c>
      <c r="AT684" s="141">
        <v>0.0714285714285714</v>
      </c>
      <c r="AU684" s="141">
        <v>0.111111111111111</v>
      </c>
      <c r="AV684" s="141">
        <v>0</v>
      </c>
      <c r="AW684" s="141">
        <v>0.0511627906976744</v>
      </c>
      <c r="AX684" s="95"/>
      <c r="AY684" s="93"/>
    </row>
    <row r="685" ht="14.5" spans="1:51">
      <c r="A685" s="91"/>
      <c r="B685" s="95"/>
      <c r="C685" s="152" t="s">
        <v>668</v>
      </c>
      <c r="D685" s="153" t="s">
        <v>25</v>
      </c>
      <c r="E685" s="130" t="s">
        <v>669</v>
      </c>
      <c r="F685" s="179" t="s">
        <v>712</v>
      </c>
      <c r="G685" s="179" t="s">
        <v>712</v>
      </c>
      <c r="H685" s="179" t="s">
        <v>712</v>
      </c>
      <c r="I685" s="179" t="s">
        <v>712</v>
      </c>
      <c r="J685" s="132">
        <v>0.9</v>
      </c>
      <c r="K685" s="133">
        <v>0.888888888888889</v>
      </c>
      <c r="L685" s="133">
        <v>0.944444444444444</v>
      </c>
      <c r="M685" s="134">
        <v>0.95</v>
      </c>
      <c r="N685" s="133">
        <v>0.963855421686747</v>
      </c>
      <c r="O685" s="135">
        <v>0.9</v>
      </c>
      <c r="P685" s="133">
        <v>0.97869101978691</v>
      </c>
      <c r="Q685" s="133">
        <v>0.948051948051948</v>
      </c>
      <c r="R685" s="133">
        <v>0.98936170212766</v>
      </c>
      <c r="S685" s="133">
        <v>0.980199193739625</v>
      </c>
      <c r="T685" s="135">
        <v>0.9</v>
      </c>
      <c r="U685" s="133">
        <v>0.939878234398782</v>
      </c>
      <c r="V685" s="133">
        <v>0.93961038961039</v>
      </c>
      <c r="W685" s="133">
        <v>0.969604863221885</v>
      </c>
      <c r="X685" s="133">
        <v>0.96118883882697</v>
      </c>
      <c r="Y685" s="135">
        <v>0.92</v>
      </c>
      <c r="Z685" s="135">
        <v>0.703448275862069</v>
      </c>
      <c r="AA685" s="135">
        <v>0.807017543859649</v>
      </c>
      <c r="AB685" s="135">
        <v>0.860655737704918</v>
      </c>
      <c r="AC685" s="135">
        <v>0.863249163370855</v>
      </c>
      <c r="AD685" s="135">
        <v>0.92</v>
      </c>
      <c r="AE685" s="133">
        <v>1</v>
      </c>
      <c r="AF685" s="133">
        <v>1</v>
      </c>
      <c r="AG685" s="133">
        <v>1</v>
      </c>
      <c r="AH685" s="133">
        <v>0.994668697638995</v>
      </c>
      <c r="AI685" s="135">
        <v>0.92</v>
      </c>
      <c r="AJ685" s="133">
        <v>0.934201507882111</v>
      </c>
      <c r="AK685" s="133">
        <v>0.935706695005313</v>
      </c>
      <c r="AL685" s="133">
        <v>0.953032104637336</v>
      </c>
      <c r="AM685" s="133">
        <v>0.953822505254572</v>
      </c>
      <c r="AN685" s="132">
        <v>0.99</v>
      </c>
      <c r="AO685" s="137">
        <v>1</v>
      </c>
      <c r="AP685" s="137">
        <v>1</v>
      </c>
      <c r="AQ685" s="137">
        <v>1</v>
      </c>
      <c r="AR685" s="137">
        <v>1</v>
      </c>
      <c r="AS685" s="158">
        <v>0.0810595228934205</v>
      </c>
      <c r="AT685" s="141">
        <v>0.5</v>
      </c>
      <c r="AU685" s="141">
        <v>0</v>
      </c>
      <c r="AV685" s="141">
        <v>0</v>
      </c>
      <c r="AW685" s="141">
        <v>0.028735632183908</v>
      </c>
      <c r="AX685" s="95"/>
      <c r="AY685" s="93"/>
    </row>
    <row r="686" ht="14.5" spans="1:51">
      <c r="A686" s="91"/>
      <c r="B686" s="95"/>
      <c r="C686" s="152" t="s">
        <v>668</v>
      </c>
      <c r="D686" s="153" t="s">
        <v>25</v>
      </c>
      <c r="E686" s="130" t="s">
        <v>669</v>
      </c>
      <c r="F686" s="179" t="s">
        <v>713</v>
      </c>
      <c r="G686" s="179" t="s">
        <v>713</v>
      </c>
      <c r="H686" s="179" t="s">
        <v>713</v>
      </c>
      <c r="I686" s="179" t="s">
        <v>713</v>
      </c>
      <c r="J686" s="132">
        <v>0.9</v>
      </c>
      <c r="K686" s="133">
        <v>0.82051282051282</v>
      </c>
      <c r="L686" s="133">
        <v>0.871794871794872</v>
      </c>
      <c r="M686" s="134">
        <v>0.883720930232558</v>
      </c>
      <c r="N686" s="133">
        <v>0.891495601173021</v>
      </c>
      <c r="O686" s="135">
        <v>0.9</v>
      </c>
      <c r="P686" s="133">
        <v>0.944521981856246</v>
      </c>
      <c r="Q686" s="133">
        <v>0.9670920080591</v>
      </c>
      <c r="R686" s="133">
        <v>0.956702459300312</v>
      </c>
      <c r="S686" s="133">
        <v>0.957756022753615</v>
      </c>
      <c r="T686" s="135">
        <v>0.9</v>
      </c>
      <c r="U686" s="133">
        <v>0.918353105373343</v>
      </c>
      <c r="V686" s="133">
        <v>0.922095366017461</v>
      </c>
      <c r="W686" s="133">
        <v>0.950121233113959</v>
      </c>
      <c r="X686" s="133">
        <v>0.941475418605895</v>
      </c>
      <c r="Y686" s="135">
        <v>0.92</v>
      </c>
      <c r="Z686" s="135">
        <v>0.875</v>
      </c>
      <c r="AA686" s="135">
        <v>0.906942392909897</v>
      </c>
      <c r="AB686" s="135">
        <v>0.934819897084048</v>
      </c>
      <c r="AC686" s="135">
        <v>0.932742807870189</v>
      </c>
      <c r="AD686" s="135">
        <v>0.92</v>
      </c>
      <c r="AE686" s="133">
        <v>1</v>
      </c>
      <c r="AF686" s="133">
        <v>0.989956958393113</v>
      </c>
      <c r="AG686" s="133">
        <v>0.997835497835498</v>
      </c>
      <c r="AH686" s="133">
        <v>0.997300684469295</v>
      </c>
      <c r="AI686" s="135">
        <v>0.92</v>
      </c>
      <c r="AJ686" s="133">
        <v>0.931372549019608</v>
      </c>
      <c r="AK686" s="133">
        <v>0.938166894664843</v>
      </c>
      <c r="AL686" s="133">
        <v>0.961959654178674</v>
      </c>
      <c r="AM686" s="133">
        <v>0.959745485712626</v>
      </c>
      <c r="AN686" s="132">
        <v>0.99</v>
      </c>
      <c r="AO686" s="137">
        <v>1</v>
      </c>
      <c r="AP686" s="137">
        <v>1</v>
      </c>
      <c r="AQ686" s="137">
        <v>1</v>
      </c>
      <c r="AR686" s="137">
        <v>1</v>
      </c>
      <c r="AS686" s="158">
        <v>0.0810595228934205</v>
      </c>
      <c r="AT686" s="141">
        <v>0.111111111111111</v>
      </c>
      <c r="AU686" s="141">
        <v>0.0666666666666667</v>
      </c>
      <c r="AV686" s="141">
        <v>0</v>
      </c>
      <c r="AW686" s="141">
        <v>0.0521472392638037</v>
      </c>
      <c r="AX686" s="95"/>
      <c r="AY686" s="93"/>
    </row>
    <row r="687" ht="14.5" spans="1:51">
      <c r="A687" s="91"/>
      <c r="B687" s="95"/>
      <c r="C687" s="152" t="s">
        <v>668</v>
      </c>
      <c r="D687" s="153" t="s">
        <v>25</v>
      </c>
      <c r="E687" s="130" t="s">
        <v>669</v>
      </c>
      <c r="F687" s="179" t="s">
        <v>714</v>
      </c>
      <c r="G687" s="179" t="s">
        <v>714</v>
      </c>
      <c r="H687" s="179" t="s">
        <v>714</v>
      </c>
      <c r="I687" s="179" t="s">
        <v>714</v>
      </c>
      <c r="J687" s="132">
        <v>0.9</v>
      </c>
      <c r="K687" s="133">
        <v>0.956521739130435</v>
      </c>
      <c r="L687" s="133">
        <v>0.91304347826087</v>
      </c>
      <c r="M687" s="134">
        <v>1</v>
      </c>
      <c r="N687" s="133">
        <v>0.978313253012048</v>
      </c>
      <c r="O687" s="135">
        <v>0.9</v>
      </c>
      <c r="P687" s="133">
        <v>0.972196478220575</v>
      </c>
      <c r="Q687" s="133">
        <v>0.936321742773356</v>
      </c>
      <c r="R687" s="133">
        <v>0.959965187119234</v>
      </c>
      <c r="S687" s="133">
        <v>0.965132350477467</v>
      </c>
      <c r="T687" s="135">
        <v>0.9</v>
      </c>
      <c r="U687" s="133">
        <v>0.928174235403151</v>
      </c>
      <c r="V687" s="133">
        <v>0.921658986175115</v>
      </c>
      <c r="W687" s="133">
        <v>0.941253263707572</v>
      </c>
      <c r="X687" s="133">
        <v>0.943667280951583</v>
      </c>
      <c r="Y687" s="135">
        <v>0.92</v>
      </c>
      <c r="Z687" s="135">
        <v>0.946502057613169</v>
      </c>
      <c r="AA687" s="135">
        <v>0.941605839416058</v>
      </c>
      <c r="AB687" s="135">
        <v>0.955284552845528</v>
      </c>
      <c r="AC687" s="135">
        <v>0.938152539373562</v>
      </c>
      <c r="AD687" s="135">
        <v>0.92</v>
      </c>
      <c r="AE687" s="133">
        <v>1</v>
      </c>
      <c r="AF687" s="133">
        <v>0.990697674418605</v>
      </c>
      <c r="AG687" s="133">
        <v>0.991561181434599</v>
      </c>
      <c r="AH687" s="133">
        <v>0.993972746331237</v>
      </c>
      <c r="AI687" s="135">
        <v>0.92</v>
      </c>
      <c r="AJ687" s="133">
        <v>0.951686797167847</v>
      </c>
      <c r="AK687" s="133">
        <v>0.952299829642249</v>
      </c>
      <c r="AL687" s="133">
        <v>0.965232974910394</v>
      </c>
      <c r="AM687" s="133">
        <v>0.965625846654023</v>
      </c>
      <c r="AN687" s="132">
        <v>0.99</v>
      </c>
      <c r="AO687" s="137">
        <v>1</v>
      </c>
      <c r="AP687" s="137">
        <v>1</v>
      </c>
      <c r="AQ687" s="137">
        <v>1</v>
      </c>
      <c r="AR687" s="137">
        <v>1</v>
      </c>
      <c r="AS687" s="158">
        <v>0.0810595228934205</v>
      </c>
      <c r="AT687" s="141">
        <v>0.0769230769230769</v>
      </c>
      <c r="AU687" s="141">
        <v>0.0833333333333333</v>
      </c>
      <c r="AV687" s="141">
        <v>0</v>
      </c>
      <c r="AW687" s="141">
        <v>0.0235294117647059</v>
      </c>
      <c r="AX687" s="95"/>
      <c r="AY687" s="93"/>
    </row>
    <row r="688" ht="14.5" spans="1:51">
      <c r="A688" s="91"/>
      <c r="B688" s="95"/>
      <c r="C688" s="152" t="s">
        <v>668</v>
      </c>
      <c r="D688" s="153" t="s">
        <v>25</v>
      </c>
      <c r="E688" s="130" t="s">
        <v>669</v>
      </c>
      <c r="F688" s="179" t="s">
        <v>715</v>
      </c>
      <c r="G688" s="179" t="s">
        <v>715</v>
      </c>
      <c r="H688" s="179" t="s">
        <v>715</v>
      </c>
      <c r="I688" s="179" t="s">
        <v>715</v>
      </c>
      <c r="J688" s="132">
        <v>0.9</v>
      </c>
      <c r="K688" s="133">
        <v>0.949152542372881</v>
      </c>
      <c r="L688" s="133">
        <v>1</v>
      </c>
      <c r="M688" s="134">
        <v>0.985074626865672</v>
      </c>
      <c r="N688" s="133">
        <v>0.964485981308411</v>
      </c>
      <c r="O688" s="135">
        <v>0.9</v>
      </c>
      <c r="P688" s="133">
        <v>0.947630922693267</v>
      </c>
      <c r="Q688" s="133">
        <v>0.954784688995215</v>
      </c>
      <c r="R688" s="133">
        <v>0.967906265919511</v>
      </c>
      <c r="S688" s="133">
        <v>0.961936732677288</v>
      </c>
      <c r="T688" s="135">
        <v>0.9</v>
      </c>
      <c r="U688" s="133">
        <v>0.88927680798005</v>
      </c>
      <c r="V688" s="133">
        <v>0.903588516746411</v>
      </c>
      <c r="W688" s="133">
        <v>0.93301069791136</v>
      </c>
      <c r="X688" s="133">
        <v>0.935040675717747</v>
      </c>
      <c r="Y688" s="135">
        <v>0.92</v>
      </c>
      <c r="Z688" s="135">
        <v>0.822894168466523</v>
      </c>
      <c r="AA688" s="135">
        <v>0.827814569536424</v>
      </c>
      <c r="AB688" s="135">
        <v>0.919826652221018</v>
      </c>
      <c r="AC688" s="135">
        <v>0.901055693202628</v>
      </c>
      <c r="AD688" s="135">
        <v>0.92</v>
      </c>
      <c r="AE688" s="133">
        <v>0.999516090007259</v>
      </c>
      <c r="AF688" s="133">
        <v>0.994052676295667</v>
      </c>
      <c r="AG688" s="133">
        <v>0.996406109613657</v>
      </c>
      <c r="AH688" s="133">
        <v>0.996180001182662</v>
      </c>
      <c r="AI688" s="135">
        <v>0.92</v>
      </c>
      <c r="AJ688" s="133">
        <v>0.922698838248436</v>
      </c>
      <c r="AK688" s="133">
        <v>0.915251002099637</v>
      </c>
      <c r="AL688" s="133">
        <v>0.957938144329897</v>
      </c>
      <c r="AM688" s="133">
        <v>0.952385585936233</v>
      </c>
      <c r="AN688" s="132">
        <v>0.99</v>
      </c>
      <c r="AO688" s="137">
        <v>1</v>
      </c>
      <c r="AP688" s="137">
        <v>1</v>
      </c>
      <c r="AQ688" s="137">
        <v>1</v>
      </c>
      <c r="AR688" s="137">
        <v>1</v>
      </c>
      <c r="AS688" s="158">
        <v>0.0810595228934205</v>
      </c>
      <c r="AT688" s="141">
        <v>0.0697674418604651</v>
      </c>
      <c r="AU688" s="141">
        <v>0.02</v>
      </c>
      <c r="AV688" s="141">
        <v>0.0392156862745098</v>
      </c>
      <c r="AW688" s="141">
        <v>0.035024154589372</v>
      </c>
      <c r="AX688" s="95"/>
      <c r="AY688" s="93"/>
    </row>
    <row r="689" ht="14.5" spans="1:51">
      <c r="A689" s="91"/>
      <c r="B689" s="95"/>
      <c r="C689" s="152" t="s">
        <v>668</v>
      </c>
      <c r="D689" s="153" t="s">
        <v>25</v>
      </c>
      <c r="E689" s="130" t="s">
        <v>669</v>
      </c>
      <c r="F689" s="179" t="s">
        <v>716</v>
      </c>
      <c r="G689" s="179" t="s">
        <v>716</v>
      </c>
      <c r="H689" s="179" t="s">
        <v>716</v>
      </c>
      <c r="I689" s="179" t="s">
        <v>716</v>
      </c>
      <c r="J689" s="132">
        <v>0.9</v>
      </c>
      <c r="K689" s="133">
        <v>1</v>
      </c>
      <c r="L689" s="133">
        <v>1</v>
      </c>
      <c r="M689" s="134">
        <v>0.961538461538462</v>
      </c>
      <c r="N689" s="133">
        <v>0.982758620689655</v>
      </c>
      <c r="O689" s="135">
        <v>0.9</v>
      </c>
      <c r="P689" s="133">
        <v>0.935340572556762</v>
      </c>
      <c r="Q689" s="133">
        <v>0.975598086124402</v>
      </c>
      <c r="R689" s="133">
        <v>0.96468213925328</v>
      </c>
      <c r="S689" s="133">
        <v>0.959784207945071</v>
      </c>
      <c r="T689" s="135">
        <v>0.9</v>
      </c>
      <c r="U689" s="133">
        <v>0.910167818361303</v>
      </c>
      <c r="V689" s="133">
        <v>0.914354066985646</v>
      </c>
      <c r="W689" s="133">
        <v>0.916750756811302</v>
      </c>
      <c r="X689" s="133">
        <v>0.927851343251049</v>
      </c>
      <c r="Y689" s="135">
        <v>0.92</v>
      </c>
      <c r="Z689" s="135">
        <v>0.914798206278027</v>
      </c>
      <c r="AA689" s="135">
        <v>0.930184804928131</v>
      </c>
      <c r="AB689" s="135">
        <v>0.93348623853211</v>
      </c>
      <c r="AC689" s="135">
        <v>0.929760319573901</v>
      </c>
      <c r="AD689" s="135">
        <v>0.92</v>
      </c>
      <c r="AE689" s="133">
        <v>0.991423670668954</v>
      </c>
      <c r="AF689" s="133">
        <v>0.976190476190476</v>
      </c>
      <c r="AG689" s="133">
        <v>0.996402877697842</v>
      </c>
      <c r="AH689" s="133">
        <v>0.996209887981134</v>
      </c>
      <c r="AI689" s="135">
        <v>0.92</v>
      </c>
      <c r="AJ689" s="133">
        <v>0.94</v>
      </c>
      <c r="AK689" s="133">
        <v>0.947266382318728</v>
      </c>
      <c r="AL689" s="133">
        <v>0.959884201819686</v>
      </c>
      <c r="AM689" s="133">
        <v>0.959754150353245</v>
      </c>
      <c r="AN689" s="132">
        <v>0.99</v>
      </c>
      <c r="AO689" s="137">
        <v>1</v>
      </c>
      <c r="AP689" s="137">
        <v>1</v>
      </c>
      <c r="AQ689" s="137">
        <v>1</v>
      </c>
      <c r="AR689" s="137">
        <v>1</v>
      </c>
      <c r="AS689" s="158">
        <v>0.0810595228934205</v>
      </c>
      <c r="AT689" s="141">
        <v>0.1</v>
      </c>
      <c r="AU689" s="141">
        <v>0.133333333333333</v>
      </c>
      <c r="AV689" s="141">
        <v>0.0714285714285714</v>
      </c>
      <c r="AW689" s="141">
        <v>0.0639097744360902</v>
      </c>
      <c r="AX689" s="95"/>
      <c r="AY689" s="93"/>
    </row>
    <row r="690" ht="14.5" spans="1:51">
      <c r="A690" s="91"/>
      <c r="B690" s="95"/>
      <c r="C690" s="152" t="s">
        <v>668</v>
      </c>
      <c r="D690" s="153" t="s">
        <v>25</v>
      </c>
      <c r="E690" s="130" t="s">
        <v>669</v>
      </c>
      <c r="F690" s="179" t="s">
        <v>717</v>
      </c>
      <c r="G690" s="179" t="s">
        <v>717</v>
      </c>
      <c r="H690" s="179" t="s">
        <v>717</v>
      </c>
      <c r="I690" s="179" t="s">
        <v>717</v>
      </c>
      <c r="J690" s="132">
        <v>0.9</v>
      </c>
      <c r="K690" s="133">
        <v>0.941176470588235</v>
      </c>
      <c r="L690" s="133">
        <v>0.941176470588235</v>
      </c>
      <c r="M690" s="134">
        <v>0.918918918918919</v>
      </c>
      <c r="N690" s="133">
        <v>0.925644916540212</v>
      </c>
      <c r="O690" s="135">
        <v>0.9</v>
      </c>
      <c r="P690" s="133">
        <v>0.92258064516129</v>
      </c>
      <c r="Q690" s="133">
        <v>0.837798165137615</v>
      </c>
      <c r="R690" s="133">
        <v>0.955494289090193</v>
      </c>
      <c r="S690" s="133">
        <v>0.945270199644612</v>
      </c>
      <c r="T690" s="135">
        <v>0.9</v>
      </c>
      <c r="U690" s="133">
        <v>0.914231499051233</v>
      </c>
      <c r="V690" s="133">
        <v>0.811743119266055</v>
      </c>
      <c r="W690" s="133">
        <v>0.911776289877905</v>
      </c>
      <c r="X690" s="133">
        <v>0.90776627992056</v>
      </c>
      <c r="Y690" s="135">
        <v>0.92</v>
      </c>
      <c r="Z690" s="135">
        <v>0.863636363636364</v>
      </c>
      <c r="AA690" s="135">
        <v>0.875748502994012</v>
      </c>
      <c r="AB690" s="135">
        <v>0.920353982300885</v>
      </c>
      <c r="AC690" s="135">
        <v>0.909233824259474</v>
      </c>
      <c r="AD690" s="135">
        <v>0.92</v>
      </c>
      <c r="AE690" s="133">
        <v>0.999527186761229</v>
      </c>
      <c r="AF690" s="133">
        <v>0.996503496503496</v>
      </c>
      <c r="AG690" s="133">
        <v>0.996563573883162</v>
      </c>
      <c r="AH690" s="133">
        <v>0.987720104118818</v>
      </c>
      <c r="AI690" s="135">
        <v>0.92</v>
      </c>
      <c r="AJ690" s="133">
        <v>0.942068965517241</v>
      </c>
      <c r="AK690" s="133">
        <v>0.891246684350133</v>
      </c>
      <c r="AL690" s="133">
        <v>0.953286082474227</v>
      </c>
      <c r="AM690" s="133">
        <v>0.947239325224008</v>
      </c>
      <c r="AN690" s="132">
        <v>0.99</v>
      </c>
      <c r="AO690" s="137">
        <v>1</v>
      </c>
      <c r="AP690" s="137">
        <v>1</v>
      </c>
      <c r="AQ690" s="137">
        <v>1</v>
      </c>
      <c r="AR690" s="137">
        <v>1</v>
      </c>
      <c r="AS690" s="158">
        <v>0.0810595228934205</v>
      </c>
      <c r="AT690" s="141">
        <v>0.133333333333333</v>
      </c>
      <c r="AU690" s="141">
        <v>0</v>
      </c>
      <c r="AV690" s="141">
        <v>0</v>
      </c>
      <c r="AW690" s="141">
        <v>0.0743801652892562</v>
      </c>
      <c r="AX690" s="95"/>
      <c r="AY690" s="93"/>
    </row>
    <row r="691" ht="14.5" spans="1:51">
      <c r="A691" s="91"/>
      <c r="B691" s="95"/>
      <c r="C691" s="152" t="s">
        <v>668</v>
      </c>
      <c r="D691" s="153" t="s">
        <v>25</v>
      </c>
      <c r="E691" s="130" t="s">
        <v>669</v>
      </c>
      <c r="F691" s="179" t="s">
        <v>718</v>
      </c>
      <c r="G691" s="179" t="s">
        <v>718</v>
      </c>
      <c r="H691" s="179" t="s">
        <v>718</v>
      </c>
      <c r="I691" s="179" t="s">
        <v>718</v>
      </c>
      <c r="J691" s="132">
        <v>0.9</v>
      </c>
      <c r="K691" s="133">
        <v>0.814814814814815</v>
      </c>
      <c r="L691" s="133">
        <v>0.862068965517241</v>
      </c>
      <c r="M691" s="134">
        <v>0.571428571428571</v>
      </c>
      <c r="N691" s="133">
        <v>0.791828793774319</v>
      </c>
      <c r="O691" s="135">
        <v>0.9</v>
      </c>
      <c r="P691" s="133">
        <v>0.965110312981016</v>
      </c>
      <c r="Q691" s="133">
        <v>0.957292139936393</v>
      </c>
      <c r="R691" s="133">
        <v>0.968457368161656</v>
      </c>
      <c r="S691" s="133">
        <v>0.949421682023133</v>
      </c>
      <c r="T691" s="135">
        <v>0.9</v>
      </c>
      <c r="U691" s="133">
        <v>0.909184197024115</v>
      </c>
      <c r="V691" s="133">
        <v>0.910040890504316</v>
      </c>
      <c r="W691" s="133">
        <v>0.926071956628881</v>
      </c>
      <c r="X691" s="133">
        <v>0.925382277984709</v>
      </c>
      <c r="Y691" s="135">
        <v>0.92</v>
      </c>
      <c r="Z691" s="135">
        <v>0.84108527131783</v>
      </c>
      <c r="AA691" s="135">
        <v>0.895910780669145</v>
      </c>
      <c r="AB691" s="135">
        <v>0.885931558935361</v>
      </c>
      <c r="AC691" s="135">
        <v>0.900598340088786</v>
      </c>
      <c r="AD691" s="135">
        <v>0.92</v>
      </c>
      <c r="AE691" s="133">
        <v>0.998921105866487</v>
      </c>
      <c r="AF691" s="133">
        <v>0.995614909308352</v>
      </c>
      <c r="AG691" s="133">
        <v>0.998260869565217</v>
      </c>
      <c r="AH691" s="133">
        <v>0.996971688616378</v>
      </c>
      <c r="AI691" s="135">
        <v>0.92</v>
      </c>
      <c r="AJ691" s="133">
        <v>0.929768917082012</v>
      </c>
      <c r="AK691" s="133">
        <v>0.937203358890106</v>
      </c>
      <c r="AL691" s="133">
        <v>0.950723504106375</v>
      </c>
      <c r="AM691" s="133">
        <v>0.952089724300983</v>
      </c>
      <c r="AN691" s="132">
        <v>0.99</v>
      </c>
      <c r="AO691" s="137">
        <v>1</v>
      </c>
      <c r="AP691" s="137">
        <v>1</v>
      </c>
      <c r="AQ691" s="137">
        <v>1</v>
      </c>
      <c r="AR691" s="137">
        <v>1</v>
      </c>
      <c r="AS691" s="158">
        <v>0.0810595228934205</v>
      </c>
      <c r="AT691" s="141">
        <v>0.0434782608695652</v>
      </c>
      <c r="AU691" s="141">
        <v>0.0384615384615385</v>
      </c>
      <c r="AV691" s="141">
        <v>0.037037037037037</v>
      </c>
      <c r="AW691" s="141">
        <v>0.0285714285714286</v>
      </c>
      <c r="AX691" s="95"/>
      <c r="AY691" s="93"/>
    </row>
    <row r="692" ht="14.5" spans="1:51">
      <c r="A692" s="91"/>
      <c r="B692" s="95"/>
      <c r="C692" s="152" t="s">
        <v>668</v>
      </c>
      <c r="D692" s="153" t="s">
        <v>25</v>
      </c>
      <c r="E692" s="130" t="s">
        <v>669</v>
      </c>
      <c r="F692" s="179" t="s">
        <v>719</v>
      </c>
      <c r="G692" s="179" t="s">
        <v>719</v>
      </c>
      <c r="H692" s="179" t="s">
        <v>719</v>
      </c>
      <c r="I692" s="179" t="s">
        <v>719</v>
      </c>
      <c r="J692" s="132">
        <v>0.9</v>
      </c>
      <c r="K692" s="133">
        <v>0.928571428571429</v>
      </c>
      <c r="L692" s="133">
        <v>1</v>
      </c>
      <c r="M692" s="134">
        <v>0.96551724137931</v>
      </c>
      <c r="N692" s="133">
        <v>0.971800433839479</v>
      </c>
      <c r="O692" s="135">
        <v>0.9</v>
      </c>
      <c r="P692" s="133">
        <v>0.96759941089838</v>
      </c>
      <c r="Q692" s="133">
        <v>0.891627906976744</v>
      </c>
      <c r="R692" s="133">
        <v>0.968765251342118</v>
      </c>
      <c r="S692" s="133">
        <v>0.950328125429034</v>
      </c>
      <c r="T692" s="135">
        <v>0.9</v>
      </c>
      <c r="U692" s="133">
        <v>0.911143838978891</v>
      </c>
      <c r="V692" s="133">
        <v>0.893023255813953</v>
      </c>
      <c r="W692" s="133">
        <v>0.917520741825281</v>
      </c>
      <c r="X692" s="133">
        <v>0.919602405337873</v>
      </c>
      <c r="Y692" s="135">
        <v>0.92</v>
      </c>
      <c r="Z692" s="135">
        <v>0.746835443037975</v>
      </c>
      <c r="AA692" s="135">
        <v>0.771929824561403</v>
      </c>
      <c r="AB692" s="135">
        <v>0.864142538975501</v>
      </c>
      <c r="AC692" s="135">
        <v>0.860980155684684</v>
      </c>
      <c r="AD692" s="135">
        <v>0.92</v>
      </c>
      <c r="AE692" s="133">
        <v>0.99738219895288</v>
      </c>
      <c r="AF692" s="133">
        <v>0.965116279069767</v>
      </c>
      <c r="AG692" s="133">
        <v>0.992565055762082</v>
      </c>
      <c r="AH692" s="133">
        <v>0.991345814199929</v>
      </c>
      <c r="AI692" s="135">
        <v>0.92</v>
      </c>
      <c r="AJ692" s="133">
        <v>0.927000879507476</v>
      </c>
      <c r="AK692" s="133">
        <v>0.909125046939542</v>
      </c>
      <c r="AL692" s="133">
        <v>0.947157726180945</v>
      </c>
      <c r="AM692" s="133">
        <v>0.943240454076367</v>
      </c>
      <c r="AN692" s="132">
        <v>0.99</v>
      </c>
      <c r="AO692" s="137">
        <v>1</v>
      </c>
      <c r="AP692" s="137">
        <v>1</v>
      </c>
      <c r="AQ692" s="137">
        <v>1</v>
      </c>
      <c r="AR692" s="137">
        <v>1</v>
      </c>
      <c r="AS692" s="158">
        <v>0.0810595228934205</v>
      </c>
      <c r="AT692" s="141">
        <v>0.0555555555555556</v>
      </c>
      <c r="AU692" s="141">
        <v>0.117647058823529</v>
      </c>
      <c r="AV692" s="141">
        <v>0.176470588235294</v>
      </c>
      <c r="AW692" s="141">
        <v>0.0827067669172932</v>
      </c>
      <c r="AX692" s="95"/>
      <c r="AY692" s="93"/>
    </row>
    <row r="693" ht="14.5" spans="1:51">
      <c r="A693" s="91"/>
      <c r="B693" s="95"/>
      <c r="C693" s="152" t="s">
        <v>668</v>
      </c>
      <c r="D693" s="153" t="s">
        <v>25</v>
      </c>
      <c r="E693" s="130" t="s">
        <v>669</v>
      </c>
      <c r="F693" s="179" t="s">
        <v>720</v>
      </c>
      <c r="G693" s="179" t="s">
        <v>720</v>
      </c>
      <c r="H693" s="179" t="s">
        <v>720</v>
      </c>
      <c r="I693" s="179" t="s">
        <v>720</v>
      </c>
      <c r="J693" s="132">
        <v>0.9</v>
      </c>
      <c r="K693" s="133">
        <v>0.851851851851852</v>
      </c>
      <c r="L693" s="133">
        <v>0.925925925925926</v>
      </c>
      <c r="M693" s="134">
        <v>0.96551724137931</v>
      </c>
      <c r="N693" s="133">
        <v>0.944086021505376</v>
      </c>
      <c r="O693" s="135">
        <v>0.9</v>
      </c>
      <c r="P693" s="133">
        <v>0.920127795527157</v>
      </c>
      <c r="Q693" s="133">
        <v>0.989136057941024</v>
      </c>
      <c r="R693" s="133">
        <v>0.986172839506173</v>
      </c>
      <c r="S693" s="133">
        <v>0.979125417208802</v>
      </c>
      <c r="T693" s="135">
        <v>0.9</v>
      </c>
      <c r="U693" s="133">
        <v>0.848242811501597</v>
      </c>
      <c r="V693" s="133">
        <v>0.902741852043456</v>
      </c>
      <c r="W693" s="133">
        <v>0.952592592592593</v>
      </c>
      <c r="X693" s="133">
        <v>0.932256604627482</v>
      </c>
      <c r="Y693" s="135">
        <v>0.92</v>
      </c>
      <c r="Z693" s="135">
        <v>0.861224489795918</v>
      </c>
      <c r="AA693" s="135">
        <v>0.860998650472335</v>
      </c>
      <c r="AB693" s="135">
        <v>0.888091822094692</v>
      </c>
      <c r="AC693" s="135">
        <v>0.878087905036894</v>
      </c>
      <c r="AD693" s="135">
        <v>0.92</v>
      </c>
      <c r="AE693" s="133">
        <v>1</v>
      </c>
      <c r="AF693" s="133">
        <v>0.99001996007984</v>
      </c>
      <c r="AG693" s="133">
        <v>0.995991983967936</v>
      </c>
      <c r="AH693" s="133">
        <v>0.993599879527144</v>
      </c>
      <c r="AI693" s="135">
        <v>0.92</v>
      </c>
      <c r="AJ693" s="133">
        <v>0.936682144364711</v>
      </c>
      <c r="AK693" s="133">
        <v>0.93492894540015</v>
      </c>
      <c r="AL693" s="133">
        <v>0.959588537839824</v>
      </c>
      <c r="AM693" s="133">
        <v>0.951073661321011</v>
      </c>
      <c r="AN693" s="132">
        <v>0.99</v>
      </c>
      <c r="AO693" s="137">
        <v>1</v>
      </c>
      <c r="AP693" s="137">
        <v>1</v>
      </c>
      <c r="AQ693" s="137">
        <v>1</v>
      </c>
      <c r="AR693" s="137">
        <v>1</v>
      </c>
      <c r="AS693" s="158">
        <v>0.0810595228934205</v>
      </c>
      <c r="AT693" s="141">
        <v>0.1</v>
      </c>
      <c r="AU693" s="141">
        <v>0</v>
      </c>
      <c r="AV693" s="141">
        <v>0</v>
      </c>
      <c r="AW693" s="141">
        <v>0.0264900662251656</v>
      </c>
      <c r="AX693" s="95"/>
      <c r="AY693" s="93"/>
    </row>
    <row r="694" ht="14.5" spans="1:51">
      <c r="A694" s="91"/>
      <c r="B694" s="95"/>
      <c r="C694" s="152" t="s">
        <v>668</v>
      </c>
      <c r="D694" s="153" t="s">
        <v>25</v>
      </c>
      <c r="E694" s="130" t="s">
        <v>669</v>
      </c>
      <c r="F694" s="179" t="s">
        <v>721</v>
      </c>
      <c r="G694" s="179" t="s">
        <v>721</v>
      </c>
      <c r="H694" s="179" t="s">
        <v>721</v>
      </c>
      <c r="I694" s="179" t="s">
        <v>721</v>
      </c>
      <c r="J694" s="132">
        <v>0.9</v>
      </c>
      <c r="K694" s="133">
        <v>0.829268292682927</v>
      </c>
      <c r="L694" s="133">
        <v>0.833333333333333</v>
      </c>
      <c r="M694" s="134">
        <v>0.897435897435897</v>
      </c>
      <c r="N694" s="133">
        <v>0.871681415929204</v>
      </c>
      <c r="O694" s="135">
        <v>0.9</v>
      </c>
      <c r="P694" s="133">
        <v>0.905143209116107</v>
      </c>
      <c r="Q694" s="133">
        <v>0.942301562001913</v>
      </c>
      <c r="R694" s="133">
        <v>0.971840429098223</v>
      </c>
      <c r="S694" s="133">
        <v>0.958015606391866</v>
      </c>
      <c r="T694" s="135">
        <v>0.9</v>
      </c>
      <c r="U694" s="133">
        <v>0.933785032337542</v>
      </c>
      <c r="V694" s="133">
        <v>0.883965572202742</v>
      </c>
      <c r="W694" s="133">
        <v>0.934629567549447</v>
      </c>
      <c r="X694" s="133">
        <v>0.931424305444462</v>
      </c>
      <c r="Y694" s="135">
        <v>0.92</v>
      </c>
      <c r="Z694" s="135">
        <v>0.850561797752809</v>
      </c>
      <c r="AA694" s="135">
        <v>0.798811544991511</v>
      </c>
      <c r="AB694" s="135">
        <v>0.860927152317881</v>
      </c>
      <c r="AC694" s="135">
        <v>0.872192328577776</v>
      </c>
      <c r="AD694" s="135">
        <v>0.92</v>
      </c>
      <c r="AE694" s="133">
        <v>1</v>
      </c>
      <c r="AF694" s="133">
        <v>0.988741721854305</v>
      </c>
      <c r="AG694" s="133">
        <v>0.997152011391954</v>
      </c>
      <c r="AH694" s="133">
        <v>0.982878043204938</v>
      </c>
      <c r="AI694" s="135">
        <v>0.92</v>
      </c>
      <c r="AJ694" s="133">
        <v>0.932576123731271</v>
      </c>
      <c r="AK694" s="133">
        <v>0.895273401297498</v>
      </c>
      <c r="AL694" s="133">
        <v>0.937376237623762</v>
      </c>
      <c r="AM694" s="133">
        <v>0.941841321277374</v>
      </c>
      <c r="AN694" s="132">
        <v>0.99</v>
      </c>
      <c r="AO694" s="137">
        <v>1</v>
      </c>
      <c r="AP694" s="137">
        <v>1</v>
      </c>
      <c r="AQ694" s="137">
        <v>1</v>
      </c>
      <c r="AR694" s="137">
        <v>1</v>
      </c>
      <c r="AS694" s="158">
        <v>0.0810595228934205</v>
      </c>
      <c r="AT694" s="141">
        <v>0</v>
      </c>
      <c r="AU694" s="141">
        <v>0</v>
      </c>
      <c r="AV694" s="141">
        <v>0</v>
      </c>
      <c r="AW694" s="141">
        <v>0.0171673819742489</v>
      </c>
      <c r="AX694" s="95"/>
      <c r="AY694" s="93"/>
    </row>
    <row r="695" ht="14.5" spans="1:51">
      <c r="A695" s="91"/>
      <c r="B695" s="95"/>
      <c r="C695" s="152" t="s">
        <v>668</v>
      </c>
      <c r="D695" s="153" t="s">
        <v>25</v>
      </c>
      <c r="E695" s="130" t="s">
        <v>669</v>
      </c>
      <c r="F695" s="179" t="s">
        <v>722</v>
      </c>
      <c r="G695" s="179" t="s">
        <v>722</v>
      </c>
      <c r="H695" s="179" t="s">
        <v>722</v>
      </c>
      <c r="I695" s="179" t="s">
        <v>722</v>
      </c>
      <c r="J695" s="132">
        <v>0.9</v>
      </c>
      <c r="K695" s="133">
        <v>0.625</v>
      </c>
      <c r="L695" s="133">
        <v>0.8125</v>
      </c>
      <c r="M695" s="134">
        <v>0.882352941176471</v>
      </c>
      <c r="N695" s="133">
        <v>0.793478260869565</v>
      </c>
      <c r="O695" s="135">
        <v>0.9</v>
      </c>
      <c r="P695" s="133">
        <v>0.974273858921162</v>
      </c>
      <c r="Q695" s="133">
        <v>0.976744186046512</v>
      </c>
      <c r="R695" s="133">
        <v>0.97719298245614</v>
      </c>
      <c r="S695" s="133">
        <v>0.970520329550149</v>
      </c>
      <c r="T695" s="135">
        <v>0.9</v>
      </c>
      <c r="U695" s="133">
        <v>0.946058091286307</v>
      </c>
      <c r="V695" s="133">
        <v>0.964685615848407</v>
      </c>
      <c r="W695" s="133">
        <v>0.963157894736842</v>
      </c>
      <c r="X695" s="133">
        <v>0.946800495783411</v>
      </c>
      <c r="Y695" s="135">
        <v>0.92</v>
      </c>
      <c r="Z695" s="135">
        <v>0.92</v>
      </c>
      <c r="AA695" s="135">
        <v>0.943793911007026</v>
      </c>
      <c r="AB695" s="135">
        <v>0.958762886597938</v>
      </c>
      <c r="AC695" s="135">
        <v>0.959633552819926</v>
      </c>
      <c r="AD695" s="135">
        <v>0.92</v>
      </c>
      <c r="AE695" s="133">
        <v>1</v>
      </c>
      <c r="AF695" s="133">
        <v>0.998685939553219</v>
      </c>
      <c r="AG695" s="133">
        <v>1</v>
      </c>
      <c r="AH695" s="133">
        <v>0.996953833656753</v>
      </c>
      <c r="AI695" s="135">
        <v>0.92</v>
      </c>
      <c r="AJ695" s="133">
        <v>0.965382103200523</v>
      </c>
      <c r="AK695" s="133">
        <v>0.973551637279597</v>
      </c>
      <c r="AL695" s="133">
        <v>0.979076923076923</v>
      </c>
      <c r="AM695" s="133">
        <v>0.977074626865672</v>
      </c>
      <c r="AN695" s="132">
        <v>0.99</v>
      </c>
      <c r="AO695" s="137">
        <v>1</v>
      </c>
      <c r="AP695" s="137">
        <v>1</v>
      </c>
      <c r="AQ695" s="137">
        <v>1</v>
      </c>
      <c r="AR695" s="137">
        <v>1</v>
      </c>
      <c r="AS695" s="158">
        <v>0.0810595228934205</v>
      </c>
      <c r="AT695" s="141">
        <v>0</v>
      </c>
      <c r="AU695" s="141">
        <v>0.166666666666667</v>
      </c>
      <c r="AV695" s="141">
        <v>0</v>
      </c>
      <c r="AW695" s="141">
        <v>0.0721003134796238</v>
      </c>
      <c r="AX695" s="95"/>
      <c r="AY695" s="93"/>
    </row>
    <row r="696" ht="14.5" spans="1:51">
      <c r="A696" s="91"/>
      <c r="B696" s="95"/>
      <c r="C696" s="152" t="s">
        <v>668</v>
      </c>
      <c r="D696" s="153" t="s">
        <v>25</v>
      </c>
      <c r="E696" s="130" t="s">
        <v>669</v>
      </c>
      <c r="F696" s="179" t="s">
        <v>723</v>
      </c>
      <c r="G696" s="179" t="s">
        <v>723</v>
      </c>
      <c r="H696" s="179" t="s">
        <v>723</v>
      </c>
      <c r="I696" s="179" t="s">
        <v>723</v>
      </c>
      <c r="J696" s="132">
        <v>0.9</v>
      </c>
      <c r="K696" s="133">
        <v>0.952380952380952</v>
      </c>
      <c r="L696" s="133">
        <v>0.952380952380952</v>
      </c>
      <c r="M696" s="134">
        <v>0.904761904761905</v>
      </c>
      <c r="N696" s="133">
        <v>0.951566951566952</v>
      </c>
      <c r="O696" s="135">
        <v>0.9</v>
      </c>
      <c r="P696" s="133">
        <v>1</v>
      </c>
      <c r="Q696" s="133">
        <v>0.997725980670836</v>
      </c>
      <c r="R696" s="133">
        <v>0.998349834983498</v>
      </c>
      <c r="S696" s="133">
        <v>0.999105324859629</v>
      </c>
      <c r="T696" s="135">
        <v>0.9</v>
      </c>
      <c r="U696" s="133">
        <v>0.97198275862069</v>
      </c>
      <c r="V696" s="133">
        <v>0.973848777714611</v>
      </c>
      <c r="W696" s="133">
        <v>0.976347634763476</v>
      </c>
      <c r="X696" s="133">
        <v>0.975041648670328</v>
      </c>
      <c r="Y696" s="135">
        <v>0.92</v>
      </c>
      <c r="Z696" s="135">
        <v>0.954990215264188</v>
      </c>
      <c r="AA696" s="135">
        <v>0.953191489361702</v>
      </c>
      <c r="AB696" s="135">
        <v>0.962178517397882</v>
      </c>
      <c r="AC696" s="135">
        <v>0.965798611111111</v>
      </c>
      <c r="AD696" s="135">
        <v>0.92</v>
      </c>
      <c r="AE696" s="133">
        <v>0.996621621621622</v>
      </c>
      <c r="AF696" s="133">
        <v>0.992727272727273</v>
      </c>
      <c r="AG696" s="133">
        <v>0.783720930232558</v>
      </c>
      <c r="AH696" s="133">
        <v>0.977902669561885</v>
      </c>
      <c r="AI696" s="135">
        <v>0.92</v>
      </c>
      <c r="AJ696" s="133">
        <v>0.977608787494719</v>
      </c>
      <c r="AK696" s="133">
        <v>0.976461038961039</v>
      </c>
      <c r="AL696" s="133">
        <v>0.983870967741935</v>
      </c>
      <c r="AM696" s="133">
        <v>0.983885651857247</v>
      </c>
      <c r="AN696" s="132">
        <v>0.99</v>
      </c>
      <c r="AO696" s="137">
        <v>1</v>
      </c>
      <c r="AP696" s="137">
        <v>1</v>
      </c>
      <c r="AQ696" s="137">
        <v>1</v>
      </c>
      <c r="AR696" s="137">
        <v>1</v>
      </c>
      <c r="AS696" s="158">
        <v>0.0810595228934205</v>
      </c>
      <c r="AT696" s="141">
        <v>0.142857142857143</v>
      </c>
      <c r="AU696" s="141">
        <v>0</v>
      </c>
      <c r="AV696" s="141">
        <v>0.0833333333333333</v>
      </c>
      <c r="AW696" s="141">
        <v>0.0354609929078014</v>
      </c>
      <c r="AX696" s="95"/>
      <c r="AY696" s="93"/>
    </row>
    <row r="697" ht="14.5" spans="1:51">
      <c r="A697" s="91"/>
      <c r="B697" s="95"/>
      <c r="C697" s="152" t="s">
        <v>668</v>
      </c>
      <c r="D697" s="153" t="s">
        <v>25</v>
      </c>
      <c r="E697" s="130" t="s">
        <v>669</v>
      </c>
      <c r="F697" s="179" t="s">
        <v>724</v>
      </c>
      <c r="G697" s="179" t="s">
        <v>724</v>
      </c>
      <c r="H697" s="179" t="s">
        <v>724</v>
      </c>
      <c r="I697" s="179" t="s">
        <v>724</v>
      </c>
      <c r="J697" s="132">
        <v>0.9</v>
      </c>
      <c r="K697" s="133">
        <v>0.975</v>
      </c>
      <c r="L697" s="133">
        <v>0.975</v>
      </c>
      <c r="M697" s="134">
        <v>1</v>
      </c>
      <c r="N697" s="133">
        <v>0.990867579908676</v>
      </c>
      <c r="O697" s="135">
        <v>0.9</v>
      </c>
      <c r="P697" s="133">
        <v>0.997354497354497</v>
      </c>
      <c r="Q697" s="133">
        <v>0.993218986836857</v>
      </c>
      <c r="R697" s="133">
        <v>0.990955564294141</v>
      </c>
      <c r="S697" s="133">
        <v>0.993976678384635</v>
      </c>
      <c r="T697" s="135">
        <v>0.9</v>
      </c>
      <c r="U697" s="133">
        <v>0.892668178382464</v>
      </c>
      <c r="V697" s="133">
        <v>0.945751894694854</v>
      </c>
      <c r="W697" s="133">
        <v>0.958710184821078</v>
      </c>
      <c r="X697" s="133">
        <v>0.941846008745606</v>
      </c>
      <c r="Y697" s="135">
        <v>0.92</v>
      </c>
      <c r="Z697" s="135">
        <v>0.895424836601307</v>
      </c>
      <c r="AA697" s="135">
        <v>0.936946902654867</v>
      </c>
      <c r="AB697" s="135">
        <v>0.932584269662921</v>
      </c>
      <c r="AC697" s="135">
        <v>0.935014140441663</v>
      </c>
      <c r="AD697" s="135">
        <v>0.92</v>
      </c>
      <c r="AE697" s="133">
        <v>1</v>
      </c>
      <c r="AF697" s="133">
        <v>1</v>
      </c>
      <c r="AG697" s="133">
        <v>0.998427672955975</v>
      </c>
      <c r="AH697" s="133">
        <v>0.996015583495661</v>
      </c>
      <c r="AI697" s="135">
        <v>0.92</v>
      </c>
      <c r="AJ697" s="133">
        <v>0.952453987730061</v>
      </c>
      <c r="AK697" s="133">
        <v>0.964526531808854</v>
      </c>
      <c r="AL697" s="133">
        <v>0.971162248762016</v>
      </c>
      <c r="AM697" s="133">
        <v>0.969406298889082</v>
      </c>
      <c r="AN697" s="132">
        <v>0.99</v>
      </c>
      <c r="AO697" s="137">
        <v>1</v>
      </c>
      <c r="AP697" s="137">
        <v>1</v>
      </c>
      <c r="AQ697" s="137">
        <v>1</v>
      </c>
      <c r="AR697" s="137">
        <v>1</v>
      </c>
      <c r="AS697" s="158">
        <v>0.0810595228934205</v>
      </c>
      <c r="AT697" s="141">
        <v>0</v>
      </c>
      <c r="AU697" s="141">
        <v>0</v>
      </c>
      <c r="AV697" s="141">
        <v>0</v>
      </c>
      <c r="AW697" s="141">
        <v>0.037037037037037</v>
      </c>
      <c r="AX697" s="95"/>
      <c r="AY697" s="93"/>
    </row>
    <row r="698" ht="14.5" spans="1:51">
      <c r="A698" s="91"/>
      <c r="B698" s="95"/>
      <c r="C698" s="152" t="s">
        <v>668</v>
      </c>
      <c r="D698" s="153" t="s">
        <v>25</v>
      </c>
      <c r="E698" s="130" t="s">
        <v>669</v>
      </c>
      <c r="F698" s="179" t="s">
        <v>725</v>
      </c>
      <c r="G698" s="179" t="s">
        <v>725</v>
      </c>
      <c r="H698" s="179" t="s">
        <v>725</v>
      </c>
      <c r="I698" s="179" t="s">
        <v>725</v>
      </c>
      <c r="J698" s="132">
        <v>0.9</v>
      </c>
      <c r="K698" s="133">
        <v>0.815789473684211</v>
      </c>
      <c r="L698" s="133">
        <v>0.73972602739726</v>
      </c>
      <c r="M698" s="134">
        <v>0.822784810126582</v>
      </c>
      <c r="N698" s="133">
        <v>0.826034063260341</v>
      </c>
      <c r="O698" s="135">
        <v>0.9</v>
      </c>
      <c r="P698" s="133">
        <v>0.931563741422896</v>
      </c>
      <c r="Q698" s="133">
        <v>0.932521087160262</v>
      </c>
      <c r="R698" s="133">
        <v>0.954716981132075</v>
      </c>
      <c r="S698" s="133">
        <v>0.938638080390865</v>
      </c>
      <c r="T698" s="135">
        <v>0.9</v>
      </c>
      <c r="U698" s="133">
        <v>0.898699891657638</v>
      </c>
      <c r="V698" s="133">
        <v>0.884161199625117</v>
      </c>
      <c r="W698" s="133">
        <v>0.94429469901168</v>
      </c>
      <c r="X698" s="133">
        <v>0.923932434387104</v>
      </c>
      <c r="Y698" s="135">
        <v>0.92</v>
      </c>
      <c r="Z698" s="135">
        <v>0.856341976173791</v>
      </c>
      <c r="AA698" s="135">
        <v>0.878378378378378</v>
      </c>
      <c r="AB698" s="135">
        <v>0.911321807027328</v>
      </c>
      <c r="AC698" s="135">
        <v>0.906865565933336</v>
      </c>
      <c r="AD698" s="135">
        <v>0.92</v>
      </c>
      <c r="AE698" s="133">
        <v>1</v>
      </c>
      <c r="AF698" s="133">
        <v>0.994172494172494</v>
      </c>
      <c r="AG698" s="133">
        <v>0.990016638935108</v>
      </c>
      <c r="AH698" s="133">
        <v>0.988873265268692</v>
      </c>
      <c r="AI698" s="135">
        <v>0.92</v>
      </c>
      <c r="AJ698" s="133">
        <v>0.923187365398421</v>
      </c>
      <c r="AK698" s="133">
        <v>0.91926905768444</v>
      </c>
      <c r="AL698" s="133">
        <v>0.957868986137537</v>
      </c>
      <c r="AM698" s="133">
        <v>0.948592786483204</v>
      </c>
      <c r="AN698" s="132">
        <v>0.99</v>
      </c>
      <c r="AO698" s="137">
        <v>1</v>
      </c>
      <c r="AP698" s="137">
        <v>1</v>
      </c>
      <c r="AQ698" s="137">
        <v>1</v>
      </c>
      <c r="AR698" s="137">
        <v>1</v>
      </c>
      <c r="AS698" s="158">
        <v>0.0810595228934205</v>
      </c>
      <c r="AT698" s="141">
        <v>0.025</v>
      </c>
      <c r="AU698" s="141">
        <v>0.0606060606060606</v>
      </c>
      <c r="AV698" s="141">
        <v>0.14</v>
      </c>
      <c r="AW698" s="141">
        <v>0.048582995951417</v>
      </c>
      <c r="AX698" s="95"/>
      <c r="AY698" s="93"/>
    </row>
    <row r="699" ht="14.5" spans="1:51">
      <c r="A699" s="91"/>
      <c r="B699" s="95"/>
      <c r="C699" s="152" t="s">
        <v>668</v>
      </c>
      <c r="D699" s="153" t="s">
        <v>25</v>
      </c>
      <c r="E699" s="130" t="s">
        <v>669</v>
      </c>
      <c r="F699" s="179" t="s">
        <v>726</v>
      </c>
      <c r="G699" s="179" t="s">
        <v>726</v>
      </c>
      <c r="H699" s="179" t="s">
        <v>726</v>
      </c>
      <c r="I699" s="179" t="s">
        <v>726</v>
      </c>
      <c r="J699" s="132">
        <v>0.9</v>
      </c>
      <c r="K699" s="133">
        <v>0.791666666666667</v>
      </c>
      <c r="L699" s="133">
        <v>0.836734693877551</v>
      </c>
      <c r="M699" s="134">
        <v>0.877551020408163</v>
      </c>
      <c r="N699" s="133">
        <v>0.833333333333333</v>
      </c>
      <c r="O699" s="135">
        <v>0.9</v>
      </c>
      <c r="P699" s="133">
        <v>0.977018267530937</v>
      </c>
      <c r="Q699" s="133">
        <v>0.973613993477616</v>
      </c>
      <c r="R699" s="133">
        <v>0.976357267950963</v>
      </c>
      <c r="S699" s="133">
        <v>0.976673967459324</v>
      </c>
      <c r="T699" s="135">
        <v>0.9</v>
      </c>
      <c r="U699" s="133">
        <v>0.908073070123748</v>
      </c>
      <c r="V699" s="133">
        <v>0.927364364067596</v>
      </c>
      <c r="W699" s="133">
        <v>0.948628137769994</v>
      </c>
      <c r="X699" s="133">
        <v>0.941880475594493</v>
      </c>
      <c r="Y699" s="135">
        <v>0.92</v>
      </c>
      <c r="Z699" s="135">
        <v>0.916207276736494</v>
      </c>
      <c r="AA699" s="135">
        <v>0.941422594142259</v>
      </c>
      <c r="AB699" s="135">
        <v>0.941637630662021</v>
      </c>
      <c r="AC699" s="135">
        <v>0.942857142857143</v>
      </c>
      <c r="AD699" s="135">
        <v>0.92</v>
      </c>
      <c r="AE699" s="133">
        <v>0.997109826589595</v>
      </c>
      <c r="AF699" s="133">
        <v>0.984177215189873</v>
      </c>
      <c r="AG699" s="133">
        <v>0.989090909090909</v>
      </c>
      <c r="AH699" s="133">
        <v>0.984647961884595</v>
      </c>
      <c r="AI699" s="135">
        <v>0.92</v>
      </c>
      <c r="AJ699" s="133">
        <v>0.952801674029295</v>
      </c>
      <c r="AK699" s="133">
        <v>0.960474308300395</v>
      </c>
      <c r="AL699" s="133">
        <v>0.973108876257105</v>
      </c>
      <c r="AM699" s="133">
        <v>0.972100580805753</v>
      </c>
      <c r="AN699" s="132">
        <v>0.99</v>
      </c>
      <c r="AO699" s="137">
        <v>1</v>
      </c>
      <c r="AP699" s="137">
        <v>1</v>
      </c>
      <c r="AQ699" s="137">
        <v>1</v>
      </c>
      <c r="AR699" s="137">
        <v>1</v>
      </c>
      <c r="AS699" s="158">
        <v>0.0810595228934205</v>
      </c>
      <c r="AT699" s="141">
        <v>0.0909090909090909</v>
      </c>
      <c r="AU699" s="141">
        <v>0</v>
      </c>
      <c r="AV699" s="141">
        <v>0.027027027027027</v>
      </c>
      <c r="AW699" s="141">
        <v>0.0373626373626374</v>
      </c>
      <c r="AX699" s="95"/>
      <c r="AY699" s="93"/>
    </row>
    <row r="700" ht="14.5" spans="1:51">
      <c r="A700" s="91"/>
      <c r="B700" s="95"/>
      <c r="C700" s="152" t="s">
        <v>668</v>
      </c>
      <c r="D700" s="153" t="s">
        <v>25</v>
      </c>
      <c r="E700" s="130" t="s">
        <v>669</v>
      </c>
      <c r="F700" s="179" t="s">
        <v>727</v>
      </c>
      <c r="G700" s="179" t="s">
        <v>727</v>
      </c>
      <c r="H700" s="179" t="s">
        <v>727</v>
      </c>
      <c r="I700" s="179" t="s">
        <v>727</v>
      </c>
      <c r="J700" s="132">
        <v>0.9</v>
      </c>
      <c r="K700" s="133">
        <v>0.974358974358974</v>
      </c>
      <c r="L700" s="133">
        <v>0.976190476190476</v>
      </c>
      <c r="M700" s="134">
        <v>0.977777777777778</v>
      </c>
      <c r="N700" s="133">
        <v>0.973389355742297</v>
      </c>
      <c r="O700" s="135">
        <v>0.9</v>
      </c>
      <c r="P700" s="133">
        <v>0.993526275704493</v>
      </c>
      <c r="Q700" s="133">
        <v>0.994625719769674</v>
      </c>
      <c r="R700" s="133">
        <v>0.995075757575758</v>
      </c>
      <c r="S700" s="133">
        <v>0.991919191919192</v>
      </c>
      <c r="T700" s="135">
        <v>0.9</v>
      </c>
      <c r="U700" s="133">
        <v>0.921934501142422</v>
      </c>
      <c r="V700" s="133">
        <v>0.957773512476008</v>
      </c>
      <c r="W700" s="133">
        <v>0.954924242424242</v>
      </c>
      <c r="X700" s="133">
        <v>0.951982987772461</v>
      </c>
      <c r="Y700" s="135">
        <v>0.92</v>
      </c>
      <c r="Z700" s="135">
        <v>0.901759530791789</v>
      </c>
      <c r="AA700" s="135">
        <v>0.926238145416228</v>
      </c>
      <c r="AB700" s="135">
        <v>0.95478443743428</v>
      </c>
      <c r="AC700" s="135">
        <v>0.937529056252906</v>
      </c>
      <c r="AD700" s="135">
        <v>0.92</v>
      </c>
      <c r="AE700" s="133">
        <v>0.999281092739037</v>
      </c>
      <c r="AF700" s="133">
        <v>0.998946259220232</v>
      </c>
      <c r="AG700" s="133">
        <v>0.998826291079812</v>
      </c>
      <c r="AH700" s="133">
        <v>0.996689513684898</v>
      </c>
      <c r="AI700" s="135">
        <v>0.92</v>
      </c>
      <c r="AJ700" s="133">
        <v>0.957716701902748</v>
      </c>
      <c r="AK700" s="133">
        <v>0.967660292463442</v>
      </c>
      <c r="AL700" s="133">
        <v>0.975507932090175</v>
      </c>
      <c r="AM700" s="133">
        <v>0.971485493711867</v>
      </c>
      <c r="AN700" s="132">
        <v>0.99</v>
      </c>
      <c r="AO700" s="137">
        <v>1</v>
      </c>
      <c r="AP700" s="137">
        <v>1</v>
      </c>
      <c r="AQ700" s="137">
        <v>1</v>
      </c>
      <c r="AR700" s="137">
        <v>1</v>
      </c>
      <c r="AS700" s="158">
        <v>0.0810595228934205</v>
      </c>
      <c r="AT700" s="141">
        <v>0.2</v>
      </c>
      <c r="AU700" s="141">
        <v>0.25</v>
      </c>
      <c r="AV700" s="141">
        <v>0</v>
      </c>
      <c r="AW700" s="141">
        <v>0.0685920577617329</v>
      </c>
      <c r="AX700" s="95"/>
      <c r="AY700" s="93"/>
    </row>
    <row r="701" ht="14.5" spans="1:51">
      <c r="A701" s="91"/>
      <c r="B701" s="95"/>
      <c r="C701" s="152" t="s">
        <v>668</v>
      </c>
      <c r="D701" s="153" t="s">
        <v>25</v>
      </c>
      <c r="E701" s="130" t="s">
        <v>669</v>
      </c>
      <c r="F701" s="179" t="s">
        <v>728</v>
      </c>
      <c r="G701" s="179" t="s">
        <v>728</v>
      </c>
      <c r="H701" s="179" t="s">
        <v>728</v>
      </c>
      <c r="I701" s="179" t="s">
        <v>728</v>
      </c>
      <c r="J701" s="132">
        <v>0.9</v>
      </c>
      <c r="K701" s="133">
        <v>0.891304347826087</v>
      </c>
      <c r="L701" s="133">
        <v>0.91304347826087</v>
      </c>
      <c r="M701" s="134">
        <v>0.857142857142857</v>
      </c>
      <c r="N701" s="133">
        <v>0.92760736196319</v>
      </c>
      <c r="O701" s="135">
        <v>0.9</v>
      </c>
      <c r="P701" s="133">
        <v>0.984249628528975</v>
      </c>
      <c r="Q701" s="133">
        <v>0.987951807228916</v>
      </c>
      <c r="R701" s="133">
        <v>0.992361747632142</v>
      </c>
      <c r="S701" s="133">
        <v>0.984410998066089</v>
      </c>
      <c r="T701" s="135">
        <v>0.9</v>
      </c>
      <c r="U701" s="133">
        <v>0.94888558692422</v>
      </c>
      <c r="V701" s="133">
        <v>0.959939759036145</v>
      </c>
      <c r="W701" s="133">
        <v>0.956309196455851</v>
      </c>
      <c r="X701" s="133">
        <v>0.958479778020684</v>
      </c>
      <c r="Y701" s="135">
        <v>0.92</v>
      </c>
      <c r="Z701" s="135">
        <v>0.908174692049272</v>
      </c>
      <c r="AA701" s="135">
        <v>0.938120702826585</v>
      </c>
      <c r="AB701" s="135">
        <v>0.964406779661017</v>
      </c>
      <c r="AC701" s="135">
        <v>0.954305471195627</v>
      </c>
      <c r="AD701" s="135">
        <v>0.92</v>
      </c>
      <c r="AE701" s="133">
        <v>0.99908592321755</v>
      </c>
      <c r="AF701" s="133">
        <v>0.997706422018349</v>
      </c>
      <c r="AG701" s="133">
        <v>0.993265993265993</v>
      </c>
      <c r="AH701" s="133">
        <v>0.995564356435644</v>
      </c>
      <c r="AI701" s="135">
        <v>0.92</v>
      </c>
      <c r="AJ701" s="133">
        <v>0.962432495891054</v>
      </c>
      <c r="AK701" s="133">
        <v>0.970410367170626</v>
      </c>
      <c r="AL701" s="133">
        <v>0.979115203233775</v>
      </c>
      <c r="AM701" s="133">
        <v>0.97970942812983</v>
      </c>
      <c r="AN701" s="132">
        <v>0.99</v>
      </c>
      <c r="AO701" s="137">
        <v>1</v>
      </c>
      <c r="AP701" s="137">
        <v>1</v>
      </c>
      <c r="AQ701" s="137">
        <v>1</v>
      </c>
      <c r="AR701" s="137">
        <v>1</v>
      </c>
      <c r="AS701" s="158">
        <v>0.0810595228934205</v>
      </c>
      <c r="AT701" s="141">
        <v>0</v>
      </c>
      <c r="AU701" s="141">
        <v>0</v>
      </c>
      <c r="AV701" s="141">
        <v>0</v>
      </c>
      <c r="AW701" s="141">
        <v>0.0180505415162455</v>
      </c>
      <c r="AX701" s="95"/>
      <c r="AY701" s="93"/>
    </row>
    <row r="702" ht="14.5" spans="1:51">
      <c r="A702" s="91"/>
      <c r="B702" s="95"/>
      <c r="C702" s="152" t="s">
        <v>668</v>
      </c>
      <c r="D702" s="153" t="s">
        <v>25</v>
      </c>
      <c r="E702" s="130" t="s">
        <v>669</v>
      </c>
      <c r="F702" s="179" t="s">
        <v>729</v>
      </c>
      <c r="G702" s="179" t="s">
        <v>729</v>
      </c>
      <c r="H702" s="179" t="s">
        <v>729</v>
      </c>
      <c r="I702" s="179" t="s">
        <v>729</v>
      </c>
      <c r="J702" s="132">
        <v>0.9</v>
      </c>
      <c r="K702" s="133">
        <v>0.777777777777778</v>
      </c>
      <c r="L702" s="133">
        <v>0.722222222222222</v>
      </c>
      <c r="M702" s="134">
        <v>0.882352941176471</v>
      </c>
      <c r="N702" s="133">
        <v>0.8</v>
      </c>
      <c r="O702" s="135">
        <v>0.9</v>
      </c>
      <c r="P702" s="133">
        <v>0.991025641025641</v>
      </c>
      <c r="Q702" s="133">
        <v>0.982770046388337</v>
      </c>
      <c r="R702" s="133">
        <v>0.991623711340206</v>
      </c>
      <c r="S702" s="133">
        <v>0.990106134196798</v>
      </c>
      <c r="T702" s="135">
        <v>0.9</v>
      </c>
      <c r="U702" s="133">
        <v>0.969230769230769</v>
      </c>
      <c r="V702" s="133">
        <v>0.966202783300199</v>
      </c>
      <c r="W702" s="133">
        <v>0.971005154639175</v>
      </c>
      <c r="X702" s="133">
        <v>0.96909516100018</v>
      </c>
      <c r="Y702" s="135">
        <v>0.92</v>
      </c>
      <c r="Z702" s="135">
        <v>0.950643776824034</v>
      </c>
      <c r="AA702" s="135">
        <v>0.95777027027027</v>
      </c>
      <c r="AB702" s="135">
        <v>0.972577696526508</v>
      </c>
      <c r="AC702" s="135">
        <v>0.972908941079522</v>
      </c>
      <c r="AD702" s="135">
        <v>0.92</v>
      </c>
      <c r="AE702" s="133">
        <v>1</v>
      </c>
      <c r="AF702" s="133">
        <v>0.992337164750958</v>
      </c>
      <c r="AG702" s="133">
        <v>0.995859213250518</v>
      </c>
      <c r="AH702" s="133">
        <v>0.996181991727649</v>
      </c>
      <c r="AI702" s="135">
        <v>0.92</v>
      </c>
      <c r="AJ702" s="133">
        <v>0.979763079960513</v>
      </c>
      <c r="AK702" s="133">
        <v>0.980485483103284</v>
      </c>
      <c r="AL702" s="133">
        <v>0.987613149118628</v>
      </c>
      <c r="AM702" s="133">
        <v>0.986855786919775</v>
      </c>
      <c r="AN702" s="132">
        <v>0.99</v>
      </c>
      <c r="AO702" s="137">
        <v>1</v>
      </c>
      <c r="AP702" s="137">
        <v>1</v>
      </c>
      <c r="AQ702" s="137">
        <v>1</v>
      </c>
      <c r="AR702" s="137">
        <v>1</v>
      </c>
      <c r="AS702" s="158">
        <v>0.0810595228934205</v>
      </c>
      <c r="AT702" s="141">
        <v>0</v>
      </c>
      <c r="AU702" s="141">
        <v>0</v>
      </c>
      <c r="AV702" s="141">
        <v>0</v>
      </c>
      <c r="AW702" s="141">
        <v>0.0201342281879195</v>
      </c>
      <c r="AX702" s="95"/>
      <c r="AY702" s="93"/>
    </row>
    <row r="703" ht="14.5" spans="1:51">
      <c r="A703" s="91"/>
      <c r="B703" s="95"/>
      <c r="C703" s="152" t="s">
        <v>668</v>
      </c>
      <c r="D703" s="153" t="s">
        <v>25</v>
      </c>
      <c r="E703" s="130" t="s">
        <v>669</v>
      </c>
      <c r="F703" s="179" t="s">
        <v>730</v>
      </c>
      <c r="G703" s="179" t="s">
        <v>730</v>
      </c>
      <c r="H703" s="179" t="s">
        <v>730</v>
      </c>
      <c r="I703" s="179" t="s">
        <v>730</v>
      </c>
      <c r="J703" s="132">
        <v>0.9</v>
      </c>
      <c r="K703" s="133">
        <v>0.837209302325581</v>
      </c>
      <c r="L703" s="133">
        <v>0.857142857142857</v>
      </c>
      <c r="M703" s="134">
        <v>0.928571428571429</v>
      </c>
      <c r="N703" s="133">
        <v>0.940594059405941</v>
      </c>
      <c r="O703" s="135">
        <v>0.9</v>
      </c>
      <c r="P703" s="133">
        <v>0.932132518494693</v>
      </c>
      <c r="Q703" s="133">
        <v>0.943710691823899</v>
      </c>
      <c r="R703" s="133">
        <v>0.932106216053108</v>
      </c>
      <c r="S703" s="133">
        <v>0.930908797460693</v>
      </c>
      <c r="T703" s="135">
        <v>0.9</v>
      </c>
      <c r="U703" s="133">
        <v>0.920231585718881</v>
      </c>
      <c r="V703" s="133">
        <v>0.919811320754717</v>
      </c>
      <c r="W703" s="133">
        <v>0.929088714544357</v>
      </c>
      <c r="X703" s="133">
        <v>0.921103952872187</v>
      </c>
      <c r="Y703" s="135">
        <v>0.92</v>
      </c>
      <c r="Z703" s="135">
        <v>0.863425925925926</v>
      </c>
      <c r="AA703" s="135">
        <v>0.86551724137931</v>
      </c>
      <c r="AB703" s="135">
        <v>0.923862581244197</v>
      </c>
      <c r="AC703" s="135">
        <v>0.903826510568084</v>
      </c>
      <c r="AD703" s="135">
        <v>0.92</v>
      </c>
      <c r="AE703" s="133">
        <v>0.999075785582255</v>
      </c>
      <c r="AF703" s="133">
        <v>0.944585987261147</v>
      </c>
      <c r="AG703" s="133">
        <v>0.995939086294416</v>
      </c>
      <c r="AH703" s="133">
        <v>0.989401317674019</v>
      </c>
      <c r="AI703" s="135">
        <v>0.92</v>
      </c>
      <c r="AJ703" s="133">
        <v>0.936068462119305</v>
      </c>
      <c r="AK703" s="133">
        <v>0.934822662367572</v>
      </c>
      <c r="AL703" s="133">
        <v>0.954452288772489</v>
      </c>
      <c r="AM703" s="133">
        <v>0.952922435730459</v>
      </c>
      <c r="AN703" s="132">
        <v>0.99</v>
      </c>
      <c r="AO703" s="137">
        <v>1</v>
      </c>
      <c r="AP703" s="137">
        <v>1</v>
      </c>
      <c r="AQ703" s="137">
        <v>1</v>
      </c>
      <c r="AR703" s="137">
        <v>1</v>
      </c>
      <c r="AS703" s="158">
        <v>0.0810595228934205</v>
      </c>
      <c r="AT703" s="141">
        <v>0</v>
      </c>
      <c r="AU703" s="141">
        <v>0.111111111111111</v>
      </c>
      <c r="AV703" s="141">
        <v>0.0454545454545455</v>
      </c>
      <c r="AW703" s="141">
        <v>0.0420168067226891</v>
      </c>
      <c r="AX703" s="95"/>
      <c r="AY703" s="93"/>
    </row>
    <row r="704" ht="14.5" spans="1:51">
      <c r="A704" s="91"/>
      <c r="B704" s="95"/>
      <c r="C704" s="152" t="s">
        <v>668</v>
      </c>
      <c r="D704" s="153" t="s">
        <v>25</v>
      </c>
      <c r="E704" s="130" t="s">
        <v>669</v>
      </c>
      <c r="F704" s="179" t="s">
        <v>731</v>
      </c>
      <c r="G704" s="179" t="s">
        <v>731</v>
      </c>
      <c r="H704" s="179" t="s">
        <v>731</v>
      </c>
      <c r="I704" s="179" t="s">
        <v>731</v>
      </c>
      <c r="J704" s="132">
        <v>0.9</v>
      </c>
      <c r="K704" s="133">
        <v>0.972222222222222</v>
      </c>
      <c r="L704" s="133">
        <v>1</v>
      </c>
      <c r="M704" s="134">
        <v>0.96875</v>
      </c>
      <c r="N704" s="133">
        <v>0.982758620689655</v>
      </c>
      <c r="O704" s="135">
        <v>0.9</v>
      </c>
      <c r="P704" s="133">
        <v>0.988452655889146</v>
      </c>
      <c r="Q704" s="133">
        <v>0.988185255198488</v>
      </c>
      <c r="R704" s="133">
        <v>0.990932642487047</v>
      </c>
      <c r="S704" s="133">
        <v>0.98581851813791</v>
      </c>
      <c r="T704" s="135">
        <v>0.9</v>
      </c>
      <c r="U704" s="133">
        <v>0.893764434180139</v>
      </c>
      <c r="V704" s="133">
        <v>0.93289224952741</v>
      </c>
      <c r="W704" s="133">
        <v>0.938687392055268</v>
      </c>
      <c r="X704" s="133">
        <v>0.934384955297503</v>
      </c>
      <c r="Y704" s="135">
        <v>0.92</v>
      </c>
      <c r="Z704" s="135">
        <v>0.907665505226481</v>
      </c>
      <c r="AA704" s="135">
        <v>0.894607843137255</v>
      </c>
      <c r="AB704" s="135">
        <v>0.908163265306122</v>
      </c>
      <c r="AC704" s="135">
        <v>0.914955357142857</v>
      </c>
      <c r="AD704" s="135">
        <v>0.92</v>
      </c>
      <c r="AE704" s="133">
        <v>1</v>
      </c>
      <c r="AF704" s="133">
        <v>1</v>
      </c>
      <c r="AG704" s="133">
        <v>0.998360655737705</v>
      </c>
      <c r="AH704" s="133">
        <v>0.995643867023309</v>
      </c>
      <c r="AI704" s="135">
        <v>0.92</v>
      </c>
      <c r="AJ704" s="133">
        <v>0.955458196422052</v>
      </c>
      <c r="AK704" s="133">
        <v>0.95225102319236</v>
      </c>
      <c r="AL704" s="133">
        <v>0.961612903225807</v>
      </c>
      <c r="AM704" s="133">
        <v>0.965189329565201</v>
      </c>
      <c r="AN704" s="132">
        <v>0.99</v>
      </c>
      <c r="AO704" s="137">
        <v>1</v>
      </c>
      <c r="AP704" s="137">
        <v>1</v>
      </c>
      <c r="AQ704" s="137">
        <v>1</v>
      </c>
      <c r="AR704" s="137">
        <v>1</v>
      </c>
      <c r="AS704" s="158">
        <v>0.0810595228934205</v>
      </c>
      <c r="AT704" s="141">
        <v>0</v>
      </c>
      <c r="AU704" s="141">
        <v>0</v>
      </c>
      <c r="AV704" s="141">
        <v>0</v>
      </c>
      <c r="AW704" s="141">
        <v>0.0380434782608696</v>
      </c>
      <c r="AX704" s="95"/>
      <c r="AY704" s="93"/>
    </row>
    <row r="705" ht="14.5" spans="1:51">
      <c r="A705" s="91"/>
      <c r="B705" s="95"/>
      <c r="C705" s="152" t="s">
        <v>668</v>
      </c>
      <c r="D705" s="153" t="s">
        <v>25</v>
      </c>
      <c r="E705" s="130" t="s">
        <v>669</v>
      </c>
      <c r="F705" s="179" t="s">
        <v>732</v>
      </c>
      <c r="G705" s="179" t="s">
        <v>732</v>
      </c>
      <c r="H705" s="179" t="s">
        <v>732</v>
      </c>
      <c r="I705" s="179" t="s">
        <v>732</v>
      </c>
      <c r="J705" s="132">
        <v>0.9</v>
      </c>
      <c r="K705" s="133">
        <v>0.8</v>
      </c>
      <c r="L705" s="133">
        <v>0.8</v>
      </c>
      <c r="M705" s="134">
        <v>0.85</v>
      </c>
      <c r="N705" s="133">
        <v>0.808571428571429</v>
      </c>
      <c r="O705" s="135">
        <v>0.9</v>
      </c>
      <c r="P705" s="133">
        <v>0.959207459207459</v>
      </c>
      <c r="Q705" s="133">
        <v>0.960045662100457</v>
      </c>
      <c r="R705" s="133">
        <v>0.970149253731343</v>
      </c>
      <c r="S705" s="133">
        <v>0.969384596334819</v>
      </c>
      <c r="T705" s="135">
        <v>0.9</v>
      </c>
      <c r="U705" s="133">
        <v>0.902097902097902</v>
      </c>
      <c r="V705" s="133">
        <v>0.937785388127854</v>
      </c>
      <c r="W705" s="133">
        <v>0.94195688225539</v>
      </c>
      <c r="X705" s="133">
        <v>0.937438088162457</v>
      </c>
      <c r="Y705" s="135">
        <v>0.92</v>
      </c>
      <c r="Z705" s="135">
        <v>0.907715582450832</v>
      </c>
      <c r="AA705" s="135">
        <v>0.933628318584071</v>
      </c>
      <c r="AB705" s="135">
        <v>0.950596252129472</v>
      </c>
      <c r="AC705" s="135">
        <v>0.941586821314507</v>
      </c>
      <c r="AD705" s="135">
        <v>0.92</v>
      </c>
      <c r="AE705" s="133">
        <v>1</v>
      </c>
      <c r="AF705" s="133">
        <v>0.967741935483871</v>
      </c>
      <c r="AG705" s="133">
        <v>0.98876404494382</v>
      </c>
      <c r="AH705" s="133">
        <v>0.983503054989817</v>
      </c>
      <c r="AI705" s="135">
        <v>0.92</v>
      </c>
      <c r="AJ705" s="133">
        <v>0.940260832982751</v>
      </c>
      <c r="AK705" s="133">
        <v>0.960082304526749</v>
      </c>
      <c r="AL705" s="133">
        <v>0.976627712854758</v>
      </c>
      <c r="AM705" s="133">
        <v>0.970568274364311</v>
      </c>
      <c r="AN705" s="132">
        <v>0.99</v>
      </c>
      <c r="AO705" s="137" t="s">
        <v>35</v>
      </c>
      <c r="AP705" s="137">
        <v>1</v>
      </c>
      <c r="AQ705" s="137">
        <v>1</v>
      </c>
      <c r="AR705" s="137">
        <v>1</v>
      </c>
      <c r="AS705" s="158">
        <v>0.0810595228934205</v>
      </c>
      <c r="AT705" s="141">
        <v>0</v>
      </c>
      <c r="AU705" s="141">
        <v>0</v>
      </c>
      <c r="AV705" s="141">
        <v>0.0714285714285714</v>
      </c>
      <c r="AW705" s="141">
        <v>0.0168539325842697</v>
      </c>
      <c r="AX705" s="95"/>
      <c r="AY705" s="93"/>
    </row>
    <row r="706" ht="14.5" spans="1:51">
      <c r="A706" s="91"/>
      <c r="B706" s="95"/>
      <c r="C706" s="152" t="s">
        <v>668</v>
      </c>
      <c r="D706" s="153" t="s">
        <v>25</v>
      </c>
      <c r="E706" s="130" t="s">
        <v>669</v>
      </c>
      <c r="F706" s="179" t="s">
        <v>733</v>
      </c>
      <c r="G706" s="179" t="s">
        <v>733</v>
      </c>
      <c r="H706" s="179" t="s">
        <v>733</v>
      </c>
      <c r="I706" s="179" t="s">
        <v>733</v>
      </c>
      <c r="J706" s="132">
        <v>0.9</v>
      </c>
      <c r="K706" s="133">
        <v>0.8</v>
      </c>
      <c r="L706" s="133">
        <v>0.857142857142857</v>
      </c>
      <c r="M706" s="134">
        <v>0.933333333333333</v>
      </c>
      <c r="N706" s="133">
        <v>0.84</v>
      </c>
      <c r="O706" s="135">
        <v>0.9</v>
      </c>
      <c r="P706" s="133">
        <v>1</v>
      </c>
      <c r="Q706" s="133">
        <v>0.999168744804655</v>
      </c>
      <c r="R706" s="133">
        <v>0.998345740281224</v>
      </c>
      <c r="S706" s="133">
        <v>0.998483595257789</v>
      </c>
      <c r="T706" s="135">
        <v>0.9</v>
      </c>
      <c r="U706" s="133">
        <v>0.972536348949919</v>
      </c>
      <c r="V706" s="133">
        <v>0.979218620116376</v>
      </c>
      <c r="W706" s="133">
        <v>0.97601323407775</v>
      </c>
      <c r="X706" s="133">
        <v>0.976334895689734</v>
      </c>
      <c r="Y706" s="135">
        <v>0.92</v>
      </c>
      <c r="Z706" s="135">
        <v>0.954983922829582</v>
      </c>
      <c r="AA706" s="135">
        <v>0.968684759916493</v>
      </c>
      <c r="AB706" s="135">
        <v>0.97624703087886</v>
      </c>
      <c r="AC706" s="135">
        <v>0.975019516003123</v>
      </c>
      <c r="AD706" s="135">
        <v>0.92</v>
      </c>
      <c r="AE706" s="133">
        <v>0.998452012383901</v>
      </c>
      <c r="AF706" s="133">
        <v>1</v>
      </c>
      <c r="AG706" s="133">
        <v>1</v>
      </c>
      <c r="AH706" s="133">
        <v>0.997937653684461</v>
      </c>
      <c r="AI706" s="135">
        <v>0.92</v>
      </c>
      <c r="AJ706" s="133">
        <v>0.981278244028405</v>
      </c>
      <c r="AK706" s="133">
        <v>0.983947681331748</v>
      </c>
      <c r="AL706" s="133">
        <v>0.988343558282209</v>
      </c>
      <c r="AM706" s="133">
        <v>0.989167713674488</v>
      </c>
      <c r="AN706" s="132">
        <v>0.99</v>
      </c>
      <c r="AO706" s="137">
        <v>1</v>
      </c>
      <c r="AP706" s="137">
        <v>1</v>
      </c>
      <c r="AQ706" s="137">
        <v>1</v>
      </c>
      <c r="AR706" s="137">
        <v>1</v>
      </c>
      <c r="AS706" s="158">
        <v>0.0810595228934205</v>
      </c>
      <c r="AT706" s="141">
        <v>0</v>
      </c>
      <c r="AU706" s="141">
        <v>0</v>
      </c>
      <c r="AV706" s="141">
        <v>0</v>
      </c>
      <c r="AW706" s="141">
        <v>0.038961038961039</v>
      </c>
      <c r="AX706" s="95"/>
      <c r="AY706" s="93"/>
    </row>
    <row r="707" ht="14.5" spans="1:51">
      <c r="A707" s="91"/>
      <c r="B707" s="95"/>
      <c r="C707" s="152" t="s">
        <v>668</v>
      </c>
      <c r="D707" s="153" t="s">
        <v>25</v>
      </c>
      <c r="E707" s="130" t="s">
        <v>669</v>
      </c>
      <c r="F707" s="179" t="s">
        <v>734</v>
      </c>
      <c r="G707" s="179" t="s">
        <v>734</v>
      </c>
      <c r="H707" s="179" t="s">
        <v>734</v>
      </c>
      <c r="I707" s="179" t="s">
        <v>734</v>
      </c>
      <c r="J707" s="132">
        <v>0.9</v>
      </c>
      <c r="K707" s="133">
        <v>0.733333333333333</v>
      </c>
      <c r="L707" s="133">
        <v>0.75</v>
      </c>
      <c r="M707" s="134">
        <v>0.6875</v>
      </c>
      <c r="N707" s="133">
        <v>0.832089552238806</v>
      </c>
      <c r="O707" s="135">
        <v>0.9</v>
      </c>
      <c r="P707" s="133">
        <v>0.983981693363844</v>
      </c>
      <c r="Q707" s="133">
        <v>0.969876962240136</v>
      </c>
      <c r="R707" s="133">
        <v>0.963431786216596</v>
      </c>
      <c r="S707" s="133">
        <v>0.960524290771046</v>
      </c>
      <c r="T707" s="135">
        <v>0.9</v>
      </c>
      <c r="U707" s="133">
        <v>0.9441647597254</v>
      </c>
      <c r="V707" s="133">
        <v>0.949936359779381</v>
      </c>
      <c r="W707" s="133">
        <v>0.944210032817628</v>
      </c>
      <c r="X707" s="133">
        <v>0.936566972759452</v>
      </c>
      <c r="Y707" s="135">
        <v>0.92</v>
      </c>
      <c r="Z707" s="135">
        <v>0.951030927835051</v>
      </c>
      <c r="AA707" s="135">
        <v>0.945736434108527</v>
      </c>
      <c r="AB707" s="135">
        <v>0.962574850299401</v>
      </c>
      <c r="AC707" s="135">
        <v>0.947501810282404</v>
      </c>
      <c r="AD707" s="135">
        <v>0.92</v>
      </c>
      <c r="AE707" s="133">
        <v>1</v>
      </c>
      <c r="AF707" s="133">
        <v>0.978494623655914</v>
      </c>
      <c r="AG707" s="133">
        <v>0.990521327014218</v>
      </c>
      <c r="AH707" s="133">
        <v>0.980911330049261</v>
      </c>
      <c r="AI707" s="135">
        <v>0.92</v>
      </c>
      <c r="AJ707" s="133">
        <v>0.973581973581974</v>
      </c>
      <c r="AK707" s="133">
        <v>0.973368841544607</v>
      </c>
      <c r="AL707" s="133">
        <v>0.973252496433666</v>
      </c>
      <c r="AM707" s="133">
        <v>0.973296850346522</v>
      </c>
      <c r="AN707" s="132">
        <v>0.99</v>
      </c>
      <c r="AO707" s="137">
        <v>1</v>
      </c>
      <c r="AP707" s="137">
        <v>1</v>
      </c>
      <c r="AQ707" s="137">
        <v>1</v>
      </c>
      <c r="AR707" s="137">
        <v>1</v>
      </c>
      <c r="AS707" s="158">
        <v>0.0810595228934205</v>
      </c>
      <c r="AT707" s="141">
        <v>0.142857142857143</v>
      </c>
      <c r="AU707" s="141">
        <v>0</v>
      </c>
      <c r="AV707" s="141">
        <v>0</v>
      </c>
      <c r="AW707" s="141">
        <v>0.0331491712707182</v>
      </c>
      <c r="AX707" s="95"/>
      <c r="AY707" s="93"/>
    </row>
    <row r="708" ht="14.5" spans="1:51">
      <c r="A708" s="91"/>
      <c r="B708" s="95"/>
      <c r="C708" s="152" t="s">
        <v>668</v>
      </c>
      <c r="D708" s="153" t="s">
        <v>25</v>
      </c>
      <c r="E708" s="130" t="s">
        <v>669</v>
      </c>
      <c r="F708" s="179" t="s">
        <v>735</v>
      </c>
      <c r="G708" s="179" t="s">
        <v>735</v>
      </c>
      <c r="H708" s="179" t="s">
        <v>735</v>
      </c>
      <c r="I708" s="179" t="s">
        <v>735</v>
      </c>
      <c r="J708" s="132">
        <v>0.9</v>
      </c>
      <c r="K708" s="133">
        <v>0.825396825396825</v>
      </c>
      <c r="L708" s="133">
        <v>0.803921568627451</v>
      </c>
      <c r="M708" s="134">
        <v>0.919354838709677</v>
      </c>
      <c r="N708" s="133">
        <v>0.87708947885939</v>
      </c>
      <c r="O708" s="135">
        <v>0.9</v>
      </c>
      <c r="P708" s="133">
        <v>0.98516458043579</v>
      </c>
      <c r="Q708" s="133">
        <v>0.982947092260603</v>
      </c>
      <c r="R708" s="133">
        <v>0.976613885505481</v>
      </c>
      <c r="S708" s="133">
        <v>0.972352661168933</v>
      </c>
      <c r="T708" s="135">
        <v>0.9</v>
      </c>
      <c r="U708" s="133">
        <v>0.959898006490496</v>
      </c>
      <c r="V708" s="133">
        <v>0.940314822912112</v>
      </c>
      <c r="W708" s="133">
        <v>0.954445797807552</v>
      </c>
      <c r="X708" s="133">
        <v>0.944332231213575</v>
      </c>
      <c r="Y708" s="135">
        <v>0.92</v>
      </c>
      <c r="Z708" s="135">
        <v>0.958677685950413</v>
      </c>
      <c r="AA708" s="135">
        <v>0.899403874813711</v>
      </c>
      <c r="AB708" s="135">
        <v>0.964977645305514</v>
      </c>
      <c r="AC708" s="135">
        <v>0.939284736794088</v>
      </c>
      <c r="AD708" s="135">
        <v>0.92</v>
      </c>
      <c r="AE708" s="133">
        <v>0.995839112343967</v>
      </c>
      <c r="AF708" s="133">
        <v>0.962633451957295</v>
      </c>
      <c r="AG708" s="133">
        <v>0.951844262295082</v>
      </c>
      <c r="AH708" s="133">
        <v>0.966597077244259</v>
      </c>
      <c r="AI708" s="135">
        <v>0.92</v>
      </c>
      <c r="AJ708" s="133">
        <v>0.972034906783023</v>
      </c>
      <c r="AK708" s="133">
        <v>0.948631294356201</v>
      </c>
      <c r="AL708" s="133">
        <v>0.971916299559471</v>
      </c>
      <c r="AM708" s="133">
        <v>0.962880914194066</v>
      </c>
      <c r="AN708" s="132">
        <v>0.99</v>
      </c>
      <c r="AO708" s="137">
        <v>1</v>
      </c>
      <c r="AP708" s="137">
        <v>1</v>
      </c>
      <c r="AQ708" s="137">
        <v>1</v>
      </c>
      <c r="AR708" s="137">
        <v>1</v>
      </c>
      <c r="AS708" s="158">
        <v>0.0810595228934205</v>
      </c>
      <c r="AT708" s="141">
        <v>0.0476190476190476</v>
      </c>
      <c r="AU708" s="141">
        <v>0</v>
      </c>
      <c r="AV708" s="141">
        <v>0.0434782608695652</v>
      </c>
      <c r="AW708" s="141">
        <v>0.0270935960591133</v>
      </c>
      <c r="AX708" s="95"/>
      <c r="AY708" s="93"/>
    </row>
    <row r="709" ht="14.5" spans="1:51">
      <c r="A709" s="91"/>
      <c r="B709" s="95"/>
      <c r="C709" s="152" t="s">
        <v>668</v>
      </c>
      <c r="D709" s="153" t="s">
        <v>25</v>
      </c>
      <c r="E709" s="130" t="s">
        <v>669</v>
      </c>
      <c r="F709" s="179" t="s">
        <v>736</v>
      </c>
      <c r="G709" s="179" t="s">
        <v>736</v>
      </c>
      <c r="H709" s="179" t="s">
        <v>736</v>
      </c>
      <c r="I709" s="179" t="s">
        <v>736</v>
      </c>
      <c r="J709" s="132">
        <v>0.9</v>
      </c>
      <c r="K709" s="133">
        <v>0.75609756097561</v>
      </c>
      <c r="L709" s="133">
        <v>0.897435897435897</v>
      </c>
      <c r="M709" s="134">
        <v>0.857142857142857</v>
      </c>
      <c r="N709" s="133">
        <v>0.854227405247813</v>
      </c>
      <c r="O709" s="135">
        <v>0.9</v>
      </c>
      <c r="P709" s="133">
        <v>0.909430707303048</v>
      </c>
      <c r="Q709" s="133">
        <v>0.911130039750142</v>
      </c>
      <c r="R709" s="133">
        <v>0.915322580645161</v>
      </c>
      <c r="S709" s="133">
        <v>0.909657269392207</v>
      </c>
      <c r="T709" s="135">
        <v>0.9</v>
      </c>
      <c r="U709" s="133">
        <v>0.9252443933295</v>
      </c>
      <c r="V709" s="133">
        <v>0.938103350369108</v>
      </c>
      <c r="W709" s="133">
        <v>0.94075682382134</v>
      </c>
      <c r="X709" s="133">
        <v>0.931139901510394</v>
      </c>
      <c r="Y709" s="135">
        <v>0.92</v>
      </c>
      <c r="Z709" s="135">
        <v>0.956672443674177</v>
      </c>
      <c r="AA709" s="135">
        <v>0.923444976076555</v>
      </c>
      <c r="AB709" s="135">
        <v>0.867619047619048</v>
      </c>
      <c r="AC709" s="135">
        <v>0.941219608506798</v>
      </c>
      <c r="AD709" s="135">
        <v>0.92</v>
      </c>
      <c r="AE709" s="133">
        <v>0.99702823179792</v>
      </c>
      <c r="AF709" s="133">
        <v>0.981348637015782</v>
      </c>
      <c r="AG709" s="133">
        <v>0.970089730807577</v>
      </c>
      <c r="AH709" s="133">
        <v>0.965843963764097</v>
      </c>
      <c r="AI709" s="135">
        <v>0.92</v>
      </c>
      <c r="AJ709" s="133">
        <v>0.951429980276134</v>
      </c>
      <c r="AK709" s="133">
        <v>0.952704182176483</v>
      </c>
      <c r="AL709" s="133">
        <v>0.941066417212348</v>
      </c>
      <c r="AM709" s="133">
        <v>0.961715278132502</v>
      </c>
      <c r="AN709" s="132">
        <v>0.99</v>
      </c>
      <c r="AO709" s="137">
        <v>1</v>
      </c>
      <c r="AP709" s="137">
        <v>1</v>
      </c>
      <c r="AQ709" s="137">
        <v>1</v>
      </c>
      <c r="AR709" s="137">
        <v>1</v>
      </c>
      <c r="AS709" s="158">
        <v>0.0810595228934205</v>
      </c>
      <c r="AT709" s="141">
        <v>0</v>
      </c>
      <c r="AU709" s="141">
        <v>0.0476190476190476</v>
      </c>
      <c r="AV709" s="141">
        <v>0.0588235294117647</v>
      </c>
      <c r="AW709" s="141">
        <v>0.0682492581602374</v>
      </c>
      <c r="AX709" s="95"/>
      <c r="AY709" s="93"/>
    </row>
    <row r="710" ht="14.5" spans="1:51">
      <c r="A710" s="91"/>
      <c r="B710" s="95"/>
      <c r="C710" s="152" t="s">
        <v>668</v>
      </c>
      <c r="D710" s="153" t="s">
        <v>25</v>
      </c>
      <c r="E710" s="130" t="s">
        <v>669</v>
      </c>
      <c r="F710" s="179" t="s">
        <v>737</v>
      </c>
      <c r="G710" s="179" t="s">
        <v>737</v>
      </c>
      <c r="H710" s="179" t="s">
        <v>737</v>
      </c>
      <c r="I710" s="179" t="s">
        <v>737</v>
      </c>
      <c r="J710" s="132">
        <v>0.9</v>
      </c>
      <c r="K710" s="133">
        <v>0.911111111111111</v>
      </c>
      <c r="L710" s="133">
        <v>0.837209302325581</v>
      </c>
      <c r="M710" s="134">
        <v>0.936170212765957</v>
      </c>
      <c r="N710" s="133">
        <v>0.898817345597897</v>
      </c>
      <c r="O710" s="135">
        <v>0.9</v>
      </c>
      <c r="P710" s="133">
        <v>0.974445191661063</v>
      </c>
      <c r="Q710" s="133">
        <v>0.965448060633081</v>
      </c>
      <c r="R710" s="133">
        <v>0.960917801311145</v>
      </c>
      <c r="S710" s="133">
        <v>0.949948250879735</v>
      </c>
      <c r="T710" s="135">
        <v>0.9</v>
      </c>
      <c r="U710" s="133">
        <v>0.962116117462452</v>
      </c>
      <c r="V710" s="133">
        <v>0.95920641997325</v>
      </c>
      <c r="W710" s="133">
        <v>0.956883509833585</v>
      </c>
      <c r="X710" s="133">
        <v>0.952942799972401</v>
      </c>
      <c r="Y710" s="135">
        <v>0.92</v>
      </c>
      <c r="Z710" s="135">
        <v>0.966814159292035</v>
      </c>
      <c r="AA710" s="135">
        <v>0.958732498157701</v>
      </c>
      <c r="AB710" s="135">
        <v>0.972953736654804</v>
      </c>
      <c r="AC710" s="135">
        <v>0.970031473794645</v>
      </c>
      <c r="AD710" s="135">
        <v>0.92</v>
      </c>
      <c r="AE710" s="133">
        <v>0.999314128943759</v>
      </c>
      <c r="AF710" s="133">
        <v>0.983050847457627</v>
      </c>
      <c r="AG710" s="133">
        <v>0.998939929328622</v>
      </c>
      <c r="AH710" s="133">
        <v>0.992679245283019</v>
      </c>
      <c r="AI710" s="135">
        <v>0.92</v>
      </c>
      <c r="AJ710" s="133">
        <v>0.98434588147596</v>
      </c>
      <c r="AK710" s="133">
        <v>0.978439425051335</v>
      </c>
      <c r="AL710" s="133">
        <v>0.980078197728542</v>
      </c>
      <c r="AM710" s="133">
        <v>0.981422246700701</v>
      </c>
      <c r="AN710" s="132">
        <v>0.99</v>
      </c>
      <c r="AO710" s="137">
        <v>1</v>
      </c>
      <c r="AP710" s="137">
        <v>1</v>
      </c>
      <c r="AQ710" s="137">
        <v>1</v>
      </c>
      <c r="AR710" s="137">
        <v>1</v>
      </c>
      <c r="AS710" s="158">
        <v>0.0810595228934205</v>
      </c>
      <c r="AT710" s="141">
        <v>0</v>
      </c>
      <c r="AU710" s="141">
        <v>0.117647058823529</v>
      </c>
      <c r="AV710" s="141">
        <v>0.130434782608696</v>
      </c>
      <c r="AW710" s="141">
        <v>0.034375</v>
      </c>
      <c r="AX710" s="95"/>
      <c r="AY710" s="93"/>
    </row>
    <row r="711" ht="14.5" spans="1:51">
      <c r="A711" s="91"/>
      <c r="B711" s="95"/>
      <c r="C711" s="152" t="s">
        <v>668</v>
      </c>
      <c r="D711" s="153" t="s">
        <v>25</v>
      </c>
      <c r="E711" s="130" t="s">
        <v>669</v>
      </c>
      <c r="F711" s="179" t="s">
        <v>738</v>
      </c>
      <c r="G711" s="179" t="s">
        <v>738</v>
      </c>
      <c r="H711" s="179" t="s">
        <v>738</v>
      </c>
      <c r="I711" s="179" t="s">
        <v>738</v>
      </c>
      <c r="J711" s="132">
        <v>0.9</v>
      </c>
      <c r="K711" s="133">
        <v>0.96551724137931</v>
      </c>
      <c r="L711" s="133">
        <v>0.961538461538462</v>
      </c>
      <c r="M711" s="134">
        <v>0.96551724137931</v>
      </c>
      <c r="N711" s="133">
        <v>0.958847736625514</v>
      </c>
      <c r="O711" s="135">
        <v>0.9</v>
      </c>
      <c r="P711" s="133">
        <v>0.950149126544525</v>
      </c>
      <c r="Q711" s="133">
        <v>0.938030560271647</v>
      </c>
      <c r="R711" s="133">
        <v>0.946578366445916</v>
      </c>
      <c r="S711" s="133">
        <v>0.933873491022019</v>
      </c>
      <c r="T711" s="135">
        <v>0.9</v>
      </c>
      <c r="U711" s="133">
        <v>0.932680017043034</v>
      </c>
      <c r="V711" s="133">
        <v>0.91213921901528</v>
      </c>
      <c r="W711" s="133">
        <v>0.928476821192053</v>
      </c>
      <c r="X711" s="133">
        <v>0.915450533541925</v>
      </c>
      <c r="Y711" s="135">
        <v>0.92</v>
      </c>
      <c r="Z711" s="135">
        <v>0.937354988399072</v>
      </c>
      <c r="AA711" s="135">
        <v>0.946164199192463</v>
      </c>
      <c r="AB711" s="135">
        <v>0.951704545454545</v>
      </c>
      <c r="AC711" s="135">
        <v>0.947078103765289</v>
      </c>
      <c r="AD711" s="135">
        <v>0.92</v>
      </c>
      <c r="AE711" s="133">
        <v>0.996055226824458</v>
      </c>
      <c r="AF711" s="133">
        <v>0.917933130699088</v>
      </c>
      <c r="AG711" s="133">
        <v>0.996789727126806</v>
      </c>
      <c r="AH711" s="133">
        <v>0.987244897959184</v>
      </c>
      <c r="AI711" s="135">
        <v>0.92</v>
      </c>
      <c r="AJ711" s="133">
        <v>0.961870503597122</v>
      </c>
      <c r="AK711" s="133">
        <v>0.959341723136496</v>
      </c>
      <c r="AL711" s="133">
        <v>0.961266419669923</v>
      </c>
      <c r="AM711" s="133">
        <v>0.964859981933153</v>
      </c>
      <c r="AN711" s="132">
        <v>0.99</v>
      </c>
      <c r="AO711" s="137">
        <v>1</v>
      </c>
      <c r="AP711" s="137">
        <v>1</v>
      </c>
      <c r="AQ711" s="137">
        <v>1</v>
      </c>
      <c r="AR711" s="137">
        <v>1</v>
      </c>
      <c r="AS711" s="158">
        <v>0.0810595228934205</v>
      </c>
      <c r="AT711" s="141">
        <v>0.117647058823529</v>
      </c>
      <c r="AU711" s="141">
        <v>0</v>
      </c>
      <c r="AV711" s="141">
        <v>0</v>
      </c>
      <c r="AW711" s="141">
        <v>0.0300429184549356</v>
      </c>
      <c r="AX711" s="95"/>
      <c r="AY711" s="93"/>
    </row>
    <row r="712" ht="14.5" spans="1:51">
      <c r="A712" s="91"/>
      <c r="B712" s="95"/>
      <c r="C712" s="152" t="s">
        <v>668</v>
      </c>
      <c r="D712" s="153" t="s">
        <v>25</v>
      </c>
      <c r="E712" s="130" t="s">
        <v>669</v>
      </c>
      <c r="F712" s="179" t="s">
        <v>739</v>
      </c>
      <c r="G712" s="179" t="s">
        <v>739</v>
      </c>
      <c r="H712" s="179" t="s">
        <v>739</v>
      </c>
      <c r="I712" s="179" t="s">
        <v>739</v>
      </c>
      <c r="J712" s="132">
        <v>0.9</v>
      </c>
      <c r="K712" s="133">
        <v>0.702127659574468</v>
      </c>
      <c r="L712" s="133">
        <v>0.659574468085106</v>
      </c>
      <c r="M712" s="134">
        <v>0.76</v>
      </c>
      <c r="N712" s="133">
        <v>0.733662145499383</v>
      </c>
      <c r="O712" s="135">
        <v>0.9</v>
      </c>
      <c r="P712" s="133">
        <v>0.930859024244238</v>
      </c>
      <c r="Q712" s="133">
        <v>0.968302346845474</v>
      </c>
      <c r="R712" s="133">
        <v>0.966255678131084</v>
      </c>
      <c r="S712" s="133">
        <v>0.953206331220566</v>
      </c>
      <c r="T712" s="135">
        <v>0.9</v>
      </c>
      <c r="U712" s="133">
        <v>0.893445076324454</v>
      </c>
      <c r="V712" s="133">
        <v>0.92989942090826</v>
      </c>
      <c r="W712" s="133">
        <v>0.920181700194679</v>
      </c>
      <c r="X712" s="133">
        <v>0.913105060019121</v>
      </c>
      <c r="Y712" s="135">
        <v>0.92</v>
      </c>
      <c r="Z712" s="135">
        <v>0.970972423802613</v>
      </c>
      <c r="AA712" s="135">
        <v>0.964651162790698</v>
      </c>
      <c r="AB712" s="135">
        <v>0.961038961038961</v>
      </c>
      <c r="AC712" s="135">
        <v>0.964579853711916</v>
      </c>
      <c r="AD712" s="135">
        <v>0.92</v>
      </c>
      <c r="AE712" s="133">
        <v>0.998539612997444</v>
      </c>
      <c r="AF712" s="133">
        <v>0.995426829268293</v>
      </c>
      <c r="AG712" s="133">
        <v>0.99428843407901</v>
      </c>
      <c r="AH712" s="133">
        <v>0.99358521837881</v>
      </c>
      <c r="AI712" s="135">
        <v>0.92</v>
      </c>
      <c r="AJ712" s="133">
        <v>0.974937965260546</v>
      </c>
      <c r="AK712" s="133">
        <v>0.977736974982786</v>
      </c>
      <c r="AL712" s="133">
        <v>0.972814107274063</v>
      </c>
      <c r="AM712" s="133">
        <v>0.976864692273348</v>
      </c>
      <c r="AN712" s="132">
        <v>0.99</v>
      </c>
      <c r="AO712" s="137">
        <v>1</v>
      </c>
      <c r="AP712" s="137">
        <v>1</v>
      </c>
      <c r="AQ712" s="137">
        <v>1</v>
      </c>
      <c r="AR712" s="137">
        <v>1</v>
      </c>
      <c r="AS712" s="158">
        <v>0.0810595228934205</v>
      </c>
      <c r="AT712" s="141">
        <v>0.0769230769230769</v>
      </c>
      <c r="AU712" s="141">
        <v>0</v>
      </c>
      <c r="AV712" s="141">
        <v>0.0526315789473684</v>
      </c>
      <c r="AW712" s="141">
        <v>0.0251798561151079</v>
      </c>
      <c r="AX712" s="95"/>
      <c r="AY712" s="93"/>
    </row>
    <row r="713" ht="14.5" spans="1:51">
      <c r="A713" s="91"/>
      <c r="B713" s="95"/>
      <c r="C713" s="152" t="s">
        <v>668</v>
      </c>
      <c r="D713" s="153" t="s">
        <v>25</v>
      </c>
      <c r="E713" s="130" t="s">
        <v>669</v>
      </c>
      <c r="F713" s="179" t="s">
        <v>740</v>
      </c>
      <c r="G713" s="179" t="s">
        <v>740</v>
      </c>
      <c r="H713" s="179" t="s">
        <v>740</v>
      </c>
      <c r="I713" s="179" t="s">
        <v>740</v>
      </c>
      <c r="J713" s="132">
        <v>0.9</v>
      </c>
      <c r="K713" s="133">
        <v>0.911764705882353</v>
      </c>
      <c r="L713" s="133">
        <v>0.823529411764706</v>
      </c>
      <c r="M713" s="134">
        <v>0.891891891891892</v>
      </c>
      <c r="N713" s="133">
        <v>0.901172529313233</v>
      </c>
      <c r="O713" s="135">
        <v>0.9</v>
      </c>
      <c r="P713" s="133">
        <v>0.968141045468605</v>
      </c>
      <c r="Q713" s="133">
        <v>0.969965222889662</v>
      </c>
      <c r="R713" s="133">
        <v>0.922480620155039</v>
      </c>
      <c r="S713" s="133">
        <v>0.95724005679199</v>
      </c>
      <c r="T713" s="135">
        <v>0.9</v>
      </c>
      <c r="U713" s="133">
        <v>0.934735539746366</v>
      </c>
      <c r="V713" s="133">
        <v>0.921593423964591</v>
      </c>
      <c r="W713" s="133">
        <v>0.926708949964764</v>
      </c>
      <c r="X713" s="133">
        <v>0.925820072649494</v>
      </c>
      <c r="Y713" s="135">
        <v>0.92</v>
      </c>
      <c r="Z713" s="135">
        <v>0.974499089253188</v>
      </c>
      <c r="AA713" s="135">
        <v>0.963350785340314</v>
      </c>
      <c r="AB713" s="135">
        <v>0.966522678185745</v>
      </c>
      <c r="AC713" s="135">
        <v>0.964527242567309</v>
      </c>
      <c r="AD713" s="135">
        <v>0.92</v>
      </c>
      <c r="AE713" s="133">
        <v>0.989556135770235</v>
      </c>
      <c r="AF713" s="133">
        <v>0.994987468671679</v>
      </c>
      <c r="AG713" s="133">
        <v>0.995614035087719</v>
      </c>
      <c r="AH713" s="133">
        <v>0.99448123620309</v>
      </c>
      <c r="AI713" s="135">
        <v>0.92</v>
      </c>
      <c r="AJ713" s="133">
        <v>0.974881015335801</v>
      </c>
      <c r="AK713" s="133">
        <v>0.971345313258864</v>
      </c>
      <c r="AL713" s="133">
        <v>0.97318821343244</v>
      </c>
      <c r="AM713" s="133">
        <v>0.971865216086006</v>
      </c>
      <c r="AN713" s="132">
        <v>0.99</v>
      </c>
      <c r="AO713" s="137">
        <v>1</v>
      </c>
      <c r="AP713" s="137">
        <v>1</v>
      </c>
      <c r="AQ713" s="137">
        <v>1</v>
      </c>
      <c r="AR713" s="137">
        <v>1</v>
      </c>
      <c r="AS713" s="158">
        <v>0.0810595228934205</v>
      </c>
      <c r="AT713" s="141">
        <v>0</v>
      </c>
      <c r="AU713" s="141">
        <v>0.0714285714285714</v>
      </c>
      <c r="AV713" s="141">
        <v>0.0714285714285714</v>
      </c>
      <c r="AW713" s="141">
        <v>0.036697247706422</v>
      </c>
      <c r="AX713" s="95"/>
      <c r="AY713" s="93"/>
    </row>
    <row r="714" ht="14.5" spans="1:51">
      <c r="A714" s="91"/>
      <c r="B714" s="95"/>
      <c r="C714" s="152" t="s">
        <v>668</v>
      </c>
      <c r="D714" s="153" t="s">
        <v>25</v>
      </c>
      <c r="E714" s="130" t="s">
        <v>669</v>
      </c>
      <c r="F714" s="179" t="s">
        <v>741</v>
      </c>
      <c r="G714" s="179" t="s">
        <v>741</v>
      </c>
      <c r="H714" s="179" t="s">
        <v>741</v>
      </c>
      <c r="I714" s="179" t="s">
        <v>741</v>
      </c>
      <c r="J714" s="132">
        <v>0.9</v>
      </c>
      <c r="K714" s="133">
        <v>0.6</v>
      </c>
      <c r="L714" s="133">
        <v>0.590909090909091</v>
      </c>
      <c r="M714" s="134">
        <v>0.708333333333333</v>
      </c>
      <c r="N714" s="133">
        <v>0.688</v>
      </c>
      <c r="O714" s="135">
        <v>0.9</v>
      </c>
      <c r="P714" s="133">
        <v>0.953379953379953</v>
      </c>
      <c r="Q714" s="133">
        <v>0.943661971830986</v>
      </c>
      <c r="R714" s="133">
        <v>0.951737451737452</v>
      </c>
      <c r="S714" s="133">
        <v>0.939548797208027</v>
      </c>
      <c r="T714" s="135">
        <v>0.9</v>
      </c>
      <c r="U714" s="133">
        <v>0.923659673659674</v>
      </c>
      <c r="V714" s="133">
        <v>0.888450704225352</v>
      </c>
      <c r="W714" s="133">
        <v>0.915701415701416</v>
      </c>
      <c r="X714" s="133">
        <v>0.894335036769288</v>
      </c>
      <c r="Y714" s="135">
        <v>0.92</v>
      </c>
      <c r="Z714" s="135">
        <v>0.955631399317406</v>
      </c>
      <c r="AA714" s="135">
        <v>0.920997920997921</v>
      </c>
      <c r="AB714" s="135">
        <v>0.916</v>
      </c>
      <c r="AC714" s="135">
        <v>0.910478910369069</v>
      </c>
      <c r="AD714" s="135">
        <v>0.92</v>
      </c>
      <c r="AE714" s="133">
        <v>1</v>
      </c>
      <c r="AF714" s="133">
        <v>0.989583333333333</v>
      </c>
      <c r="AG714" s="133">
        <v>0.979020979020979</v>
      </c>
      <c r="AH714" s="133">
        <v>0.983899042645779</v>
      </c>
      <c r="AI714" s="135">
        <v>0.92</v>
      </c>
      <c r="AJ714" s="133">
        <v>0.956218905472637</v>
      </c>
      <c r="AK714" s="133">
        <v>0.945035460992908</v>
      </c>
      <c r="AL714" s="133">
        <v>0.951314508276534</v>
      </c>
      <c r="AM714" s="133">
        <v>0.947618585701814</v>
      </c>
      <c r="AN714" s="132">
        <v>0.99</v>
      </c>
      <c r="AO714" s="137" t="s">
        <v>35</v>
      </c>
      <c r="AP714" s="137" t="s">
        <v>35</v>
      </c>
      <c r="AQ714" s="137">
        <v>1</v>
      </c>
      <c r="AR714" s="137">
        <v>1</v>
      </c>
      <c r="AS714" s="158">
        <v>0.0810595228934205</v>
      </c>
      <c r="AT714" s="141">
        <v>0</v>
      </c>
      <c r="AU714" s="141">
        <v>0</v>
      </c>
      <c r="AV714" s="141">
        <v>0</v>
      </c>
      <c r="AW714" s="141">
        <v>0.0225563909774436</v>
      </c>
      <c r="AX714" s="95"/>
      <c r="AY714" s="93"/>
    </row>
    <row r="715" ht="14.5" spans="1:51">
      <c r="A715" s="91"/>
      <c r="B715" s="95"/>
      <c r="C715" s="152" t="s">
        <v>668</v>
      </c>
      <c r="D715" s="153" t="s">
        <v>25</v>
      </c>
      <c r="E715" s="130" t="s">
        <v>669</v>
      </c>
      <c r="F715" s="179" t="s">
        <v>742</v>
      </c>
      <c r="G715" s="179" t="s">
        <v>742</v>
      </c>
      <c r="H715" s="179" t="s">
        <v>742</v>
      </c>
      <c r="I715" s="179" t="s">
        <v>742</v>
      </c>
      <c r="J715" s="132">
        <v>0.9</v>
      </c>
      <c r="K715" s="133">
        <v>0.896551724137931</v>
      </c>
      <c r="L715" s="133">
        <v>0.862068965517241</v>
      </c>
      <c r="M715" s="134">
        <v>0.933333333333333</v>
      </c>
      <c r="N715" s="133">
        <v>0.886868686868687</v>
      </c>
      <c r="O715" s="135">
        <v>0.9</v>
      </c>
      <c r="P715" s="133">
        <v>0.97172236503856</v>
      </c>
      <c r="Q715" s="133">
        <v>0.969763007354944</v>
      </c>
      <c r="R715" s="133">
        <v>0.93592534992224</v>
      </c>
      <c r="S715" s="133">
        <v>0.960408930896465</v>
      </c>
      <c r="T715" s="135">
        <v>0.9</v>
      </c>
      <c r="U715" s="133">
        <v>0.947443587546415</v>
      </c>
      <c r="V715" s="133">
        <v>0.954508308362844</v>
      </c>
      <c r="W715" s="133">
        <v>0.929082426127527</v>
      </c>
      <c r="X715" s="133">
        <v>0.942035974345373</v>
      </c>
      <c r="Y715" s="135">
        <v>0.92</v>
      </c>
      <c r="Z715" s="135">
        <v>0.972857142857143</v>
      </c>
      <c r="AA715" s="135">
        <v>0.961226330027051</v>
      </c>
      <c r="AB715" s="135">
        <v>0.978240302743614</v>
      </c>
      <c r="AC715" s="135">
        <v>0.965635170169342</v>
      </c>
      <c r="AD715" s="135">
        <v>0.92</v>
      </c>
      <c r="AE715" s="133">
        <v>0.998380566801619</v>
      </c>
      <c r="AF715" s="133">
        <v>0.997014925373134</v>
      </c>
      <c r="AG715" s="133">
        <v>0.997804610318331</v>
      </c>
      <c r="AH715" s="133">
        <v>0.998987854251012</v>
      </c>
      <c r="AI715" s="135">
        <v>0.92</v>
      </c>
      <c r="AJ715" s="133">
        <v>0.977391718229415</v>
      </c>
      <c r="AK715" s="133">
        <v>0.978033472803347</v>
      </c>
      <c r="AL715" s="133">
        <v>0.977543859649123</v>
      </c>
      <c r="AM715" s="133">
        <v>0.974754575655398</v>
      </c>
      <c r="AN715" s="132">
        <v>0.99</v>
      </c>
      <c r="AO715" s="137">
        <v>1</v>
      </c>
      <c r="AP715" s="137">
        <v>1</v>
      </c>
      <c r="AQ715" s="137">
        <v>1</v>
      </c>
      <c r="AR715" s="137">
        <v>1</v>
      </c>
      <c r="AS715" s="158">
        <v>0.0810595228934205</v>
      </c>
      <c r="AT715" s="141">
        <v>0</v>
      </c>
      <c r="AU715" s="141">
        <v>0</v>
      </c>
      <c r="AV715" s="141">
        <v>0.0666666666666667</v>
      </c>
      <c r="AW715" s="141">
        <v>0.0532319391634981</v>
      </c>
      <c r="AX715" s="95"/>
      <c r="AY715" s="93"/>
    </row>
    <row r="716" ht="14.5" spans="1:51">
      <c r="A716" s="91"/>
      <c r="B716" s="95"/>
      <c r="C716" s="152" t="s">
        <v>668</v>
      </c>
      <c r="D716" s="153" t="s">
        <v>25</v>
      </c>
      <c r="E716" s="130" t="s">
        <v>669</v>
      </c>
      <c r="F716" s="179" t="s">
        <v>743</v>
      </c>
      <c r="G716" s="179" t="s">
        <v>743</v>
      </c>
      <c r="H716" s="179" t="s">
        <v>743</v>
      </c>
      <c r="I716" s="179" t="s">
        <v>743</v>
      </c>
      <c r="J716" s="132">
        <v>0.9</v>
      </c>
      <c r="K716" s="133">
        <v>0.7</v>
      </c>
      <c r="L716" s="133">
        <v>0.7</v>
      </c>
      <c r="M716" s="134">
        <v>0.80952380952381</v>
      </c>
      <c r="N716" s="133">
        <v>0.799392097264438</v>
      </c>
      <c r="O716" s="135">
        <v>0.9</v>
      </c>
      <c r="P716" s="133">
        <v>0.954179566563467</v>
      </c>
      <c r="Q716" s="133">
        <v>0.922403733955659</v>
      </c>
      <c r="R716" s="133">
        <v>0.906391220142027</v>
      </c>
      <c r="S716" s="133">
        <v>0.930069185737094</v>
      </c>
      <c r="T716" s="135">
        <v>0.9</v>
      </c>
      <c r="U716" s="133">
        <v>0.938080495356037</v>
      </c>
      <c r="V716" s="133">
        <v>0.920653442240373</v>
      </c>
      <c r="W716" s="133">
        <v>0.91672046481601</v>
      </c>
      <c r="X716" s="133">
        <v>0.912790491396133</v>
      </c>
      <c r="Y716" s="135">
        <v>0.92</v>
      </c>
      <c r="Z716" s="135">
        <v>0.897959183673469</v>
      </c>
      <c r="AA716" s="135">
        <v>0.921875</v>
      </c>
      <c r="AB716" s="135">
        <v>0.924050632911392</v>
      </c>
      <c r="AC716" s="135">
        <v>0.888499637593622</v>
      </c>
      <c r="AD716" s="135">
        <v>0.92</v>
      </c>
      <c r="AE716" s="133">
        <v>0.995260663507109</v>
      </c>
      <c r="AF716" s="133">
        <v>0.965714285714286</v>
      </c>
      <c r="AG716" s="133">
        <v>0.967532467532468</v>
      </c>
      <c r="AH716" s="133">
        <v>0.976452119309262</v>
      </c>
      <c r="AI716" s="135">
        <v>0.92</v>
      </c>
      <c r="AJ716" s="133">
        <v>0.954950235725511</v>
      </c>
      <c r="AK716" s="133">
        <v>0.953728661275831</v>
      </c>
      <c r="AL716" s="133">
        <v>0.949579831932773</v>
      </c>
      <c r="AM716" s="133">
        <v>0.942511719713792</v>
      </c>
      <c r="AN716" s="132">
        <v>0.99</v>
      </c>
      <c r="AO716" s="137">
        <v>1</v>
      </c>
      <c r="AP716" s="137">
        <v>1</v>
      </c>
      <c r="AQ716" s="137">
        <v>1</v>
      </c>
      <c r="AR716" s="137">
        <v>1</v>
      </c>
      <c r="AS716" s="158">
        <v>0.0810595228934205</v>
      </c>
      <c r="AT716" s="141">
        <v>0</v>
      </c>
      <c r="AU716" s="141">
        <v>0</v>
      </c>
      <c r="AV716" s="141">
        <v>0</v>
      </c>
      <c r="AW716" s="141">
        <v>0.0461538461538462</v>
      </c>
      <c r="AX716" s="95"/>
      <c r="AY716" s="93"/>
    </row>
    <row r="717" ht="14.5" spans="1:51">
      <c r="A717" s="91"/>
      <c r="B717" s="95"/>
      <c r="C717" s="152" t="s">
        <v>668</v>
      </c>
      <c r="D717" s="153" t="s">
        <v>25</v>
      </c>
      <c r="E717" s="130" t="s">
        <v>669</v>
      </c>
      <c r="F717" s="179" t="s">
        <v>744</v>
      </c>
      <c r="G717" s="179" t="s">
        <v>744</v>
      </c>
      <c r="H717" s="179" t="s">
        <v>744</v>
      </c>
      <c r="I717" s="179" t="s">
        <v>744</v>
      </c>
      <c r="J717" s="132">
        <v>0.9</v>
      </c>
      <c r="K717" s="133">
        <v>0.59375</v>
      </c>
      <c r="L717" s="133">
        <v>0.5</v>
      </c>
      <c r="M717" s="134">
        <v>0.645161290322581</v>
      </c>
      <c r="N717" s="133">
        <v>0.63302752293578</v>
      </c>
      <c r="O717" s="135">
        <v>0.9</v>
      </c>
      <c r="P717" s="133">
        <v>0.929879644165358</v>
      </c>
      <c r="Q717" s="133">
        <v>0.827880512091038</v>
      </c>
      <c r="R717" s="133">
        <v>0.923756906077348</v>
      </c>
      <c r="S717" s="133">
        <v>0.842258551998901</v>
      </c>
      <c r="T717" s="135">
        <v>0.9</v>
      </c>
      <c r="U717" s="133">
        <v>0.859759288330717</v>
      </c>
      <c r="V717" s="133">
        <v>0.778093883357041</v>
      </c>
      <c r="W717" s="133">
        <v>0.84585635359116</v>
      </c>
      <c r="X717" s="133">
        <v>0.820387415853826</v>
      </c>
      <c r="Y717" s="135">
        <v>0.92</v>
      </c>
      <c r="Z717" s="135">
        <v>0.87696335078534</v>
      </c>
      <c r="AA717" s="135">
        <v>0.76625386996904</v>
      </c>
      <c r="AB717" s="135">
        <v>0.922945205479452</v>
      </c>
      <c r="AC717" s="135">
        <v>0.889907398746609</v>
      </c>
      <c r="AD717" s="135">
        <v>0.92</v>
      </c>
      <c r="AE717" s="133">
        <v>0.987903225806452</v>
      </c>
      <c r="AF717" s="133">
        <v>0.982456140350877</v>
      </c>
      <c r="AG717" s="133">
        <v>0.977653631284916</v>
      </c>
      <c r="AH717" s="133">
        <v>0.975678533662319</v>
      </c>
      <c r="AI717" s="135">
        <v>0.92</v>
      </c>
      <c r="AJ717" s="133">
        <v>0.916703009158308</v>
      </c>
      <c r="AK717" s="133">
        <v>0.855172413793103</v>
      </c>
      <c r="AL717" s="133">
        <v>0.929853862212944</v>
      </c>
      <c r="AM717" s="133">
        <v>0.926735027492941</v>
      </c>
      <c r="AN717" s="132">
        <v>0.99</v>
      </c>
      <c r="AO717" s="137">
        <v>1</v>
      </c>
      <c r="AP717" s="137">
        <v>1</v>
      </c>
      <c r="AQ717" s="137">
        <v>1</v>
      </c>
      <c r="AR717" s="137">
        <v>1</v>
      </c>
      <c r="AS717" s="158">
        <v>0.0810595228934205</v>
      </c>
      <c r="AT717" s="141">
        <v>0</v>
      </c>
      <c r="AU717" s="141">
        <v>0</v>
      </c>
      <c r="AV717" s="141">
        <v>0.25</v>
      </c>
      <c r="AW717" s="141">
        <v>0.046875</v>
      </c>
      <c r="AX717" s="95"/>
      <c r="AY717" s="93"/>
    </row>
    <row r="718" ht="14.5" spans="1:51">
      <c r="A718" s="91"/>
      <c r="B718" s="95"/>
      <c r="C718" s="152" t="s">
        <v>668</v>
      </c>
      <c r="D718" s="153" t="s">
        <v>25</v>
      </c>
      <c r="E718" s="130" t="s">
        <v>669</v>
      </c>
      <c r="F718" s="179" t="s">
        <v>745</v>
      </c>
      <c r="G718" s="179" t="s">
        <v>745</v>
      </c>
      <c r="H718" s="179" t="s">
        <v>745</v>
      </c>
      <c r="I718" s="179" t="s">
        <v>745</v>
      </c>
      <c r="J718" s="132">
        <v>0.9</v>
      </c>
      <c r="K718" s="133">
        <v>0.897959183673469</v>
      </c>
      <c r="L718" s="133">
        <v>0.895833333333333</v>
      </c>
      <c r="M718" s="134">
        <v>0.916666666666667</v>
      </c>
      <c r="N718" s="133">
        <v>0.940968122786305</v>
      </c>
      <c r="O718" s="135">
        <v>0.9</v>
      </c>
      <c r="P718" s="133">
        <v>0.958904109589041</v>
      </c>
      <c r="Q718" s="133">
        <v>0.976808905380334</v>
      </c>
      <c r="R718" s="133">
        <v>0.968694324255536</v>
      </c>
      <c r="S718" s="133">
        <v>0.968339453284374</v>
      </c>
      <c r="T718" s="135">
        <v>0.9</v>
      </c>
      <c r="U718" s="133">
        <v>0.952999527633444</v>
      </c>
      <c r="V718" s="133">
        <v>0.959879406307978</v>
      </c>
      <c r="W718" s="133">
        <v>0.935097989310257</v>
      </c>
      <c r="X718" s="133">
        <v>0.955215558275534</v>
      </c>
      <c r="Y718" s="135">
        <v>0.92</v>
      </c>
      <c r="Z718" s="135">
        <v>0.951697127937337</v>
      </c>
      <c r="AA718" s="135">
        <v>0.936153846153846</v>
      </c>
      <c r="AB718" s="135">
        <v>0.971383147853736</v>
      </c>
      <c r="AC718" s="135">
        <v>0.960241594140867</v>
      </c>
      <c r="AD718" s="135">
        <v>0.92</v>
      </c>
      <c r="AE718" s="133">
        <v>0.99443413729128</v>
      </c>
      <c r="AF718" s="133">
        <v>0.988262910798122</v>
      </c>
      <c r="AG718" s="133">
        <v>0.987387387387387</v>
      </c>
      <c r="AH718" s="133">
        <v>0.983752620545073</v>
      </c>
      <c r="AI718" s="135">
        <v>0.92</v>
      </c>
      <c r="AJ718" s="133">
        <v>0.967806438712258</v>
      </c>
      <c r="AK718" s="133">
        <v>0.968466060929984</v>
      </c>
      <c r="AL718" s="133">
        <v>0.972821896684657</v>
      </c>
      <c r="AM718" s="133">
        <v>0.97413100473613</v>
      </c>
      <c r="AN718" s="132">
        <v>0.99</v>
      </c>
      <c r="AO718" s="137">
        <v>1</v>
      </c>
      <c r="AP718" s="137">
        <v>1</v>
      </c>
      <c r="AQ718" s="137">
        <v>1</v>
      </c>
      <c r="AR718" s="137">
        <v>1</v>
      </c>
      <c r="AS718" s="158">
        <v>0.0810595228934205</v>
      </c>
      <c r="AT718" s="141">
        <v>0</v>
      </c>
      <c r="AU718" s="141">
        <v>0.0454545454545455</v>
      </c>
      <c r="AV718" s="141">
        <v>0</v>
      </c>
      <c r="AW718" s="141">
        <v>0.033210332103321</v>
      </c>
      <c r="AX718" s="95"/>
      <c r="AY718" s="93"/>
    </row>
    <row r="719" ht="14.5" spans="1:51">
      <c r="A719" s="91"/>
      <c r="B719" s="95"/>
      <c r="C719" s="152" t="s">
        <v>668</v>
      </c>
      <c r="D719" s="153" t="s">
        <v>25</v>
      </c>
      <c r="E719" s="130" t="s">
        <v>669</v>
      </c>
      <c r="F719" s="179" t="s">
        <v>746</v>
      </c>
      <c r="G719" s="179" t="s">
        <v>746</v>
      </c>
      <c r="H719" s="179" t="s">
        <v>746</v>
      </c>
      <c r="I719" s="179" t="s">
        <v>746</v>
      </c>
      <c r="J719" s="132">
        <v>0.9</v>
      </c>
      <c r="K719" s="133">
        <v>0.9</v>
      </c>
      <c r="L719" s="133">
        <v>0.948717948717949</v>
      </c>
      <c r="M719" s="134">
        <v>0.976744186046512</v>
      </c>
      <c r="N719" s="133">
        <v>0.966759002770083</v>
      </c>
      <c r="O719" s="135">
        <v>0.9</v>
      </c>
      <c r="P719" s="133">
        <v>0.967357187696171</v>
      </c>
      <c r="Q719" s="133">
        <v>0.968229954614221</v>
      </c>
      <c r="R719" s="133">
        <v>0.981443994601889</v>
      </c>
      <c r="S719" s="133">
        <v>0.966957393842792</v>
      </c>
      <c r="T719" s="135">
        <v>0.9</v>
      </c>
      <c r="U719" s="133">
        <v>0.907407407407407</v>
      </c>
      <c r="V719" s="133">
        <v>0.88018154311649</v>
      </c>
      <c r="W719" s="133">
        <v>0.948380566801619</v>
      </c>
      <c r="X719" s="133">
        <v>0.925121335315293</v>
      </c>
      <c r="Y719" s="135">
        <v>0.92</v>
      </c>
      <c r="Z719" s="135">
        <v>0.912328767123288</v>
      </c>
      <c r="AA719" s="135">
        <v>0.863861386138614</v>
      </c>
      <c r="AB719" s="135">
        <v>0.953216374269006</v>
      </c>
      <c r="AC719" s="135">
        <v>0.927381493260639</v>
      </c>
      <c r="AD719" s="135">
        <v>0.92</v>
      </c>
      <c r="AE719" s="133">
        <v>1</v>
      </c>
      <c r="AF719" s="133">
        <v>0.996385542168675</v>
      </c>
      <c r="AG719" s="133">
        <v>0.999000999000999</v>
      </c>
      <c r="AH719" s="133">
        <v>0.997835867646221</v>
      </c>
      <c r="AI719" s="135">
        <v>0.92</v>
      </c>
      <c r="AJ719" s="133">
        <v>0.947620388622923</v>
      </c>
      <c r="AK719" s="133">
        <v>0.936542669584245</v>
      </c>
      <c r="AL719" s="133">
        <v>0.976151315789474</v>
      </c>
      <c r="AM719" s="133">
        <v>0.961967384062799</v>
      </c>
      <c r="AN719" s="132">
        <v>0.99</v>
      </c>
      <c r="AO719" s="137">
        <v>1</v>
      </c>
      <c r="AP719" s="137">
        <v>1</v>
      </c>
      <c r="AQ719" s="137">
        <v>1</v>
      </c>
      <c r="AR719" s="137">
        <v>1</v>
      </c>
      <c r="AS719" s="158">
        <v>0.0810595228934205</v>
      </c>
      <c r="AT719" s="141">
        <v>0.107142857142857</v>
      </c>
      <c r="AU719" s="141">
        <v>0</v>
      </c>
      <c r="AV719" s="141">
        <v>0</v>
      </c>
      <c r="AW719" s="141">
        <v>0.0177777777777778</v>
      </c>
      <c r="AX719" s="95"/>
      <c r="AY719" s="93"/>
    </row>
    <row r="720" ht="14.5" spans="1:51">
      <c r="A720" s="91"/>
      <c r="B720" s="95"/>
      <c r="C720" s="152" t="s">
        <v>668</v>
      </c>
      <c r="D720" s="153" t="s">
        <v>25</v>
      </c>
      <c r="E720" s="130" t="s">
        <v>669</v>
      </c>
      <c r="F720" s="179" t="s">
        <v>747</v>
      </c>
      <c r="G720" s="179" t="s">
        <v>747</v>
      </c>
      <c r="H720" s="179" t="s">
        <v>747</v>
      </c>
      <c r="I720" s="179" t="s">
        <v>747</v>
      </c>
      <c r="J720" s="132">
        <v>0.9</v>
      </c>
      <c r="K720" s="133">
        <v>0.928571428571429</v>
      </c>
      <c r="L720" s="133">
        <v>0.970149253731343</v>
      </c>
      <c r="M720" s="134">
        <v>0.985915492957746</v>
      </c>
      <c r="N720" s="133">
        <v>0.972244897959184</v>
      </c>
      <c r="O720" s="135">
        <v>0.9</v>
      </c>
      <c r="P720" s="133">
        <v>0.987414965986395</v>
      </c>
      <c r="Q720" s="133">
        <v>0.979742765273312</v>
      </c>
      <c r="R720" s="133">
        <v>0.993112947658402</v>
      </c>
      <c r="S720" s="133">
        <v>0.981388105480063</v>
      </c>
      <c r="T720" s="135">
        <v>0.9</v>
      </c>
      <c r="U720" s="133">
        <v>0.94047619047619</v>
      </c>
      <c r="V720" s="133">
        <v>0.92572347266881</v>
      </c>
      <c r="W720" s="133">
        <v>0.952995867768595</v>
      </c>
      <c r="X720" s="133">
        <v>0.934924840232079</v>
      </c>
      <c r="Y720" s="135">
        <v>0.92</v>
      </c>
      <c r="Z720" s="135">
        <v>0.92781954887218</v>
      </c>
      <c r="AA720" s="135">
        <v>0.934081346423562</v>
      </c>
      <c r="AB720" s="135">
        <v>0.942463533225284</v>
      </c>
      <c r="AC720" s="135">
        <v>0.947572354894828</v>
      </c>
      <c r="AD720" s="135">
        <v>0.92</v>
      </c>
      <c r="AE720" s="133">
        <v>0.990950226244344</v>
      </c>
      <c r="AF720" s="133">
        <v>0.967136150234742</v>
      </c>
      <c r="AG720" s="133">
        <v>0.977848101265823</v>
      </c>
      <c r="AH720" s="133">
        <v>0.980332010104655</v>
      </c>
      <c r="AI720" s="135">
        <v>0.92</v>
      </c>
      <c r="AJ720" s="133">
        <v>0.956913674560733</v>
      </c>
      <c r="AK720" s="133">
        <v>0.958818146162897</v>
      </c>
      <c r="AL720" s="133">
        <v>0.970178926441352</v>
      </c>
      <c r="AM720" s="133">
        <v>0.971663948672011</v>
      </c>
      <c r="AN720" s="132">
        <v>0.99</v>
      </c>
      <c r="AO720" s="137">
        <v>1</v>
      </c>
      <c r="AP720" s="137">
        <v>1</v>
      </c>
      <c r="AQ720" s="137">
        <v>1</v>
      </c>
      <c r="AR720" s="137">
        <v>1</v>
      </c>
      <c r="AS720" s="158">
        <v>0.0810595228934205</v>
      </c>
      <c r="AT720" s="141">
        <v>0</v>
      </c>
      <c r="AU720" s="141">
        <v>0.0266666666666667</v>
      </c>
      <c r="AV720" s="141">
        <v>0.0126582278481013</v>
      </c>
      <c r="AW720" s="141">
        <v>0.0275938189845475</v>
      </c>
      <c r="AX720" s="95"/>
      <c r="AY720" s="93"/>
    </row>
    <row r="721" ht="14.5" spans="1:51">
      <c r="A721" s="91"/>
      <c r="B721" s="95"/>
      <c r="C721" s="152" t="s">
        <v>668</v>
      </c>
      <c r="D721" s="153" t="s">
        <v>25</v>
      </c>
      <c r="E721" s="130" t="s">
        <v>669</v>
      </c>
      <c r="F721" s="179" t="s">
        <v>748</v>
      </c>
      <c r="G721" s="179" t="s">
        <v>748</v>
      </c>
      <c r="H721" s="179" t="s">
        <v>748</v>
      </c>
      <c r="I721" s="179" t="s">
        <v>748</v>
      </c>
      <c r="J721" s="132">
        <v>0.9</v>
      </c>
      <c r="K721" s="133">
        <v>0.976744186046512</v>
      </c>
      <c r="L721" s="133">
        <v>0.976190476190476</v>
      </c>
      <c r="M721" s="134">
        <v>0.957446808510638</v>
      </c>
      <c r="N721" s="133">
        <v>0.954427083333333</v>
      </c>
      <c r="O721" s="135">
        <v>0.9</v>
      </c>
      <c r="P721" s="133">
        <v>0.92049127343245</v>
      </c>
      <c r="Q721" s="133">
        <v>0.933806146572104</v>
      </c>
      <c r="R721" s="133">
        <v>0.955593803786575</v>
      </c>
      <c r="S721" s="133">
        <v>0.916229511172424</v>
      </c>
      <c r="T721" s="135">
        <v>0.9</v>
      </c>
      <c r="U721" s="133">
        <v>0.784744667097608</v>
      </c>
      <c r="V721" s="133">
        <v>0.747340425531915</v>
      </c>
      <c r="W721" s="133">
        <v>0.862994836488812</v>
      </c>
      <c r="X721" s="133">
        <v>0.797081192935325</v>
      </c>
      <c r="Y721" s="135">
        <v>0.92</v>
      </c>
      <c r="Z721" s="135">
        <v>0.931034482758621</v>
      </c>
      <c r="AA721" s="135">
        <v>0.870292887029289</v>
      </c>
      <c r="AB721" s="135">
        <v>0.931133428981349</v>
      </c>
      <c r="AC721" s="135">
        <v>0.91232726988836</v>
      </c>
      <c r="AD721" s="135">
        <v>0.92</v>
      </c>
      <c r="AE721" s="133">
        <v>1</v>
      </c>
      <c r="AF721" s="133">
        <v>0.992732558139535</v>
      </c>
      <c r="AG721" s="133">
        <v>0.985915492957746</v>
      </c>
      <c r="AH721" s="133">
        <v>0.989708404802744</v>
      </c>
      <c r="AI721" s="135">
        <v>0.92</v>
      </c>
      <c r="AJ721" s="133">
        <v>0.950058072009291</v>
      </c>
      <c r="AK721" s="133">
        <v>0.921745490004876</v>
      </c>
      <c r="AL721" s="133">
        <v>0.956968350916158</v>
      </c>
      <c r="AM721" s="133">
        <v>0.952096954703422</v>
      </c>
      <c r="AN721" s="132">
        <v>0.99</v>
      </c>
      <c r="AO721" s="137">
        <v>1</v>
      </c>
      <c r="AP721" s="137">
        <v>1</v>
      </c>
      <c r="AQ721" s="137">
        <v>1</v>
      </c>
      <c r="AR721" s="137">
        <v>1</v>
      </c>
      <c r="AS721" s="158">
        <v>0.0810595228934205</v>
      </c>
      <c r="AT721" s="141">
        <v>0</v>
      </c>
      <c r="AU721" s="141">
        <v>0.0714285714285714</v>
      </c>
      <c r="AV721" s="141">
        <v>0</v>
      </c>
      <c r="AW721" s="141">
        <v>0.0280112044817927</v>
      </c>
      <c r="AX721" s="95"/>
      <c r="AY721" s="93"/>
    </row>
    <row r="722" ht="14.5" spans="1:51">
      <c r="A722" s="91"/>
      <c r="B722" s="95"/>
      <c r="C722" s="152" t="s">
        <v>668</v>
      </c>
      <c r="D722" s="153" t="s">
        <v>25</v>
      </c>
      <c r="E722" s="130" t="s">
        <v>669</v>
      </c>
      <c r="F722" s="179" t="s">
        <v>749</v>
      </c>
      <c r="G722" s="179" t="s">
        <v>749</v>
      </c>
      <c r="H722" s="179" t="s">
        <v>749</v>
      </c>
      <c r="I722" s="179" t="s">
        <v>749</v>
      </c>
      <c r="J722" s="132">
        <v>0.9</v>
      </c>
      <c r="K722" s="133">
        <v>0.911764705882353</v>
      </c>
      <c r="L722" s="133">
        <v>0.944444444444444</v>
      </c>
      <c r="M722" s="134">
        <v>1</v>
      </c>
      <c r="N722" s="133">
        <v>0.962233169129721</v>
      </c>
      <c r="O722" s="135">
        <v>0.9</v>
      </c>
      <c r="P722" s="133">
        <v>0.954824830977259</v>
      </c>
      <c r="Q722" s="133">
        <v>0.959491425192194</v>
      </c>
      <c r="R722" s="133">
        <v>0.938727149627624</v>
      </c>
      <c r="S722" s="133">
        <v>0.960624539060673</v>
      </c>
      <c r="T722" s="135">
        <v>0.9</v>
      </c>
      <c r="U722" s="133">
        <v>0.91180086047941</v>
      </c>
      <c r="V722" s="133">
        <v>0.907451212300414</v>
      </c>
      <c r="W722" s="133">
        <v>0.915368991198375</v>
      </c>
      <c r="X722" s="133">
        <v>0.927221053010271</v>
      </c>
      <c r="Y722" s="135">
        <v>0.92</v>
      </c>
      <c r="Z722" s="135">
        <v>0.951742627345844</v>
      </c>
      <c r="AA722" s="135">
        <v>0.948967193195626</v>
      </c>
      <c r="AB722" s="135">
        <v>0.963072378138848</v>
      </c>
      <c r="AC722" s="135">
        <v>0.959836536619628</v>
      </c>
      <c r="AD722" s="135">
        <v>0.92</v>
      </c>
      <c r="AE722" s="133">
        <v>0.996323529411765</v>
      </c>
      <c r="AF722" s="133">
        <v>0.993939393939394</v>
      </c>
      <c r="AG722" s="133">
        <v>0.996478873239437</v>
      </c>
      <c r="AH722" s="133">
        <v>0.991153637840765</v>
      </c>
      <c r="AI722" s="135">
        <v>0.92</v>
      </c>
      <c r="AJ722" s="133">
        <v>0.957276736493936</v>
      </c>
      <c r="AK722" s="133">
        <v>0.954577883472057</v>
      </c>
      <c r="AL722" s="133">
        <v>0.968328284219223</v>
      </c>
      <c r="AM722" s="133">
        <v>0.968663167644335</v>
      </c>
      <c r="AN722" s="132">
        <v>0.99</v>
      </c>
      <c r="AO722" s="137">
        <v>1</v>
      </c>
      <c r="AP722" s="137">
        <v>1</v>
      </c>
      <c r="AQ722" s="137">
        <v>1</v>
      </c>
      <c r="AR722" s="137">
        <v>1</v>
      </c>
      <c r="AS722" s="158">
        <v>0.0810595228934205</v>
      </c>
      <c r="AT722" s="141">
        <v>0</v>
      </c>
      <c r="AU722" s="141">
        <v>0.125</v>
      </c>
      <c r="AV722" s="141">
        <v>0</v>
      </c>
      <c r="AW722" s="141">
        <v>0.0130434782608696</v>
      </c>
      <c r="AX722" s="95"/>
      <c r="AY722" s="93"/>
    </row>
    <row r="723" ht="14.5" spans="1:51">
      <c r="A723" s="91"/>
      <c r="B723" s="95"/>
      <c r="C723" s="152" t="s">
        <v>668</v>
      </c>
      <c r="D723" s="153" t="s">
        <v>25</v>
      </c>
      <c r="E723" s="130" t="s">
        <v>669</v>
      </c>
      <c r="F723" s="179" t="s">
        <v>750</v>
      </c>
      <c r="G723" s="179" t="s">
        <v>750</v>
      </c>
      <c r="H723" s="179" t="s">
        <v>750</v>
      </c>
      <c r="I723" s="179" t="s">
        <v>750</v>
      </c>
      <c r="J723" s="132">
        <v>0.9</v>
      </c>
      <c r="K723" s="133">
        <v>0.9375</v>
      </c>
      <c r="L723" s="133">
        <v>1</v>
      </c>
      <c r="M723" s="134">
        <v>1</v>
      </c>
      <c r="N723" s="133">
        <v>0.994339622641509</v>
      </c>
      <c r="O723" s="135">
        <v>0.9</v>
      </c>
      <c r="P723" s="133">
        <v>0.982456140350877</v>
      </c>
      <c r="Q723" s="133">
        <v>0.977053541735949</v>
      </c>
      <c r="R723" s="133">
        <v>0.975675675675676</v>
      </c>
      <c r="S723" s="133">
        <v>0.959929780154729</v>
      </c>
      <c r="T723" s="135">
        <v>0.9</v>
      </c>
      <c r="U723" s="133">
        <v>0.9312567132116</v>
      </c>
      <c r="V723" s="133">
        <v>0.913867642168274</v>
      </c>
      <c r="W723" s="133">
        <v>0.927799227799228</v>
      </c>
      <c r="X723" s="133">
        <v>0.932107207740513</v>
      </c>
      <c r="Y723" s="135">
        <v>0.92</v>
      </c>
      <c r="Z723" s="135">
        <v>0.813492063492063</v>
      </c>
      <c r="AA723" s="135">
        <v>0.900584795321637</v>
      </c>
      <c r="AB723" s="135">
        <v>0.924713584288052</v>
      </c>
      <c r="AC723" s="135">
        <v>0.893269065243588</v>
      </c>
      <c r="AD723" s="135">
        <v>0.92</v>
      </c>
      <c r="AE723" s="133">
        <v>0.990675990675991</v>
      </c>
      <c r="AF723" s="133">
        <v>0.970588235294118</v>
      </c>
      <c r="AG723" s="133">
        <v>0.995192307692308</v>
      </c>
      <c r="AH723" s="133">
        <v>0.99761292691884</v>
      </c>
      <c r="AI723" s="135">
        <v>0.92</v>
      </c>
      <c r="AJ723" s="133">
        <v>0.947143795141169</v>
      </c>
      <c r="AK723" s="133">
        <v>0.953683640303359</v>
      </c>
      <c r="AL723" s="133">
        <v>0.964408367155791</v>
      </c>
      <c r="AM723" s="133">
        <v>0.957761107905366</v>
      </c>
      <c r="AN723" s="132">
        <v>0.99</v>
      </c>
      <c r="AO723" s="137">
        <v>1</v>
      </c>
      <c r="AP723" s="137">
        <v>1</v>
      </c>
      <c r="AQ723" s="137">
        <v>1</v>
      </c>
      <c r="AR723" s="137">
        <v>1</v>
      </c>
      <c r="AS723" s="158">
        <v>0.0810595228934205</v>
      </c>
      <c r="AT723" s="141">
        <v>0.05</v>
      </c>
      <c r="AU723" s="141">
        <v>0.105263157894737</v>
      </c>
      <c r="AV723" s="141">
        <v>0.0833333333333333</v>
      </c>
      <c r="AW723" s="141">
        <v>0.0267857142857143</v>
      </c>
      <c r="AX723" s="95"/>
      <c r="AY723" s="93"/>
    </row>
    <row r="724" ht="14.5" spans="1:51">
      <c r="A724" s="91"/>
      <c r="B724" s="95"/>
      <c r="C724" s="152" t="s">
        <v>668</v>
      </c>
      <c r="D724" s="153" t="s">
        <v>25</v>
      </c>
      <c r="E724" s="130" t="s">
        <v>669</v>
      </c>
      <c r="F724" s="179" t="s">
        <v>751</v>
      </c>
      <c r="G724" s="179" t="s">
        <v>751</v>
      </c>
      <c r="H724" s="179" t="s">
        <v>751</v>
      </c>
      <c r="I724" s="179" t="s">
        <v>751</v>
      </c>
      <c r="J724" s="132">
        <v>0.9</v>
      </c>
      <c r="K724" s="133">
        <v>0.962264150943396</v>
      </c>
      <c r="L724" s="133">
        <v>0.96078431372549</v>
      </c>
      <c r="M724" s="134">
        <v>0.943396226415094</v>
      </c>
      <c r="N724" s="133">
        <v>0.963553530751708</v>
      </c>
      <c r="O724" s="135">
        <v>0.9</v>
      </c>
      <c r="P724" s="133">
        <v>0.929873472013725</v>
      </c>
      <c r="Q724" s="133">
        <v>0.953531985830381</v>
      </c>
      <c r="R724" s="133">
        <v>0.969615124915598</v>
      </c>
      <c r="S724" s="133">
        <v>0.950280054724681</v>
      </c>
      <c r="T724" s="135">
        <v>0.9</v>
      </c>
      <c r="U724" s="133">
        <v>0.775037529487454</v>
      </c>
      <c r="V724" s="133">
        <v>0.761617003542405</v>
      </c>
      <c r="W724" s="133">
        <v>0.803961287418411</v>
      </c>
      <c r="X724" s="133">
        <v>0.731743823010091</v>
      </c>
      <c r="Y724" s="135">
        <v>0.92</v>
      </c>
      <c r="Z724" s="135">
        <v>0.839572192513369</v>
      </c>
      <c r="AA724" s="135">
        <v>0.875109170305677</v>
      </c>
      <c r="AB724" s="135">
        <v>0.887628865979381</v>
      </c>
      <c r="AC724" s="135">
        <v>0.88601164052481</v>
      </c>
      <c r="AD724" s="135">
        <v>0.92</v>
      </c>
      <c r="AE724" s="133">
        <v>0.999475616151023</v>
      </c>
      <c r="AF724" s="133">
        <v>0.998971193415638</v>
      </c>
      <c r="AG724" s="133">
        <v>0.997332622032542</v>
      </c>
      <c r="AH724" s="133">
        <v>0.998176542618325</v>
      </c>
      <c r="AI724" s="135">
        <v>0.92</v>
      </c>
      <c r="AJ724" s="133">
        <v>0.915964777947933</v>
      </c>
      <c r="AK724" s="133">
        <v>0.924137931034483</v>
      </c>
      <c r="AL724" s="133">
        <v>0.933690432212782</v>
      </c>
      <c r="AM724" s="133">
        <v>0.939120407565289</v>
      </c>
      <c r="AN724" s="132">
        <v>0.99</v>
      </c>
      <c r="AO724" s="137">
        <v>1</v>
      </c>
      <c r="AP724" s="137">
        <v>1</v>
      </c>
      <c r="AQ724" s="137">
        <v>1</v>
      </c>
      <c r="AR724" s="137">
        <v>1</v>
      </c>
      <c r="AS724" s="158">
        <v>0.0810595228934205</v>
      </c>
      <c r="AT724" s="141">
        <v>0.0526315789473684</v>
      </c>
      <c r="AU724" s="141">
        <v>0</v>
      </c>
      <c r="AV724" s="141">
        <v>0.0476190476190476</v>
      </c>
      <c r="AW724" s="141">
        <v>0.0362537764350453</v>
      </c>
      <c r="AX724" s="95"/>
      <c r="AY724" s="93"/>
    </row>
    <row r="725" ht="14.5" spans="1:51">
      <c r="A725" s="91"/>
      <c r="B725" s="95"/>
      <c r="C725" s="152" t="s">
        <v>668</v>
      </c>
      <c r="D725" s="153" t="s">
        <v>25</v>
      </c>
      <c r="E725" s="130" t="s">
        <v>669</v>
      </c>
      <c r="F725" s="179" t="s">
        <v>752</v>
      </c>
      <c r="G725" s="179" t="s">
        <v>752</v>
      </c>
      <c r="H725" s="179" t="s">
        <v>752</v>
      </c>
      <c r="I725" s="179" t="s">
        <v>752</v>
      </c>
      <c r="J725" s="132">
        <v>0.9</v>
      </c>
      <c r="K725" s="133">
        <v>0.862068965517241</v>
      </c>
      <c r="L725" s="133">
        <v>0.964285714285714</v>
      </c>
      <c r="M725" s="134">
        <v>0.903225806451613</v>
      </c>
      <c r="N725" s="133">
        <v>0.929718875502008</v>
      </c>
      <c r="O725" s="135">
        <v>0.9</v>
      </c>
      <c r="P725" s="133">
        <v>0.964471403812825</v>
      </c>
      <c r="Q725" s="133">
        <v>0.957959183673469</v>
      </c>
      <c r="R725" s="133">
        <v>0.979647218453189</v>
      </c>
      <c r="S725" s="133">
        <v>0.960562519107307</v>
      </c>
      <c r="T725" s="135">
        <v>0.9</v>
      </c>
      <c r="U725" s="133">
        <v>0.900346620450607</v>
      </c>
      <c r="V725" s="133">
        <v>0.911020408163265</v>
      </c>
      <c r="W725" s="133">
        <v>0.936227951153324</v>
      </c>
      <c r="X725" s="133">
        <v>0.915974884180326</v>
      </c>
      <c r="Y725" s="135">
        <v>0.92</v>
      </c>
      <c r="Z725" s="135">
        <v>0.918918918918919</v>
      </c>
      <c r="AA725" s="135">
        <v>0.926391382405745</v>
      </c>
      <c r="AB725" s="135">
        <v>0.961464354527938</v>
      </c>
      <c r="AC725" s="135">
        <v>0.926480665687714</v>
      </c>
      <c r="AD725" s="135">
        <v>0.92</v>
      </c>
      <c r="AE725" s="133">
        <v>0.990654205607477</v>
      </c>
      <c r="AF725" s="133">
        <v>0.958333333333333</v>
      </c>
      <c r="AG725" s="133">
        <v>1</v>
      </c>
      <c r="AH725" s="133">
        <v>0.977804681194512</v>
      </c>
      <c r="AI725" s="135">
        <v>0.92</v>
      </c>
      <c r="AJ725" s="133">
        <v>0.952863264511102</v>
      </c>
      <c r="AK725" s="133">
        <v>0.947788493515131</v>
      </c>
      <c r="AL725" s="133">
        <v>0.963369963369963</v>
      </c>
      <c r="AM725" s="133">
        <v>0.957411305155773</v>
      </c>
      <c r="AN725" s="132">
        <v>0.99</v>
      </c>
      <c r="AO725" s="137">
        <v>1</v>
      </c>
      <c r="AP725" s="137">
        <v>1</v>
      </c>
      <c r="AQ725" s="137">
        <v>1</v>
      </c>
      <c r="AR725" s="137">
        <v>1</v>
      </c>
      <c r="AS725" s="158">
        <v>0.0810595228934205</v>
      </c>
      <c r="AT725" s="141">
        <v>0</v>
      </c>
      <c r="AU725" s="141">
        <v>0.1</v>
      </c>
      <c r="AV725" s="141">
        <v>0.125</v>
      </c>
      <c r="AW725" s="141">
        <v>0.0469798657718121</v>
      </c>
      <c r="AX725" s="95"/>
      <c r="AY725" s="93"/>
    </row>
    <row r="726" ht="14.5" spans="1:51">
      <c r="A726" s="91"/>
      <c r="B726" s="95"/>
      <c r="C726" s="152" t="s">
        <v>668</v>
      </c>
      <c r="D726" s="153" t="s">
        <v>25</v>
      </c>
      <c r="E726" s="130" t="s">
        <v>669</v>
      </c>
      <c r="F726" s="179" t="s">
        <v>753</v>
      </c>
      <c r="G726" s="179" t="s">
        <v>753</v>
      </c>
      <c r="H726" s="179" t="s">
        <v>753</v>
      </c>
      <c r="I726" s="179" t="s">
        <v>753</v>
      </c>
      <c r="J726" s="132">
        <v>0.9</v>
      </c>
      <c r="K726" s="133">
        <v>1</v>
      </c>
      <c r="L726" s="133">
        <v>0.967741935483871</v>
      </c>
      <c r="M726" s="134">
        <v>1</v>
      </c>
      <c r="N726" s="133">
        <v>0.983928571428571</v>
      </c>
      <c r="O726" s="135">
        <v>0.9</v>
      </c>
      <c r="P726" s="133">
        <v>0.953746862674794</v>
      </c>
      <c r="Q726" s="133">
        <v>0.933586337760911</v>
      </c>
      <c r="R726" s="133">
        <v>0.958379373848987</v>
      </c>
      <c r="S726" s="133">
        <v>0.953845850659204</v>
      </c>
      <c r="T726" s="135">
        <v>0.9</v>
      </c>
      <c r="U726" s="133">
        <v>0.839010397992112</v>
      </c>
      <c r="V726" s="133">
        <v>0.800442757748261</v>
      </c>
      <c r="W726" s="133">
        <v>0.856353591160221</v>
      </c>
      <c r="X726" s="133">
        <v>0.843485800997182</v>
      </c>
      <c r="Y726" s="135">
        <v>0.92</v>
      </c>
      <c r="Z726" s="135">
        <v>0.796428571428571</v>
      </c>
      <c r="AA726" s="135">
        <v>0.830459770114943</v>
      </c>
      <c r="AB726" s="135">
        <v>0.927536231884058</v>
      </c>
      <c r="AC726" s="135">
        <v>0.903814499391684</v>
      </c>
      <c r="AD726" s="135">
        <v>0.92</v>
      </c>
      <c r="AE726" s="133">
        <v>1</v>
      </c>
      <c r="AF726" s="133">
        <v>0.978260869565217</v>
      </c>
      <c r="AG726" s="133">
        <v>0.984848484848485</v>
      </c>
      <c r="AH726" s="133">
        <v>0.957654723127036</v>
      </c>
      <c r="AI726" s="135">
        <v>0.92</v>
      </c>
      <c r="AJ726" s="133">
        <v>0.933202997719127</v>
      </c>
      <c r="AK726" s="133">
        <v>0.889839294971488</v>
      </c>
      <c r="AL726" s="133">
        <v>0.951438848920863</v>
      </c>
      <c r="AM726" s="133">
        <v>0.943568823783917</v>
      </c>
      <c r="AN726" s="132">
        <v>0.99</v>
      </c>
      <c r="AO726" s="137">
        <v>1</v>
      </c>
      <c r="AP726" s="137">
        <v>1</v>
      </c>
      <c r="AQ726" s="137">
        <v>1</v>
      </c>
      <c r="AR726" s="137">
        <v>1</v>
      </c>
      <c r="AS726" s="158">
        <v>0.0810595228934205</v>
      </c>
      <c r="AT726" s="141">
        <v>0</v>
      </c>
      <c r="AU726" s="141">
        <v>0</v>
      </c>
      <c r="AV726" s="141">
        <v>0.0588235294117647</v>
      </c>
      <c r="AW726" s="141">
        <v>0.025830258302583</v>
      </c>
      <c r="AX726" s="95"/>
      <c r="AY726" s="93"/>
    </row>
    <row r="727" ht="14.5" spans="1:51">
      <c r="A727" s="91"/>
      <c r="B727" s="95"/>
      <c r="C727" s="152" t="s">
        <v>668</v>
      </c>
      <c r="D727" s="153" t="s">
        <v>25</v>
      </c>
      <c r="E727" s="130" t="s">
        <v>669</v>
      </c>
      <c r="F727" s="179" t="s">
        <v>754</v>
      </c>
      <c r="G727" s="179" t="s">
        <v>754</v>
      </c>
      <c r="H727" s="179" t="s">
        <v>754</v>
      </c>
      <c r="I727" s="179" t="s">
        <v>754</v>
      </c>
      <c r="J727" s="132">
        <v>0.9</v>
      </c>
      <c r="K727" s="133">
        <v>0.875</v>
      </c>
      <c r="L727" s="133">
        <v>0.933333333333333</v>
      </c>
      <c r="M727" s="134">
        <v>0.529411764705882</v>
      </c>
      <c r="N727" s="133">
        <v>0.887640449438202</v>
      </c>
      <c r="O727" s="135">
        <v>0.9</v>
      </c>
      <c r="P727" s="133">
        <v>0.982083609820836</v>
      </c>
      <c r="Q727" s="133">
        <v>0.982971227246036</v>
      </c>
      <c r="R727" s="133">
        <v>0.983181499649615</v>
      </c>
      <c r="S727" s="133">
        <v>0.980524289099526</v>
      </c>
      <c r="T727" s="135">
        <v>0.9</v>
      </c>
      <c r="U727" s="133">
        <v>0.940278699402787</v>
      </c>
      <c r="V727" s="133">
        <v>0.936582501467998</v>
      </c>
      <c r="W727" s="133">
        <v>0.936930623686055</v>
      </c>
      <c r="X727" s="133">
        <v>0.945904917061611</v>
      </c>
      <c r="Y727" s="135">
        <v>0.92</v>
      </c>
      <c r="Z727" s="135">
        <v>0.748603351955307</v>
      </c>
      <c r="AA727" s="135">
        <v>0.830459770114943</v>
      </c>
      <c r="AB727" s="135">
        <v>0.877675840978593</v>
      </c>
      <c r="AC727" s="135">
        <v>0.879488838563572</v>
      </c>
      <c r="AD727" s="135">
        <v>0.92</v>
      </c>
      <c r="AE727" s="133">
        <v>1</v>
      </c>
      <c r="AF727" s="133">
        <v>0.986666666666667</v>
      </c>
      <c r="AG727" s="133">
        <v>0.992537313432836</v>
      </c>
      <c r="AH727" s="133">
        <v>0.993451824134705</v>
      </c>
      <c r="AI727" s="135">
        <v>0.92</v>
      </c>
      <c r="AJ727" s="133">
        <v>0.946026097271649</v>
      </c>
      <c r="AK727" s="133">
        <v>0.951243295953194</v>
      </c>
      <c r="AL727" s="133">
        <v>0.965792474344356</v>
      </c>
      <c r="AM727" s="133">
        <v>0.962521089419137</v>
      </c>
      <c r="AN727" s="132">
        <v>0.99</v>
      </c>
      <c r="AO727" s="137">
        <v>1</v>
      </c>
      <c r="AP727" s="137">
        <v>1</v>
      </c>
      <c r="AQ727" s="137">
        <v>1</v>
      </c>
      <c r="AR727" s="137">
        <v>1</v>
      </c>
      <c r="AS727" s="158">
        <v>0.0810595228934205</v>
      </c>
      <c r="AT727" s="141">
        <v>0</v>
      </c>
      <c r="AU727" s="141">
        <v>0</v>
      </c>
      <c r="AV727" s="141">
        <v>0</v>
      </c>
      <c r="AW727" s="141">
        <v>0.0403225806451613</v>
      </c>
      <c r="AX727" s="95"/>
      <c r="AY727" s="93"/>
    </row>
    <row r="728" ht="14.5" spans="1:51">
      <c r="A728" s="91"/>
      <c r="B728" s="95"/>
      <c r="C728" s="152" t="s">
        <v>668</v>
      </c>
      <c r="D728" s="153" t="s">
        <v>25</v>
      </c>
      <c r="E728" s="130" t="s">
        <v>669</v>
      </c>
      <c r="F728" s="179" t="s">
        <v>755</v>
      </c>
      <c r="G728" s="179" t="s">
        <v>755</v>
      </c>
      <c r="H728" s="179" t="s">
        <v>755</v>
      </c>
      <c r="I728" s="179" t="s">
        <v>755</v>
      </c>
      <c r="J728" s="132">
        <v>0.9</v>
      </c>
      <c r="K728" s="133">
        <v>1</v>
      </c>
      <c r="L728" s="133">
        <v>0.923076923076923</v>
      </c>
      <c r="M728" s="134">
        <v>0.96551724137931</v>
      </c>
      <c r="N728" s="133">
        <v>0.947976878612717</v>
      </c>
      <c r="O728" s="135">
        <v>0.9</v>
      </c>
      <c r="P728" s="133">
        <v>0.975178997613365</v>
      </c>
      <c r="Q728" s="133">
        <v>0.972348328518366</v>
      </c>
      <c r="R728" s="133">
        <v>0.982750794371312</v>
      </c>
      <c r="S728" s="133">
        <v>0.976180262925488</v>
      </c>
      <c r="T728" s="135">
        <v>0.9</v>
      </c>
      <c r="U728" s="133">
        <v>0.958472553699284</v>
      </c>
      <c r="V728" s="133">
        <v>0.96079240610813</v>
      </c>
      <c r="W728" s="133">
        <v>0.966863368134362</v>
      </c>
      <c r="X728" s="133">
        <v>0.968862758951326</v>
      </c>
      <c r="Y728" s="135">
        <v>0.92</v>
      </c>
      <c r="Z728" s="135">
        <v>0.935185185185185</v>
      </c>
      <c r="AA728" s="135">
        <v>0.942065491183879</v>
      </c>
      <c r="AB728" s="135">
        <v>0.966078697421981</v>
      </c>
      <c r="AC728" s="135">
        <v>0.957805907172996</v>
      </c>
      <c r="AD728" s="135">
        <v>0.92</v>
      </c>
      <c r="AE728" s="133">
        <v>0.997836668469443</v>
      </c>
      <c r="AF728" s="133">
        <v>0.993710691823899</v>
      </c>
      <c r="AG728" s="133">
        <v>0.999612703330751</v>
      </c>
      <c r="AH728" s="133">
        <v>0.998863782532264</v>
      </c>
      <c r="AI728" s="135">
        <v>0.92</v>
      </c>
      <c r="AJ728" s="133">
        <v>0.964384645825089</v>
      </c>
      <c r="AK728" s="133">
        <v>0.968924798011187</v>
      </c>
      <c r="AL728" s="133">
        <v>0.980958857531452</v>
      </c>
      <c r="AM728" s="133">
        <v>0.979091177993049</v>
      </c>
      <c r="AN728" s="132">
        <v>0.99</v>
      </c>
      <c r="AO728" s="137">
        <v>1</v>
      </c>
      <c r="AP728" s="137">
        <v>1</v>
      </c>
      <c r="AQ728" s="137">
        <v>1</v>
      </c>
      <c r="AR728" s="137">
        <v>1</v>
      </c>
      <c r="AS728" s="158">
        <v>0.0810595228934205</v>
      </c>
      <c r="AT728" s="141">
        <v>0.222222222222222</v>
      </c>
      <c r="AU728" s="141">
        <v>0</v>
      </c>
      <c r="AV728" s="141">
        <v>0</v>
      </c>
      <c r="AW728" s="141">
        <v>0.0434782608695652</v>
      </c>
      <c r="AX728" s="95"/>
      <c r="AY728" s="93"/>
    </row>
    <row r="729" ht="14.5" spans="1:51">
      <c r="A729" s="91"/>
      <c r="B729" s="95"/>
      <c r="C729" s="152" t="s">
        <v>668</v>
      </c>
      <c r="D729" s="153" t="s">
        <v>25</v>
      </c>
      <c r="E729" s="130" t="s">
        <v>669</v>
      </c>
      <c r="F729" s="179" t="s">
        <v>756</v>
      </c>
      <c r="G729" s="179" t="s">
        <v>756</v>
      </c>
      <c r="H729" s="179" t="s">
        <v>756</v>
      </c>
      <c r="I729" s="179" t="s">
        <v>756</v>
      </c>
      <c r="J729" s="132">
        <v>0.9</v>
      </c>
      <c r="K729" s="133">
        <v>0.972602739726027</v>
      </c>
      <c r="L729" s="133">
        <v>0.958904109589041</v>
      </c>
      <c r="M729" s="134">
        <v>0.986842105263158</v>
      </c>
      <c r="N729" s="133">
        <v>0.972712680577849</v>
      </c>
      <c r="O729" s="135">
        <v>0.9</v>
      </c>
      <c r="P729" s="133">
        <v>0.981526861451461</v>
      </c>
      <c r="Q729" s="133">
        <v>0.995743287491814</v>
      </c>
      <c r="R729" s="133">
        <v>0.995952129531855</v>
      </c>
      <c r="S729" s="133">
        <v>0.992762607767942</v>
      </c>
      <c r="T729" s="135">
        <v>0.9</v>
      </c>
      <c r="U729" s="133">
        <v>0.934213006597549</v>
      </c>
      <c r="V729" s="133">
        <v>0.935003274394237</v>
      </c>
      <c r="W729" s="133">
        <v>0.956177402323126</v>
      </c>
      <c r="X729" s="133">
        <v>0.94752169775958</v>
      </c>
      <c r="Y729" s="135">
        <v>0.92</v>
      </c>
      <c r="Z729" s="135">
        <v>0.921888412017167</v>
      </c>
      <c r="AA729" s="135">
        <v>0.946393762183236</v>
      </c>
      <c r="AB729" s="135">
        <v>0.959735245449531</v>
      </c>
      <c r="AC729" s="135">
        <v>0.95587252061511</v>
      </c>
      <c r="AD729" s="135">
        <v>0.92</v>
      </c>
      <c r="AE729" s="133">
        <v>0.999369085173502</v>
      </c>
      <c r="AF729" s="133">
        <v>0.99609375</v>
      </c>
      <c r="AG729" s="133">
        <v>0.999852333136444</v>
      </c>
      <c r="AH729" s="133">
        <v>0.998540073328135</v>
      </c>
      <c r="AI729" s="135">
        <v>0.92</v>
      </c>
      <c r="AJ729" s="133">
        <v>0.955802812548292</v>
      </c>
      <c r="AK729" s="133">
        <v>0.962758789660664</v>
      </c>
      <c r="AL729" s="133">
        <v>0.976927180581488</v>
      </c>
      <c r="AM729" s="133">
        <v>0.973386854849078</v>
      </c>
      <c r="AN729" s="132">
        <v>0.99</v>
      </c>
      <c r="AO729" s="137">
        <v>1</v>
      </c>
      <c r="AP729" s="137">
        <v>1</v>
      </c>
      <c r="AQ729" s="137">
        <v>1</v>
      </c>
      <c r="AR729" s="137">
        <v>1</v>
      </c>
      <c r="AS729" s="158">
        <v>0.0810595228934205</v>
      </c>
      <c r="AT729" s="141">
        <v>0.0952380952380952</v>
      </c>
      <c r="AU729" s="141">
        <v>0.0769230769230769</v>
      </c>
      <c r="AV729" s="141">
        <v>0.027027027027027</v>
      </c>
      <c r="AW729" s="141">
        <v>0.0335570469798658</v>
      </c>
      <c r="AX729" s="95"/>
      <c r="AY729" s="93"/>
    </row>
    <row r="730" ht="14.5" spans="1:51">
      <c r="A730" s="91"/>
      <c r="B730" s="95"/>
      <c r="C730" s="152" t="s">
        <v>668</v>
      </c>
      <c r="D730" s="153" t="s">
        <v>25</v>
      </c>
      <c r="E730" s="130" t="s">
        <v>669</v>
      </c>
      <c r="F730" s="179" t="s">
        <v>757</v>
      </c>
      <c r="G730" s="179" t="s">
        <v>757</v>
      </c>
      <c r="H730" s="179" t="s">
        <v>757</v>
      </c>
      <c r="I730" s="179" t="s">
        <v>757</v>
      </c>
      <c r="J730" s="132">
        <v>0.9</v>
      </c>
      <c r="K730" s="133">
        <v>0.945945945945946</v>
      </c>
      <c r="L730" s="133">
        <v>0.921052631578947</v>
      </c>
      <c r="M730" s="134">
        <v>0.926829268292683</v>
      </c>
      <c r="N730" s="133">
        <v>0.959770114942529</v>
      </c>
      <c r="O730" s="135">
        <v>0.9</v>
      </c>
      <c r="P730" s="133">
        <v>0.987983978638184</v>
      </c>
      <c r="Q730" s="133">
        <v>0.992336077206926</v>
      </c>
      <c r="R730" s="133">
        <v>0.983131103876887</v>
      </c>
      <c r="S730" s="133">
        <v>0.986432728220273</v>
      </c>
      <c r="T730" s="135">
        <v>0.9</v>
      </c>
      <c r="U730" s="133">
        <v>0.950600801068091</v>
      </c>
      <c r="V730" s="133">
        <v>0.955719557195572</v>
      </c>
      <c r="W730" s="133">
        <v>0.956200059189109</v>
      </c>
      <c r="X730" s="133">
        <v>0.958134282984452</v>
      </c>
      <c r="Y730" s="135">
        <v>0.92</v>
      </c>
      <c r="Z730" s="135">
        <v>0.948844884488449</v>
      </c>
      <c r="AA730" s="135">
        <v>0.963394342762063</v>
      </c>
      <c r="AB730" s="135">
        <v>0.969378827646544</v>
      </c>
      <c r="AC730" s="135">
        <v>0.964860091103467</v>
      </c>
      <c r="AD730" s="135">
        <v>0.92</v>
      </c>
      <c r="AE730" s="133">
        <v>0.998975409836066</v>
      </c>
      <c r="AF730" s="133">
        <v>0.997977755308392</v>
      </c>
      <c r="AG730" s="133">
        <v>0.992680695333943</v>
      </c>
      <c r="AH730" s="133">
        <v>0.998303126579536</v>
      </c>
      <c r="AI730" s="135">
        <v>0.92</v>
      </c>
      <c r="AJ730" s="133">
        <v>0.975846751804553</v>
      </c>
      <c r="AK730" s="133">
        <v>0.97989417989418</v>
      </c>
      <c r="AL730" s="133">
        <v>0.984741264927023</v>
      </c>
      <c r="AM730" s="133">
        <v>0.982892257893206</v>
      </c>
      <c r="AN730" s="132">
        <v>0.99</v>
      </c>
      <c r="AO730" s="137">
        <v>1</v>
      </c>
      <c r="AP730" s="137">
        <v>1</v>
      </c>
      <c r="AQ730" s="137">
        <v>1</v>
      </c>
      <c r="AR730" s="137">
        <v>1</v>
      </c>
      <c r="AS730" s="158">
        <v>0.0810595228934205</v>
      </c>
      <c r="AT730" s="141">
        <v>0</v>
      </c>
      <c r="AU730" s="141">
        <v>0</v>
      </c>
      <c r="AV730" s="141">
        <v>0</v>
      </c>
      <c r="AW730" s="141">
        <v>0.0212121212121212</v>
      </c>
      <c r="AX730" s="95"/>
      <c r="AY730" s="93"/>
    </row>
    <row r="731" ht="14.5" spans="1:51">
      <c r="A731" s="91"/>
      <c r="B731" s="95"/>
      <c r="C731" s="152" t="s">
        <v>668</v>
      </c>
      <c r="D731" s="153" t="s">
        <v>25</v>
      </c>
      <c r="E731" s="130" t="s">
        <v>669</v>
      </c>
      <c r="F731" s="179" t="s">
        <v>758</v>
      </c>
      <c r="G731" s="179" t="s">
        <v>758</v>
      </c>
      <c r="H731" s="179" t="s">
        <v>758</v>
      </c>
      <c r="I731" s="179" t="s">
        <v>758</v>
      </c>
      <c r="J731" s="132">
        <v>0.9</v>
      </c>
      <c r="K731" s="133">
        <v>0.893617021276596</v>
      </c>
      <c r="L731" s="133">
        <v>0.883720930232558</v>
      </c>
      <c r="M731" s="134">
        <v>0.862745098039216</v>
      </c>
      <c r="N731" s="133">
        <v>0.920096852300242</v>
      </c>
      <c r="O731" s="135">
        <v>0.9</v>
      </c>
      <c r="P731" s="133">
        <v>0.973981603153745</v>
      </c>
      <c r="Q731" s="133">
        <v>0.955888938647559</v>
      </c>
      <c r="R731" s="133">
        <v>0.981079007926361</v>
      </c>
      <c r="S731" s="133">
        <v>0.97132908371009</v>
      </c>
      <c r="T731" s="135">
        <v>0.9</v>
      </c>
      <c r="U731" s="133">
        <v>0.913009198423127</v>
      </c>
      <c r="V731" s="133">
        <v>0.917375727720555</v>
      </c>
      <c r="W731" s="133">
        <v>0.939145998465866</v>
      </c>
      <c r="X731" s="133">
        <v>0.930934261885373</v>
      </c>
      <c r="Y731" s="135">
        <v>0.92</v>
      </c>
      <c r="Z731" s="135">
        <v>0.916876574307305</v>
      </c>
      <c r="AA731" s="135">
        <v>0.911065852002716</v>
      </c>
      <c r="AB731" s="135">
        <v>0.948453608247423</v>
      </c>
      <c r="AC731" s="135">
        <v>0.941949744067008</v>
      </c>
      <c r="AD731" s="135">
        <v>0.92</v>
      </c>
      <c r="AE731" s="133">
        <v>0.999397832195905</v>
      </c>
      <c r="AF731" s="133">
        <v>0.980616302186879</v>
      </c>
      <c r="AG731" s="133">
        <v>0.993381379614649</v>
      </c>
      <c r="AH731" s="133">
        <v>0.98730022241147</v>
      </c>
      <c r="AI731" s="135">
        <v>0.92</v>
      </c>
      <c r="AJ731" s="133">
        <v>0.947402738535101</v>
      </c>
      <c r="AK731" s="133">
        <v>0.943939393939394</v>
      </c>
      <c r="AL731" s="133">
        <v>0.968317207361032</v>
      </c>
      <c r="AM731" s="133">
        <v>0.964068586031367</v>
      </c>
      <c r="AN731" s="132">
        <v>0.99</v>
      </c>
      <c r="AO731" s="137">
        <v>1</v>
      </c>
      <c r="AP731" s="137">
        <v>1</v>
      </c>
      <c r="AQ731" s="137">
        <v>1</v>
      </c>
      <c r="AR731" s="137">
        <v>1</v>
      </c>
      <c r="AS731" s="158">
        <v>0.0810595228934205</v>
      </c>
      <c r="AT731" s="141">
        <v>0.157894736842105</v>
      </c>
      <c r="AU731" s="141">
        <v>0</v>
      </c>
      <c r="AV731" s="141">
        <v>0</v>
      </c>
      <c r="AW731" s="141">
        <v>0.0495356037151703</v>
      </c>
      <c r="AX731" s="95"/>
      <c r="AY731" s="93"/>
    </row>
    <row r="732" ht="14.5" spans="1:51">
      <c r="A732" s="91"/>
      <c r="B732" s="95"/>
      <c r="C732" s="152" t="s">
        <v>668</v>
      </c>
      <c r="D732" s="153" t="s">
        <v>25</v>
      </c>
      <c r="E732" s="130" t="s">
        <v>669</v>
      </c>
      <c r="F732" s="179" t="s">
        <v>759</v>
      </c>
      <c r="G732" s="179" t="s">
        <v>759</v>
      </c>
      <c r="H732" s="179" t="s">
        <v>759</v>
      </c>
      <c r="I732" s="179" t="s">
        <v>759</v>
      </c>
      <c r="J732" s="132">
        <v>0.9</v>
      </c>
      <c r="K732" s="133">
        <v>0.733333333333333</v>
      </c>
      <c r="L732" s="133">
        <v>0.944444444444444</v>
      </c>
      <c r="M732" s="134">
        <v>0.888888888888889</v>
      </c>
      <c r="N732" s="133">
        <v>0.914754098360656</v>
      </c>
      <c r="O732" s="135">
        <v>0.9</v>
      </c>
      <c r="P732" s="133">
        <v>0.900187441424555</v>
      </c>
      <c r="Q732" s="133">
        <v>0.966352624495289</v>
      </c>
      <c r="R732" s="133">
        <v>0.944131455399061</v>
      </c>
      <c r="S732" s="133">
        <v>0.937597993101286</v>
      </c>
      <c r="T732" s="135">
        <v>0.9</v>
      </c>
      <c r="U732" s="133">
        <v>0.890346766635426</v>
      </c>
      <c r="V732" s="133">
        <v>0.911170928667564</v>
      </c>
      <c r="W732" s="133">
        <v>0.898591549295775</v>
      </c>
      <c r="X732" s="133">
        <v>0.917357963453918</v>
      </c>
      <c r="Y732" s="135">
        <v>0.92</v>
      </c>
      <c r="Z732" s="135">
        <v>0.934362934362934</v>
      </c>
      <c r="AA732" s="135">
        <v>0.940047961630695</v>
      </c>
      <c r="AB732" s="135">
        <v>0.91304347826087</v>
      </c>
      <c r="AC732" s="135">
        <v>0.939943832361201</v>
      </c>
      <c r="AD732" s="135">
        <v>0.92</v>
      </c>
      <c r="AE732" s="133">
        <v>0.998210023866348</v>
      </c>
      <c r="AF732" s="133">
        <v>0.99634329963433</v>
      </c>
      <c r="AG732" s="133">
        <v>0.999891481280521</v>
      </c>
      <c r="AH732" s="133">
        <v>0.958737415598059</v>
      </c>
      <c r="AI732" s="135">
        <v>0.92</v>
      </c>
      <c r="AJ732" s="133">
        <v>0.952506596306069</v>
      </c>
      <c r="AK732" s="133">
        <v>0.959516813581456</v>
      </c>
      <c r="AL732" s="133">
        <v>0.950802512212142</v>
      </c>
      <c r="AM732" s="133">
        <v>0.963631537032121</v>
      </c>
      <c r="AN732" s="132">
        <v>0.99</v>
      </c>
      <c r="AO732" s="137">
        <v>1</v>
      </c>
      <c r="AP732" s="137">
        <v>1</v>
      </c>
      <c r="AQ732" s="137">
        <v>1</v>
      </c>
      <c r="AR732" s="137">
        <v>1</v>
      </c>
      <c r="AS732" s="158">
        <v>0.0810595228934205</v>
      </c>
      <c r="AT732" s="141">
        <v>0</v>
      </c>
      <c r="AU732" s="141">
        <v>0</v>
      </c>
      <c r="AV732" s="141">
        <v>0</v>
      </c>
      <c r="AW732" s="141">
        <v>0.0230769230769231</v>
      </c>
      <c r="AX732" s="95"/>
      <c r="AY732" s="93"/>
    </row>
    <row r="733" ht="14.5" spans="1:51">
      <c r="A733" s="91"/>
      <c r="B733" s="95"/>
      <c r="C733" s="152" t="s">
        <v>668</v>
      </c>
      <c r="D733" s="153" t="s">
        <v>25</v>
      </c>
      <c r="E733" s="130" t="s">
        <v>669</v>
      </c>
      <c r="F733" s="179" t="s">
        <v>760</v>
      </c>
      <c r="G733" s="179" t="s">
        <v>760</v>
      </c>
      <c r="H733" s="179" t="s">
        <v>760</v>
      </c>
      <c r="I733" s="179" t="s">
        <v>760</v>
      </c>
      <c r="J733" s="132">
        <v>0.9</v>
      </c>
      <c r="K733" s="133">
        <v>0.928571428571429</v>
      </c>
      <c r="L733" s="133">
        <v>0.961538461538462</v>
      </c>
      <c r="M733" s="134">
        <v>0.967741935483871</v>
      </c>
      <c r="N733" s="133">
        <v>0.975359342915811</v>
      </c>
      <c r="O733" s="135">
        <v>0.9</v>
      </c>
      <c r="P733" s="133">
        <v>0.98037425832953</v>
      </c>
      <c r="Q733" s="133">
        <v>0.970611596505163</v>
      </c>
      <c r="R733" s="133">
        <v>0.987410071942446</v>
      </c>
      <c r="S733" s="133">
        <v>0.986406500802568</v>
      </c>
      <c r="T733" s="135">
        <v>0.9</v>
      </c>
      <c r="U733" s="133">
        <v>0.958010041077134</v>
      </c>
      <c r="V733" s="133">
        <v>0.940428911834789</v>
      </c>
      <c r="W733" s="133">
        <v>0.950089928057554</v>
      </c>
      <c r="X733" s="133">
        <v>0.950090288924559</v>
      </c>
      <c r="Y733" s="135">
        <v>0.92</v>
      </c>
      <c r="Z733" s="135">
        <v>0.961206896551724</v>
      </c>
      <c r="AA733" s="135">
        <v>0.94361334867664</v>
      </c>
      <c r="AB733" s="135">
        <v>0.978453738910013</v>
      </c>
      <c r="AC733" s="135">
        <v>0.969960908030999</v>
      </c>
      <c r="AD733" s="135">
        <v>0.92</v>
      </c>
      <c r="AE733" s="133">
        <v>0.997041420118343</v>
      </c>
      <c r="AF733" s="133">
        <v>1</v>
      </c>
      <c r="AG733" s="133">
        <v>0.996497373029772</v>
      </c>
      <c r="AH733" s="133">
        <v>0.99741361473205</v>
      </c>
      <c r="AI733" s="135">
        <v>0.92</v>
      </c>
      <c r="AJ733" s="133">
        <v>0.977024482109228</v>
      </c>
      <c r="AK733" s="133">
        <v>0.972558276777811</v>
      </c>
      <c r="AL733" s="133">
        <v>0.986396814863968</v>
      </c>
      <c r="AM733" s="133">
        <v>0.982520884972</v>
      </c>
      <c r="AN733" s="132">
        <v>0.99</v>
      </c>
      <c r="AO733" s="137">
        <v>1</v>
      </c>
      <c r="AP733" s="137">
        <v>1</v>
      </c>
      <c r="AQ733" s="137">
        <v>1</v>
      </c>
      <c r="AR733" s="137">
        <v>1</v>
      </c>
      <c r="AS733" s="158">
        <v>0.0810595228934205</v>
      </c>
      <c r="AT733" s="141">
        <v>0</v>
      </c>
      <c r="AU733" s="141">
        <v>0</v>
      </c>
      <c r="AV733" s="141">
        <v>0</v>
      </c>
      <c r="AW733" s="141">
        <v>0.0355029585798817</v>
      </c>
      <c r="AX733" s="95"/>
      <c r="AY733" s="93"/>
    </row>
    <row r="734" ht="14.5" spans="1:51">
      <c r="A734" s="91"/>
      <c r="B734" s="95"/>
      <c r="C734" s="152" t="s">
        <v>668</v>
      </c>
      <c r="D734" s="153" t="s">
        <v>25</v>
      </c>
      <c r="E734" s="130" t="s">
        <v>669</v>
      </c>
      <c r="F734" s="179" t="s">
        <v>761</v>
      </c>
      <c r="G734" s="179" t="s">
        <v>761</v>
      </c>
      <c r="H734" s="179" t="s">
        <v>761</v>
      </c>
      <c r="I734" s="179" t="s">
        <v>761</v>
      </c>
      <c r="J734" s="132">
        <v>0.9</v>
      </c>
      <c r="K734" s="133">
        <v>0.894736842105263</v>
      </c>
      <c r="L734" s="133">
        <v>0.947368421052632</v>
      </c>
      <c r="M734" s="134">
        <v>0.921052631578947</v>
      </c>
      <c r="N734" s="133">
        <v>0.953172205438066</v>
      </c>
      <c r="O734" s="135">
        <v>0.9</v>
      </c>
      <c r="P734" s="133">
        <v>0.979833101529903</v>
      </c>
      <c r="Q734" s="133">
        <v>0.946985761890336</v>
      </c>
      <c r="R734" s="133">
        <v>0.974275480299577</v>
      </c>
      <c r="S734" s="133">
        <v>0.974323300987972</v>
      </c>
      <c r="T734" s="135">
        <v>0.9</v>
      </c>
      <c r="U734" s="133">
        <v>0.930806675938804</v>
      </c>
      <c r="V734" s="133">
        <v>0.929415328688276</v>
      </c>
      <c r="W734" s="133">
        <v>0.928687723868447</v>
      </c>
      <c r="X734" s="133">
        <v>0.930753922829016</v>
      </c>
      <c r="Y734" s="135">
        <v>0.92</v>
      </c>
      <c r="Z734" s="135">
        <v>0.930340557275542</v>
      </c>
      <c r="AA734" s="135">
        <v>0.938061041292639</v>
      </c>
      <c r="AB734" s="135">
        <v>0.935656836461126</v>
      </c>
      <c r="AC734" s="135">
        <v>0.950799864675463</v>
      </c>
      <c r="AD734" s="135">
        <v>0.92</v>
      </c>
      <c r="AE734" s="133">
        <v>0.998348472336912</v>
      </c>
      <c r="AF734" s="133">
        <v>0.997311827956989</v>
      </c>
      <c r="AG734" s="133">
        <v>0.998009289980093</v>
      </c>
      <c r="AH734" s="133">
        <v>0.999006616310236</v>
      </c>
      <c r="AI734" s="135">
        <v>0.92</v>
      </c>
      <c r="AJ734" s="133">
        <v>0.963677639046538</v>
      </c>
      <c r="AK734" s="133">
        <v>0.965126811594203</v>
      </c>
      <c r="AL734" s="133">
        <v>0.96493320610687</v>
      </c>
      <c r="AM734" s="133">
        <v>0.970175053857764</v>
      </c>
      <c r="AN734" s="132">
        <v>0.99</v>
      </c>
      <c r="AO734" s="137">
        <v>1</v>
      </c>
      <c r="AP734" s="137">
        <v>1</v>
      </c>
      <c r="AQ734" s="137">
        <v>1</v>
      </c>
      <c r="AR734" s="137">
        <v>1</v>
      </c>
      <c r="AS734" s="158">
        <v>0.0810595228934205</v>
      </c>
      <c r="AT734" s="141">
        <v>0.05</v>
      </c>
      <c r="AU734" s="141">
        <v>0</v>
      </c>
      <c r="AV734" s="141">
        <v>0.037037037037037</v>
      </c>
      <c r="AW734" s="141">
        <v>0.0439330543933054</v>
      </c>
      <c r="AX734" s="95"/>
      <c r="AY734" s="93"/>
    </row>
    <row r="735" ht="14.5" spans="1:51">
      <c r="A735" s="91"/>
      <c r="B735" s="95"/>
      <c r="C735" s="152" t="s">
        <v>668</v>
      </c>
      <c r="D735" s="153" t="s">
        <v>25</v>
      </c>
      <c r="E735" s="130" t="s">
        <v>669</v>
      </c>
      <c r="F735" s="179" t="s">
        <v>762</v>
      </c>
      <c r="G735" s="179" t="s">
        <v>762</v>
      </c>
      <c r="H735" s="179" t="s">
        <v>762</v>
      </c>
      <c r="I735" s="179" t="s">
        <v>762</v>
      </c>
      <c r="J735" s="132">
        <v>0.9</v>
      </c>
      <c r="K735" s="133">
        <v>0.878787878787879</v>
      </c>
      <c r="L735" s="133">
        <v>1</v>
      </c>
      <c r="M735" s="134">
        <v>0.861111111111111</v>
      </c>
      <c r="N735" s="133">
        <v>0.913539967373573</v>
      </c>
      <c r="O735" s="135">
        <v>0.9</v>
      </c>
      <c r="P735" s="133">
        <v>0.944488501189532</v>
      </c>
      <c r="Q735" s="133">
        <v>0.986643835616438</v>
      </c>
      <c r="R735" s="133">
        <v>0.979560354801388</v>
      </c>
      <c r="S735" s="133">
        <v>0.969226260257913</v>
      </c>
      <c r="T735" s="135">
        <v>0.9</v>
      </c>
      <c r="U735" s="133">
        <v>0.951229183187946</v>
      </c>
      <c r="V735" s="133">
        <v>0.942808219178082</v>
      </c>
      <c r="W735" s="133">
        <v>0.956035480138835</v>
      </c>
      <c r="X735" s="133">
        <v>0.954823312677943</v>
      </c>
      <c r="Y735" s="135">
        <v>0.92</v>
      </c>
      <c r="Z735" s="135">
        <v>0.909090909090909</v>
      </c>
      <c r="AA735" s="135">
        <v>0.953076120959333</v>
      </c>
      <c r="AB735" s="135">
        <v>0.953703703703704</v>
      </c>
      <c r="AC735" s="135">
        <v>0.954421922772053</v>
      </c>
      <c r="AD735" s="135">
        <v>0.92</v>
      </c>
      <c r="AE735" s="133">
        <v>1</v>
      </c>
      <c r="AF735" s="133">
        <v>0.99725902238465</v>
      </c>
      <c r="AG735" s="133">
        <v>0.998925886143931</v>
      </c>
      <c r="AH735" s="133">
        <v>0.999200944115261</v>
      </c>
      <c r="AI735" s="135">
        <v>0.92</v>
      </c>
      <c r="AJ735" s="133">
        <v>0.96248766041461</v>
      </c>
      <c r="AK735" s="133">
        <v>0.975257731958763</v>
      </c>
      <c r="AL735" s="133">
        <v>0.976437587657784</v>
      </c>
      <c r="AM735" s="133">
        <v>0.977630412859457</v>
      </c>
      <c r="AN735" s="132">
        <v>0.99</v>
      </c>
      <c r="AO735" s="137">
        <v>1</v>
      </c>
      <c r="AP735" s="137">
        <v>1</v>
      </c>
      <c r="AQ735" s="137">
        <v>1</v>
      </c>
      <c r="AR735" s="137">
        <v>1</v>
      </c>
      <c r="AS735" s="158">
        <v>0.0810595228934205</v>
      </c>
      <c r="AT735" s="141">
        <v>0</v>
      </c>
      <c r="AU735" s="141">
        <v>0</v>
      </c>
      <c r="AV735" s="141">
        <v>0</v>
      </c>
      <c r="AW735" s="141">
        <v>0.0235690235690236</v>
      </c>
      <c r="AX735" s="95"/>
      <c r="AY735" s="93"/>
    </row>
    <row r="736" ht="14.5" spans="1:51">
      <c r="A736" s="91"/>
      <c r="B736" s="95"/>
      <c r="C736" s="152" t="s">
        <v>668</v>
      </c>
      <c r="D736" s="153" t="s">
        <v>25</v>
      </c>
      <c r="E736" s="130" t="s">
        <v>669</v>
      </c>
      <c r="F736" s="179" t="s">
        <v>763</v>
      </c>
      <c r="G736" s="179" t="s">
        <v>763</v>
      </c>
      <c r="H736" s="179" t="s">
        <v>763</v>
      </c>
      <c r="I736" s="179" t="s">
        <v>763</v>
      </c>
      <c r="J736" s="132">
        <v>0.9</v>
      </c>
      <c r="K736" s="133">
        <v>0.85</v>
      </c>
      <c r="L736" s="133">
        <v>0.833333333333333</v>
      </c>
      <c r="M736" s="134">
        <v>0.9</v>
      </c>
      <c r="N736" s="133">
        <v>0.920489296636086</v>
      </c>
      <c r="O736" s="135">
        <v>0.9</v>
      </c>
      <c r="P736" s="133">
        <v>0.95364238410596</v>
      </c>
      <c r="Q736" s="133">
        <v>0.97008547008547</v>
      </c>
      <c r="R736" s="133">
        <v>0.898373983739837</v>
      </c>
      <c r="S736" s="133">
        <v>0.950744601638124</v>
      </c>
      <c r="T736" s="135">
        <v>0.9</v>
      </c>
      <c r="U736" s="133">
        <v>0.945033112582781</v>
      </c>
      <c r="V736" s="133">
        <v>0.898046398046398</v>
      </c>
      <c r="W736" s="133">
        <v>0.932926829268293</v>
      </c>
      <c r="X736" s="133">
        <v>0.922822040208488</v>
      </c>
      <c r="Y736" s="135">
        <v>0.92</v>
      </c>
      <c r="Z736" s="135">
        <v>0.910112359550562</v>
      </c>
      <c r="AA736" s="135">
        <v>0.949579831932773</v>
      </c>
      <c r="AB736" s="135">
        <v>0.967117988394584</v>
      </c>
      <c r="AC736" s="135">
        <v>0.953036102203372</v>
      </c>
      <c r="AD736" s="135">
        <v>0.92</v>
      </c>
      <c r="AE736" s="133">
        <v>0.998683344305464</v>
      </c>
      <c r="AF736" s="133">
        <v>1</v>
      </c>
      <c r="AG736" s="133">
        <v>1</v>
      </c>
      <c r="AH736" s="133">
        <v>0.999095085618822</v>
      </c>
      <c r="AI736" s="135">
        <v>0.92</v>
      </c>
      <c r="AJ736" s="133">
        <v>0.965109735509285</v>
      </c>
      <c r="AK736" s="133">
        <v>0.966875559534467</v>
      </c>
      <c r="AL736" s="133">
        <v>0.981936778725539</v>
      </c>
      <c r="AM736" s="133">
        <v>0.97369573547928</v>
      </c>
      <c r="AN736" s="132">
        <v>0.99</v>
      </c>
      <c r="AO736" s="137">
        <v>1</v>
      </c>
      <c r="AP736" s="137">
        <v>1</v>
      </c>
      <c r="AQ736" s="137">
        <v>1</v>
      </c>
      <c r="AR736" s="137">
        <v>1</v>
      </c>
      <c r="AS736" s="158">
        <v>0.0810595228934205</v>
      </c>
      <c r="AT736" s="141">
        <v>0</v>
      </c>
      <c r="AU736" s="141">
        <v>0</v>
      </c>
      <c r="AV736" s="141">
        <v>0</v>
      </c>
      <c r="AW736" s="141">
        <v>0.0860215053763441</v>
      </c>
      <c r="AX736" s="95"/>
      <c r="AY736" s="93"/>
    </row>
    <row r="737" ht="14.5" spans="1:51">
      <c r="A737" s="91"/>
      <c r="B737" s="95"/>
      <c r="C737" s="152" t="s">
        <v>668</v>
      </c>
      <c r="D737" s="153" t="s">
        <v>25</v>
      </c>
      <c r="E737" s="130" t="s">
        <v>669</v>
      </c>
      <c r="F737" s="179" t="s">
        <v>764</v>
      </c>
      <c r="G737" s="179" t="s">
        <v>764</v>
      </c>
      <c r="H737" s="179" t="s">
        <v>764</v>
      </c>
      <c r="I737" s="179" t="s">
        <v>764</v>
      </c>
      <c r="J737" s="132">
        <v>0.9</v>
      </c>
      <c r="K737" s="133">
        <v>0.894736842105263</v>
      </c>
      <c r="L737" s="133">
        <v>1</v>
      </c>
      <c r="M737" s="134">
        <v>0.888888888888889</v>
      </c>
      <c r="N737" s="133">
        <v>0.952238805970149</v>
      </c>
      <c r="O737" s="135">
        <v>0.9</v>
      </c>
      <c r="P737" s="133">
        <v>0.944034440344403</v>
      </c>
      <c r="Q737" s="133">
        <v>0.964385086254869</v>
      </c>
      <c r="R737" s="133">
        <v>0.979746835443038</v>
      </c>
      <c r="S737" s="133">
        <v>0.980421992290526</v>
      </c>
      <c r="T737" s="135">
        <v>0.9</v>
      </c>
      <c r="U737" s="133">
        <v>0.936654366543665</v>
      </c>
      <c r="V737" s="133">
        <v>0.94268224819143</v>
      </c>
      <c r="W737" s="133">
        <v>0.94873417721519</v>
      </c>
      <c r="X737" s="133">
        <v>0.950869006559816</v>
      </c>
      <c r="Y737" s="135">
        <v>0.92</v>
      </c>
      <c r="Z737" s="135">
        <v>0.925714285714286</v>
      </c>
      <c r="AA737" s="135">
        <v>0.95873786407767</v>
      </c>
      <c r="AB737" s="135">
        <v>0.934343434343434</v>
      </c>
      <c r="AC737" s="135">
        <v>0.941084611016468</v>
      </c>
      <c r="AD737" s="135">
        <v>0.92</v>
      </c>
      <c r="AE737" s="133">
        <v>0.997881355932203</v>
      </c>
      <c r="AF737" s="133">
        <v>1</v>
      </c>
      <c r="AG737" s="133">
        <v>0.996774193548387</v>
      </c>
      <c r="AH737" s="133">
        <v>0.990149763795356</v>
      </c>
      <c r="AI737" s="135">
        <v>0.92</v>
      </c>
      <c r="AJ737" s="133">
        <v>0.957801221543587</v>
      </c>
      <c r="AK737" s="133">
        <v>0.968778280542986</v>
      </c>
      <c r="AL737" s="133">
        <v>0.968623481781376</v>
      </c>
      <c r="AM737" s="133">
        <v>0.970426804292619</v>
      </c>
      <c r="AN737" s="132">
        <v>0.99</v>
      </c>
      <c r="AO737" s="137">
        <v>1</v>
      </c>
      <c r="AP737" s="137">
        <v>1</v>
      </c>
      <c r="AQ737" s="137">
        <v>1</v>
      </c>
      <c r="AR737" s="137">
        <v>1</v>
      </c>
      <c r="AS737" s="158">
        <v>0.0810595228934205</v>
      </c>
      <c r="AT737" s="141">
        <v>0</v>
      </c>
      <c r="AU737" s="141">
        <v>0</v>
      </c>
      <c r="AV737" s="141">
        <v>0</v>
      </c>
      <c r="AW737" s="141">
        <v>0.040983606557377</v>
      </c>
      <c r="AX737" s="95"/>
      <c r="AY737" s="93"/>
    </row>
    <row r="738" ht="14.5" spans="1:51">
      <c r="A738" s="91"/>
      <c r="B738" s="95"/>
      <c r="C738" s="152" t="s">
        <v>668</v>
      </c>
      <c r="D738" s="153" t="s">
        <v>25</v>
      </c>
      <c r="E738" s="130" t="s">
        <v>669</v>
      </c>
      <c r="F738" s="179" t="s">
        <v>765</v>
      </c>
      <c r="G738" s="179" t="s">
        <v>765</v>
      </c>
      <c r="H738" s="179" t="s">
        <v>765</v>
      </c>
      <c r="I738" s="179" t="s">
        <v>765</v>
      </c>
      <c r="J738" s="132">
        <v>0.9</v>
      </c>
      <c r="K738" s="133">
        <v>0.916666666666667</v>
      </c>
      <c r="L738" s="133">
        <v>1</v>
      </c>
      <c r="M738" s="134">
        <v>0.972972972972973</v>
      </c>
      <c r="N738" s="133">
        <v>0.96843853820598</v>
      </c>
      <c r="O738" s="135">
        <v>0.9</v>
      </c>
      <c r="P738" s="133">
        <v>0.963276836158192</v>
      </c>
      <c r="Q738" s="133">
        <v>0.959619172685489</v>
      </c>
      <c r="R738" s="133">
        <v>0.965391621129326</v>
      </c>
      <c r="S738" s="133">
        <v>0.949560659199759</v>
      </c>
      <c r="T738" s="135">
        <v>0.9</v>
      </c>
      <c r="U738" s="133">
        <v>0.925494350282486</v>
      </c>
      <c r="V738" s="133">
        <v>0.937951411687459</v>
      </c>
      <c r="W738" s="133">
        <v>0.946083788706739</v>
      </c>
      <c r="X738" s="133">
        <v>0.926499981144172</v>
      </c>
      <c r="Y738" s="135">
        <v>0.92</v>
      </c>
      <c r="Z738" s="135">
        <v>0.796774193548387</v>
      </c>
      <c r="AA738" s="135">
        <v>0.922848664688427</v>
      </c>
      <c r="AB738" s="135">
        <v>0.897993311036789</v>
      </c>
      <c r="AC738" s="135">
        <v>0.900765928793873</v>
      </c>
      <c r="AD738" s="135">
        <v>0.92</v>
      </c>
      <c r="AE738" s="133">
        <v>1</v>
      </c>
      <c r="AF738" s="133">
        <v>0.952380952380952</v>
      </c>
      <c r="AG738" s="133">
        <v>1</v>
      </c>
      <c r="AH738" s="133">
        <v>0.98416625432954</v>
      </c>
      <c r="AI738" s="135">
        <v>0.92</v>
      </c>
      <c r="AJ738" s="133">
        <v>0.933481858688733</v>
      </c>
      <c r="AK738" s="133">
        <v>0.954032258064516</v>
      </c>
      <c r="AL738" s="133">
        <v>0.956638755980861</v>
      </c>
      <c r="AM738" s="133">
        <v>0.952944981824903</v>
      </c>
      <c r="AN738" s="132">
        <v>0.99</v>
      </c>
      <c r="AO738" s="137">
        <v>1</v>
      </c>
      <c r="AP738" s="137">
        <v>1</v>
      </c>
      <c r="AQ738" s="137">
        <v>1</v>
      </c>
      <c r="AR738" s="137">
        <v>1</v>
      </c>
      <c r="AS738" s="158">
        <v>0.0810595228934205</v>
      </c>
      <c r="AT738" s="141">
        <v>0</v>
      </c>
      <c r="AU738" s="141">
        <v>0.0714285714285714</v>
      </c>
      <c r="AV738" s="141">
        <v>0</v>
      </c>
      <c r="AW738" s="141">
        <v>0.0468085106382979</v>
      </c>
      <c r="AX738" s="95"/>
      <c r="AY738" s="93"/>
    </row>
    <row r="739" ht="14.5" spans="1:51">
      <c r="A739" s="91"/>
      <c r="B739" s="95"/>
      <c r="C739" s="152" t="s">
        <v>668</v>
      </c>
      <c r="D739" s="153" t="s">
        <v>25</v>
      </c>
      <c r="E739" s="130" t="s">
        <v>669</v>
      </c>
      <c r="F739" s="179" t="s">
        <v>766</v>
      </c>
      <c r="G739" s="179" t="s">
        <v>766</v>
      </c>
      <c r="H739" s="179" t="s">
        <v>766</v>
      </c>
      <c r="I739" s="179" t="s">
        <v>766</v>
      </c>
      <c r="J739" s="132">
        <v>0.9</v>
      </c>
      <c r="K739" s="133">
        <v>0.949152542372881</v>
      </c>
      <c r="L739" s="133">
        <v>0.913793103448276</v>
      </c>
      <c r="M739" s="134">
        <v>0.898305084745763</v>
      </c>
      <c r="N739" s="133">
        <v>0.948969578017664</v>
      </c>
      <c r="O739" s="135">
        <v>0.9</v>
      </c>
      <c r="P739" s="133">
        <v>0.963138607458504</v>
      </c>
      <c r="Q739" s="133">
        <v>0.956750202101859</v>
      </c>
      <c r="R739" s="133">
        <v>0.970553312752315</v>
      </c>
      <c r="S739" s="133">
        <v>0.963362786054937</v>
      </c>
      <c r="T739" s="135">
        <v>0.9</v>
      </c>
      <c r="U739" s="133">
        <v>0.925630523819789</v>
      </c>
      <c r="V739" s="133">
        <v>0.916531932093775</v>
      </c>
      <c r="W739" s="133">
        <v>0.93635715981952</v>
      </c>
      <c r="X739" s="133">
        <v>0.928290633048665</v>
      </c>
      <c r="Y739" s="135">
        <v>0.92</v>
      </c>
      <c r="Z739" s="135">
        <v>0.849236641221374</v>
      </c>
      <c r="AA739" s="135">
        <v>0.915444348576359</v>
      </c>
      <c r="AB739" s="135">
        <v>0.899481865284974</v>
      </c>
      <c r="AC739" s="135">
        <v>0.913265580469968</v>
      </c>
      <c r="AD739" s="135">
        <v>0.92</v>
      </c>
      <c r="AE739" s="133">
        <v>0.983606557377049</v>
      </c>
      <c r="AF739" s="133">
        <v>0.991428571428571</v>
      </c>
      <c r="AG739" s="133">
        <v>0.997275204359673</v>
      </c>
      <c r="AH739" s="133">
        <v>0.991383812010444</v>
      </c>
      <c r="AI739" s="135">
        <v>0.92</v>
      </c>
      <c r="AJ739" s="133">
        <v>0.949254309509975</v>
      </c>
      <c r="AK739" s="133">
        <v>0.952692748403994</v>
      </c>
      <c r="AL739" s="133">
        <v>0.960401777090979</v>
      </c>
      <c r="AM739" s="133">
        <v>0.962511151428886</v>
      </c>
      <c r="AN739" s="132">
        <v>0.99</v>
      </c>
      <c r="AO739" s="137">
        <v>1</v>
      </c>
      <c r="AP739" s="137">
        <v>1</v>
      </c>
      <c r="AQ739" s="137">
        <v>1</v>
      </c>
      <c r="AR739" s="137">
        <v>1</v>
      </c>
      <c r="AS739" s="158">
        <v>0.0810595228934205</v>
      </c>
      <c r="AT739" s="141">
        <v>0.142857142857143</v>
      </c>
      <c r="AU739" s="141">
        <v>0.0454545454545455</v>
      </c>
      <c r="AV739" s="141">
        <v>0.181818181818182</v>
      </c>
      <c r="AW739" s="141">
        <v>0.0979020979020979</v>
      </c>
      <c r="AX739" s="95"/>
      <c r="AY739" s="93"/>
    </row>
    <row r="740" ht="14.5" spans="1:51">
      <c r="A740" s="91"/>
      <c r="B740" s="95"/>
      <c r="C740" s="152" t="s">
        <v>668</v>
      </c>
      <c r="D740" s="153" t="s">
        <v>25</v>
      </c>
      <c r="E740" s="130" t="s">
        <v>669</v>
      </c>
      <c r="F740" s="179" t="s">
        <v>767</v>
      </c>
      <c r="G740" s="179" t="s">
        <v>767</v>
      </c>
      <c r="H740" s="179" t="s">
        <v>767</v>
      </c>
      <c r="I740" s="179" t="s">
        <v>767</v>
      </c>
      <c r="J740" s="132">
        <v>0.9</v>
      </c>
      <c r="K740" s="133">
        <v>0.931034482758621</v>
      </c>
      <c r="L740" s="133">
        <v>1</v>
      </c>
      <c r="M740" s="134">
        <v>1</v>
      </c>
      <c r="N740" s="133">
        <v>0.98997995991984</v>
      </c>
      <c r="O740" s="135">
        <v>0.9</v>
      </c>
      <c r="P740" s="133">
        <v>0.973684210526316</v>
      </c>
      <c r="Q740" s="133">
        <v>0.96969696969697</v>
      </c>
      <c r="R740" s="133">
        <v>0.966358284272498</v>
      </c>
      <c r="S740" s="133">
        <v>0.973281695350406</v>
      </c>
      <c r="T740" s="135">
        <v>0.9</v>
      </c>
      <c r="U740" s="133">
        <v>0.942982456140351</v>
      </c>
      <c r="V740" s="133">
        <v>0.937859608745685</v>
      </c>
      <c r="W740" s="133">
        <v>0.94659377628259</v>
      </c>
      <c r="X740" s="133">
        <v>0.943560845064294</v>
      </c>
      <c r="Y740" s="135">
        <v>0.92</v>
      </c>
      <c r="Z740" s="135">
        <v>0.926686217008798</v>
      </c>
      <c r="AA740" s="135">
        <v>0.956600361663653</v>
      </c>
      <c r="AB740" s="135">
        <v>0.956600361663653</v>
      </c>
      <c r="AC740" s="135">
        <v>0.952614530310042</v>
      </c>
      <c r="AD740" s="135">
        <v>0.92</v>
      </c>
      <c r="AE740" s="133">
        <v>0.996850393700787</v>
      </c>
      <c r="AF740" s="133">
        <v>0.99811293366236</v>
      </c>
      <c r="AG740" s="133">
        <v>0.997974683544304</v>
      </c>
      <c r="AH740" s="133">
        <v>0.993158363282667</v>
      </c>
      <c r="AI740" s="135">
        <v>0.92</v>
      </c>
      <c r="AJ740" s="133">
        <v>0.965952965952966</v>
      </c>
      <c r="AK740" s="133">
        <v>0.972151898734177</v>
      </c>
      <c r="AL740" s="133">
        <v>0.973729102695326</v>
      </c>
      <c r="AM740" s="133">
        <v>0.976275604558184</v>
      </c>
      <c r="AN740" s="132">
        <v>0.99</v>
      </c>
      <c r="AO740" s="137">
        <v>1</v>
      </c>
      <c r="AP740" s="137">
        <v>1</v>
      </c>
      <c r="AQ740" s="137">
        <v>1</v>
      </c>
      <c r="AR740" s="137">
        <v>1</v>
      </c>
      <c r="AS740" s="158">
        <v>0.0810595228934205</v>
      </c>
      <c r="AT740" s="141">
        <v>0</v>
      </c>
      <c r="AU740" s="141">
        <v>0</v>
      </c>
      <c r="AV740" s="141">
        <v>0</v>
      </c>
      <c r="AW740" s="141">
        <v>0.0526315789473684</v>
      </c>
      <c r="AX740" s="95"/>
      <c r="AY740" s="93"/>
    </row>
    <row r="741" ht="14.5" spans="1:51">
      <c r="A741" s="91"/>
      <c r="B741" s="95"/>
      <c r="C741" s="152" t="s">
        <v>668</v>
      </c>
      <c r="D741" s="153" t="s">
        <v>25</v>
      </c>
      <c r="E741" s="130" t="s">
        <v>669</v>
      </c>
      <c r="F741" s="179" t="s">
        <v>768</v>
      </c>
      <c r="G741" s="179" t="s">
        <v>768</v>
      </c>
      <c r="H741" s="179" t="s">
        <v>768</v>
      </c>
      <c r="I741" s="179" t="s">
        <v>768</v>
      </c>
      <c r="J741" s="132">
        <v>0.9</v>
      </c>
      <c r="K741" s="133">
        <v>0.963636363636364</v>
      </c>
      <c r="L741" s="133">
        <v>0.907407407407407</v>
      </c>
      <c r="M741" s="134">
        <v>0.934426229508197</v>
      </c>
      <c r="N741" s="133">
        <v>0.9580078125</v>
      </c>
      <c r="O741" s="135">
        <v>0.9</v>
      </c>
      <c r="P741" s="133">
        <v>0.963331714424478</v>
      </c>
      <c r="Q741" s="133">
        <v>0.972515391380827</v>
      </c>
      <c r="R741" s="133">
        <v>0.979376127868007</v>
      </c>
      <c r="S741" s="133">
        <v>0.974629368752935</v>
      </c>
      <c r="T741" s="135">
        <v>0.9</v>
      </c>
      <c r="U741" s="133">
        <v>0.9273919378339</v>
      </c>
      <c r="V741" s="133">
        <v>0.953386103781882</v>
      </c>
      <c r="W741" s="133">
        <v>0.969837587006961</v>
      </c>
      <c r="X741" s="133">
        <v>0.957147648755618</v>
      </c>
      <c r="Y741" s="135">
        <v>0.92</v>
      </c>
      <c r="Z741" s="135">
        <v>0.801295896328294</v>
      </c>
      <c r="AA741" s="135">
        <v>0.872</v>
      </c>
      <c r="AB741" s="135">
        <v>0.937357630979499</v>
      </c>
      <c r="AC741" s="135">
        <v>0.917594921547491</v>
      </c>
      <c r="AD741" s="135">
        <v>0.92</v>
      </c>
      <c r="AE741" s="133">
        <v>0.959183673469388</v>
      </c>
      <c r="AF741" s="133">
        <v>0.981651376146789</v>
      </c>
      <c r="AG741" s="133">
        <v>0.981308411214953</v>
      </c>
      <c r="AH741" s="133">
        <v>0.964527700278996</v>
      </c>
      <c r="AI741" s="135">
        <v>0.92</v>
      </c>
      <c r="AJ741" s="133">
        <v>0.936708860759494</v>
      </c>
      <c r="AK741" s="133">
        <v>0.94990990990991</v>
      </c>
      <c r="AL741" s="133">
        <v>0.976455749421905</v>
      </c>
      <c r="AM741" s="133">
        <v>0.964288453741549</v>
      </c>
      <c r="AN741" s="132">
        <v>0.99</v>
      </c>
      <c r="AO741" s="137">
        <v>1</v>
      </c>
      <c r="AP741" s="137">
        <v>1</v>
      </c>
      <c r="AQ741" s="137">
        <v>1</v>
      </c>
      <c r="AR741" s="137">
        <v>1</v>
      </c>
      <c r="AS741" s="158">
        <v>0.0810595228934205</v>
      </c>
      <c r="AT741" s="141">
        <v>0.1875</v>
      </c>
      <c r="AU741" s="141">
        <v>0.0625</v>
      </c>
      <c r="AV741" s="141">
        <v>0.0833333333333333</v>
      </c>
      <c r="AW741" s="141">
        <v>0.0757575757575758</v>
      </c>
      <c r="AX741" s="95"/>
      <c r="AY741" s="93"/>
    </row>
    <row r="742" ht="14.5" spans="1:51">
      <c r="A742" s="91"/>
      <c r="B742" s="95"/>
      <c r="C742" s="152" t="s">
        <v>668</v>
      </c>
      <c r="D742" s="153" t="s">
        <v>25</v>
      </c>
      <c r="E742" s="130" t="s">
        <v>669</v>
      </c>
      <c r="F742" s="179" t="s">
        <v>769</v>
      </c>
      <c r="G742" s="179" t="s">
        <v>769</v>
      </c>
      <c r="H742" s="179" t="s">
        <v>769</v>
      </c>
      <c r="I742" s="179" t="s">
        <v>769</v>
      </c>
      <c r="J742" s="132">
        <v>0.9</v>
      </c>
      <c r="K742" s="133">
        <v>0.825</v>
      </c>
      <c r="L742" s="133">
        <v>0.921052631578947</v>
      </c>
      <c r="M742" s="134">
        <v>0.897435897435897</v>
      </c>
      <c r="N742" s="133">
        <v>0.939209726443769</v>
      </c>
      <c r="O742" s="135">
        <v>0.9</v>
      </c>
      <c r="P742" s="133">
        <v>0.989908854166667</v>
      </c>
      <c r="Q742" s="133">
        <v>0.986522911051213</v>
      </c>
      <c r="R742" s="133">
        <v>0.993076459963877</v>
      </c>
      <c r="S742" s="133">
        <v>0.985409836065574</v>
      </c>
      <c r="T742" s="135">
        <v>0.9</v>
      </c>
      <c r="U742" s="133">
        <v>0.9521484375</v>
      </c>
      <c r="V742" s="133">
        <v>0.94219826295298</v>
      </c>
      <c r="W742" s="133">
        <v>0.944310656231186</v>
      </c>
      <c r="X742" s="133">
        <v>0.941786885245902</v>
      </c>
      <c r="Y742" s="135">
        <v>0.92</v>
      </c>
      <c r="Z742" s="135">
        <v>0.939461883408072</v>
      </c>
      <c r="AA742" s="135">
        <v>0.91497975708502</v>
      </c>
      <c r="AB742" s="135">
        <v>0.951977401129944</v>
      </c>
      <c r="AC742" s="135">
        <v>0.931000132819764</v>
      </c>
      <c r="AD742" s="135">
        <v>0.92</v>
      </c>
      <c r="AE742" s="133">
        <v>0.997828918801563</v>
      </c>
      <c r="AF742" s="133">
        <v>0.997755051134946</v>
      </c>
      <c r="AG742" s="133">
        <v>0.997565833148927</v>
      </c>
      <c r="AH742" s="133">
        <v>0.996785464709993</v>
      </c>
      <c r="AI742" s="135">
        <v>0.92</v>
      </c>
      <c r="AJ742" s="133">
        <v>0.970153496304719</v>
      </c>
      <c r="AK742" s="133">
        <v>0.964959568733154</v>
      </c>
      <c r="AL742" s="133">
        <v>0.975470763131814</v>
      </c>
      <c r="AM742" s="133">
        <v>0.969310639416442</v>
      </c>
      <c r="AN742" s="132">
        <v>0.99</v>
      </c>
      <c r="AO742" s="137">
        <v>1</v>
      </c>
      <c r="AP742" s="137">
        <v>1</v>
      </c>
      <c r="AQ742" s="137">
        <v>1</v>
      </c>
      <c r="AR742" s="137">
        <v>1</v>
      </c>
      <c r="AS742" s="158">
        <v>0.0810595228934205</v>
      </c>
      <c r="AT742" s="141">
        <v>0</v>
      </c>
      <c r="AU742" s="141">
        <v>0.0625</v>
      </c>
      <c r="AV742" s="141">
        <v>0.142857142857143</v>
      </c>
      <c r="AW742" s="141">
        <v>0.069672131147541</v>
      </c>
      <c r="AX742" s="95"/>
      <c r="AY742" s="93"/>
    </row>
    <row r="743" ht="14.5" spans="1:51">
      <c r="A743" s="91"/>
      <c r="B743" s="95"/>
      <c r="C743" s="152" t="s">
        <v>668</v>
      </c>
      <c r="D743" s="153" t="s">
        <v>25</v>
      </c>
      <c r="E743" s="130" t="s">
        <v>669</v>
      </c>
      <c r="F743" s="179" t="s">
        <v>770</v>
      </c>
      <c r="G743" s="179" t="s">
        <v>770</v>
      </c>
      <c r="H743" s="179" t="s">
        <v>770</v>
      </c>
      <c r="I743" s="179" t="s">
        <v>770</v>
      </c>
      <c r="J743" s="132">
        <v>0.9</v>
      </c>
      <c r="K743" s="133">
        <v>0.870967741935484</v>
      </c>
      <c r="L743" s="133">
        <v>0.875</v>
      </c>
      <c r="M743" s="134">
        <v>0.888888888888889</v>
      </c>
      <c r="N743" s="133">
        <v>0.90893470790378</v>
      </c>
      <c r="O743" s="135">
        <v>0.9</v>
      </c>
      <c r="P743" s="133">
        <v>0.98721425803952</v>
      </c>
      <c r="Q743" s="133">
        <v>0.984869809992963</v>
      </c>
      <c r="R743" s="133">
        <v>0.977811782708493</v>
      </c>
      <c r="S743" s="133">
        <v>0.976467493575605</v>
      </c>
      <c r="T743" s="135">
        <v>0.9</v>
      </c>
      <c r="U743" s="133">
        <v>0.901201084850833</v>
      </c>
      <c r="V743" s="133">
        <v>0.924349049964813</v>
      </c>
      <c r="W743" s="133">
        <v>0.918515684774292</v>
      </c>
      <c r="X743" s="133">
        <v>0.918395014265191</v>
      </c>
      <c r="Y743" s="135">
        <v>0.92</v>
      </c>
      <c r="Z743" s="135">
        <v>0.893333333333333</v>
      </c>
      <c r="AA743" s="135">
        <v>0.930513595166163</v>
      </c>
      <c r="AB743" s="135">
        <v>0.943103448275862</v>
      </c>
      <c r="AC743" s="135">
        <v>0.93299904901876</v>
      </c>
      <c r="AD743" s="135">
        <v>0.92</v>
      </c>
      <c r="AE743" s="133">
        <v>0.9875</v>
      </c>
      <c r="AF743" s="133">
        <v>0.999039231385108</v>
      </c>
      <c r="AG743" s="133">
        <v>0.998150327896418</v>
      </c>
      <c r="AH743" s="133">
        <v>0.997323387450636</v>
      </c>
      <c r="AI743" s="135">
        <v>0.92</v>
      </c>
      <c r="AJ743" s="133">
        <v>0.952463566967384</v>
      </c>
      <c r="AK743" s="133">
        <v>0.960616438356164</v>
      </c>
      <c r="AL743" s="133">
        <v>0.963380281690141</v>
      </c>
      <c r="AM743" s="133">
        <v>0.96354994673441</v>
      </c>
      <c r="AN743" s="132">
        <v>0.99</v>
      </c>
      <c r="AO743" s="137">
        <v>1</v>
      </c>
      <c r="AP743" s="137">
        <v>1</v>
      </c>
      <c r="AQ743" s="137">
        <v>1</v>
      </c>
      <c r="AR743" s="137">
        <v>1</v>
      </c>
      <c r="AS743" s="158">
        <v>0.0810595228934205</v>
      </c>
      <c r="AT743" s="141">
        <v>0</v>
      </c>
      <c r="AU743" s="141">
        <v>0</v>
      </c>
      <c r="AV743" s="141">
        <v>0.111111111111111</v>
      </c>
      <c r="AW743" s="141">
        <v>0.072463768115942</v>
      </c>
      <c r="AX743" s="95"/>
      <c r="AY743" s="93"/>
    </row>
    <row r="744" ht="14.5" spans="1:51">
      <c r="A744" s="91"/>
      <c r="B744" s="95"/>
      <c r="C744" s="152" t="s">
        <v>668</v>
      </c>
      <c r="D744" s="153" t="s">
        <v>25</v>
      </c>
      <c r="E744" s="130" t="s">
        <v>669</v>
      </c>
      <c r="F744" s="179" t="s">
        <v>771</v>
      </c>
      <c r="G744" s="179" t="s">
        <v>771</v>
      </c>
      <c r="H744" s="179" t="s">
        <v>771</v>
      </c>
      <c r="I744" s="179" t="s">
        <v>771</v>
      </c>
      <c r="J744" s="132">
        <v>0.9</v>
      </c>
      <c r="K744" s="133">
        <v>0.952380952380952</v>
      </c>
      <c r="L744" s="133">
        <v>0.875</v>
      </c>
      <c r="M744" s="134">
        <v>0.951219512195122</v>
      </c>
      <c r="N744" s="133">
        <v>0.930232558139535</v>
      </c>
      <c r="O744" s="135">
        <v>0.9</v>
      </c>
      <c r="P744" s="133">
        <v>0.926909307875895</v>
      </c>
      <c r="Q744" s="133">
        <v>0.935930292157868</v>
      </c>
      <c r="R744" s="133">
        <v>0.972102291597476</v>
      </c>
      <c r="S744" s="133">
        <v>0.945970711510071</v>
      </c>
      <c r="T744" s="135">
        <v>0.9</v>
      </c>
      <c r="U744" s="133">
        <v>0.91527446300716</v>
      </c>
      <c r="V744" s="133">
        <v>0.913890312660174</v>
      </c>
      <c r="W744" s="133">
        <v>0.939554965127865</v>
      </c>
      <c r="X744" s="133">
        <v>0.917089477524563</v>
      </c>
      <c r="Y744" s="135">
        <v>0.92</v>
      </c>
      <c r="Z744" s="135">
        <v>0.767386091127098</v>
      </c>
      <c r="AA744" s="135">
        <v>0.769499417927823</v>
      </c>
      <c r="AB744" s="135">
        <v>0.857887874837027</v>
      </c>
      <c r="AC744" s="135">
        <v>0.831223031760628</v>
      </c>
      <c r="AD744" s="135">
        <v>0.92</v>
      </c>
      <c r="AE744" s="133">
        <v>0.989528795811518</v>
      </c>
      <c r="AF744" s="133">
        <v>0.993258426966292</v>
      </c>
      <c r="AG744" s="133">
        <v>0.990706319702602</v>
      </c>
      <c r="AH744" s="133">
        <v>0.986605981794538</v>
      </c>
      <c r="AI744" s="135">
        <v>0.92</v>
      </c>
      <c r="AJ744" s="133">
        <v>0.938179888564606</v>
      </c>
      <c r="AK744" s="133">
        <v>0.921024994749002</v>
      </c>
      <c r="AL744" s="133">
        <v>0.945781539275324</v>
      </c>
      <c r="AM744" s="133">
        <v>0.939792832610391</v>
      </c>
      <c r="AN744" s="132">
        <v>0.99</v>
      </c>
      <c r="AO744" s="137">
        <v>1</v>
      </c>
      <c r="AP744" s="137">
        <v>1</v>
      </c>
      <c r="AQ744" s="137">
        <v>1</v>
      </c>
      <c r="AR744" s="137">
        <v>1</v>
      </c>
      <c r="AS744" s="158">
        <v>0.0810595228934205</v>
      </c>
      <c r="AT744" s="141">
        <v>0.0714285714285714</v>
      </c>
      <c r="AU744" s="141">
        <v>0.2</v>
      </c>
      <c r="AV744" s="141">
        <v>0.0666666666666667</v>
      </c>
      <c r="AW744" s="141">
        <v>0.0346320346320346</v>
      </c>
      <c r="AX744" s="95"/>
      <c r="AY744" s="93"/>
    </row>
    <row r="745" ht="14.5" spans="1:51">
      <c r="A745" s="91"/>
      <c r="B745" s="95"/>
      <c r="C745" s="152" t="s">
        <v>668</v>
      </c>
      <c r="D745" s="153" t="s">
        <v>25</v>
      </c>
      <c r="E745" s="130" t="s">
        <v>669</v>
      </c>
      <c r="F745" s="179" t="s">
        <v>772</v>
      </c>
      <c r="G745" s="179" t="s">
        <v>772</v>
      </c>
      <c r="H745" s="179" t="s">
        <v>772</v>
      </c>
      <c r="I745" s="179" t="s">
        <v>772</v>
      </c>
      <c r="J745" s="132">
        <v>0.9</v>
      </c>
      <c r="K745" s="133">
        <v>0.96875</v>
      </c>
      <c r="L745" s="133">
        <v>0.928571428571429</v>
      </c>
      <c r="M745" s="134">
        <v>0.909090909090909</v>
      </c>
      <c r="N745" s="133">
        <v>0.958646616541353</v>
      </c>
      <c r="O745" s="135">
        <v>0.9</v>
      </c>
      <c r="P745" s="133">
        <v>0.975328947368421</v>
      </c>
      <c r="Q745" s="133">
        <v>0.973473684210526</v>
      </c>
      <c r="R745" s="133">
        <v>0.959619952494062</v>
      </c>
      <c r="S745" s="133">
        <v>0.967518497140158</v>
      </c>
      <c r="T745" s="135">
        <v>0.9</v>
      </c>
      <c r="U745" s="133">
        <v>0.914473684210526</v>
      </c>
      <c r="V745" s="133">
        <v>0.925894736842105</v>
      </c>
      <c r="W745" s="133">
        <v>0.927790973871734</v>
      </c>
      <c r="X745" s="133">
        <v>0.927008448339193</v>
      </c>
      <c r="Y745" s="135">
        <v>0.92</v>
      </c>
      <c r="Z745" s="135">
        <v>0.943734015345269</v>
      </c>
      <c r="AA745" s="135">
        <v>0.912140575079872</v>
      </c>
      <c r="AB745" s="135">
        <v>0.960526315789474</v>
      </c>
      <c r="AC745" s="135">
        <v>0.932747342600164</v>
      </c>
      <c r="AD745" s="135">
        <v>0.92</v>
      </c>
      <c r="AE745" s="133">
        <v>0.966794897752582</v>
      </c>
      <c r="AF745" s="133">
        <v>0.996530789245447</v>
      </c>
      <c r="AG745" s="133">
        <v>0.992145261654595</v>
      </c>
      <c r="AH745" s="133">
        <v>0.936250632867194</v>
      </c>
      <c r="AI745" s="135">
        <v>0.92</v>
      </c>
      <c r="AJ745" s="133">
        <v>0.957152974504249</v>
      </c>
      <c r="AK745" s="133">
        <v>0.955710955710956</v>
      </c>
      <c r="AL745" s="133">
        <v>0.973848987108656</v>
      </c>
      <c r="AM745" s="133">
        <v>0.963750573897074</v>
      </c>
      <c r="AN745" s="132">
        <v>0.99</v>
      </c>
      <c r="AO745" s="137">
        <v>1</v>
      </c>
      <c r="AP745" s="137">
        <v>1</v>
      </c>
      <c r="AQ745" s="137">
        <v>1</v>
      </c>
      <c r="AR745" s="137">
        <v>1</v>
      </c>
      <c r="AS745" s="158">
        <v>0.0810595228934205</v>
      </c>
      <c r="AT745" s="141">
        <v>0</v>
      </c>
      <c r="AU745" s="141">
        <v>0</v>
      </c>
      <c r="AV745" s="141">
        <v>0.117647058823529</v>
      </c>
      <c r="AW745" s="141">
        <v>0.0533333333333333</v>
      </c>
      <c r="AX745" s="95"/>
      <c r="AY745" s="93"/>
    </row>
    <row r="746" ht="14.5" spans="1:51">
      <c r="A746" s="91"/>
      <c r="B746" s="95"/>
      <c r="C746" s="152" t="s">
        <v>668</v>
      </c>
      <c r="D746" s="153" t="s">
        <v>25</v>
      </c>
      <c r="E746" s="130" t="s">
        <v>669</v>
      </c>
      <c r="F746" s="179" t="s">
        <v>773</v>
      </c>
      <c r="G746" s="179" t="s">
        <v>773</v>
      </c>
      <c r="H746" s="179" t="s">
        <v>773</v>
      </c>
      <c r="I746" s="179" t="s">
        <v>773</v>
      </c>
      <c r="J746" s="132">
        <v>0.9</v>
      </c>
      <c r="K746" s="133">
        <v>1</v>
      </c>
      <c r="L746" s="133">
        <v>1</v>
      </c>
      <c r="M746" s="134">
        <v>1</v>
      </c>
      <c r="N746" s="133">
        <v>0.991886409736308</v>
      </c>
      <c r="O746" s="135">
        <v>0.9</v>
      </c>
      <c r="P746" s="133">
        <v>0.979576107899807</v>
      </c>
      <c r="Q746" s="133">
        <v>0.94553706505295</v>
      </c>
      <c r="R746" s="133">
        <v>0.979851973684211</v>
      </c>
      <c r="S746" s="133">
        <v>0.972590869704018</v>
      </c>
      <c r="T746" s="135">
        <v>0.9</v>
      </c>
      <c r="U746" s="133">
        <v>0.934489402697495</v>
      </c>
      <c r="V746" s="133">
        <v>0.931164901664145</v>
      </c>
      <c r="W746" s="133">
        <v>0.953947368421053</v>
      </c>
      <c r="X746" s="133">
        <v>0.942764628084097</v>
      </c>
      <c r="Y746" s="135">
        <v>0.92</v>
      </c>
      <c r="Z746" s="135">
        <v>0.949450549450549</v>
      </c>
      <c r="AA746" s="135">
        <v>0.953198127925117</v>
      </c>
      <c r="AB746" s="135">
        <v>0.953528399311532</v>
      </c>
      <c r="AC746" s="135">
        <v>0.953723453584346</v>
      </c>
      <c r="AD746" s="135">
        <v>0.92</v>
      </c>
      <c r="AE746" s="133">
        <v>0.967856634902574</v>
      </c>
      <c r="AF746" s="133">
        <v>0.979764705882353</v>
      </c>
      <c r="AG746" s="133">
        <v>0.990786869583021</v>
      </c>
      <c r="AH746" s="133">
        <v>0.955052034626835</v>
      </c>
      <c r="AI746" s="135">
        <v>0.92</v>
      </c>
      <c r="AJ746" s="133">
        <v>0.959056665574844</v>
      </c>
      <c r="AK746" s="133">
        <v>0.949786975045648</v>
      </c>
      <c r="AL746" s="133">
        <v>0.97117296222664</v>
      </c>
      <c r="AM746" s="133">
        <v>0.970700660241052</v>
      </c>
      <c r="AN746" s="132">
        <v>0.99</v>
      </c>
      <c r="AO746" s="137">
        <v>1</v>
      </c>
      <c r="AP746" s="137">
        <v>1</v>
      </c>
      <c r="AQ746" s="137">
        <v>1</v>
      </c>
      <c r="AR746" s="137">
        <v>1</v>
      </c>
      <c r="AS746" s="158">
        <v>0.0810595228934205</v>
      </c>
      <c r="AT746" s="141">
        <v>0.0714285714285714</v>
      </c>
      <c r="AU746" s="141">
        <v>0</v>
      </c>
      <c r="AV746" s="141">
        <v>0</v>
      </c>
      <c r="AW746" s="141">
        <v>0.0445544554455446</v>
      </c>
      <c r="AX746" s="95"/>
      <c r="AY746" s="93"/>
    </row>
    <row r="747" ht="14.5" spans="1:51">
      <c r="A747" s="91"/>
      <c r="B747" s="95"/>
      <c r="C747" s="152" t="s">
        <v>668</v>
      </c>
      <c r="D747" s="153" t="s">
        <v>25</v>
      </c>
      <c r="E747" s="130" t="s">
        <v>669</v>
      </c>
      <c r="F747" s="179" t="s">
        <v>774</v>
      </c>
      <c r="G747" s="179" t="s">
        <v>774</v>
      </c>
      <c r="H747" s="179" t="s">
        <v>774</v>
      </c>
      <c r="I747" s="179" t="s">
        <v>774</v>
      </c>
      <c r="J747" s="132">
        <v>0.9</v>
      </c>
      <c r="K747" s="133">
        <v>0.947368421052632</v>
      </c>
      <c r="L747" s="133">
        <v>0.916666666666667</v>
      </c>
      <c r="M747" s="134">
        <v>1</v>
      </c>
      <c r="N747" s="133">
        <v>0.958146487294469</v>
      </c>
      <c r="O747" s="135">
        <v>0.9</v>
      </c>
      <c r="P747" s="133">
        <v>0.990647212869435</v>
      </c>
      <c r="Q747" s="133">
        <v>0.977712824260139</v>
      </c>
      <c r="R747" s="133">
        <v>0.988009592326139</v>
      </c>
      <c r="S747" s="133">
        <v>0.985367640720628</v>
      </c>
      <c r="T747" s="135">
        <v>0.9</v>
      </c>
      <c r="U747" s="133">
        <v>0.95959595959596</v>
      </c>
      <c r="V747" s="133">
        <v>0.951406649616368</v>
      </c>
      <c r="W747" s="133">
        <v>0.94484412470024</v>
      </c>
      <c r="X747" s="133">
        <v>0.959356951986898</v>
      </c>
      <c r="Y747" s="135">
        <v>0.92</v>
      </c>
      <c r="Z747" s="135">
        <v>0.99344262295082</v>
      </c>
      <c r="AA747" s="135">
        <v>0.991896272285251</v>
      </c>
      <c r="AB747" s="135">
        <v>0.986486486486487</v>
      </c>
      <c r="AC747" s="135">
        <v>0.988219646589398</v>
      </c>
      <c r="AD747" s="135">
        <v>0.92</v>
      </c>
      <c r="AE747" s="133">
        <v>0.994795055302537</v>
      </c>
      <c r="AF747" s="133">
        <v>0.995363214837713</v>
      </c>
      <c r="AG747" s="133">
        <v>0.996572995202193</v>
      </c>
      <c r="AH747" s="133">
        <v>0.995126522961575</v>
      </c>
      <c r="AI747" s="135">
        <v>0.92</v>
      </c>
      <c r="AJ747" s="133">
        <v>0.991610738255034</v>
      </c>
      <c r="AK747" s="133">
        <v>0.991353607632677</v>
      </c>
      <c r="AL747" s="133">
        <v>0.99106847502481</v>
      </c>
      <c r="AM747" s="133">
        <v>0.993010677156505</v>
      </c>
      <c r="AN747" s="132">
        <v>0.99</v>
      </c>
      <c r="AO747" s="137">
        <v>1</v>
      </c>
      <c r="AP747" s="137">
        <v>1</v>
      </c>
      <c r="AQ747" s="137">
        <v>1</v>
      </c>
      <c r="AR747" s="137">
        <v>1</v>
      </c>
      <c r="AS747" s="158">
        <v>0.0810595228934205</v>
      </c>
      <c r="AT747" s="141">
        <v>0.2</v>
      </c>
      <c r="AU747" s="141">
        <v>0</v>
      </c>
      <c r="AV747" s="141">
        <v>0.0909090909090909</v>
      </c>
      <c r="AW747" s="141">
        <v>0.0418604651162791</v>
      </c>
      <c r="AX747" s="95"/>
      <c r="AY747" s="93"/>
    </row>
    <row r="748" ht="14.5" spans="1:51">
      <c r="A748" s="91"/>
      <c r="B748" s="95"/>
      <c r="C748" s="152" t="s">
        <v>668</v>
      </c>
      <c r="D748" s="153" t="s">
        <v>25</v>
      </c>
      <c r="E748" s="130" t="s">
        <v>669</v>
      </c>
      <c r="F748" s="179" t="s">
        <v>775</v>
      </c>
      <c r="G748" s="179" t="s">
        <v>775</v>
      </c>
      <c r="H748" s="179" t="s">
        <v>775</v>
      </c>
      <c r="I748" s="179" t="s">
        <v>775</v>
      </c>
      <c r="J748" s="132">
        <v>0.9</v>
      </c>
      <c r="K748" s="133">
        <v>1</v>
      </c>
      <c r="L748" s="133">
        <v>1</v>
      </c>
      <c r="M748" s="134">
        <v>1</v>
      </c>
      <c r="N748" s="133">
        <v>0.988814317673378</v>
      </c>
      <c r="O748" s="135">
        <v>0.9</v>
      </c>
      <c r="P748" s="133">
        <v>0.975938402309913</v>
      </c>
      <c r="Q748" s="133">
        <v>0.966666666666667</v>
      </c>
      <c r="R748" s="133">
        <v>0.98050282195998</v>
      </c>
      <c r="S748" s="133">
        <v>0.97796643857009</v>
      </c>
      <c r="T748" s="135">
        <v>0.9</v>
      </c>
      <c r="U748" s="133">
        <v>0.947064485081809</v>
      </c>
      <c r="V748" s="133">
        <v>0.94131455399061</v>
      </c>
      <c r="W748" s="133">
        <v>0.945613134940995</v>
      </c>
      <c r="X748" s="133">
        <v>0.949828217723388</v>
      </c>
      <c r="Y748" s="135">
        <v>0.92</v>
      </c>
      <c r="Z748" s="135">
        <v>0.846491228070175</v>
      </c>
      <c r="AA748" s="135">
        <v>0.906130268199234</v>
      </c>
      <c r="AB748" s="135">
        <v>0.936542669584245</v>
      </c>
      <c r="AC748" s="135">
        <v>0.898680490103676</v>
      </c>
      <c r="AD748" s="135">
        <v>0.92</v>
      </c>
      <c r="AE748" s="133">
        <v>0.991915727584517</v>
      </c>
      <c r="AF748" s="133">
        <v>0.989907854322071</v>
      </c>
      <c r="AG748" s="133">
        <v>0.990247183453842</v>
      </c>
      <c r="AH748" s="133">
        <v>0.99031859718449</v>
      </c>
      <c r="AI748" s="135">
        <v>0.92</v>
      </c>
      <c r="AJ748" s="133">
        <v>0.956653662765496</v>
      </c>
      <c r="AK748" s="133">
        <v>0.960030165912519</v>
      </c>
      <c r="AL748" s="133">
        <v>0.969671790610719</v>
      </c>
      <c r="AM748" s="133">
        <v>0.964661482159195</v>
      </c>
      <c r="AN748" s="132">
        <v>0.99</v>
      </c>
      <c r="AO748" s="137">
        <v>1</v>
      </c>
      <c r="AP748" s="137">
        <v>1</v>
      </c>
      <c r="AQ748" s="137">
        <v>1</v>
      </c>
      <c r="AR748" s="137">
        <v>1</v>
      </c>
      <c r="AS748" s="158">
        <v>0.0810595228934205</v>
      </c>
      <c r="AT748" s="141">
        <v>0.125</v>
      </c>
      <c r="AU748" s="141">
        <v>0</v>
      </c>
      <c r="AV748" s="141">
        <v>0.0769230769230769</v>
      </c>
      <c r="AW748" s="141">
        <v>0.0461538461538462</v>
      </c>
      <c r="AX748" s="95"/>
      <c r="AY748" s="93"/>
    </row>
    <row r="749" ht="14.5" spans="1:51">
      <c r="A749" s="91"/>
      <c r="B749" s="95"/>
      <c r="C749" s="152" t="s">
        <v>668</v>
      </c>
      <c r="D749" s="153" t="s">
        <v>25</v>
      </c>
      <c r="E749" s="130" t="s">
        <v>669</v>
      </c>
      <c r="F749" s="179" t="s">
        <v>776</v>
      </c>
      <c r="G749" s="179" t="s">
        <v>776</v>
      </c>
      <c r="H749" s="179" t="s">
        <v>776</v>
      </c>
      <c r="I749" s="179" t="s">
        <v>776</v>
      </c>
      <c r="J749" s="132">
        <v>0.9</v>
      </c>
      <c r="K749" s="133">
        <v>0.972972972972973</v>
      </c>
      <c r="L749" s="133">
        <v>0.972972972972973</v>
      </c>
      <c r="M749" s="134">
        <v>0.974358974358974</v>
      </c>
      <c r="N749" s="133">
        <v>0.985185185185185</v>
      </c>
      <c r="O749" s="135">
        <v>0.9</v>
      </c>
      <c r="P749" s="133">
        <v>0.961577350859454</v>
      </c>
      <c r="Q749" s="133">
        <v>0.950356911096691</v>
      </c>
      <c r="R749" s="133">
        <v>0.962387853692201</v>
      </c>
      <c r="S749" s="133">
        <v>0.959560405178145</v>
      </c>
      <c r="T749" s="135">
        <v>0.9</v>
      </c>
      <c r="U749" s="133">
        <v>0.937984496124031</v>
      </c>
      <c r="V749" s="133">
        <v>0.928293316028553</v>
      </c>
      <c r="W749" s="133">
        <v>0.93719806763285</v>
      </c>
      <c r="X749" s="133">
        <v>0.944151120497477</v>
      </c>
      <c r="Y749" s="135">
        <v>0.92</v>
      </c>
      <c r="Z749" s="135">
        <v>0.888235294117647</v>
      </c>
      <c r="AA749" s="135">
        <v>0.882608695652174</v>
      </c>
      <c r="AB749" s="135">
        <v>0.937806873977087</v>
      </c>
      <c r="AC749" s="135">
        <v>0.923011844331641</v>
      </c>
      <c r="AD749" s="135">
        <v>0.92</v>
      </c>
      <c r="AE749" s="133">
        <v>0.994219653179191</v>
      </c>
      <c r="AF749" s="133">
        <v>0.9957805907173</v>
      </c>
      <c r="AG749" s="133">
        <v>0.993355481727575</v>
      </c>
      <c r="AH749" s="133">
        <v>0.992439315559093</v>
      </c>
      <c r="AI749" s="135">
        <v>0.92</v>
      </c>
      <c r="AJ749" s="133">
        <v>0.962806168732991</v>
      </c>
      <c r="AK749" s="133">
        <v>0.959172852598091</v>
      </c>
      <c r="AL749" s="133">
        <v>0.97463664861784</v>
      </c>
      <c r="AM749" s="133">
        <v>0.972363405336722</v>
      </c>
      <c r="AN749" s="132">
        <v>0.99</v>
      </c>
      <c r="AO749" s="137">
        <v>1</v>
      </c>
      <c r="AP749" s="137">
        <v>1</v>
      </c>
      <c r="AQ749" s="137">
        <v>1</v>
      </c>
      <c r="AR749" s="137">
        <v>1</v>
      </c>
      <c r="AS749" s="158">
        <v>0.0810595228934205</v>
      </c>
      <c r="AT749" s="141">
        <v>0</v>
      </c>
      <c r="AU749" s="141">
        <v>0</v>
      </c>
      <c r="AV749" s="141">
        <v>0</v>
      </c>
      <c r="AW749" s="141">
        <v>0.037037037037037</v>
      </c>
      <c r="AX749" s="95"/>
      <c r="AY749" s="93"/>
    </row>
    <row r="750" ht="14.5" spans="1:51">
      <c r="A750" s="91"/>
      <c r="B750" s="95"/>
      <c r="C750" s="152" t="s">
        <v>668</v>
      </c>
      <c r="D750" s="153" t="s">
        <v>25</v>
      </c>
      <c r="E750" s="130" t="s">
        <v>669</v>
      </c>
      <c r="F750" s="179" t="s">
        <v>777</v>
      </c>
      <c r="G750" s="179" t="s">
        <v>777</v>
      </c>
      <c r="H750" s="179" t="s">
        <v>777</v>
      </c>
      <c r="I750" s="179" t="s">
        <v>777</v>
      </c>
      <c r="J750" s="132">
        <v>0.9</v>
      </c>
      <c r="K750" s="133">
        <v>0.970588235294118</v>
      </c>
      <c r="L750" s="133">
        <v>1</v>
      </c>
      <c r="M750" s="134">
        <v>0.971428571428571</v>
      </c>
      <c r="N750" s="133">
        <v>0.991539763113367</v>
      </c>
      <c r="O750" s="135">
        <v>0.9</v>
      </c>
      <c r="P750" s="133">
        <v>0.977795400475813</v>
      </c>
      <c r="Q750" s="133">
        <v>0.93437841779074</v>
      </c>
      <c r="R750" s="133">
        <v>0.977600607441154</v>
      </c>
      <c r="S750" s="133">
        <v>0.972400026037711</v>
      </c>
      <c r="T750" s="135">
        <v>0.9</v>
      </c>
      <c r="U750" s="133">
        <v>0.958762886597938</v>
      </c>
      <c r="V750" s="133">
        <v>0.949690120306234</v>
      </c>
      <c r="W750" s="133">
        <v>0.968488990129081</v>
      </c>
      <c r="X750" s="133">
        <v>0.959988716991776</v>
      </c>
      <c r="Y750" s="135">
        <v>0.92</v>
      </c>
      <c r="Z750" s="135">
        <v>0.864353312302839</v>
      </c>
      <c r="AA750" s="135">
        <v>0.831804281345566</v>
      </c>
      <c r="AB750" s="135">
        <v>0.905245346869712</v>
      </c>
      <c r="AC750" s="135">
        <v>0.891435144222262</v>
      </c>
      <c r="AD750" s="135">
        <v>0.92</v>
      </c>
      <c r="AE750" s="133">
        <v>0.999559374311522</v>
      </c>
      <c r="AF750" s="133">
        <v>0.99964330301409</v>
      </c>
      <c r="AG750" s="133">
        <v>0.999854566608493</v>
      </c>
      <c r="AH750" s="133">
        <v>0.999374781438427</v>
      </c>
      <c r="AI750" s="135">
        <v>0.92</v>
      </c>
      <c r="AJ750" s="133">
        <v>0.964071856287425</v>
      </c>
      <c r="AK750" s="133">
        <v>0.957327839905827</v>
      </c>
      <c r="AL750" s="133">
        <v>0.974573643410853</v>
      </c>
      <c r="AM750" s="133">
        <v>0.968618772978342</v>
      </c>
      <c r="AN750" s="132">
        <v>0.99</v>
      </c>
      <c r="AO750" s="137">
        <v>1</v>
      </c>
      <c r="AP750" s="137">
        <v>1</v>
      </c>
      <c r="AQ750" s="137">
        <v>1</v>
      </c>
      <c r="AR750" s="137">
        <v>1</v>
      </c>
      <c r="AS750" s="158">
        <v>0.0810595228934205</v>
      </c>
      <c r="AT750" s="141">
        <v>0</v>
      </c>
      <c r="AU750" s="141">
        <v>0.25</v>
      </c>
      <c r="AV750" s="141">
        <v>0</v>
      </c>
      <c r="AW750" s="141">
        <v>0.0909090909090909</v>
      </c>
      <c r="AX750" s="95"/>
      <c r="AY750" s="93"/>
    </row>
    <row r="751" ht="14.5" spans="1:51">
      <c r="A751" s="91"/>
      <c r="B751" s="95"/>
      <c r="C751" s="152" t="s">
        <v>668</v>
      </c>
      <c r="D751" s="153" t="s">
        <v>25</v>
      </c>
      <c r="E751" s="130" t="s">
        <v>669</v>
      </c>
      <c r="F751" s="179" t="s">
        <v>778</v>
      </c>
      <c r="G751" s="179" t="s">
        <v>778</v>
      </c>
      <c r="H751" s="179" t="s">
        <v>778</v>
      </c>
      <c r="I751" s="179" t="s">
        <v>778</v>
      </c>
      <c r="J751" s="132">
        <v>0.9</v>
      </c>
      <c r="K751" s="133">
        <v>1</v>
      </c>
      <c r="L751" s="133">
        <v>1</v>
      </c>
      <c r="M751" s="134">
        <v>1</v>
      </c>
      <c r="N751" s="133">
        <v>0.993939393939394</v>
      </c>
      <c r="O751" s="135">
        <v>0.9</v>
      </c>
      <c r="P751" s="133">
        <v>0.961230509903076</v>
      </c>
      <c r="Q751" s="133">
        <v>0.962809917355372</v>
      </c>
      <c r="R751" s="133">
        <v>0.972161809482384</v>
      </c>
      <c r="S751" s="133">
        <v>0.964285714285714</v>
      </c>
      <c r="T751" s="135">
        <v>0.9</v>
      </c>
      <c r="U751" s="133">
        <v>0.947745469869364</v>
      </c>
      <c r="V751" s="133">
        <v>0.919077134986226</v>
      </c>
      <c r="W751" s="133">
        <v>0.949978251413658</v>
      </c>
      <c r="X751" s="133">
        <v>0.9500046142488</v>
      </c>
      <c r="Y751" s="135">
        <v>0.92</v>
      </c>
      <c r="Z751" s="135">
        <v>0.909090909090909</v>
      </c>
      <c r="AA751" s="135">
        <v>0.9408</v>
      </c>
      <c r="AB751" s="135">
        <v>0.949367088607595</v>
      </c>
      <c r="AC751" s="135">
        <v>0.948374941121055</v>
      </c>
      <c r="AD751" s="135">
        <v>0.92</v>
      </c>
      <c r="AE751" s="133">
        <v>0.993150684931507</v>
      </c>
      <c r="AF751" s="133">
        <v>1</v>
      </c>
      <c r="AG751" s="133">
        <v>0.998327759197324</v>
      </c>
      <c r="AH751" s="133">
        <v>0.995721009841677</v>
      </c>
      <c r="AI751" s="135">
        <v>0.92</v>
      </c>
      <c r="AJ751" s="133">
        <v>0.974388379204893</v>
      </c>
      <c r="AK751" s="133">
        <v>0.976770538243626</v>
      </c>
      <c r="AL751" s="133">
        <v>0.979091564527758</v>
      </c>
      <c r="AM751" s="133">
        <v>0.980097105370446</v>
      </c>
      <c r="AN751" s="132">
        <v>0.99</v>
      </c>
      <c r="AO751" s="137">
        <v>1</v>
      </c>
      <c r="AP751" s="137">
        <v>1</v>
      </c>
      <c r="AQ751" s="137">
        <v>1</v>
      </c>
      <c r="AR751" s="137">
        <v>1</v>
      </c>
      <c r="AS751" s="158">
        <v>0.0810595228934205</v>
      </c>
      <c r="AT751" s="141">
        <v>0.111111111111111</v>
      </c>
      <c r="AU751" s="141">
        <v>0</v>
      </c>
      <c r="AV751" s="141">
        <v>0</v>
      </c>
      <c r="AW751" s="141">
        <v>0.0617283950617284</v>
      </c>
      <c r="AX751" s="95"/>
      <c r="AY751" s="93"/>
    </row>
    <row r="752" ht="14.5" spans="1:51">
      <c r="A752" s="91"/>
      <c r="B752" s="95"/>
      <c r="C752" s="152" t="s">
        <v>668</v>
      </c>
      <c r="D752" s="153" t="s">
        <v>25</v>
      </c>
      <c r="E752" s="130" t="s">
        <v>669</v>
      </c>
      <c r="F752" s="179" t="s">
        <v>779</v>
      </c>
      <c r="G752" s="179" t="s">
        <v>779</v>
      </c>
      <c r="H752" s="179" t="s">
        <v>779</v>
      </c>
      <c r="I752" s="179" t="s">
        <v>779</v>
      </c>
      <c r="J752" s="132">
        <v>0.9</v>
      </c>
      <c r="K752" s="133">
        <v>0.954545454545455</v>
      </c>
      <c r="L752" s="133">
        <v>0.956521739130435</v>
      </c>
      <c r="M752" s="134">
        <v>1</v>
      </c>
      <c r="N752" s="133">
        <v>0.956521739130435</v>
      </c>
      <c r="O752" s="135">
        <v>0.9</v>
      </c>
      <c r="P752" s="133">
        <v>0.946561541830924</v>
      </c>
      <c r="Q752" s="133">
        <v>0.955399061032864</v>
      </c>
      <c r="R752" s="133">
        <v>0.947987336047038</v>
      </c>
      <c r="S752" s="133">
        <v>0.951538916839302</v>
      </c>
      <c r="T752" s="135">
        <v>0.9</v>
      </c>
      <c r="U752" s="133">
        <v>0.928164695575996</v>
      </c>
      <c r="V752" s="133">
        <v>0.924100156494523</v>
      </c>
      <c r="W752" s="133">
        <v>0.94572591587517</v>
      </c>
      <c r="X752" s="133">
        <v>0.937259544243859</v>
      </c>
      <c r="Y752" s="135">
        <v>0.92</v>
      </c>
      <c r="Z752" s="135">
        <v>0.903765690376569</v>
      </c>
      <c r="AA752" s="135">
        <v>0.944642857142857</v>
      </c>
      <c r="AB752" s="135">
        <v>0.971615720524017</v>
      </c>
      <c r="AC752" s="135">
        <v>0.94787852681456</v>
      </c>
      <c r="AD752" s="135">
        <v>0.92</v>
      </c>
      <c r="AE752" s="133">
        <v>0.902040816326531</v>
      </c>
      <c r="AF752" s="133">
        <v>0.996212121212121</v>
      </c>
      <c r="AG752" s="133">
        <v>0.993788819875776</v>
      </c>
      <c r="AH752" s="133">
        <v>0.987538378183132</v>
      </c>
      <c r="AI752" s="135">
        <v>0.92</v>
      </c>
      <c r="AJ752" s="133">
        <v>0.959159397303727</v>
      </c>
      <c r="AK752" s="133">
        <v>0.970493906350224</v>
      </c>
      <c r="AL752" s="133">
        <v>0.98164106406894</v>
      </c>
      <c r="AM752" s="133">
        <v>0.974584261098072</v>
      </c>
      <c r="AN752" s="132">
        <v>0.99</v>
      </c>
      <c r="AO752" s="137">
        <v>1</v>
      </c>
      <c r="AP752" s="137">
        <v>1</v>
      </c>
      <c r="AQ752" s="137">
        <v>1</v>
      </c>
      <c r="AR752" s="137">
        <v>1</v>
      </c>
      <c r="AS752" s="158">
        <v>0.0810595228934205</v>
      </c>
      <c r="AT752" s="141">
        <v>0</v>
      </c>
      <c r="AU752" s="141">
        <v>0</v>
      </c>
      <c r="AV752" s="141">
        <v>0</v>
      </c>
      <c r="AW752" s="141">
        <v>0.0933333333333333</v>
      </c>
      <c r="AX752" s="95"/>
      <c r="AY752" s="93"/>
    </row>
    <row r="753" ht="14.5" spans="1:51">
      <c r="A753" s="91"/>
      <c r="B753" s="95"/>
      <c r="C753" s="152" t="s">
        <v>668</v>
      </c>
      <c r="D753" s="153" t="s">
        <v>25</v>
      </c>
      <c r="E753" s="130" t="s">
        <v>669</v>
      </c>
      <c r="F753" s="179" t="s">
        <v>780</v>
      </c>
      <c r="G753" s="179" t="s">
        <v>780</v>
      </c>
      <c r="H753" s="179" t="s">
        <v>780</v>
      </c>
      <c r="I753" s="179" t="s">
        <v>780</v>
      </c>
      <c r="J753" s="132">
        <v>0.9</v>
      </c>
      <c r="K753" s="133">
        <v>0.96551724137931</v>
      </c>
      <c r="L753" s="133">
        <v>1</v>
      </c>
      <c r="M753" s="134">
        <v>0.935483870967742</v>
      </c>
      <c r="N753" s="133">
        <v>0.986</v>
      </c>
      <c r="O753" s="135">
        <v>0.9</v>
      </c>
      <c r="P753" s="133">
        <v>0.959183673469388</v>
      </c>
      <c r="Q753" s="133">
        <v>0.966824644549763</v>
      </c>
      <c r="R753" s="133">
        <v>0.977197149643705</v>
      </c>
      <c r="S753" s="133">
        <v>0.963233423235459</v>
      </c>
      <c r="T753" s="135">
        <v>0.9</v>
      </c>
      <c r="U753" s="133">
        <v>0.89448545375597</v>
      </c>
      <c r="V753" s="133">
        <v>0.864139020537125</v>
      </c>
      <c r="W753" s="133">
        <v>0.930641330166271</v>
      </c>
      <c r="X753" s="133">
        <v>0.909317591980052</v>
      </c>
      <c r="Y753" s="135">
        <v>0.92</v>
      </c>
      <c r="Z753" s="135">
        <v>0.866666666666667</v>
      </c>
      <c r="AA753" s="135">
        <v>0.88671875</v>
      </c>
      <c r="AB753" s="135">
        <v>0.939393939393939</v>
      </c>
      <c r="AC753" s="135">
        <v>0.920110192837466</v>
      </c>
      <c r="AD753" s="135">
        <v>0.92</v>
      </c>
      <c r="AE753" s="133">
        <v>0.998108747044917</v>
      </c>
      <c r="AF753" s="133">
        <v>0.998750936797402</v>
      </c>
      <c r="AG753" s="133">
        <v>0.997547302032235</v>
      </c>
      <c r="AH753" s="133">
        <v>0.998804838592848</v>
      </c>
      <c r="AI753" s="135">
        <v>0.92</v>
      </c>
      <c r="AJ753" s="133">
        <v>0.942868247182277</v>
      </c>
      <c r="AK753" s="133">
        <v>0.946452036793692</v>
      </c>
      <c r="AL753" s="133">
        <v>0.970402525651144</v>
      </c>
      <c r="AM753" s="133">
        <v>0.963433036360254</v>
      </c>
      <c r="AN753" s="132">
        <v>0.99</v>
      </c>
      <c r="AO753" s="137">
        <v>1</v>
      </c>
      <c r="AP753" s="137">
        <v>1</v>
      </c>
      <c r="AQ753" s="137">
        <v>1</v>
      </c>
      <c r="AR753" s="137">
        <v>1</v>
      </c>
      <c r="AS753" s="158">
        <v>0.0810595228934205</v>
      </c>
      <c r="AT753" s="141">
        <v>0</v>
      </c>
      <c r="AU753" s="141">
        <v>0.142857142857143</v>
      </c>
      <c r="AV753" s="141">
        <v>0</v>
      </c>
      <c r="AW753" s="141">
        <v>0.0628930817610063</v>
      </c>
      <c r="AX753" s="95"/>
      <c r="AY753" s="93"/>
    </row>
    <row r="754" ht="14.5" spans="1:51">
      <c r="A754" s="91"/>
      <c r="B754" s="95"/>
      <c r="C754" s="152" t="s">
        <v>668</v>
      </c>
      <c r="D754" s="153" t="s">
        <v>25</v>
      </c>
      <c r="E754" s="130" t="s">
        <v>669</v>
      </c>
      <c r="F754" s="179" t="s">
        <v>781</v>
      </c>
      <c r="G754" s="179" t="s">
        <v>781</v>
      </c>
      <c r="H754" s="179" t="s">
        <v>781</v>
      </c>
      <c r="I754" s="179" t="s">
        <v>781</v>
      </c>
      <c r="J754" s="132">
        <v>0.9</v>
      </c>
      <c r="K754" s="133">
        <v>0.942857142857143</v>
      </c>
      <c r="L754" s="133">
        <v>0.903225806451613</v>
      </c>
      <c r="M754" s="134">
        <v>0.970588235294118</v>
      </c>
      <c r="N754" s="133">
        <v>0.948306595365419</v>
      </c>
      <c r="O754" s="135">
        <v>0.9</v>
      </c>
      <c r="P754" s="133">
        <v>0.958426132145509</v>
      </c>
      <c r="Q754" s="133">
        <v>0.964556962025316</v>
      </c>
      <c r="R754" s="133">
        <v>0.971705739692805</v>
      </c>
      <c r="S754" s="133">
        <v>0.963725804726767</v>
      </c>
      <c r="T754" s="135">
        <v>0.9</v>
      </c>
      <c r="U754" s="133">
        <v>0.894209354120267</v>
      </c>
      <c r="V754" s="133">
        <v>0.891139240506329</v>
      </c>
      <c r="W754" s="133">
        <v>0.934923201293452</v>
      </c>
      <c r="X754" s="133">
        <v>0.915046519088867</v>
      </c>
      <c r="Y754" s="135">
        <v>0.92</v>
      </c>
      <c r="Z754" s="135">
        <v>0.928571428571429</v>
      </c>
      <c r="AA754" s="135">
        <v>0.932352941176471</v>
      </c>
      <c r="AB754" s="135">
        <v>0.942901234567901</v>
      </c>
      <c r="AC754" s="135">
        <v>0.93699974180222</v>
      </c>
      <c r="AD754" s="135">
        <v>0.92</v>
      </c>
      <c r="AE754" s="133">
        <v>0.99943961894088</v>
      </c>
      <c r="AF754" s="133">
        <v>0.990709827260851</v>
      </c>
      <c r="AG754" s="133">
        <v>0.998458489319533</v>
      </c>
      <c r="AH754" s="133">
        <v>0.997117552334944</v>
      </c>
      <c r="AI754" s="135">
        <v>0.92</v>
      </c>
      <c r="AJ754" s="133">
        <v>0.94750486066105</v>
      </c>
      <c r="AK754" s="133">
        <v>0.95355587808418</v>
      </c>
      <c r="AL754" s="133">
        <v>0.97565663036515</v>
      </c>
      <c r="AM754" s="133">
        <v>0.967010379911617</v>
      </c>
      <c r="AN754" s="132">
        <v>0.99</v>
      </c>
      <c r="AO754" s="137">
        <v>1</v>
      </c>
      <c r="AP754" s="137">
        <v>1</v>
      </c>
      <c r="AQ754" s="137">
        <v>1</v>
      </c>
      <c r="AR754" s="137">
        <v>1</v>
      </c>
      <c r="AS754" s="158">
        <v>0.0810595228934205</v>
      </c>
      <c r="AT754" s="141">
        <v>0.0714285714285714</v>
      </c>
      <c r="AU754" s="141">
        <v>0</v>
      </c>
      <c r="AV754" s="141">
        <v>0</v>
      </c>
      <c r="AW754" s="141">
        <v>0.0512820512820513</v>
      </c>
      <c r="AX754" s="95"/>
      <c r="AY754" s="93"/>
    </row>
    <row r="755" ht="14.5" spans="1:51">
      <c r="A755" s="91"/>
      <c r="B755" s="95"/>
      <c r="C755" s="152" t="s">
        <v>668</v>
      </c>
      <c r="D755" s="153" t="s">
        <v>25</v>
      </c>
      <c r="E755" s="130" t="s">
        <v>669</v>
      </c>
      <c r="F755" s="179" t="s">
        <v>782</v>
      </c>
      <c r="G755" s="179" t="s">
        <v>782</v>
      </c>
      <c r="H755" s="179" t="s">
        <v>782</v>
      </c>
      <c r="I755" s="179" t="s">
        <v>782</v>
      </c>
      <c r="J755" s="132">
        <v>0.9</v>
      </c>
      <c r="K755" s="133">
        <v>0.903225806451613</v>
      </c>
      <c r="L755" s="133">
        <v>0.833333333333333</v>
      </c>
      <c r="M755" s="134">
        <v>1</v>
      </c>
      <c r="N755" s="133">
        <v>0.953358208955224</v>
      </c>
      <c r="O755" s="135">
        <v>0.9</v>
      </c>
      <c r="P755" s="133">
        <v>0.96437578814628</v>
      </c>
      <c r="Q755" s="133">
        <v>0.972882303606374</v>
      </c>
      <c r="R755" s="133">
        <v>0.973836221542644</v>
      </c>
      <c r="S755" s="133">
        <v>0.972130594497339</v>
      </c>
      <c r="T755" s="135">
        <v>0.9</v>
      </c>
      <c r="U755" s="133">
        <v>0.930958385876419</v>
      </c>
      <c r="V755" s="133">
        <v>0.944925915571708</v>
      </c>
      <c r="W755" s="133">
        <v>0.944954128440367</v>
      </c>
      <c r="X755" s="133">
        <v>0.944111252717595</v>
      </c>
      <c r="Y755" s="135">
        <v>0.92</v>
      </c>
      <c r="Z755" s="135">
        <v>0.88695652173913</v>
      </c>
      <c r="AA755" s="135">
        <v>0.907810499359795</v>
      </c>
      <c r="AB755" s="135">
        <v>0.944285714285714</v>
      </c>
      <c r="AC755" s="135">
        <v>0.929156396596963</v>
      </c>
      <c r="AD755" s="135">
        <v>0.92</v>
      </c>
      <c r="AE755" s="133">
        <v>1</v>
      </c>
      <c r="AF755" s="133">
        <v>0.997590361445783</v>
      </c>
      <c r="AG755" s="133">
        <v>0.999287749287749</v>
      </c>
      <c r="AH755" s="133">
        <v>0.998868683482779</v>
      </c>
      <c r="AI755" s="135">
        <v>0.92</v>
      </c>
      <c r="AJ755" s="133">
        <v>0.966458214894827</v>
      </c>
      <c r="AK755" s="133">
        <v>0.972005507113355</v>
      </c>
      <c r="AL755" s="133">
        <v>0.977765577820478</v>
      </c>
      <c r="AM755" s="133">
        <v>0.974293254064547</v>
      </c>
      <c r="AN755" s="132">
        <v>0.99</v>
      </c>
      <c r="AO755" s="137">
        <v>1</v>
      </c>
      <c r="AP755" s="137">
        <v>1</v>
      </c>
      <c r="AQ755" s="137">
        <v>1</v>
      </c>
      <c r="AR755" s="137">
        <v>1</v>
      </c>
      <c r="AS755" s="158">
        <v>0.0810595228934205</v>
      </c>
      <c r="AT755" s="141">
        <v>0</v>
      </c>
      <c r="AU755" s="141">
        <v>0</v>
      </c>
      <c r="AV755" s="141">
        <v>0</v>
      </c>
      <c r="AW755" s="141">
        <v>0.0558139534883721</v>
      </c>
      <c r="AX755" s="95"/>
      <c r="AY755" s="93"/>
    </row>
    <row r="756" ht="14.5" spans="1:51">
      <c r="A756" s="91"/>
      <c r="B756" s="95"/>
      <c r="C756" s="152" t="s">
        <v>668</v>
      </c>
      <c r="D756" s="153" t="s">
        <v>25</v>
      </c>
      <c r="E756" s="130" t="s">
        <v>669</v>
      </c>
      <c r="F756" s="179" t="s">
        <v>783</v>
      </c>
      <c r="G756" s="179" t="s">
        <v>783</v>
      </c>
      <c r="H756" s="179" t="s">
        <v>783</v>
      </c>
      <c r="I756" s="179" t="s">
        <v>783</v>
      </c>
      <c r="J756" s="132">
        <v>0.9</v>
      </c>
      <c r="K756" s="133">
        <v>0.96875</v>
      </c>
      <c r="L756" s="133">
        <v>0.967741935483871</v>
      </c>
      <c r="M756" s="134">
        <v>1</v>
      </c>
      <c r="N756" s="133">
        <v>0.967391304347826</v>
      </c>
      <c r="O756" s="135">
        <v>0.9</v>
      </c>
      <c r="P756" s="133">
        <v>0.94347522679693</v>
      </c>
      <c r="Q756" s="133">
        <v>0.936138466129514</v>
      </c>
      <c r="R756" s="133">
        <v>0.946993952330132</v>
      </c>
      <c r="S756" s="133">
        <v>0.949378480229484</v>
      </c>
      <c r="T756" s="135">
        <v>0.9</v>
      </c>
      <c r="U756" s="133">
        <v>0.938241451500349</v>
      </c>
      <c r="V756" s="133">
        <v>0.922112802148612</v>
      </c>
      <c r="W756" s="133">
        <v>0.943436499466382</v>
      </c>
      <c r="X756" s="133">
        <v>0.935673172469393</v>
      </c>
      <c r="Y756" s="135">
        <v>0.92</v>
      </c>
      <c r="Z756" s="135">
        <v>0.852760736196319</v>
      </c>
      <c r="AA756" s="135">
        <v>0.833333333333333</v>
      </c>
      <c r="AB756" s="135">
        <v>0.905073649754501</v>
      </c>
      <c r="AC756" s="135">
        <v>0.882727345055295</v>
      </c>
      <c r="AD756" s="135">
        <v>0.92</v>
      </c>
      <c r="AE756" s="133">
        <v>1</v>
      </c>
      <c r="AF756" s="133">
        <v>1</v>
      </c>
      <c r="AG756" s="133">
        <v>0.999117387466902</v>
      </c>
      <c r="AH756" s="133">
        <v>0.998212689901698</v>
      </c>
      <c r="AI756" s="135">
        <v>0.92</v>
      </c>
      <c r="AJ756" s="133">
        <v>0.957080200501253</v>
      </c>
      <c r="AK756" s="133">
        <v>0.949098097356066</v>
      </c>
      <c r="AL756" s="133">
        <v>0.966686148451198</v>
      </c>
      <c r="AM756" s="133">
        <v>0.96178063693881</v>
      </c>
      <c r="AN756" s="132">
        <v>0.99</v>
      </c>
      <c r="AO756" s="137">
        <v>1</v>
      </c>
      <c r="AP756" s="137">
        <v>1</v>
      </c>
      <c r="AQ756" s="137">
        <v>1</v>
      </c>
      <c r="AR756" s="137">
        <v>1</v>
      </c>
      <c r="AS756" s="158">
        <v>0.0810595228934205</v>
      </c>
      <c r="AT756" s="141">
        <v>0</v>
      </c>
      <c r="AU756" s="141">
        <v>0.0588235294117647</v>
      </c>
      <c r="AV756" s="141">
        <v>0.0625</v>
      </c>
      <c r="AW756" s="141">
        <v>0.0258620689655172</v>
      </c>
      <c r="AX756" s="95"/>
      <c r="AY756" s="93"/>
    </row>
    <row r="757" ht="14.5" spans="1:51">
      <c r="A757" s="91"/>
      <c r="B757" s="95"/>
      <c r="C757" s="152" t="s">
        <v>668</v>
      </c>
      <c r="D757" s="153" t="s">
        <v>25</v>
      </c>
      <c r="E757" s="130" t="s">
        <v>669</v>
      </c>
      <c r="F757" s="179" t="s">
        <v>784</v>
      </c>
      <c r="G757" s="179" t="s">
        <v>784</v>
      </c>
      <c r="H757" s="179" t="s">
        <v>784</v>
      </c>
      <c r="I757" s="179" t="s">
        <v>784</v>
      </c>
      <c r="J757" s="132">
        <v>0.9</v>
      </c>
      <c r="K757" s="133">
        <v>1</v>
      </c>
      <c r="L757" s="133">
        <v>1</v>
      </c>
      <c r="M757" s="134">
        <v>0.888888888888889</v>
      </c>
      <c r="N757" s="133">
        <v>0.984709480122324</v>
      </c>
      <c r="O757" s="135">
        <v>0.9</v>
      </c>
      <c r="P757" s="133">
        <v>0.935052057511155</v>
      </c>
      <c r="Q757" s="133">
        <v>0.952969121140143</v>
      </c>
      <c r="R757" s="133">
        <v>0.961492890995261</v>
      </c>
      <c r="S757" s="133">
        <v>0.951308675350209</v>
      </c>
      <c r="T757" s="135">
        <v>0.9</v>
      </c>
      <c r="U757" s="133">
        <v>0.947942488844819</v>
      </c>
      <c r="V757" s="133">
        <v>0.93729216152019</v>
      </c>
      <c r="W757" s="133">
        <v>0.937203791469194</v>
      </c>
      <c r="X757" s="133">
        <v>0.940556647825018</v>
      </c>
      <c r="Y757" s="135">
        <v>0.92</v>
      </c>
      <c r="Z757" s="135">
        <v>0.875</v>
      </c>
      <c r="AA757" s="135">
        <v>0.905882352941176</v>
      </c>
      <c r="AB757" s="135">
        <v>0.927884615384615</v>
      </c>
      <c r="AC757" s="135">
        <v>0.922052228963334</v>
      </c>
      <c r="AD757" s="135">
        <v>0.92</v>
      </c>
      <c r="AE757" s="133">
        <v>0.996376811594203</v>
      </c>
      <c r="AF757" s="133">
        <v>0.997361477572559</v>
      </c>
      <c r="AG757" s="133">
        <v>0.997894736842105</v>
      </c>
      <c r="AH757" s="133">
        <v>0.997255574614065</v>
      </c>
      <c r="AI757" s="135">
        <v>0.92</v>
      </c>
      <c r="AJ757" s="133">
        <v>0.964111652636243</v>
      </c>
      <c r="AK757" s="133">
        <v>0.967588932806324</v>
      </c>
      <c r="AL757" s="133">
        <v>0.969106463878327</v>
      </c>
      <c r="AM757" s="133">
        <v>0.971376613023766</v>
      </c>
      <c r="AN757" s="132">
        <v>0.99</v>
      </c>
      <c r="AO757" s="137">
        <v>1</v>
      </c>
      <c r="AP757" s="137">
        <v>1</v>
      </c>
      <c r="AQ757" s="137">
        <v>1</v>
      </c>
      <c r="AR757" s="137">
        <v>1</v>
      </c>
      <c r="AS757" s="158">
        <v>0.0810595228934205</v>
      </c>
      <c r="AT757" s="141">
        <v>0</v>
      </c>
      <c r="AU757" s="141">
        <v>0.0909090909090909</v>
      </c>
      <c r="AV757" s="141">
        <v>0</v>
      </c>
      <c r="AW757" s="141">
        <v>0.079646017699115</v>
      </c>
      <c r="AX757" s="95"/>
      <c r="AY757" s="93"/>
    </row>
    <row r="758" ht="14.5" spans="1:51">
      <c r="A758" s="91"/>
      <c r="B758" s="95"/>
      <c r="C758" s="152" t="s">
        <v>668</v>
      </c>
      <c r="D758" s="153" t="s">
        <v>25</v>
      </c>
      <c r="E758" s="130" t="s">
        <v>669</v>
      </c>
      <c r="F758" s="179" t="s">
        <v>785</v>
      </c>
      <c r="G758" s="179" t="s">
        <v>785</v>
      </c>
      <c r="H758" s="179" t="s">
        <v>785</v>
      </c>
      <c r="I758" s="179" t="s">
        <v>785</v>
      </c>
      <c r="J758" s="132">
        <v>0.9</v>
      </c>
      <c r="K758" s="133">
        <v>1</v>
      </c>
      <c r="L758" s="133">
        <v>0.9</v>
      </c>
      <c r="M758" s="134">
        <v>1</v>
      </c>
      <c r="N758" s="133">
        <v>0.876344086021505</v>
      </c>
      <c r="O758" s="135">
        <v>0.9</v>
      </c>
      <c r="P758" s="133">
        <v>0.981299212598425</v>
      </c>
      <c r="Q758" s="133">
        <v>0.953982300884956</v>
      </c>
      <c r="R758" s="133">
        <v>0.972445464982778</v>
      </c>
      <c r="S758" s="133">
        <v>0.960990712074303</v>
      </c>
      <c r="T758" s="135">
        <v>0.9</v>
      </c>
      <c r="U758" s="133">
        <v>0.937007874015748</v>
      </c>
      <c r="V758" s="133">
        <v>0.950442477876106</v>
      </c>
      <c r="W758" s="133">
        <v>0.985074626865672</v>
      </c>
      <c r="X758" s="133">
        <v>0.953053757388123</v>
      </c>
      <c r="Y758" s="135">
        <v>0.92</v>
      </c>
      <c r="Z758" s="135">
        <v>0.905982905982906</v>
      </c>
      <c r="AA758" s="135">
        <v>0.951754385964912</v>
      </c>
      <c r="AB758" s="135">
        <v>0.974789915966387</v>
      </c>
      <c r="AC758" s="135">
        <v>0.930347091932458</v>
      </c>
      <c r="AD758" s="135">
        <v>0.92</v>
      </c>
      <c r="AE758" s="133">
        <v>1</v>
      </c>
      <c r="AF758" s="133">
        <v>1</v>
      </c>
      <c r="AG758" s="133">
        <v>1</v>
      </c>
      <c r="AH758" s="133">
        <v>0.987039563437926</v>
      </c>
      <c r="AI758" s="135">
        <v>0.92</v>
      </c>
      <c r="AJ758" s="133">
        <v>0.961165048543689</v>
      </c>
      <c r="AK758" s="133">
        <v>0.978645066273932</v>
      </c>
      <c r="AL758" s="133">
        <v>0.987376014427412</v>
      </c>
      <c r="AM758" s="133">
        <v>0.976349357664896</v>
      </c>
      <c r="AN758" s="132">
        <v>0.99</v>
      </c>
      <c r="AO758" s="137">
        <v>1</v>
      </c>
      <c r="AP758" s="137">
        <v>1</v>
      </c>
      <c r="AQ758" s="137">
        <v>1</v>
      </c>
      <c r="AR758" s="137">
        <v>1</v>
      </c>
      <c r="AS758" s="158">
        <v>0.0810595228934205</v>
      </c>
      <c r="AT758" s="141">
        <v>0</v>
      </c>
      <c r="AU758" s="141">
        <v>0</v>
      </c>
      <c r="AV758" s="141">
        <v>0</v>
      </c>
      <c r="AW758" s="141">
        <v>0.0319148936170213</v>
      </c>
      <c r="AX758" s="95"/>
      <c r="AY758" s="93"/>
    </row>
    <row r="759" ht="14.5" spans="1:51">
      <c r="A759" s="91"/>
      <c r="B759" s="95"/>
      <c r="C759" s="152" t="s">
        <v>668</v>
      </c>
      <c r="D759" s="153" t="s">
        <v>25</v>
      </c>
      <c r="E759" s="130" t="s">
        <v>669</v>
      </c>
      <c r="F759" s="179" t="s">
        <v>786</v>
      </c>
      <c r="G759" s="179" t="s">
        <v>786</v>
      </c>
      <c r="H759" s="179" t="s">
        <v>786</v>
      </c>
      <c r="I759" s="179" t="s">
        <v>786</v>
      </c>
      <c r="J759" s="132">
        <v>0.9</v>
      </c>
      <c r="K759" s="133">
        <v>0.9375</v>
      </c>
      <c r="L759" s="133">
        <v>0.9375</v>
      </c>
      <c r="M759" s="134">
        <v>1</v>
      </c>
      <c r="N759" s="133">
        <v>0.992619926199262</v>
      </c>
      <c r="O759" s="135">
        <v>0.9</v>
      </c>
      <c r="P759" s="133">
        <v>0.994299674267101</v>
      </c>
      <c r="Q759" s="133">
        <v>0.980901451489687</v>
      </c>
      <c r="R759" s="133">
        <v>1</v>
      </c>
      <c r="S759" s="133">
        <v>0.989872821479039</v>
      </c>
      <c r="T759" s="135">
        <v>0.9</v>
      </c>
      <c r="U759" s="133">
        <v>0.963355048859935</v>
      </c>
      <c r="V759" s="133">
        <v>0.959511077158136</v>
      </c>
      <c r="W759" s="133">
        <v>0.956989247311828</v>
      </c>
      <c r="X759" s="133">
        <v>0.959679698539802</v>
      </c>
      <c r="Y759" s="135">
        <v>0.92</v>
      </c>
      <c r="Z759" s="135">
        <v>0.944444444444444</v>
      </c>
      <c r="AA759" s="135">
        <v>0.949832775919732</v>
      </c>
      <c r="AB759" s="135">
        <v>0.971929824561404</v>
      </c>
      <c r="AC759" s="135">
        <v>0.955933592949375</v>
      </c>
      <c r="AD759" s="135">
        <v>0.92</v>
      </c>
      <c r="AE759" s="133">
        <v>1</v>
      </c>
      <c r="AF759" s="133">
        <v>1</v>
      </c>
      <c r="AG759" s="133">
        <v>1</v>
      </c>
      <c r="AH759" s="133">
        <v>0.999159865578493</v>
      </c>
      <c r="AI759" s="135">
        <v>0.92</v>
      </c>
      <c r="AJ759" s="133">
        <v>0.982507288629738</v>
      </c>
      <c r="AK759" s="133">
        <v>0.976990049751244</v>
      </c>
      <c r="AL759" s="133">
        <v>0.987152034261242</v>
      </c>
      <c r="AM759" s="133">
        <v>0.983570142851672</v>
      </c>
      <c r="AN759" s="132">
        <v>0.99</v>
      </c>
      <c r="AO759" s="137">
        <v>1</v>
      </c>
      <c r="AP759" s="137">
        <v>1</v>
      </c>
      <c r="AQ759" s="137">
        <v>1</v>
      </c>
      <c r="AR759" s="137">
        <v>1</v>
      </c>
      <c r="AS759" s="158">
        <v>0.0810595228934205</v>
      </c>
      <c r="AT759" s="141">
        <v>0.333333333333333</v>
      </c>
      <c r="AU759" s="141">
        <v>0</v>
      </c>
      <c r="AV759" s="141">
        <v>0</v>
      </c>
      <c r="AW759" s="141">
        <v>0.0533333333333333</v>
      </c>
      <c r="AX759" s="95"/>
      <c r="AY759" s="93"/>
    </row>
    <row r="760" ht="14.5" spans="1:51">
      <c r="A760" s="91"/>
      <c r="B760" s="95"/>
      <c r="C760" s="152" t="s">
        <v>668</v>
      </c>
      <c r="D760" s="153" t="s">
        <v>25</v>
      </c>
      <c r="E760" s="130" t="s">
        <v>669</v>
      </c>
      <c r="F760" s="179" t="s">
        <v>787</v>
      </c>
      <c r="G760" s="179" t="s">
        <v>787</v>
      </c>
      <c r="H760" s="179" t="s">
        <v>787</v>
      </c>
      <c r="I760" s="179" t="s">
        <v>787</v>
      </c>
      <c r="J760" s="132">
        <v>0.9</v>
      </c>
      <c r="K760" s="133">
        <v>0.821428571428571</v>
      </c>
      <c r="L760" s="133">
        <v>0.766666666666667</v>
      </c>
      <c r="M760" s="134">
        <v>0.771428571428571</v>
      </c>
      <c r="N760" s="133">
        <v>0.825479930191972</v>
      </c>
      <c r="O760" s="135">
        <v>0.9</v>
      </c>
      <c r="P760" s="133">
        <v>0.717865429234339</v>
      </c>
      <c r="Q760" s="133">
        <v>0.769230769230769</v>
      </c>
      <c r="R760" s="133">
        <v>0.908901613742842</v>
      </c>
      <c r="S760" s="133">
        <v>0.886044964746574</v>
      </c>
      <c r="T760" s="135">
        <v>0.9</v>
      </c>
      <c r="U760" s="133">
        <v>0.747099767981439</v>
      </c>
      <c r="V760" s="133">
        <v>0.844755244755245</v>
      </c>
      <c r="W760" s="133">
        <v>0.906298802706923</v>
      </c>
      <c r="X760" s="133">
        <v>0.885938539310895</v>
      </c>
      <c r="Y760" s="135">
        <v>0.92</v>
      </c>
      <c r="Z760" s="135">
        <v>0.761904761904762</v>
      </c>
      <c r="AA760" s="135">
        <v>0.813627254509018</v>
      </c>
      <c r="AB760" s="135">
        <v>0.894613583138173</v>
      </c>
      <c r="AC760" s="135">
        <v>0.885807504078303</v>
      </c>
      <c r="AD760" s="135">
        <v>0.92</v>
      </c>
      <c r="AE760" s="133">
        <v>0.982650314089141</v>
      </c>
      <c r="AF760" s="133">
        <v>0.997063926331243</v>
      </c>
      <c r="AG760" s="133">
        <v>0.994386464263125</v>
      </c>
      <c r="AH760" s="133">
        <v>0.98391517068864</v>
      </c>
      <c r="AI760" s="135">
        <v>0.92</v>
      </c>
      <c r="AJ760" s="133">
        <v>0.791987049777418</v>
      </c>
      <c r="AK760" s="133">
        <v>0.882086167800454</v>
      </c>
      <c r="AL760" s="133">
        <v>0.943380161770966</v>
      </c>
      <c r="AM760" s="133">
        <v>0.931566755428547</v>
      </c>
      <c r="AN760" s="132">
        <v>0.99</v>
      </c>
      <c r="AO760" s="137">
        <v>1</v>
      </c>
      <c r="AP760" s="137">
        <v>1</v>
      </c>
      <c r="AQ760" s="137">
        <v>1</v>
      </c>
      <c r="AR760" s="137">
        <v>1</v>
      </c>
      <c r="AS760" s="158">
        <v>0.0810595228934205</v>
      </c>
      <c r="AT760" s="141">
        <v>0</v>
      </c>
      <c r="AU760" s="141">
        <v>0.1</v>
      </c>
      <c r="AV760" s="141">
        <v>0.0344827586206897</v>
      </c>
      <c r="AW760" s="141">
        <v>0.03601108033241</v>
      </c>
      <c r="AX760" s="95"/>
      <c r="AY760" s="93"/>
    </row>
    <row r="761" ht="14.5" spans="1:51">
      <c r="A761" s="91"/>
      <c r="B761" s="95"/>
      <c r="C761" s="152" t="s">
        <v>668</v>
      </c>
      <c r="D761" s="153" t="s">
        <v>25</v>
      </c>
      <c r="E761" s="130" t="s">
        <v>669</v>
      </c>
      <c r="F761" s="179" t="s">
        <v>788</v>
      </c>
      <c r="G761" s="179" t="s">
        <v>788</v>
      </c>
      <c r="H761" s="179" t="s">
        <v>788</v>
      </c>
      <c r="I761" s="179" t="s">
        <v>788</v>
      </c>
      <c r="J761" s="132">
        <v>0.9</v>
      </c>
      <c r="K761" s="133">
        <v>0.96551724137931</v>
      </c>
      <c r="L761" s="133">
        <v>1</v>
      </c>
      <c r="M761" s="134">
        <v>0.967741935483871</v>
      </c>
      <c r="N761" s="133">
        <v>0.965163934426229</v>
      </c>
      <c r="O761" s="135">
        <v>0.9</v>
      </c>
      <c r="P761" s="133">
        <v>0.974653275944524</v>
      </c>
      <c r="Q761" s="133">
        <v>0.961800818553888</v>
      </c>
      <c r="R761" s="133">
        <v>0.98104008667389</v>
      </c>
      <c r="S761" s="133">
        <v>0.964853507302595</v>
      </c>
      <c r="T761" s="135">
        <v>0.9</v>
      </c>
      <c r="U761" s="133">
        <v>0.917264466762315</v>
      </c>
      <c r="V761" s="133">
        <v>0.946793997271487</v>
      </c>
      <c r="W761" s="133">
        <v>0.918743228602384</v>
      </c>
      <c r="X761" s="133">
        <v>0.918892709159834</v>
      </c>
      <c r="Y761" s="135">
        <v>0.92</v>
      </c>
      <c r="Z761" s="135">
        <v>0.945652173913043</v>
      </c>
      <c r="AA761" s="135">
        <v>0.943074003795066</v>
      </c>
      <c r="AB761" s="135">
        <v>0.945330296127563</v>
      </c>
      <c r="AC761" s="135">
        <v>0.930718288334182</v>
      </c>
      <c r="AD761" s="135">
        <v>0.92</v>
      </c>
      <c r="AE761" s="133">
        <v>0.998145859085291</v>
      </c>
      <c r="AF761" s="133">
        <v>0.997185621082257</v>
      </c>
      <c r="AG761" s="133">
        <v>0.997545493017351</v>
      </c>
      <c r="AH761" s="133">
        <v>0.968735127769679</v>
      </c>
      <c r="AI761" s="135">
        <v>0.92</v>
      </c>
      <c r="AJ761" s="133">
        <v>0.963399755998373</v>
      </c>
      <c r="AK761" s="133">
        <v>0.964115708531673</v>
      </c>
      <c r="AL761" s="133">
        <v>0.965426695842451</v>
      </c>
      <c r="AM761" s="133">
        <v>0.964942007541406</v>
      </c>
      <c r="AN761" s="132">
        <v>0.99</v>
      </c>
      <c r="AO761" s="137">
        <v>1</v>
      </c>
      <c r="AP761" s="137">
        <v>1</v>
      </c>
      <c r="AQ761" s="137">
        <v>1</v>
      </c>
      <c r="AR761" s="137">
        <v>1</v>
      </c>
      <c r="AS761" s="158">
        <v>0.0810595228934205</v>
      </c>
      <c r="AT761" s="141">
        <v>0</v>
      </c>
      <c r="AU761" s="141">
        <v>0</v>
      </c>
      <c r="AV761" s="141">
        <v>0</v>
      </c>
      <c r="AW761" s="141">
        <v>0.0136986301369863</v>
      </c>
      <c r="AX761" s="95"/>
      <c r="AY761" s="93"/>
    </row>
    <row r="762" ht="14.5" spans="1:51">
      <c r="A762" s="91"/>
      <c r="B762" s="95"/>
      <c r="C762" s="152" t="s">
        <v>668</v>
      </c>
      <c r="D762" s="153" t="s">
        <v>25</v>
      </c>
      <c r="E762" s="130" t="s">
        <v>669</v>
      </c>
      <c r="F762" s="179" t="s">
        <v>789</v>
      </c>
      <c r="G762" s="179" t="s">
        <v>789</v>
      </c>
      <c r="H762" s="179" t="s">
        <v>789</v>
      </c>
      <c r="I762" s="179" t="s">
        <v>789</v>
      </c>
      <c r="J762" s="132">
        <v>0.9</v>
      </c>
      <c r="K762" s="133">
        <v>1</v>
      </c>
      <c r="L762" s="133">
        <v>0.945945945945946</v>
      </c>
      <c r="M762" s="134">
        <v>1</v>
      </c>
      <c r="N762" s="133">
        <v>0.973568281938326</v>
      </c>
      <c r="O762" s="135">
        <v>0.9</v>
      </c>
      <c r="P762" s="133">
        <v>0.928390513469952</v>
      </c>
      <c r="Q762" s="133">
        <v>0.922206506364922</v>
      </c>
      <c r="R762" s="133">
        <v>0.918096723868955</v>
      </c>
      <c r="S762" s="133">
        <v>0.931669787126921</v>
      </c>
      <c r="T762" s="135">
        <v>0.9</v>
      </c>
      <c r="U762" s="133">
        <v>0.97029702970297</v>
      </c>
      <c r="V762" s="133">
        <v>0.971239981140971</v>
      </c>
      <c r="W762" s="133">
        <v>0.974258970358814</v>
      </c>
      <c r="X762" s="133">
        <v>0.968533173901414</v>
      </c>
      <c r="Y762" s="135">
        <v>0.92</v>
      </c>
      <c r="Z762" s="135">
        <v>0.981783317353787</v>
      </c>
      <c r="AA762" s="135">
        <v>0.971586424625099</v>
      </c>
      <c r="AB762" s="135">
        <v>0.969884853852967</v>
      </c>
      <c r="AC762" s="135">
        <v>0.97450845907636</v>
      </c>
      <c r="AD762" s="135">
        <v>0.92</v>
      </c>
      <c r="AE762" s="133">
        <v>0.98378554172087</v>
      </c>
      <c r="AF762" s="133">
        <v>0.978208665440425</v>
      </c>
      <c r="AG762" s="133">
        <v>0.979299494907676</v>
      </c>
      <c r="AH762" s="133">
        <v>0.965041942962196</v>
      </c>
      <c r="AI762" s="135">
        <v>0.92</v>
      </c>
      <c r="AJ762" s="133">
        <v>0.982176011882659</v>
      </c>
      <c r="AK762" s="133">
        <v>0.983870967741935</v>
      </c>
      <c r="AL762" s="133">
        <v>0.984531940538369</v>
      </c>
      <c r="AM762" s="133">
        <v>0.985053275453828</v>
      </c>
      <c r="AN762" s="132">
        <v>0.99</v>
      </c>
      <c r="AO762" s="137">
        <v>1</v>
      </c>
      <c r="AP762" s="137">
        <v>1</v>
      </c>
      <c r="AQ762" s="137">
        <v>1</v>
      </c>
      <c r="AR762" s="137">
        <v>1</v>
      </c>
      <c r="AS762" s="158">
        <v>0.0810595228934205</v>
      </c>
      <c r="AT762" s="141">
        <v>0</v>
      </c>
      <c r="AU762" s="141">
        <v>0.0769230769230769</v>
      </c>
      <c r="AV762" s="141">
        <v>0.0714285714285714</v>
      </c>
      <c r="AW762" s="141">
        <v>0.016304347826087</v>
      </c>
      <c r="AX762" s="95"/>
      <c r="AY762" s="93"/>
    </row>
    <row r="763" ht="14.5" spans="1:51">
      <c r="A763" s="91"/>
      <c r="B763" s="95"/>
      <c r="C763" s="152" t="s">
        <v>668</v>
      </c>
      <c r="D763" s="153" t="s">
        <v>25</v>
      </c>
      <c r="E763" s="130" t="s">
        <v>669</v>
      </c>
      <c r="F763" s="179" t="s">
        <v>790</v>
      </c>
      <c r="G763" s="179" t="s">
        <v>790</v>
      </c>
      <c r="H763" s="179" t="s">
        <v>790</v>
      </c>
      <c r="I763" s="179" t="s">
        <v>790</v>
      </c>
      <c r="J763" s="132">
        <v>0.9</v>
      </c>
      <c r="K763" s="133">
        <v>1</v>
      </c>
      <c r="L763" s="133">
        <v>1</v>
      </c>
      <c r="M763" s="134">
        <v>1</v>
      </c>
      <c r="N763" s="133">
        <v>0.960714285714286</v>
      </c>
      <c r="O763" s="135">
        <v>0.9</v>
      </c>
      <c r="P763" s="133">
        <v>0.972169512966477</v>
      </c>
      <c r="Q763" s="133">
        <v>0.971135343168698</v>
      </c>
      <c r="R763" s="133">
        <v>0.981118881118881</v>
      </c>
      <c r="S763" s="133">
        <v>0.970818005208118</v>
      </c>
      <c r="T763" s="135">
        <v>0.9</v>
      </c>
      <c r="U763" s="133">
        <v>0.955724225173941</v>
      </c>
      <c r="V763" s="133">
        <v>0.968569595894804</v>
      </c>
      <c r="W763" s="133">
        <v>0.98041958041958</v>
      </c>
      <c r="X763" s="133">
        <v>0.963336502294052</v>
      </c>
      <c r="Y763" s="135">
        <v>0.92</v>
      </c>
      <c r="Z763" s="135">
        <v>0.956962025316456</v>
      </c>
      <c r="AA763" s="135">
        <v>0.971428571428571</v>
      </c>
      <c r="AB763" s="135">
        <v>0.9765625</v>
      </c>
      <c r="AC763" s="135">
        <v>0.970850684116597</v>
      </c>
      <c r="AD763" s="135">
        <v>0.92</v>
      </c>
      <c r="AE763" s="133">
        <v>0.999184089750128</v>
      </c>
      <c r="AF763" s="133">
        <v>0.997552384932243</v>
      </c>
      <c r="AG763" s="133">
        <v>0.997357573195222</v>
      </c>
      <c r="AH763" s="133">
        <v>0.997049239520657</v>
      </c>
      <c r="AI763" s="135">
        <v>0.92</v>
      </c>
      <c r="AJ763" s="133">
        <v>0.982287449392713</v>
      </c>
      <c r="AK763" s="133">
        <v>0.982621648460775</v>
      </c>
      <c r="AL763" s="133">
        <v>0.989525909592062</v>
      </c>
      <c r="AM763" s="133">
        <v>0.984417935538098</v>
      </c>
      <c r="AN763" s="132">
        <v>0.99</v>
      </c>
      <c r="AO763" s="137">
        <v>1</v>
      </c>
      <c r="AP763" s="137">
        <v>1</v>
      </c>
      <c r="AQ763" s="137">
        <v>1</v>
      </c>
      <c r="AR763" s="137">
        <v>1</v>
      </c>
      <c r="AS763" s="158">
        <v>0.0810595228934205</v>
      </c>
      <c r="AT763" s="141">
        <v>0</v>
      </c>
      <c r="AU763" s="141">
        <v>0.25</v>
      </c>
      <c r="AV763" s="141">
        <v>0</v>
      </c>
      <c r="AW763" s="141">
        <v>0.150943396226415</v>
      </c>
      <c r="AX763" s="95"/>
      <c r="AY763" s="93"/>
    </row>
    <row r="764" ht="14.5" spans="1:51">
      <c r="A764" s="91"/>
      <c r="B764" s="95"/>
      <c r="C764" s="152" t="s">
        <v>668</v>
      </c>
      <c r="D764" s="153" t="s">
        <v>25</v>
      </c>
      <c r="E764" s="130" t="s">
        <v>669</v>
      </c>
      <c r="F764" s="179" t="s">
        <v>791</v>
      </c>
      <c r="G764" s="179" t="s">
        <v>791</v>
      </c>
      <c r="H764" s="179" t="s">
        <v>791</v>
      </c>
      <c r="I764" s="179" t="s">
        <v>791</v>
      </c>
      <c r="J764" s="132">
        <v>0.9</v>
      </c>
      <c r="K764" s="133">
        <v>1</v>
      </c>
      <c r="L764" s="133">
        <v>0.973684210526316</v>
      </c>
      <c r="M764" s="134">
        <v>1</v>
      </c>
      <c r="N764" s="133">
        <v>0.987220447284345</v>
      </c>
      <c r="O764" s="135">
        <v>0.9</v>
      </c>
      <c r="P764" s="133">
        <v>0.972844827586207</v>
      </c>
      <c r="Q764" s="133">
        <v>0.95010395010395</v>
      </c>
      <c r="R764" s="133">
        <v>0.972708547888774</v>
      </c>
      <c r="S764" s="133">
        <v>0.970626361090947</v>
      </c>
      <c r="T764" s="135">
        <v>0.9</v>
      </c>
      <c r="U764" s="133">
        <v>0.905172413793103</v>
      </c>
      <c r="V764" s="133">
        <v>0.902286902286902</v>
      </c>
      <c r="W764" s="133">
        <v>0.934603501544799</v>
      </c>
      <c r="X764" s="133">
        <v>0.929612153894016</v>
      </c>
      <c r="Y764" s="135">
        <v>0.92</v>
      </c>
      <c r="Z764" s="135">
        <v>0.923076923076923</v>
      </c>
      <c r="AA764" s="135">
        <v>0.910505836575875</v>
      </c>
      <c r="AB764" s="135">
        <v>0.948430493273543</v>
      </c>
      <c r="AC764" s="135">
        <v>0.940609951845907</v>
      </c>
      <c r="AD764" s="135">
        <v>0.92</v>
      </c>
      <c r="AE764" s="133">
        <v>0.998786702256734</v>
      </c>
      <c r="AF764" s="133">
        <v>0.997948717948718</v>
      </c>
      <c r="AG764" s="133">
        <v>0.999235035379614</v>
      </c>
      <c r="AH764" s="133">
        <v>0.997609438062713</v>
      </c>
      <c r="AI764" s="135">
        <v>0.92</v>
      </c>
      <c r="AJ764" s="133">
        <v>0.968308514700267</v>
      </c>
      <c r="AK764" s="133">
        <v>0.949640287769784</v>
      </c>
      <c r="AL764" s="133">
        <v>0.975732217573222</v>
      </c>
      <c r="AM764" s="133">
        <v>0.973423278723632</v>
      </c>
      <c r="AN764" s="132">
        <v>0.99</v>
      </c>
      <c r="AO764" s="137">
        <v>1</v>
      </c>
      <c r="AP764" s="137">
        <v>1</v>
      </c>
      <c r="AQ764" s="137">
        <v>1</v>
      </c>
      <c r="AR764" s="137">
        <v>1</v>
      </c>
      <c r="AS764" s="158">
        <v>0.0810595228934205</v>
      </c>
      <c r="AT764" s="141">
        <v>0.166666666666667</v>
      </c>
      <c r="AU764" s="141">
        <v>0</v>
      </c>
      <c r="AV764" s="141">
        <v>0</v>
      </c>
      <c r="AW764" s="141">
        <v>0.0536585365853659</v>
      </c>
      <c r="AX764" s="95"/>
      <c r="AY764" s="93"/>
    </row>
    <row r="765" ht="14.5" spans="1:51">
      <c r="A765" s="91"/>
      <c r="B765" s="95"/>
      <c r="C765" s="152" t="s">
        <v>668</v>
      </c>
      <c r="D765" s="153" t="s">
        <v>25</v>
      </c>
      <c r="E765" s="130" t="s">
        <v>669</v>
      </c>
      <c r="F765" s="179" t="s">
        <v>792</v>
      </c>
      <c r="G765" s="179" t="s">
        <v>792</v>
      </c>
      <c r="H765" s="179" t="s">
        <v>792</v>
      </c>
      <c r="I765" s="179" t="s">
        <v>792</v>
      </c>
      <c r="J765" s="132">
        <v>0.9</v>
      </c>
      <c r="K765" s="133">
        <v>0.923076923076923</v>
      </c>
      <c r="L765" s="133">
        <v>1</v>
      </c>
      <c r="M765" s="134">
        <v>1</v>
      </c>
      <c r="N765" s="133">
        <v>0.949260042283298</v>
      </c>
      <c r="O765" s="135">
        <v>0.9</v>
      </c>
      <c r="P765" s="133">
        <v>0.85913140311804</v>
      </c>
      <c r="Q765" s="133">
        <v>0.80976717773992</v>
      </c>
      <c r="R765" s="133">
        <v>0.922118380062305</v>
      </c>
      <c r="S765" s="133">
        <v>0.904946558915537</v>
      </c>
      <c r="T765" s="135">
        <v>0.9</v>
      </c>
      <c r="U765" s="133">
        <v>0.882516703786192</v>
      </c>
      <c r="V765" s="133">
        <v>0.911413969335605</v>
      </c>
      <c r="W765" s="133">
        <v>0.925856697819315</v>
      </c>
      <c r="X765" s="133">
        <v>0.908237747653806</v>
      </c>
      <c r="Y765" s="135">
        <v>0.92</v>
      </c>
      <c r="Z765" s="135">
        <v>0.920168067226891</v>
      </c>
      <c r="AA765" s="135">
        <v>0.934895833333333</v>
      </c>
      <c r="AB765" s="135">
        <v>0.939799331103679</v>
      </c>
      <c r="AC765" s="135">
        <v>0.92696287279367</v>
      </c>
      <c r="AD765" s="135">
        <v>0.92</v>
      </c>
      <c r="AE765" s="133">
        <v>0.998440424204616</v>
      </c>
      <c r="AF765" s="133">
        <v>0.998899405679067</v>
      </c>
      <c r="AG765" s="133">
        <v>0.998337643147396</v>
      </c>
      <c r="AH765" s="133">
        <v>0.998293215776538</v>
      </c>
      <c r="AI765" s="135">
        <v>0.92</v>
      </c>
      <c r="AJ765" s="133">
        <v>0.944444444444444</v>
      </c>
      <c r="AK765" s="133">
        <v>0.950139794967381</v>
      </c>
      <c r="AL765" s="133">
        <v>0.964829396325459</v>
      </c>
      <c r="AM765" s="133">
        <v>0.960149205667668</v>
      </c>
      <c r="AN765" s="132">
        <v>0.99</v>
      </c>
      <c r="AO765" s="137">
        <v>1</v>
      </c>
      <c r="AP765" s="137">
        <v>1</v>
      </c>
      <c r="AQ765" s="137">
        <v>1</v>
      </c>
      <c r="AR765" s="137">
        <v>1</v>
      </c>
      <c r="AS765" s="158">
        <v>0.0810595228934205</v>
      </c>
      <c r="AT765" s="141">
        <v>0</v>
      </c>
      <c r="AU765" s="141">
        <v>0</v>
      </c>
      <c r="AV765" s="141">
        <v>0</v>
      </c>
      <c r="AW765" s="141">
        <v>0.0689655172413793</v>
      </c>
      <c r="AX765" s="95"/>
      <c r="AY765" s="93"/>
    </row>
    <row r="766" ht="14.5" spans="1:51">
      <c r="A766" s="91"/>
      <c r="B766" s="95"/>
      <c r="C766" s="152" t="s">
        <v>668</v>
      </c>
      <c r="D766" s="153" t="s">
        <v>25</v>
      </c>
      <c r="E766" s="130" t="s">
        <v>669</v>
      </c>
      <c r="F766" s="179" t="s">
        <v>793</v>
      </c>
      <c r="G766" s="179" t="s">
        <v>793</v>
      </c>
      <c r="H766" s="179" t="s">
        <v>793</v>
      </c>
      <c r="I766" s="179" t="s">
        <v>793</v>
      </c>
      <c r="J766" s="132">
        <v>0.9</v>
      </c>
      <c r="K766" s="133">
        <v>0.95</v>
      </c>
      <c r="L766" s="133">
        <v>1</v>
      </c>
      <c r="M766" s="134">
        <v>1</v>
      </c>
      <c r="N766" s="133">
        <v>0.985871271585557</v>
      </c>
      <c r="O766" s="135">
        <v>0.9</v>
      </c>
      <c r="P766" s="133">
        <v>0.956223628691983</v>
      </c>
      <c r="Q766" s="133">
        <v>0.973706061444783</v>
      </c>
      <c r="R766" s="133">
        <v>0.961464968152866</v>
      </c>
      <c r="S766" s="133">
        <v>0.967393502291723</v>
      </c>
      <c r="T766" s="135">
        <v>0.9</v>
      </c>
      <c r="U766" s="133">
        <v>0.934599156118143</v>
      </c>
      <c r="V766" s="133">
        <v>0.94851923609189</v>
      </c>
      <c r="W766" s="133">
        <v>0.956050955414013</v>
      </c>
      <c r="X766" s="133">
        <v>0.948571043407927</v>
      </c>
      <c r="Y766" s="135">
        <v>0.92</v>
      </c>
      <c r="Z766" s="135">
        <v>0.972332015810277</v>
      </c>
      <c r="AA766" s="135">
        <v>0.969072164948454</v>
      </c>
      <c r="AB766" s="135">
        <v>0.976430976430976</v>
      </c>
      <c r="AC766" s="135">
        <v>0.971507816439738</v>
      </c>
      <c r="AD766" s="135">
        <v>0.92</v>
      </c>
      <c r="AE766" s="133">
        <v>0.997980517937752</v>
      </c>
      <c r="AF766" s="133">
        <v>0.996611827168256</v>
      </c>
      <c r="AG766" s="133">
        <v>0.999474168528986</v>
      </c>
      <c r="AH766" s="133">
        <v>0.99003277615812</v>
      </c>
      <c r="AI766" s="135">
        <v>0.92</v>
      </c>
      <c r="AJ766" s="133">
        <v>0.96484289167216</v>
      </c>
      <c r="AK766" s="133">
        <v>0.975026680896478</v>
      </c>
      <c r="AL766" s="133">
        <v>0.980912245909767</v>
      </c>
      <c r="AM766" s="133">
        <v>0.978029719024961</v>
      </c>
      <c r="AN766" s="132">
        <v>0.99</v>
      </c>
      <c r="AO766" s="137">
        <v>1</v>
      </c>
      <c r="AP766" s="137">
        <v>1</v>
      </c>
      <c r="AQ766" s="137">
        <v>1</v>
      </c>
      <c r="AR766" s="137">
        <v>1</v>
      </c>
      <c r="AS766" s="158">
        <v>0.0810595228934205</v>
      </c>
      <c r="AT766" s="141">
        <v>0</v>
      </c>
      <c r="AU766" s="141">
        <v>0</v>
      </c>
      <c r="AV766" s="141">
        <v>0</v>
      </c>
      <c r="AW766" s="141">
        <v>0.04149377593361</v>
      </c>
      <c r="AX766" s="95"/>
      <c r="AY766" s="93"/>
    </row>
    <row r="767" ht="14.5" spans="1:51">
      <c r="A767" s="91"/>
      <c r="B767" s="95"/>
      <c r="C767" s="152" t="s">
        <v>668</v>
      </c>
      <c r="D767" s="153" t="s">
        <v>25</v>
      </c>
      <c r="E767" s="130" t="s">
        <v>669</v>
      </c>
      <c r="F767" s="179" t="s">
        <v>794</v>
      </c>
      <c r="G767" s="179" t="s">
        <v>794</v>
      </c>
      <c r="H767" s="179" t="s">
        <v>794</v>
      </c>
      <c r="I767" s="179" t="s">
        <v>794</v>
      </c>
      <c r="J767" s="132">
        <v>0.9</v>
      </c>
      <c r="K767" s="133" t="s">
        <v>35</v>
      </c>
      <c r="L767" s="133" t="s">
        <v>35</v>
      </c>
      <c r="M767" s="134" t="s">
        <v>35</v>
      </c>
      <c r="N767" s="133" t="s">
        <v>35</v>
      </c>
      <c r="O767" s="135">
        <v>0.9</v>
      </c>
      <c r="P767" s="133" t="s">
        <v>35</v>
      </c>
      <c r="Q767" s="133" t="s">
        <v>35</v>
      </c>
      <c r="R767" s="133" t="s">
        <v>35</v>
      </c>
      <c r="S767" s="133" t="s">
        <v>35</v>
      </c>
      <c r="T767" s="135">
        <v>0.9</v>
      </c>
      <c r="U767" s="133" t="s">
        <v>35</v>
      </c>
      <c r="V767" s="133" t="s">
        <v>35</v>
      </c>
      <c r="W767" s="133" t="s">
        <v>35</v>
      </c>
      <c r="X767" s="133" t="s">
        <v>35</v>
      </c>
      <c r="Y767" s="135">
        <v>0.92</v>
      </c>
      <c r="Z767" s="135" t="s">
        <v>35</v>
      </c>
      <c r="AA767" s="135" t="s">
        <v>35</v>
      </c>
      <c r="AB767" s="135" t="s">
        <v>35</v>
      </c>
      <c r="AC767" s="135" t="s">
        <v>35</v>
      </c>
      <c r="AD767" s="135">
        <v>0.92</v>
      </c>
      <c r="AE767" s="133" t="s">
        <v>35</v>
      </c>
      <c r="AF767" s="133" t="s">
        <v>35</v>
      </c>
      <c r="AG767" s="133" t="s">
        <v>35</v>
      </c>
      <c r="AH767" s="133" t="s">
        <v>35</v>
      </c>
      <c r="AI767" s="135">
        <v>0.92</v>
      </c>
      <c r="AJ767" s="133" t="s">
        <v>35</v>
      </c>
      <c r="AK767" s="133" t="s">
        <v>35</v>
      </c>
      <c r="AL767" s="133" t="s">
        <v>35</v>
      </c>
      <c r="AM767" s="133" t="s">
        <v>35</v>
      </c>
      <c r="AN767" s="132">
        <v>0.99</v>
      </c>
      <c r="AO767" s="137" t="s">
        <v>35</v>
      </c>
      <c r="AP767" s="137" t="s">
        <v>35</v>
      </c>
      <c r="AQ767" s="137" t="s">
        <v>35</v>
      </c>
      <c r="AR767" s="137" t="s">
        <v>35</v>
      </c>
      <c r="AS767" s="158">
        <v>0.0810595228934205</v>
      </c>
      <c r="AT767" s="141" t="s">
        <v>35</v>
      </c>
      <c r="AU767" s="141" t="s">
        <v>35</v>
      </c>
      <c r="AV767" s="141" t="s">
        <v>35</v>
      </c>
      <c r="AW767" s="141" t="s">
        <v>35</v>
      </c>
      <c r="AX767" s="95"/>
      <c r="AY767" s="93"/>
    </row>
    <row r="768" ht="14.5" spans="1:51">
      <c r="A768" s="91"/>
      <c r="B768" s="95"/>
      <c r="C768" s="152" t="s">
        <v>668</v>
      </c>
      <c r="D768" s="153" t="s">
        <v>25</v>
      </c>
      <c r="E768" s="130" t="s">
        <v>669</v>
      </c>
      <c r="F768" s="179" t="s">
        <v>795</v>
      </c>
      <c r="G768" s="179" t="s">
        <v>795</v>
      </c>
      <c r="H768" s="179" t="s">
        <v>795</v>
      </c>
      <c r="I768" s="179" t="s">
        <v>795</v>
      </c>
      <c r="J768" s="132">
        <v>0.9</v>
      </c>
      <c r="K768" s="133">
        <v>1</v>
      </c>
      <c r="L768" s="133">
        <v>0.947368421052632</v>
      </c>
      <c r="M768" s="134">
        <v>0.894736842105263</v>
      </c>
      <c r="N768" s="133">
        <v>0.934984520123839</v>
      </c>
      <c r="O768" s="135">
        <v>0.9</v>
      </c>
      <c r="P768" s="133">
        <v>0.965686274509804</v>
      </c>
      <c r="Q768" s="133">
        <v>0.980295566502463</v>
      </c>
      <c r="R768" s="133">
        <v>0.976342129208371</v>
      </c>
      <c r="S768" s="133">
        <v>0.969345685599263</v>
      </c>
      <c r="T768" s="135">
        <v>0.9</v>
      </c>
      <c r="U768" s="133">
        <v>0.952614379084967</v>
      </c>
      <c r="V768" s="133">
        <v>0.95320197044335</v>
      </c>
      <c r="W768" s="133">
        <v>0.956323930846224</v>
      </c>
      <c r="X768" s="133">
        <v>0.951156812339332</v>
      </c>
      <c r="Y768" s="135">
        <v>0.92</v>
      </c>
      <c r="Z768" s="135">
        <v>0.969879518072289</v>
      </c>
      <c r="AA768" s="135">
        <v>0.982404692082111</v>
      </c>
      <c r="AB768" s="135">
        <v>0.928205128205128</v>
      </c>
      <c r="AC768" s="135">
        <v>0.96</v>
      </c>
      <c r="AD768" s="135">
        <v>0.92</v>
      </c>
      <c r="AE768" s="133">
        <v>1</v>
      </c>
      <c r="AF768" s="133">
        <v>0.999436143219622</v>
      </c>
      <c r="AG768" s="133">
        <v>0.999715747583855</v>
      </c>
      <c r="AH768" s="133">
        <v>0.998404225272553</v>
      </c>
      <c r="AI768" s="135">
        <v>0.92</v>
      </c>
      <c r="AJ768" s="133">
        <v>0.971942446043165</v>
      </c>
      <c r="AK768" s="133">
        <v>0.980781550288277</v>
      </c>
      <c r="AL768" s="133">
        <v>0.977606177606178</v>
      </c>
      <c r="AM768" s="133">
        <v>0.980631276901004</v>
      </c>
      <c r="AN768" s="132">
        <v>0.99</v>
      </c>
      <c r="AO768" s="137">
        <v>1</v>
      </c>
      <c r="AP768" s="137">
        <v>1</v>
      </c>
      <c r="AQ768" s="137">
        <v>1</v>
      </c>
      <c r="AR768" s="137">
        <v>1</v>
      </c>
      <c r="AS768" s="158">
        <v>0.0810595228934205</v>
      </c>
      <c r="AT768" s="141">
        <v>0</v>
      </c>
      <c r="AU768" s="141">
        <v>0</v>
      </c>
      <c r="AV768" s="141">
        <v>0</v>
      </c>
      <c r="AW768" s="141">
        <v>0</v>
      </c>
      <c r="AX768" s="95"/>
      <c r="AY768" s="93"/>
    </row>
    <row r="769" ht="14.5" spans="1:51">
      <c r="A769" s="91"/>
      <c r="B769" s="95"/>
      <c r="C769" s="152" t="s">
        <v>668</v>
      </c>
      <c r="D769" s="153" t="s">
        <v>25</v>
      </c>
      <c r="E769" s="130" t="s">
        <v>669</v>
      </c>
      <c r="F769" s="179" t="s">
        <v>796</v>
      </c>
      <c r="G769" s="179" t="s">
        <v>796</v>
      </c>
      <c r="H769" s="179" t="s">
        <v>796</v>
      </c>
      <c r="I769" s="179" t="s">
        <v>796</v>
      </c>
      <c r="J769" s="132">
        <v>0.9</v>
      </c>
      <c r="K769" s="133">
        <v>0.555555555555556</v>
      </c>
      <c r="L769" s="133">
        <v>0.466666666666667</v>
      </c>
      <c r="M769" s="134">
        <v>0.555555555555556</v>
      </c>
      <c r="N769" s="133">
        <v>0.485245901639344</v>
      </c>
      <c r="O769" s="135">
        <v>0.9</v>
      </c>
      <c r="P769" s="133">
        <v>0.925853658536585</v>
      </c>
      <c r="Q769" s="133">
        <v>0.941080196399345</v>
      </c>
      <c r="R769" s="133">
        <v>0.959363957597173</v>
      </c>
      <c r="S769" s="133">
        <v>0.944974988631196</v>
      </c>
      <c r="T769" s="135">
        <v>0.9</v>
      </c>
      <c r="U769" s="133">
        <v>0.874146341463415</v>
      </c>
      <c r="V769" s="133">
        <v>0.882160392798691</v>
      </c>
      <c r="W769" s="133">
        <v>0.916077738515901</v>
      </c>
      <c r="X769" s="133">
        <v>0.912356856422341</v>
      </c>
      <c r="Y769" s="135">
        <v>0.92</v>
      </c>
      <c r="Z769" s="135">
        <v>0.876068376068376</v>
      </c>
      <c r="AA769" s="135">
        <v>0.870317002881844</v>
      </c>
      <c r="AB769" s="135">
        <v>0.912912912912913</v>
      </c>
      <c r="AC769" s="135">
        <v>0.902834008097166</v>
      </c>
      <c r="AD769" s="135">
        <v>0.92</v>
      </c>
      <c r="AE769" s="133">
        <v>0.997995991983968</v>
      </c>
      <c r="AF769" s="133">
        <v>0.994174757281553</v>
      </c>
      <c r="AG769" s="133">
        <v>0.997226074895978</v>
      </c>
      <c r="AH769" s="133">
        <v>0.996097934200459</v>
      </c>
      <c r="AI769" s="135">
        <v>0.92</v>
      </c>
      <c r="AJ769" s="133">
        <v>0.912629070691025</v>
      </c>
      <c r="AK769" s="133">
        <v>0.894267515923567</v>
      </c>
      <c r="AL769" s="133">
        <v>0.937883959044369</v>
      </c>
      <c r="AM769" s="133">
        <v>0.940058765915769</v>
      </c>
      <c r="AN769" s="132">
        <v>0.99</v>
      </c>
      <c r="AO769" s="137">
        <v>1</v>
      </c>
      <c r="AP769" s="137">
        <v>1</v>
      </c>
      <c r="AQ769" s="137">
        <v>1</v>
      </c>
      <c r="AR769" s="137">
        <v>1</v>
      </c>
      <c r="AS769" s="158">
        <v>0.0810595228934205</v>
      </c>
      <c r="AT769" s="141">
        <v>0</v>
      </c>
      <c r="AU769" s="141">
        <v>0.222222222222222</v>
      </c>
      <c r="AV769" s="141">
        <v>0</v>
      </c>
      <c r="AW769" s="141">
        <v>0.0423280423280423</v>
      </c>
      <c r="AX769" s="95"/>
      <c r="AY769" s="93"/>
    </row>
    <row r="770" ht="14.5" spans="1:51">
      <c r="A770" s="91"/>
      <c r="B770" s="95"/>
      <c r="C770" s="152" t="s">
        <v>668</v>
      </c>
      <c r="D770" s="153" t="s">
        <v>25</v>
      </c>
      <c r="E770" s="130" t="s">
        <v>669</v>
      </c>
      <c r="F770" s="179" t="s">
        <v>797</v>
      </c>
      <c r="G770" s="179" t="s">
        <v>797</v>
      </c>
      <c r="H770" s="179" t="s">
        <v>797</v>
      </c>
      <c r="I770" s="179" t="s">
        <v>797</v>
      </c>
      <c r="J770" s="132">
        <v>0.9</v>
      </c>
      <c r="K770" s="133">
        <v>0.785714285714286</v>
      </c>
      <c r="L770" s="133">
        <v>0.75</v>
      </c>
      <c r="M770" s="134">
        <v>0.928571428571429</v>
      </c>
      <c r="N770" s="133">
        <v>0.848979591836735</v>
      </c>
      <c r="O770" s="135">
        <v>0.9</v>
      </c>
      <c r="P770" s="133">
        <v>0.932432432432432</v>
      </c>
      <c r="Q770" s="133">
        <v>0.774139378673384</v>
      </c>
      <c r="R770" s="133">
        <v>0.76022835394862</v>
      </c>
      <c r="S770" s="133">
        <v>0.872971937146021</v>
      </c>
      <c r="T770" s="135">
        <v>0.9</v>
      </c>
      <c r="U770" s="133">
        <v>0.682952182952183</v>
      </c>
      <c r="V770" s="133">
        <v>0.679261125104954</v>
      </c>
      <c r="W770" s="133">
        <v>0.686013320647003</v>
      </c>
      <c r="X770" s="133">
        <v>0.783758463569391</v>
      </c>
      <c r="Y770" s="135">
        <v>0.92</v>
      </c>
      <c r="Z770" s="135">
        <v>0.698924731182796</v>
      </c>
      <c r="AA770" s="135">
        <v>0.699324324324324</v>
      </c>
      <c r="AB770" s="135">
        <v>0.719557195571956</v>
      </c>
      <c r="AC770" s="135">
        <v>0.832225579053374</v>
      </c>
      <c r="AD770" s="135">
        <v>0.92</v>
      </c>
      <c r="AE770" s="133">
        <v>1</v>
      </c>
      <c r="AF770" s="133">
        <v>0.996124031007752</v>
      </c>
      <c r="AG770" s="133">
        <v>0.998069498069498</v>
      </c>
      <c r="AH770" s="133">
        <v>0.958940604920859</v>
      </c>
      <c r="AI770" s="135">
        <v>0.92</v>
      </c>
      <c r="AJ770" s="133">
        <v>0.803135888501742</v>
      </c>
      <c r="AK770" s="133">
        <v>0.770006724949563</v>
      </c>
      <c r="AL770" s="133">
        <v>0.76963746223565</v>
      </c>
      <c r="AM770" s="133">
        <v>0.895223366489754</v>
      </c>
      <c r="AN770" s="132">
        <v>0.99</v>
      </c>
      <c r="AO770" s="137">
        <v>1</v>
      </c>
      <c r="AP770" s="137">
        <v>1</v>
      </c>
      <c r="AQ770" s="137">
        <v>1</v>
      </c>
      <c r="AR770" s="137">
        <v>1</v>
      </c>
      <c r="AS770" s="158">
        <v>0.0810595228934205</v>
      </c>
      <c r="AT770" s="141">
        <v>0</v>
      </c>
      <c r="AU770" s="141">
        <v>0</v>
      </c>
      <c r="AV770" s="141">
        <v>0</v>
      </c>
      <c r="AW770" s="141">
        <v>0.0509554140127389</v>
      </c>
      <c r="AX770" s="95"/>
      <c r="AY770" s="93"/>
    </row>
    <row r="771" ht="14.5" spans="1:51">
      <c r="A771" s="91"/>
      <c r="B771" s="95"/>
      <c r="C771" s="152" t="s">
        <v>668</v>
      </c>
      <c r="D771" s="153" t="s">
        <v>25</v>
      </c>
      <c r="E771" s="130" t="s">
        <v>669</v>
      </c>
      <c r="F771" s="179" t="s">
        <v>798</v>
      </c>
      <c r="G771" s="179" t="s">
        <v>798</v>
      </c>
      <c r="H771" s="179" t="s">
        <v>798</v>
      </c>
      <c r="I771" s="179" t="s">
        <v>798</v>
      </c>
      <c r="J771" s="132">
        <v>0.9</v>
      </c>
      <c r="K771" s="133">
        <v>0.774193548387097</v>
      </c>
      <c r="L771" s="133">
        <v>0.78125</v>
      </c>
      <c r="M771" s="134">
        <v>0.736842105263158</v>
      </c>
      <c r="N771" s="133">
        <v>0.765079365079365</v>
      </c>
      <c r="O771" s="135">
        <v>0.9</v>
      </c>
      <c r="P771" s="133">
        <v>0.916666666666667</v>
      </c>
      <c r="Q771" s="133">
        <v>0.923785594639866</v>
      </c>
      <c r="R771" s="133">
        <v>0.941301573798384</v>
      </c>
      <c r="S771" s="133">
        <v>0.943971985992996</v>
      </c>
      <c r="T771" s="135">
        <v>0.9</v>
      </c>
      <c r="U771" s="133">
        <v>0.850925925925926</v>
      </c>
      <c r="V771" s="133">
        <v>0.881490787269682</v>
      </c>
      <c r="W771" s="133">
        <v>0.92003402807316</v>
      </c>
      <c r="X771" s="133">
        <v>0.909074537268634</v>
      </c>
      <c r="Y771" s="135">
        <v>0.92</v>
      </c>
      <c r="Z771" s="135">
        <v>0.839195979899497</v>
      </c>
      <c r="AA771" s="135">
        <v>0.818590704647676</v>
      </c>
      <c r="AB771" s="135">
        <v>0.854460093896714</v>
      </c>
      <c r="AC771" s="135">
        <v>0.895098882201204</v>
      </c>
      <c r="AD771" s="135">
        <v>0.92</v>
      </c>
      <c r="AE771" s="133">
        <v>0.998988877654196</v>
      </c>
      <c r="AF771" s="133">
        <v>0.995670995670996</v>
      </c>
      <c r="AG771" s="133">
        <v>0.994630872483221</v>
      </c>
      <c r="AH771" s="133">
        <v>0.992467173462336</v>
      </c>
      <c r="AI771" s="135">
        <v>0.92</v>
      </c>
      <c r="AJ771" s="133">
        <v>0.887021110242377</v>
      </c>
      <c r="AK771" s="133">
        <v>0.892962356792144</v>
      </c>
      <c r="AL771" s="133">
        <v>0.932464058843196</v>
      </c>
      <c r="AM771" s="133">
        <v>0.941958416516531</v>
      </c>
      <c r="AN771" s="132">
        <v>0.99</v>
      </c>
      <c r="AO771" s="137">
        <v>1</v>
      </c>
      <c r="AP771" s="137">
        <v>1</v>
      </c>
      <c r="AQ771" s="137">
        <v>1</v>
      </c>
      <c r="AR771" s="137">
        <v>1</v>
      </c>
      <c r="AS771" s="158">
        <v>0.0810595228934205</v>
      </c>
      <c r="AT771" s="141">
        <v>0.117647058823529</v>
      </c>
      <c r="AU771" s="141">
        <v>0</v>
      </c>
      <c r="AV771" s="141">
        <v>0.0476190476190476</v>
      </c>
      <c r="AW771" s="141">
        <v>0.0307692307692308</v>
      </c>
      <c r="AX771" s="95"/>
      <c r="AY771" s="93"/>
    </row>
    <row r="772" ht="14.5" spans="1:51">
      <c r="A772" s="91"/>
      <c r="B772" s="95"/>
      <c r="C772" s="152" t="s">
        <v>668</v>
      </c>
      <c r="D772" s="153" t="s">
        <v>25</v>
      </c>
      <c r="E772" s="130" t="s">
        <v>669</v>
      </c>
      <c r="F772" s="179" t="s">
        <v>799</v>
      </c>
      <c r="G772" s="179" t="s">
        <v>799</v>
      </c>
      <c r="H772" s="179" t="s">
        <v>799</v>
      </c>
      <c r="I772" s="179" t="s">
        <v>799</v>
      </c>
      <c r="J772" s="132">
        <v>0.9</v>
      </c>
      <c r="K772" s="133">
        <v>0.758620689655172</v>
      </c>
      <c r="L772" s="133">
        <v>0.84375</v>
      </c>
      <c r="M772" s="134">
        <v>0.757575757575758</v>
      </c>
      <c r="N772" s="133">
        <v>0.821167883211679</v>
      </c>
      <c r="O772" s="135">
        <v>0.9</v>
      </c>
      <c r="P772" s="133">
        <v>0.954714640198511</v>
      </c>
      <c r="Q772" s="133">
        <v>0.942650334075724</v>
      </c>
      <c r="R772" s="133">
        <v>0.955410225921522</v>
      </c>
      <c r="S772" s="133">
        <v>0.954704028809363</v>
      </c>
      <c r="T772" s="135">
        <v>0.9</v>
      </c>
      <c r="U772" s="133">
        <v>0.897642679900744</v>
      </c>
      <c r="V772" s="133">
        <v>0.90924276169265</v>
      </c>
      <c r="W772" s="133">
        <v>0.922116527942925</v>
      </c>
      <c r="X772" s="133">
        <v>0.91579450821517</v>
      </c>
      <c r="Y772" s="135">
        <v>0.92</v>
      </c>
      <c r="Z772" s="135">
        <v>0.92332268370607</v>
      </c>
      <c r="AA772" s="135">
        <v>0.889925373134328</v>
      </c>
      <c r="AB772" s="135">
        <v>0.895027624309392</v>
      </c>
      <c r="AC772" s="135">
        <v>0.889218072161676</v>
      </c>
      <c r="AD772" s="135">
        <v>0.92</v>
      </c>
      <c r="AE772" s="133">
        <v>1</v>
      </c>
      <c r="AF772" s="133">
        <v>0.989758595464521</v>
      </c>
      <c r="AG772" s="133">
        <v>0.997003424657534</v>
      </c>
      <c r="AH772" s="133">
        <v>0.99684564699285</v>
      </c>
      <c r="AI772" s="135">
        <v>0.92</v>
      </c>
      <c r="AJ772" s="133">
        <v>0.935064935064935</v>
      </c>
      <c r="AK772" s="133">
        <v>0.926275182168881</v>
      </c>
      <c r="AL772" s="133">
        <v>0.936179775280899</v>
      </c>
      <c r="AM772" s="133">
        <v>0.940942520052436</v>
      </c>
      <c r="AN772" s="132">
        <v>0.99</v>
      </c>
      <c r="AO772" s="137">
        <v>1</v>
      </c>
      <c r="AP772" s="137">
        <v>1</v>
      </c>
      <c r="AQ772" s="137">
        <v>1</v>
      </c>
      <c r="AR772" s="137">
        <v>1</v>
      </c>
      <c r="AS772" s="158">
        <v>0.0810595228934205</v>
      </c>
      <c r="AT772" s="141">
        <v>0</v>
      </c>
      <c r="AU772" s="141">
        <v>0.235294117647059</v>
      </c>
      <c r="AV772" s="141">
        <v>0</v>
      </c>
      <c r="AW772" s="141">
        <v>0.04</v>
      </c>
      <c r="AX772" s="95"/>
      <c r="AY772" s="93"/>
    </row>
    <row r="773" ht="14.5" spans="1:51">
      <c r="A773" s="91"/>
      <c r="B773" s="95"/>
      <c r="C773" s="152" t="s">
        <v>668</v>
      </c>
      <c r="D773" s="153" t="s">
        <v>25</v>
      </c>
      <c r="E773" s="130" t="s">
        <v>669</v>
      </c>
      <c r="F773" s="179" t="s">
        <v>800</v>
      </c>
      <c r="G773" s="179" t="s">
        <v>800</v>
      </c>
      <c r="H773" s="179" t="s">
        <v>800</v>
      </c>
      <c r="I773" s="179" t="s">
        <v>800</v>
      </c>
      <c r="J773" s="132">
        <v>0.9</v>
      </c>
      <c r="K773" s="133">
        <v>0.833333333333333</v>
      </c>
      <c r="L773" s="133">
        <v>0.740740740740741</v>
      </c>
      <c r="M773" s="134">
        <v>0.806451612903226</v>
      </c>
      <c r="N773" s="133">
        <v>0.797348484848485</v>
      </c>
      <c r="O773" s="135">
        <v>0.9</v>
      </c>
      <c r="P773" s="133">
        <v>0.858477347034096</v>
      </c>
      <c r="Q773" s="133">
        <v>0.881139083780437</v>
      </c>
      <c r="R773" s="133">
        <v>0.916419176919813</v>
      </c>
      <c r="S773" s="133">
        <v>0.925058450233801</v>
      </c>
      <c r="T773" s="135">
        <v>0.9</v>
      </c>
      <c r="U773" s="133">
        <v>0.834656702475479</v>
      </c>
      <c r="V773" s="133">
        <v>0.772183243912505</v>
      </c>
      <c r="W773" s="133">
        <v>0.86423419601188</v>
      </c>
      <c r="X773" s="133">
        <v>0.85124415497662</v>
      </c>
      <c r="Y773" s="135">
        <v>0.92</v>
      </c>
      <c r="Z773" s="135">
        <v>0.805687203791469</v>
      </c>
      <c r="AA773" s="135">
        <v>0.654302670623145</v>
      </c>
      <c r="AB773" s="135">
        <v>0.843949044585987</v>
      </c>
      <c r="AC773" s="135">
        <v>0.837584459459459</v>
      </c>
      <c r="AD773" s="135">
        <v>0.92</v>
      </c>
      <c r="AE773" s="133">
        <v>0.997816593886463</v>
      </c>
      <c r="AF773" s="133">
        <v>0.979166666666667</v>
      </c>
      <c r="AG773" s="133">
        <v>0.996794871794872</v>
      </c>
      <c r="AH773" s="133">
        <v>0.99507336970917</v>
      </c>
      <c r="AI773" s="135">
        <v>0.92</v>
      </c>
      <c r="AJ773" s="133">
        <v>0.870074131876707</v>
      </c>
      <c r="AK773" s="133">
        <v>0.807295029051001</v>
      </c>
      <c r="AL773" s="133">
        <v>0.916582914572864</v>
      </c>
      <c r="AM773" s="133">
        <v>0.91175043095513</v>
      </c>
      <c r="AN773" s="132">
        <v>0.99</v>
      </c>
      <c r="AO773" s="137">
        <v>1</v>
      </c>
      <c r="AP773" s="137">
        <v>1</v>
      </c>
      <c r="AQ773" s="137">
        <v>1</v>
      </c>
      <c r="AR773" s="137">
        <v>1</v>
      </c>
      <c r="AS773" s="158">
        <v>0.0810595228934205</v>
      </c>
      <c r="AT773" s="141">
        <v>0.0555555555555556</v>
      </c>
      <c r="AU773" s="141">
        <v>0.157894736842105</v>
      </c>
      <c r="AV773" s="141">
        <v>0.0571428571428571</v>
      </c>
      <c r="AW773" s="141">
        <v>0.0540540540540541</v>
      </c>
      <c r="AX773" s="95"/>
      <c r="AY773" s="93"/>
    </row>
    <row r="774" ht="14.5" spans="1:51">
      <c r="A774" s="91"/>
      <c r="B774" s="95"/>
      <c r="C774" s="152" t="s">
        <v>668</v>
      </c>
      <c r="D774" s="153" t="s">
        <v>25</v>
      </c>
      <c r="E774" s="130" t="s">
        <v>669</v>
      </c>
      <c r="F774" s="179" t="s">
        <v>801</v>
      </c>
      <c r="G774" s="179" t="s">
        <v>801</v>
      </c>
      <c r="H774" s="179" t="s">
        <v>801</v>
      </c>
      <c r="I774" s="179" t="s">
        <v>801</v>
      </c>
      <c r="J774" s="132">
        <v>0.9</v>
      </c>
      <c r="K774" s="133">
        <v>0.62962962962963</v>
      </c>
      <c r="L774" s="133">
        <v>0.592592592592593</v>
      </c>
      <c r="M774" s="134">
        <v>0.75</v>
      </c>
      <c r="N774" s="133">
        <v>0.692148760330578</v>
      </c>
      <c r="O774" s="135">
        <v>0.9</v>
      </c>
      <c r="P774" s="133">
        <v>0.909867172675522</v>
      </c>
      <c r="Q774" s="133">
        <v>0.876817792985458</v>
      </c>
      <c r="R774" s="133">
        <v>0.839416058394161</v>
      </c>
      <c r="S774" s="133">
        <v>0.91874198257177</v>
      </c>
      <c r="T774" s="135">
        <v>0.9</v>
      </c>
      <c r="U774" s="133">
        <v>0.873814041745731</v>
      </c>
      <c r="V774" s="133">
        <v>0.864841745081266</v>
      </c>
      <c r="W774" s="133">
        <v>0.861770072992701</v>
      </c>
      <c r="X774" s="133">
        <v>0.874507895784492</v>
      </c>
      <c r="Y774" s="135">
        <v>0.92</v>
      </c>
      <c r="Z774" s="135">
        <v>0.786802030456853</v>
      </c>
      <c r="AA774" s="135">
        <v>0.818611987381703</v>
      </c>
      <c r="AB774" s="135">
        <v>0.809259259259259</v>
      </c>
      <c r="AC774" s="135">
        <v>0.844943007056269</v>
      </c>
      <c r="AD774" s="135">
        <v>0.92</v>
      </c>
      <c r="AE774" s="133">
        <v>1</v>
      </c>
      <c r="AF774" s="133">
        <v>1</v>
      </c>
      <c r="AG774" s="133">
        <v>0.998507462686567</v>
      </c>
      <c r="AH774" s="133">
        <v>0.997186460908858</v>
      </c>
      <c r="AI774" s="135">
        <v>0.92</v>
      </c>
      <c r="AJ774" s="133">
        <v>0.890087929656275</v>
      </c>
      <c r="AK774" s="133">
        <v>0.89535666218035</v>
      </c>
      <c r="AL774" s="133">
        <v>0.926481346013168</v>
      </c>
      <c r="AM774" s="133">
        <v>0.92609437180216</v>
      </c>
      <c r="AN774" s="132">
        <v>0.99</v>
      </c>
      <c r="AO774" s="137">
        <v>1</v>
      </c>
      <c r="AP774" s="137">
        <v>1</v>
      </c>
      <c r="AQ774" s="137">
        <v>1</v>
      </c>
      <c r="AR774" s="137">
        <v>1</v>
      </c>
      <c r="AS774" s="158">
        <v>0.0810595228934205</v>
      </c>
      <c r="AT774" s="141">
        <v>0.133333333333333</v>
      </c>
      <c r="AU774" s="141">
        <v>0.0357142857142857</v>
      </c>
      <c r="AV774" s="141">
        <v>0</v>
      </c>
      <c r="AW774" s="141">
        <v>0.0418848167539267</v>
      </c>
      <c r="AX774" s="95"/>
      <c r="AY774" s="93"/>
    </row>
    <row r="775" ht="14.5" spans="1:51">
      <c r="A775" s="91"/>
      <c r="B775" s="95"/>
      <c r="C775" s="152" t="s">
        <v>668</v>
      </c>
      <c r="D775" s="153" t="s">
        <v>25</v>
      </c>
      <c r="E775" s="130" t="s">
        <v>669</v>
      </c>
      <c r="F775" s="179" t="s">
        <v>802</v>
      </c>
      <c r="G775" s="179" t="s">
        <v>802</v>
      </c>
      <c r="H775" s="179" t="s">
        <v>802</v>
      </c>
      <c r="I775" s="179" t="s">
        <v>802</v>
      </c>
      <c r="J775" s="132">
        <v>0.9</v>
      </c>
      <c r="K775" s="133">
        <v>1</v>
      </c>
      <c r="L775" s="133">
        <v>0.958333333333333</v>
      </c>
      <c r="M775" s="134">
        <v>0.96</v>
      </c>
      <c r="N775" s="133">
        <v>0.947494033412888</v>
      </c>
      <c r="O775" s="135">
        <v>0.9</v>
      </c>
      <c r="P775" s="133">
        <v>0.978341584158416</v>
      </c>
      <c r="Q775" s="133">
        <v>0.964172813487882</v>
      </c>
      <c r="R775" s="133">
        <v>0.994407158836689</v>
      </c>
      <c r="S775" s="133">
        <v>0.979034040090493</v>
      </c>
      <c r="T775" s="135">
        <v>0.9</v>
      </c>
      <c r="U775" s="133">
        <v>0.872524752475248</v>
      </c>
      <c r="V775" s="133">
        <v>0.894625922023182</v>
      </c>
      <c r="W775" s="133">
        <v>0.968680089485459</v>
      </c>
      <c r="X775" s="133">
        <v>0.945809438627874</v>
      </c>
      <c r="Y775" s="135">
        <v>0.92</v>
      </c>
      <c r="Z775" s="135">
        <v>0.886731391585761</v>
      </c>
      <c r="AA775" s="135">
        <v>0.864754098360656</v>
      </c>
      <c r="AB775" s="135">
        <v>0.948051948051948</v>
      </c>
      <c r="AC775" s="135">
        <v>0.940472339048852</v>
      </c>
      <c r="AD775" s="135">
        <v>0.92</v>
      </c>
      <c r="AE775" s="133">
        <v>0.998804113848362</v>
      </c>
      <c r="AF775" s="133">
        <v>0.992438563327032</v>
      </c>
      <c r="AG775" s="133">
        <v>0.996263079222721</v>
      </c>
      <c r="AH775" s="133">
        <v>0.99635240257565</v>
      </c>
      <c r="AI775" s="135">
        <v>0.92</v>
      </c>
      <c r="AJ775" s="133">
        <v>0.894409937888199</v>
      </c>
      <c r="AK775" s="133">
        <v>0.909471919530595</v>
      </c>
      <c r="AL775" s="133">
        <v>0.976010661928032</v>
      </c>
      <c r="AM775" s="133">
        <v>0.965466956907665</v>
      </c>
      <c r="AN775" s="132">
        <v>0.99</v>
      </c>
      <c r="AO775" s="137">
        <v>1</v>
      </c>
      <c r="AP775" s="137">
        <v>1</v>
      </c>
      <c r="AQ775" s="137">
        <v>1</v>
      </c>
      <c r="AR775" s="137">
        <v>1</v>
      </c>
      <c r="AS775" s="158">
        <v>0.0810595228934205</v>
      </c>
      <c r="AT775" s="141">
        <v>0.0526315789473684</v>
      </c>
      <c r="AU775" s="141">
        <v>0</v>
      </c>
      <c r="AV775" s="141">
        <v>0.0416666666666667</v>
      </c>
      <c r="AW775" s="141">
        <v>0.0390804597701149</v>
      </c>
      <c r="AX775" s="95"/>
      <c r="AY775" s="93"/>
    </row>
    <row r="776" ht="14.5" spans="1:51">
      <c r="A776" s="91"/>
      <c r="B776" s="95"/>
      <c r="C776" s="152" t="s">
        <v>668</v>
      </c>
      <c r="D776" s="153" t="s">
        <v>25</v>
      </c>
      <c r="E776" s="130" t="s">
        <v>669</v>
      </c>
      <c r="F776" s="179" t="s">
        <v>803</v>
      </c>
      <c r="G776" s="179" t="s">
        <v>803</v>
      </c>
      <c r="H776" s="179" t="s">
        <v>803</v>
      </c>
      <c r="I776" s="179" t="s">
        <v>803</v>
      </c>
      <c r="J776" s="132">
        <v>0.9</v>
      </c>
      <c r="K776" s="133">
        <v>0.9</v>
      </c>
      <c r="L776" s="133">
        <v>0.961538461538462</v>
      </c>
      <c r="M776" s="134">
        <v>1</v>
      </c>
      <c r="N776" s="133">
        <v>0.965116279069767</v>
      </c>
      <c r="O776" s="135">
        <v>0.9</v>
      </c>
      <c r="P776" s="133">
        <v>0.968074656188605</v>
      </c>
      <c r="Q776" s="133">
        <v>0.972772277227723</v>
      </c>
      <c r="R776" s="133">
        <v>0.985441310282075</v>
      </c>
      <c r="S776" s="133">
        <v>0.977370234522619</v>
      </c>
      <c r="T776" s="135">
        <v>0.9</v>
      </c>
      <c r="U776" s="133">
        <v>0.924852652259332</v>
      </c>
      <c r="V776" s="133">
        <v>0.91006600660066</v>
      </c>
      <c r="W776" s="133">
        <v>0.963603275705187</v>
      </c>
      <c r="X776" s="133">
        <v>0.948516172057353</v>
      </c>
      <c r="Y776" s="135">
        <v>0.92</v>
      </c>
      <c r="Z776" s="135">
        <v>0.9064039408867</v>
      </c>
      <c r="AA776" s="135">
        <v>0.899529042386185</v>
      </c>
      <c r="AB776" s="135">
        <v>0.967948717948718</v>
      </c>
      <c r="AC776" s="135">
        <v>0.956103641705992</v>
      </c>
      <c r="AD776" s="135">
        <v>0.92</v>
      </c>
      <c r="AE776" s="133">
        <v>0.999143835616438</v>
      </c>
      <c r="AF776" s="133">
        <v>0.992831541218638</v>
      </c>
      <c r="AG776" s="133">
        <v>0.996724890829694</v>
      </c>
      <c r="AH776" s="133">
        <v>0.997593059054016</v>
      </c>
      <c r="AI776" s="135">
        <v>0.92</v>
      </c>
      <c r="AJ776" s="133">
        <v>0.947605403192796</v>
      </c>
      <c r="AK776" s="133">
        <v>0.93531525645214</v>
      </c>
      <c r="AL776" s="133">
        <v>0.981579879560751</v>
      </c>
      <c r="AM776" s="133">
        <v>0.973819940952584</v>
      </c>
      <c r="AN776" s="132">
        <v>0.99</v>
      </c>
      <c r="AO776" s="137">
        <v>1</v>
      </c>
      <c r="AP776" s="137">
        <v>1</v>
      </c>
      <c r="AQ776" s="137">
        <v>1</v>
      </c>
      <c r="AR776" s="137">
        <v>1</v>
      </c>
      <c r="AS776" s="158">
        <v>0.0810595228934205</v>
      </c>
      <c r="AT776" s="141">
        <v>0.0769230769230769</v>
      </c>
      <c r="AU776" s="141">
        <v>0</v>
      </c>
      <c r="AV776" s="141">
        <v>0.0952380952380952</v>
      </c>
      <c r="AW776" s="141">
        <v>0.0288184438040346</v>
      </c>
      <c r="AX776" s="95"/>
      <c r="AY776" s="93"/>
    </row>
    <row r="777" ht="14.5" spans="1:51">
      <c r="A777" s="91"/>
      <c r="B777" s="95"/>
      <c r="C777" s="152" t="s">
        <v>668</v>
      </c>
      <c r="D777" s="153" t="s">
        <v>25</v>
      </c>
      <c r="E777" s="130" t="s">
        <v>669</v>
      </c>
      <c r="F777" s="179" t="s">
        <v>804</v>
      </c>
      <c r="G777" s="179" t="s">
        <v>804</v>
      </c>
      <c r="H777" s="179" t="s">
        <v>804</v>
      </c>
      <c r="I777" s="179" t="s">
        <v>804</v>
      </c>
      <c r="J777" s="132">
        <v>0.9</v>
      </c>
      <c r="K777" s="133">
        <v>0.578947368421053</v>
      </c>
      <c r="L777" s="133">
        <v>0.333333333333333</v>
      </c>
      <c r="M777" s="134">
        <v>0.444444444444444</v>
      </c>
      <c r="N777" s="133">
        <v>0.459701492537313</v>
      </c>
      <c r="O777" s="135">
        <v>0.9</v>
      </c>
      <c r="P777" s="133">
        <v>0.738244514106583</v>
      </c>
      <c r="Q777" s="133">
        <v>0.694117647058824</v>
      </c>
      <c r="R777" s="133">
        <v>0.814323607427056</v>
      </c>
      <c r="S777" s="133">
        <v>0.8309963099631</v>
      </c>
      <c r="T777" s="135">
        <v>0.9</v>
      </c>
      <c r="U777" s="133">
        <v>0.68025078369906</v>
      </c>
      <c r="V777" s="133">
        <v>0.464052287581699</v>
      </c>
      <c r="W777" s="133">
        <v>0.657824933687003</v>
      </c>
      <c r="X777" s="133">
        <v>0.721736074503602</v>
      </c>
      <c r="Y777" s="135">
        <v>0.92</v>
      </c>
      <c r="Z777" s="135">
        <v>0.720524017467249</v>
      </c>
      <c r="AA777" s="135">
        <v>0.712871287128713</v>
      </c>
      <c r="AB777" s="135">
        <v>0.661016949152542</v>
      </c>
      <c r="AC777" s="135">
        <v>0.819155092592593</v>
      </c>
      <c r="AD777" s="135">
        <v>0.92</v>
      </c>
      <c r="AE777" s="133">
        <v>0.989130434782609</v>
      </c>
      <c r="AF777" s="133">
        <v>0.910216718266254</v>
      </c>
      <c r="AG777" s="133">
        <v>0.997261774370208</v>
      </c>
      <c r="AH777" s="133">
        <v>0.978616712632974</v>
      </c>
      <c r="AI777" s="135">
        <v>0.92</v>
      </c>
      <c r="AJ777" s="133">
        <v>0.778073089700997</v>
      </c>
      <c r="AK777" s="133">
        <v>0.718863049095607</v>
      </c>
      <c r="AL777" s="133">
        <v>0.776584317937701</v>
      </c>
      <c r="AM777" s="133">
        <v>0.875961103573044</v>
      </c>
      <c r="AN777" s="132">
        <v>0.99</v>
      </c>
      <c r="AO777" s="137">
        <v>1</v>
      </c>
      <c r="AP777" s="137">
        <v>1</v>
      </c>
      <c r="AQ777" s="137">
        <v>1</v>
      </c>
      <c r="AR777" s="137">
        <v>1</v>
      </c>
      <c r="AS777" s="158">
        <v>0.0810595228934205</v>
      </c>
      <c r="AT777" s="141">
        <v>0.117647058823529</v>
      </c>
      <c r="AU777" s="141">
        <v>0</v>
      </c>
      <c r="AV777" s="141">
        <v>0.0625</v>
      </c>
      <c r="AW777" s="141">
        <v>0.0333333333333333</v>
      </c>
      <c r="AX777" s="95"/>
      <c r="AY777" s="93"/>
    </row>
    <row r="778" ht="14.5" spans="1:51">
      <c r="A778" s="91"/>
      <c r="B778" s="95"/>
      <c r="C778" s="152" t="s">
        <v>668</v>
      </c>
      <c r="D778" s="153" t="s">
        <v>25</v>
      </c>
      <c r="E778" s="130" t="s">
        <v>669</v>
      </c>
      <c r="F778" s="179" t="s">
        <v>805</v>
      </c>
      <c r="G778" s="179" t="s">
        <v>805</v>
      </c>
      <c r="H778" s="179" t="s">
        <v>805</v>
      </c>
      <c r="I778" s="179" t="s">
        <v>805</v>
      </c>
      <c r="J778" s="132">
        <v>0.9</v>
      </c>
      <c r="K778" s="133">
        <v>0.8</v>
      </c>
      <c r="L778" s="133">
        <v>0.793103448275862</v>
      </c>
      <c r="M778" s="134">
        <v>0.866666666666667</v>
      </c>
      <c r="N778" s="133">
        <v>0.880077369439072</v>
      </c>
      <c r="O778" s="135">
        <v>0.9</v>
      </c>
      <c r="P778" s="133">
        <v>0.962796664528544</v>
      </c>
      <c r="Q778" s="133">
        <v>0.919605809128631</v>
      </c>
      <c r="R778" s="133">
        <v>0.931071049840933</v>
      </c>
      <c r="S778" s="133">
        <v>0.953753993610224</v>
      </c>
      <c r="T778" s="135">
        <v>0.9</v>
      </c>
      <c r="U778" s="133">
        <v>0.897370109044259</v>
      </c>
      <c r="V778" s="133">
        <v>0.91649377593361</v>
      </c>
      <c r="W778" s="133">
        <v>0.912513255567338</v>
      </c>
      <c r="X778" s="133">
        <v>0.926597444089457</v>
      </c>
      <c r="Y778" s="135">
        <v>0.92</v>
      </c>
      <c r="Z778" s="135">
        <v>0.807017543859649</v>
      </c>
      <c r="AA778" s="135">
        <v>0.91025641025641</v>
      </c>
      <c r="AB778" s="135">
        <v>0.890322580645161</v>
      </c>
      <c r="AC778" s="135">
        <v>0.908629441624365</v>
      </c>
      <c r="AD778" s="135">
        <v>0.92</v>
      </c>
      <c r="AE778" s="133">
        <v>0.996661101836394</v>
      </c>
      <c r="AF778" s="133">
        <v>0.996007984031936</v>
      </c>
      <c r="AG778" s="133">
        <v>0.997490589711418</v>
      </c>
      <c r="AH778" s="133">
        <v>0.991999123191583</v>
      </c>
      <c r="AI778" s="135">
        <v>0.92</v>
      </c>
      <c r="AJ778" s="133">
        <v>0.904786954234613</v>
      </c>
      <c r="AK778" s="133">
        <v>0.932387312186978</v>
      </c>
      <c r="AL778" s="133">
        <v>0.93619736282433</v>
      </c>
      <c r="AM778" s="133">
        <v>0.949299761940507</v>
      </c>
      <c r="AN778" s="132">
        <v>0.99</v>
      </c>
      <c r="AO778" s="137">
        <v>1</v>
      </c>
      <c r="AP778" s="137">
        <v>1</v>
      </c>
      <c r="AQ778" s="137">
        <v>1</v>
      </c>
      <c r="AR778" s="137">
        <v>1</v>
      </c>
      <c r="AS778" s="158">
        <v>0.0810595228934205</v>
      </c>
      <c r="AT778" s="141">
        <v>0</v>
      </c>
      <c r="AU778" s="141">
        <v>0</v>
      </c>
      <c r="AV778" s="141">
        <v>0.0833333333333333</v>
      </c>
      <c r="AW778" s="141">
        <v>0.0347490347490347</v>
      </c>
      <c r="AX778" s="95"/>
      <c r="AY778" s="93"/>
    </row>
    <row r="779" ht="14.5" spans="1:51">
      <c r="A779" s="91"/>
      <c r="B779" s="95"/>
      <c r="C779" s="152" t="s">
        <v>668</v>
      </c>
      <c r="D779" s="153" t="s">
        <v>25</v>
      </c>
      <c r="E779" s="130" t="s">
        <v>669</v>
      </c>
      <c r="F779" s="179" t="s">
        <v>806</v>
      </c>
      <c r="G779" s="179" t="s">
        <v>806</v>
      </c>
      <c r="H779" s="179" t="s">
        <v>806</v>
      </c>
      <c r="I779" s="179" t="s">
        <v>806</v>
      </c>
      <c r="J779" s="132">
        <v>0.9</v>
      </c>
      <c r="K779" s="133">
        <v>0.545454545454545</v>
      </c>
      <c r="L779" s="133">
        <v>0.363636363636364</v>
      </c>
      <c r="M779" s="134">
        <v>0.434782608695652</v>
      </c>
      <c r="N779" s="133">
        <v>0.571059431524548</v>
      </c>
      <c r="O779" s="135">
        <v>0.9</v>
      </c>
      <c r="P779" s="133">
        <v>0.955423476968796</v>
      </c>
      <c r="Q779" s="133">
        <v>0.969230769230769</v>
      </c>
      <c r="R779" s="133">
        <v>0.928263988522238</v>
      </c>
      <c r="S779" s="133">
        <v>0.925754443985118</v>
      </c>
      <c r="T779" s="135">
        <v>0.9</v>
      </c>
      <c r="U779" s="133">
        <v>0.843982169390788</v>
      </c>
      <c r="V779" s="133">
        <v>0.87008547008547</v>
      </c>
      <c r="W779" s="133">
        <v>0.84648493543759</v>
      </c>
      <c r="X779" s="133">
        <v>0.877304671351798</v>
      </c>
      <c r="Y779" s="135">
        <v>0.92</v>
      </c>
      <c r="Z779" s="135">
        <v>0.923076923076923</v>
      </c>
      <c r="AA779" s="135">
        <v>0.923832923832924</v>
      </c>
      <c r="AB779" s="135">
        <v>0.941644562334218</v>
      </c>
      <c r="AC779" s="135">
        <v>0.937965260545906</v>
      </c>
      <c r="AD779" s="135">
        <v>0.92</v>
      </c>
      <c r="AE779" s="133">
        <v>0.801152737752161</v>
      </c>
      <c r="AF779" s="133">
        <v>0.956647398843931</v>
      </c>
      <c r="AG779" s="133">
        <v>0.98</v>
      </c>
      <c r="AH779" s="133">
        <v>0.974189436788019</v>
      </c>
      <c r="AI779" s="135">
        <v>0.92</v>
      </c>
      <c r="AJ779" s="133">
        <v>0.923583662714098</v>
      </c>
      <c r="AK779" s="133">
        <v>0.929125138427464</v>
      </c>
      <c r="AL779" s="133">
        <v>0.943685073810826</v>
      </c>
      <c r="AM779" s="133">
        <v>0.940243596532791</v>
      </c>
      <c r="AN779" s="132">
        <v>0.99</v>
      </c>
      <c r="AO779" s="137">
        <v>1</v>
      </c>
      <c r="AP779" s="137">
        <v>1</v>
      </c>
      <c r="AQ779" s="137">
        <v>1</v>
      </c>
      <c r="AR779" s="137">
        <v>1</v>
      </c>
      <c r="AS779" s="158">
        <v>0.0810595228934205</v>
      </c>
      <c r="AT779" s="141">
        <v>0.117647058823529</v>
      </c>
      <c r="AU779" s="141">
        <v>0.142857142857143</v>
      </c>
      <c r="AV779" s="141">
        <v>0</v>
      </c>
      <c r="AW779" s="141">
        <v>0.0551724137931034</v>
      </c>
      <c r="AX779" s="95"/>
      <c r="AY779" s="93"/>
    </row>
    <row r="780" ht="14.5" spans="1:51">
      <c r="A780" s="91"/>
      <c r="B780" s="95"/>
      <c r="C780" s="152" t="s">
        <v>668</v>
      </c>
      <c r="D780" s="153" t="s">
        <v>25</v>
      </c>
      <c r="E780" s="130" t="s">
        <v>669</v>
      </c>
      <c r="F780" s="179" t="s">
        <v>807</v>
      </c>
      <c r="G780" s="179" t="s">
        <v>807</v>
      </c>
      <c r="H780" s="179" t="s">
        <v>807</v>
      </c>
      <c r="I780" s="179" t="s">
        <v>807</v>
      </c>
      <c r="J780" s="132">
        <v>0.9</v>
      </c>
      <c r="K780" s="133">
        <v>1</v>
      </c>
      <c r="L780" s="133">
        <v>0.916666666666667</v>
      </c>
      <c r="M780" s="134">
        <v>1</v>
      </c>
      <c r="N780" s="133">
        <v>0.736842105263158</v>
      </c>
      <c r="O780" s="135">
        <v>0.9</v>
      </c>
      <c r="P780" s="133">
        <v>0.968792401628223</v>
      </c>
      <c r="Q780" s="133">
        <v>0.941526263627354</v>
      </c>
      <c r="R780" s="133">
        <v>0.959752321981424</v>
      </c>
      <c r="S780" s="133">
        <v>0.946945767974731</v>
      </c>
      <c r="T780" s="135">
        <v>0.9</v>
      </c>
      <c r="U780" s="133">
        <v>0.796472184531886</v>
      </c>
      <c r="V780" s="133">
        <v>0.843409316154609</v>
      </c>
      <c r="W780" s="133">
        <v>0.855521155830753</v>
      </c>
      <c r="X780" s="133">
        <v>0.822527972589539</v>
      </c>
      <c r="Y780" s="135">
        <v>0.92</v>
      </c>
      <c r="Z780" s="135">
        <v>0.871621621621622</v>
      </c>
      <c r="AA780" s="135">
        <v>0.841509433962264</v>
      </c>
      <c r="AB780" s="135">
        <v>0.941422594142259</v>
      </c>
      <c r="AC780" s="135">
        <v>0.901952182496161</v>
      </c>
      <c r="AD780" s="135">
        <v>0.92</v>
      </c>
      <c r="AE780" s="133">
        <v>1</v>
      </c>
      <c r="AF780" s="133">
        <v>1</v>
      </c>
      <c r="AG780" s="133">
        <v>0.996212121212121</v>
      </c>
      <c r="AH780" s="133">
        <v>0.997961104140527</v>
      </c>
      <c r="AI780" s="135">
        <v>0.92</v>
      </c>
      <c r="AJ780" s="133">
        <v>0.914124293785311</v>
      </c>
      <c r="AK780" s="133">
        <v>0.905808477237049</v>
      </c>
      <c r="AL780" s="133">
        <v>0.956953642384106</v>
      </c>
      <c r="AM780" s="133">
        <v>0.936792736973452</v>
      </c>
      <c r="AN780" s="132">
        <v>0.99</v>
      </c>
      <c r="AO780" s="137">
        <v>1</v>
      </c>
      <c r="AP780" s="137">
        <v>1</v>
      </c>
      <c r="AQ780" s="137">
        <v>1</v>
      </c>
      <c r="AR780" s="137">
        <v>1</v>
      </c>
      <c r="AS780" s="158">
        <v>0.0810595228934205</v>
      </c>
      <c r="AT780" s="141">
        <v>0.0588235294117647</v>
      </c>
      <c r="AU780" s="141">
        <v>0</v>
      </c>
      <c r="AV780" s="141">
        <v>0.0526315789473684</v>
      </c>
      <c r="AW780" s="141">
        <v>0.0271493212669683</v>
      </c>
      <c r="AX780" s="95"/>
      <c r="AY780" s="93"/>
    </row>
    <row r="781" ht="14.5" spans="1:51">
      <c r="A781" s="91"/>
      <c r="B781" s="95"/>
      <c r="C781" s="152" t="s">
        <v>668</v>
      </c>
      <c r="D781" s="153" t="s">
        <v>25</v>
      </c>
      <c r="E781" s="130" t="s">
        <v>669</v>
      </c>
      <c r="F781" s="179" t="s">
        <v>808</v>
      </c>
      <c r="G781" s="179" t="s">
        <v>808</v>
      </c>
      <c r="H781" s="179" t="s">
        <v>808</v>
      </c>
      <c r="I781" s="179" t="s">
        <v>808</v>
      </c>
      <c r="J781" s="132">
        <v>0.9</v>
      </c>
      <c r="K781" s="133">
        <v>0.941176470588235</v>
      </c>
      <c r="L781" s="133">
        <v>0.897959183673469</v>
      </c>
      <c r="M781" s="134">
        <v>0.879310344827586</v>
      </c>
      <c r="N781" s="133">
        <v>0.901548672566372</v>
      </c>
      <c r="O781" s="135">
        <v>0.9</v>
      </c>
      <c r="P781" s="133">
        <v>0.954183266932271</v>
      </c>
      <c r="Q781" s="133">
        <v>0.956384986370308</v>
      </c>
      <c r="R781" s="133">
        <v>0.955882352941177</v>
      </c>
      <c r="S781" s="133">
        <v>0.950795004857705</v>
      </c>
      <c r="T781" s="135">
        <v>0.9</v>
      </c>
      <c r="U781" s="133">
        <v>0.917441345728198</v>
      </c>
      <c r="V781" s="133">
        <v>0.916544348920109</v>
      </c>
      <c r="W781" s="133">
        <v>0.932040998217469</v>
      </c>
      <c r="X781" s="133">
        <v>0.91495462192839</v>
      </c>
      <c r="Y781" s="135">
        <v>0.92</v>
      </c>
      <c r="Z781" s="135">
        <v>0.934545454545455</v>
      </c>
      <c r="AA781" s="135">
        <v>0.911078717201166</v>
      </c>
      <c r="AB781" s="135">
        <v>0.929738562091503</v>
      </c>
      <c r="AC781" s="135">
        <v>0.921898606681215</v>
      </c>
      <c r="AD781" s="135">
        <v>0.92</v>
      </c>
      <c r="AE781" s="133">
        <v>0.935714285714286</v>
      </c>
      <c r="AF781" s="133">
        <v>0.998940116587175</v>
      </c>
      <c r="AG781" s="133">
        <v>0.979396615158205</v>
      </c>
      <c r="AH781" s="133">
        <v>0.98999781202138</v>
      </c>
      <c r="AI781" s="135">
        <v>0.92</v>
      </c>
      <c r="AJ781" s="133">
        <v>0.95358412876661</v>
      </c>
      <c r="AK781" s="133">
        <v>0.939798242759518</v>
      </c>
      <c r="AL781" s="133">
        <v>0.959454736106257</v>
      </c>
      <c r="AM781" s="133">
        <v>0.95058764875869</v>
      </c>
      <c r="AN781" s="132">
        <v>0.99</v>
      </c>
      <c r="AO781" s="137">
        <v>1</v>
      </c>
      <c r="AP781" s="137">
        <v>1</v>
      </c>
      <c r="AQ781" s="137">
        <v>1</v>
      </c>
      <c r="AR781" s="137">
        <v>1</v>
      </c>
      <c r="AS781" s="158">
        <v>0.0810595228934205</v>
      </c>
      <c r="AT781" s="141">
        <v>0.032258064516129</v>
      </c>
      <c r="AU781" s="141">
        <v>0.0416666666666667</v>
      </c>
      <c r="AV781" s="141">
        <v>0.0357142857142857</v>
      </c>
      <c r="AW781" s="141">
        <v>0.0466019417475728</v>
      </c>
      <c r="AX781" s="95"/>
      <c r="AY781" s="93"/>
    </row>
    <row r="782" ht="14.5" spans="1:51">
      <c r="A782" s="91"/>
      <c r="B782" s="95"/>
      <c r="C782" s="152" t="s">
        <v>668</v>
      </c>
      <c r="D782" s="153" t="s">
        <v>25</v>
      </c>
      <c r="E782" s="130" t="s">
        <v>669</v>
      </c>
      <c r="F782" s="179" t="s">
        <v>809</v>
      </c>
      <c r="G782" s="179" t="s">
        <v>809</v>
      </c>
      <c r="H782" s="179" t="s">
        <v>809</v>
      </c>
      <c r="I782" s="179" t="s">
        <v>809</v>
      </c>
      <c r="J782" s="132">
        <v>0.9</v>
      </c>
      <c r="K782" s="133">
        <v>0.9</v>
      </c>
      <c r="L782" s="133">
        <v>0.821428571428571</v>
      </c>
      <c r="M782" s="134">
        <v>0.9</v>
      </c>
      <c r="N782" s="133">
        <v>0.858823529411765</v>
      </c>
      <c r="O782" s="135">
        <v>0.9</v>
      </c>
      <c r="P782" s="133">
        <v>0.913847364280094</v>
      </c>
      <c r="Q782" s="133">
        <v>0.947976878612717</v>
      </c>
      <c r="R782" s="133">
        <v>0.93621867881549</v>
      </c>
      <c r="S782" s="133">
        <v>0.95054587688734</v>
      </c>
      <c r="T782" s="135">
        <v>0.9</v>
      </c>
      <c r="U782" s="133">
        <v>0.878442171518489</v>
      </c>
      <c r="V782" s="133">
        <v>0.887861271676301</v>
      </c>
      <c r="W782" s="133">
        <v>0.932118451025057</v>
      </c>
      <c r="X782" s="133">
        <v>0.925296167247387</v>
      </c>
      <c r="Y782" s="135">
        <v>0.92</v>
      </c>
      <c r="Z782" s="135">
        <v>0.914760914760915</v>
      </c>
      <c r="AA782" s="135">
        <v>0.892541087231353</v>
      </c>
      <c r="AB782" s="135">
        <v>0.907742998352554</v>
      </c>
      <c r="AC782" s="135">
        <v>0.923452631578947</v>
      </c>
      <c r="AD782" s="135">
        <v>0.92</v>
      </c>
      <c r="AE782" s="133">
        <v>0.994984326018809</v>
      </c>
      <c r="AF782" s="133">
        <v>0.992070484581498</v>
      </c>
      <c r="AG782" s="133">
        <v>0.990302560124127</v>
      </c>
      <c r="AH782" s="133">
        <v>0.993453571293816</v>
      </c>
      <c r="AI782" s="135">
        <v>0.92</v>
      </c>
      <c r="AJ782" s="133">
        <v>0.935825339067152</v>
      </c>
      <c r="AK782" s="133">
        <v>0.906489675516224</v>
      </c>
      <c r="AL782" s="133">
        <v>0.950124688279302</v>
      </c>
      <c r="AM782" s="133">
        <v>0.949632052330335</v>
      </c>
      <c r="AN782" s="132">
        <v>0.99</v>
      </c>
      <c r="AO782" s="137">
        <v>1</v>
      </c>
      <c r="AP782" s="137">
        <v>1</v>
      </c>
      <c r="AQ782" s="137">
        <v>1</v>
      </c>
      <c r="AR782" s="137">
        <v>1</v>
      </c>
      <c r="AS782" s="158">
        <v>0.0810595228934205</v>
      </c>
      <c r="AT782" s="141">
        <v>0</v>
      </c>
      <c r="AU782" s="141">
        <v>0</v>
      </c>
      <c r="AV782" s="141">
        <v>0.0625</v>
      </c>
      <c r="AW782" s="141">
        <v>0.0365853658536585</v>
      </c>
      <c r="AX782" s="95"/>
      <c r="AY782" s="93"/>
    </row>
    <row r="783" ht="14.5" spans="1:51">
      <c r="A783" s="91"/>
      <c r="B783" s="95"/>
      <c r="C783" s="152" t="s">
        <v>668</v>
      </c>
      <c r="D783" s="153" t="s">
        <v>25</v>
      </c>
      <c r="E783" s="130" t="s">
        <v>669</v>
      </c>
      <c r="F783" s="179" t="s">
        <v>810</v>
      </c>
      <c r="G783" s="179" t="s">
        <v>810</v>
      </c>
      <c r="H783" s="179" t="s">
        <v>810</v>
      </c>
      <c r="I783" s="179" t="s">
        <v>810</v>
      </c>
      <c r="J783" s="132">
        <v>0.9</v>
      </c>
      <c r="K783" s="133">
        <v>0.958333333333333</v>
      </c>
      <c r="L783" s="133">
        <v>0.708333333333333</v>
      </c>
      <c r="M783" s="134">
        <v>0.826086956521739</v>
      </c>
      <c r="N783" s="133">
        <v>0.785900783289817</v>
      </c>
      <c r="O783" s="135">
        <v>0.9</v>
      </c>
      <c r="P783" s="133">
        <v>0.910031023784902</v>
      </c>
      <c r="Q783" s="133">
        <v>0.905176832393644</v>
      </c>
      <c r="R783" s="133">
        <v>0.911733046286329</v>
      </c>
      <c r="S783" s="133">
        <v>0.912396394216226</v>
      </c>
      <c r="T783" s="135">
        <v>0.9</v>
      </c>
      <c r="U783" s="133">
        <v>0.935367114788004</v>
      </c>
      <c r="V783" s="133">
        <v>0.930804715530497</v>
      </c>
      <c r="W783" s="133">
        <v>0.939181916038751</v>
      </c>
      <c r="X783" s="133">
        <v>0.926250831871257</v>
      </c>
      <c r="Y783" s="135">
        <v>0.92</v>
      </c>
      <c r="Z783" s="135">
        <v>0.930930930930931</v>
      </c>
      <c r="AA783" s="135">
        <v>0.935153583617747</v>
      </c>
      <c r="AB783" s="135">
        <v>0.961145194274029</v>
      </c>
      <c r="AC783" s="135">
        <v>0.944856839872747</v>
      </c>
      <c r="AD783" s="135">
        <v>0.92</v>
      </c>
      <c r="AE783" s="133">
        <v>0.998</v>
      </c>
      <c r="AF783" s="133">
        <v>0.998931623931624</v>
      </c>
      <c r="AG783" s="133">
        <v>0.998287671232877</v>
      </c>
      <c r="AH783" s="133">
        <v>0.975662407297796</v>
      </c>
      <c r="AI783" s="135">
        <v>0.92</v>
      </c>
      <c r="AJ783" s="133">
        <v>0.969590127809608</v>
      </c>
      <c r="AK783" s="133">
        <v>0.953149606299213</v>
      </c>
      <c r="AL783" s="133">
        <v>0.979557069846678</v>
      </c>
      <c r="AM783" s="133">
        <v>0.968303980813092</v>
      </c>
      <c r="AN783" s="132">
        <v>0.99</v>
      </c>
      <c r="AO783" s="137">
        <v>1</v>
      </c>
      <c r="AP783" s="137">
        <v>1</v>
      </c>
      <c r="AQ783" s="137">
        <v>1</v>
      </c>
      <c r="AR783" s="137">
        <v>1</v>
      </c>
      <c r="AS783" s="158">
        <v>0.0810595228934205</v>
      </c>
      <c r="AT783" s="141">
        <v>0</v>
      </c>
      <c r="AU783" s="141">
        <v>0</v>
      </c>
      <c r="AV783" s="141">
        <v>0.25</v>
      </c>
      <c r="AW783" s="141">
        <v>0.0869565217391304</v>
      </c>
      <c r="AX783" s="95"/>
      <c r="AY783" s="93"/>
    </row>
    <row r="784" ht="14.5" spans="1:51">
      <c r="A784" s="91"/>
      <c r="B784" s="95"/>
      <c r="C784" s="152" t="s">
        <v>668</v>
      </c>
      <c r="D784" s="153" t="s">
        <v>25</v>
      </c>
      <c r="E784" s="130" t="s">
        <v>669</v>
      </c>
      <c r="F784" s="179" t="s">
        <v>811</v>
      </c>
      <c r="G784" s="179" t="s">
        <v>811</v>
      </c>
      <c r="H784" s="179" t="s">
        <v>811</v>
      </c>
      <c r="I784" s="179" t="s">
        <v>811</v>
      </c>
      <c r="J784" s="132">
        <v>0.9</v>
      </c>
      <c r="K784" s="133">
        <v>0.813953488372093</v>
      </c>
      <c r="L784" s="133">
        <v>0.743589743589744</v>
      </c>
      <c r="M784" s="134">
        <v>0.86046511627907</v>
      </c>
      <c r="N784" s="133">
        <v>0.851595006934813</v>
      </c>
      <c r="O784" s="135">
        <v>0.9</v>
      </c>
      <c r="P784" s="133">
        <v>0.949453978159126</v>
      </c>
      <c r="Q784" s="133">
        <v>0.9149377593361</v>
      </c>
      <c r="R784" s="133">
        <v>0.950405186385737</v>
      </c>
      <c r="S784" s="133">
        <v>0.939109141388884</v>
      </c>
      <c r="T784" s="135">
        <v>0.9</v>
      </c>
      <c r="U784" s="133">
        <v>0.932917316692668</v>
      </c>
      <c r="V784" s="133">
        <v>0.913752222880854</v>
      </c>
      <c r="W784" s="133">
        <v>0.915072933549433</v>
      </c>
      <c r="X784" s="133">
        <v>0.921088482298367</v>
      </c>
      <c r="Y784" s="135">
        <v>0.92</v>
      </c>
      <c r="Z784" s="135">
        <v>0.916403785488959</v>
      </c>
      <c r="AA784" s="135">
        <v>0.915405164737311</v>
      </c>
      <c r="AB784" s="135">
        <v>0.940281030444965</v>
      </c>
      <c r="AC784" s="135">
        <v>0.928056697040081</v>
      </c>
      <c r="AD784" s="135">
        <v>0.92</v>
      </c>
      <c r="AE784" s="133">
        <v>1</v>
      </c>
      <c r="AF784" s="133">
        <v>0.998663101604278</v>
      </c>
      <c r="AG784" s="133">
        <v>0.99546485260771</v>
      </c>
      <c r="AH784" s="133">
        <v>0.998482637875693</v>
      </c>
      <c r="AI784" s="135">
        <v>0.92</v>
      </c>
      <c r="AJ784" s="133">
        <v>0.957541026308935</v>
      </c>
      <c r="AK784" s="133">
        <v>0.952899355698734</v>
      </c>
      <c r="AL784" s="133">
        <v>0.968036529680365</v>
      </c>
      <c r="AM784" s="133">
        <v>0.962779819579018</v>
      </c>
      <c r="AN784" s="132">
        <v>0.99</v>
      </c>
      <c r="AO784" s="137">
        <v>1</v>
      </c>
      <c r="AP784" s="137">
        <v>1</v>
      </c>
      <c r="AQ784" s="137">
        <v>1</v>
      </c>
      <c r="AR784" s="137">
        <v>1</v>
      </c>
      <c r="AS784" s="158">
        <v>0.0810595228934205</v>
      </c>
      <c r="AT784" s="141">
        <v>0.0666666666666667</v>
      </c>
      <c r="AU784" s="141">
        <v>0</v>
      </c>
      <c r="AV784" s="141">
        <v>0.0714285714285714</v>
      </c>
      <c r="AW784" s="141">
        <v>0.0352112676056338</v>
      </c>
      <c r="AX784" s="95"/>
      <c r="AY784" s="93"/>
    </row>
    <row r="785" ht="14.5" spans="1:51">
      <c r="A785" s="91"/>
      <c r="B785" s="95"/>
      <c r="C785" s="152" t="s">
        <v>668</v>
      </c>
      <c r="D785" s="153" t="s">
        <v>25</v>
      </c>
      <c r="E785" s="130" t="s">
        <v>669</v>
      </c>
      <c r="F785" s="179" t="s">
        <v>812</v>
      </c>
      <c r="G785" s="179" t="s">
        <v>812</v>
      </c>
      <c r="H785" s="179" t="s">
        <v>812</v>
      </c>
      <c r="I785" s="179" t="s">
        <v>812</v>
      </c>
      <c r="J785" s="132">
        <v>0.9</v>
      </c>
      <c r="K785" s="133">
        <v>0.708333333333333</v>
      </c>
      <c r="L785" s="133">
        <v>0.826086956521739</v>
      </c>
      <c r="M785" s="134">
        <v>0.708333333333333</v>
      </c>
      <c r="N785" s="133">
        <v>0.756218905472637</v>
      </c>
      <c r="O785" s="135">
        <v>0.9</v>
      </c>
      <c r="P785" s="133">
        <v>0.939030484757621</v>
      </c>
      <c r="Q785" s="133">
        <v>0.93986013986014</v>
      </c>
      <c r="R785" s="133">
        <v>0.961538461538462</v>
      </c>
      <c r="S785" s="133">
        <v>0.950711729187727</v>
      </c>
      <c r="T785" s="135">
        <v>0.9</v>
      </c>
      <c r="U785" s="133">
        <v>0.911044477761119</v>
      </c>
      <c r="V785" s="133">
        <v>0.904895104895105</v>
      </c>
      <c r="W785" s="133">
        <v>0.911642411642412</v>
      </c>
      <c r="X785" s="133">
        <v>0.911723723395536</v>
      </c>
      <c r="Y785" s="135">
        <v>0.92</v>
      </c>
      <c r="Z785" s="135">
        <v>0.897959183673469</v>
      </c>
      <c r="AA785" s="135">
        <v>0.892405063291139</v>
      </c>
      <c r="AB785" s="135">
        <v>0.911877394636015</v>
      </c>
      <c r="AC785" s="135">
        <v>0.905019965772961</v>
      </c>
      <c r="AD785" s="135">
        <v>0.92</v>
      </c>
      <c r="AE785" s="133">
        <v>0.996972754793138</v>
      </c>
      <c r="AF785" s="133">
        <v>0.995374653098982</v>
      </c>
      <c r="AG785" s="133">
        <v>0.997652582159624</v>
      </c>
      <c r="AH785" s="133">
        <v>0.987066246056782</v>
      </c>
      <c r="AI785" s="135">
        <v>0.92</v>
      </c>
      <c r="AJ785" s="133">
        <v>0.945674885081488</v>
      </c>
      <c r="AK785" s="133">
        <v>0.942425332853544</v>
      </c>
      <c r="AL785" s="133">
        <v>0.949304987735078</v>
      </c>
      <c r="AM785" s="133">
        <v>0.951760988952736</v>
      </c>
      <c r="AN785" s="132">
        <v>0.99</v>
      </c>
      <c r="AO785" s="137">
        <v>1</v>
      </c>
      <c r="AP785" s="137">
        <v>1</v>
      </c>
      <c r="AQ785" s="137">
        <v>1</v>
      </c>
      <c r="AR785" s="137">
        <v>1</v>
      </c>
      <c r="AS785" s="158">
        <v>0.0810595228934205</v>
      </c>
      <c r="AT785" s="141">
        <v>0</v>
      </c>
      <c r="AU785" s="141">
        <v>0.0909090909090909</v>
      </c>
      <c r="AV785" s="141">
        <v>0</v>
      </c>
      <c r="AW785" s="141">
        <v>0.0396039603960396</v>
      </c>
      <c r="AX785" s="95"/>
      <c r="AY785" s="93"/>
    </row>
    <row r="786" ht="14.5" spans="1:51">
      <c r="A786" s="91"/>
      <c r="B786" s="95"/>
      <c r="C786" s="152" t="s">
        <v>668</v>
      </c>
      <c r="D786" s="153" t="s">
        <v>25</v>
      </c>
      <c r="E786" s="130" t="s">
        <v>669</v>
      </c>
      <c r="F786" s="179" t="s">
        <v>813</v>
      </c>
      <c r="G786" s="179" t="s">
        <v>813</v>
      </c>
      <c r="H786" s="179" t="s">
        <v>813</v>
      </c>
      <c r="I786" s="179" t="s">
        <v>813</v>
      </c>
      <c r="J786" s="132">
        <v>0.9</v>
      </c>
      <c r="K786" s="133">
        <v>0.875</v>
      </c>
      <c r="L786" s="133">
        <v>0.928571428571429</v>
      </c>
      <c r="M786" s="134">
        <v>0.964285714285714</v>
      </c>
      <c r="N786" s="133">
        <v>0.915547024952015</v>
      </c>
      <c r="O786" s="135">
        <v>0.9</v>
      </c>
      <c r="P786" s="133">
        <v>0.950037285607755</v>
      </c>
      <c r="Q786" s="133">
        <v>0.920386409060626</v>
      </c>
      <c r="R786" s="133">
        <v>0.945963541666667</v>
      </c>
      <c r="S786" s="133">
        <v>0.946099704605959</v>
      </c>
      <c r="T786" s="135">
        <v>0.9</v>
      </c>
      <c r="U786" s="133">
        <v>0.929530201342282</v>
      </c>
      <c r="V786" s="133">
        <v>0.884410393071286</v>
      </c>
      <c r="W786" s="133">
        <v>0.9267578125</v>
      </c>
      <c r="X786" s="133">
        <v>0.924729222129025</v>
      </c>
      <c r="Y786" s="135">
        <v>0.92</v>
      </c>
      <c r="Z786" s="135">
        <v>0.916015625</v>
      </c>
      <c r="AA786" s="135">
        <v>0.932223543400713</v>
      </c>
      <c r="AB786" s="135">
        <v>0.924157303370786</v>
      </c>
      <c r="AC786" s="135">
        <v>0.925405096723535</v>
      </c>
      <c r="AD786" s="135">
        <v>0.92</v>
      </c>
      <c r="AE786" s="133">
        <v>0.996784565916399</v>
      </c>
      <c r="AF786" s="133">
        <v>0.993392070484581</v>
      </c>
      <c r="AG786" s="133">
        <v>0.989028213166144</v>
      </c>
      <c r="AH786" s="133">
        <v>0.993276023491361</v>
      </c>
      <c r="AI786" s="135">
        <v>0.92</v>
      </c>
      <c r="AJ786" s="133">
        <v>0.961803381340013</v>
      </c>
      <c r="AK786" s="133">
        <v>0.955018200728029</v>
      </c>
      <c r="AL786" s="133">
        <v>0.964078182778658</v>
      </c>
      <c r="AM786" s="133">
        <v>0.961932395183519</v>
      </c>
      <c r="AN786" s="132">
        <v>0.99</v>
      </c>
      <c r="AO786" s="137">
        <v>1</v>
      </c>
      <c r="AP786" s="137">
        <v>1</v>
      </c>
      <c r="AQ786" s="137">
        <v>1</v>
      </c>
      <c r="AR786" s="137">
        <v>1</v>
      </c>
      <c r="AS786" s="158">
        <v>0.0810595228934205</v>
      </c>
      <c r="AT786" s="141">
        <v>0</v>
      </c>
      <c r="AU786" s="141">
        <v>0.111111111111111</v>
      </c>
      <c r="AV786" s="141">
        <v>0.142857142857143</v>
      </c>
      <c r="AW786" s="141">
        <v>0.0607476635514019</v>
      </c>
      <c r="AX786" s="95"/>
      <c r="AY786" s="93"/>
    </row>
    <row r="787" ht="14.5" spans="1:51">
      <c r="A787" s="91"/>
      <c r="B787" s="95"/>
      <c r="C787" s="152" t="s">
        <v>668</v>
      </c>
      <c r="D787" s="153" t="s">
        <v>25</v>
      </c>
      <c r="E787" s="130" t="s">
        <v>669</v>
      </c>
      <c r="F787" s="179" t="s">
        <v>814</v>
      </c>
      <c r="G787" s="179" t="s">
        <v>814</v>
      </c>
      <c r="H787" s="179" t="s">
        <v>814</v>
      </c>
      <c r="I787" s="179" t="s">
        <v>814</v>
      </c>
      <c r="J787" s="132">
        <v>0.9</v>
      </c>
      <c r="K787" s="133">
        <v>0.862068965517241</v>
      </c>
      <c r="L787" s="133">
        <v>0.8</v>
      </c>
      <c r="M787" s="134">
        <v>0.862068965517241</v>
      </c>
      <c r="N787" s="133">
        <v>0.807843137254902</v>
      </c>
      <c r="O787" s="135">
        <v>0.9</v>
      </c>
      <c r="P787" s="133">
        <v>0.943018703784254</v>
      </c>
      <c r="Q787" s="133">
        <v>0.93408736349454</v>
      </c>
      <c r="R787" s="133">
        <v>0.911342894393742</v>
      </c>
      <c r="S787" s="133">
        <v>0.947273246407157</v>
      </c>
      <c r="T787" s="135">
        <v>0.9</v>
      </c>
      <c r="U787" s="133">
        <v>0.916920400173989</v>
      </c>
      <c r="V787" s="133">
        <v>0.925117004680187</v>
      </c>
      <c r="W787" s="133">
        <v>0.92916123424598</v>
      </c>
      <c r="X787" s="133">
        <v>0.934496050252213</v>
      </c>
      <c r="Y787" s="135">
        <v>0.92</v>
      </c>
      <c r="Z787" s="135">
        <v>0.936768149882904</v>
      </c>
      <c r="AA787" s="135">
        <v>0.93628088426528</v>
      </c>
      <c r="AB787" s="135">
        <v>0.940548780487805</v>
      </c>
      <c r="AC787" s="135">
        <v>0.942941465814068</v>
      </c>
      <c r="AD787" s="135">
        <v>0.92</v>
      </c>
      <c r="AE787" s="133">
        <v>0.978193146417445</v>
      </c>
      <c r="AF787" s="133">
        <v>0.99070385126162</v>
      </c>
      <c r="AG787" s="133">
        <v>0.966237942122186</v>
      </c>
      <c r="AH787" s="133">
        <v>0.991006626696119</v>
      </c>
      <c r="AI787" s="135">
        <v>0.92</v>
      </c>
      <c r="AJ787" s="133">
        <v>0.94758064516129</v>
      </c>
      <c r="AK787" s="133">
        <v>0.952038369304556</v>
      </c>
      <c r="AL787" s="133">
        <v>0.961850101282917</v>
      </c>
      <c r="AM787" s="133">
        <v>0.959000239441549</v>
      </c>
      <c r="AN787" s="132">
        <v>0.99</v>
      </c>
      <c r="AO787" s="137">
        <v>1</v>
      </c>
      <c r="AP787" s="137">
        <v>1</v>
      </c>
      <c r="AQ787" s="137">
        <v>1</v>
      </c>
      <c r="AR787" s="137">
        <v>1</v>
      </c>
      <c r="AS787" s="158">
        <v>0.0810595228934205</v>
      </c>
      <c r="AT787" s="141">
        <v>0</v>
      </c>
      <c r="AU787" s="141">
        <v>0.0625</v>
      </c>
      <c r="AV787" s="141">
        <v>0.0555555555555556</v>
      </c>
      <c r="AW787" s="141">
        <v>0.0491803278688525</v>
      </c>
      <c r="AX787" s="95"/>
      <c r="AY787" s="93"/>
    </row>
    <row r="788" ht="14.5" spans="1:51">
      <c r="A788" s="91"/>
      <c r="B788" s="95"/>
      <c r="C788" s="152" t="s">
        <v>668</v>
      </c>
      <c r="D788" s="153" t="s">
        <v>25</v>
      </c>
      <c r="E788" s="130" t="s">
        <v>669</v>
      </c>
      <c r="F788" s="179" t="s">
        <v>815</v>
      </c>
      <c r="G788" s="179" t="s">
        <v>815</v>
      </c>
      <c r="H788" s="179" t="s">
        <v>815</v>
      </c>
      <c r="I788" s="179" t="s">
        <v>815</v>
      </c>
      <c r="J788" s="132">
        <v>0.9</v>
      </c>
      <c r="K788" s="133">
        <v>0.96875</v>
      </c>
      <c r="L788" s="133">
        <v>0.896551724137931</v>
      </c>
      <c r="M788" s="134">
        <v>0.833333333333333</v>
      </c>
      <c r="N788" s="133">
        <v>0.929411764705882</v>
      </c>
      <c r="O788" s="135">
        <v>0.9</v>
      </c>
      <c r="P788" s="133">
        <v>0.948809523809524</v>
      </c>
      <c r="Q788" s="133">
        <v>0.902547065337763</v>
      </c>
      <c r="R788" s="133">
        <v>0.918199112238427</v>
      </c>
      <c r="S788" s="133">
        <v>0.932872464142654</v>
      </c>
      <c r="T788" s="135">
        <v>0.9</v>
      </c>
      <c r="U788" s="133">
        <v>0.927380952380952</v>
      </c>
      <c r="V788" s="133">
        <v>0.8859357696567</v>
      </c>
      <c r="W788" s="133">
        <v>0.896005072923272</v>
      </c>
      <c r="X788" s="133">
        <v>0.885127277426024</v>
      </c>
      <c r="Y788" s="135">
        <v>0.92</v>
      </c>
      <c r="Z788" s="135">
        <v>0.924242424242424</v>
      </c>
      <c r="AA788" s="135">
        <v>0.913443830570902</v>
      </c>
      <c r="AB788" s="135">
        <v>0.934924078091106</v>
      </c>
      <c r="AC788" s="135">
        <v>0.922115495891679</v>
      </c>
      <c r="AD788" s="135">
        <v>0.92</v>
      </c>
      <c r="AE788" s="133">
        <v>0.992047713717694</v>
      </c>
      <c r="AF788" s="133">
        <v>0.994343891402715</v>
      </c>
      <c r="AG788" s="133">
        <v>0.996963562753036</v>
      </c>
      <c r="AH788" s="133">
        <v>0.994587558235133</v>
      </c>
      <c r="AI788" s="135">
        <v>0.92</v>
      </c>
      <c r="AJ788" s="133">
        <v>0.964196916956738</v>
      </c>
      <c r="AK788" s="133">
        <v>0.950191570881226</v>
      </c>
      <c r="AL788" s="133">
        <v>0.962254901960784</v>
      </c>
      <c r="AM788" s="133">
        <v>0.958977332896296</v>
      </c>
      <c r="AN788" s="132">
        <v>0.99</v>
      </c>
      <c r="AO788" s="137">
        <v>1</v>
      </c>
      <c r="AP788" s="137">
        <v>1</v>
      </c>
      <c r="AQ788" s="137">
        <v>1</v>
      </c>
      <c r="AR788" s="137">
        <v>1</v>
      </c>
      <c r="AS788" s="158">
        <v>0.0810595228934205</v>
      </c>
      <c r="AT788" s="141">
        <v>0</v>
      </c>
      <c r="AU788" s="141">
        <v>0.142857142857143</v>
      </c>
      <c r="AV788" s="141">
        <v>0.0769230769230769</v>
      </c>
      <c r="AW788" s="141">
        <v>0.0520231213872832</v>
      </c>
      <c r="AX788" s="95"/>
      <c r="AY788" s="93"/>
    </row>
    <row r="789" ht="14.5" spans="1:51">
      <c r="A789" s="91"/>
      <c r="B789" s="95"/>
      <c r="C789" s="152" t="s">
        <v>668</v>
      </c>
      <c r="D789" s="153" t="s">
        <v>25</v>
      </c>
      <c r="E789" s="130" t="s">
        <v>669</v>
      </c>
      <c r="F789" s="179" t="s">
        <v>816</v>
      </c>
      <c r="G789" s="179" t="s">
        <v>816</v>
      </c>
      <c r="H789" s="179" t="s">
        <v>816</v>
      </c>
      <c r="I789" s="179" t="s">
        <v>816</v>
      </c>
      <c r="J789" s="132">
        <v>0.9</v>
      </c>
      <c r="K789" s="133">
        <v>0.806451612903226</v>
      </c>
      <c r="L789" s="133">
        <v>0.9</v>
      </c>
      <c r="M789" s="134">
        <v>0.972222222222222</v>
      </c>
      <c r="N789" s="133">
        <v>0.883802816901408</v>
      </c>
      <c r="O789" s="135">
        <v>0.9</v>
      </c>
      <c r="P789" s="133">
        <v>0.956870611835506</v>
      </c>
      <c r="Q789" s="133">
        <v>0.967188288743059</v>
      </c>
      <c r="R789" s="133">
        <v>0.933189655172414</v>
      </c>
      <c r="S789" s="133">
        <v>0.951617838292664</v>
      </c>
      <c r="T789" s="135">
        <v>0.9</v>
      </c>
      <c r="U789" s="133">
        <v>0.945168839852892</v>
      </c>
      <c r="V789" s="133">
        <v>0.926804644119132</v>
      </c>
      <c r="W789" s="133">
        <v>0.951508620689655</v>
      </c>
      <c r="X789" s="133">
        <v>0.939914327239348</v>
      </c>
      <c r="Y789" s="135">
        <v>0.92</v>
      </c>
      <c r="Z789" s="135">
        <v>0.928571428571429</v>
      </c>
      <c r="AA789" s="135">
        <v>0.888111888111888</v>
      </c>
      <c r="AB789" s="135">
        <v>0.942817294281729</v>
      </c>
      <c r="AC789" s="135">
        <v>0.936071375903259</v>
      </c>
      <c r="AD789" s="135">
        <v>0.92</v>
      </c>
      <c r="AE789" s="133">
        <v>0.990942028985507</v>
      </c>
      <c r="AF789" s="133">
        <v>0.992317541613316</v>
      </c>
      <c r="AG789" s="133">
        <v>0.99761620977354</v>
      </c>
      <c r="AH789" s="133">
        <v>0.995477541008738</v>
      </c>
      <c r="AI789" s="135">
        <v>0.92</v>
      </c>
      <c r="AJ789" s="133">
        <v>0.970840480274443</v>
      </c>
      <c r="AK789" s="133">
        <v>0.948765816220701</v>
      </c>
      <c r="AL789" s="133">
        <v>0.980862610682662</v>
      </c>
      <c r="AM789" s="133">
        <v>0.971785025877639</v>
      </c>
      <c r="AN789" s="132">
        <v>0.99</v>
      </c>
      <c r="AO789" s="137">
        <v>1</v>
      </c>
      <c r="AP789" s="137">
        <v>1</v>
      </c>
      <c r="AQ789" s="137">
        <v>1</v>
      </c>
      <c r="AR789" s="137">
        <v>1</v>
      </c>
      <c r="AS789" s="158">
        <v>0.0810595228934205</v>
      </c>
      <c r="AT789" s="141">
        <v>0</v>
      </c>
      <c r="AU789" s="141">
        <v>0</v>
      </c>
      <c r="AV789" s="141">
        <v>0</v>
      </c>
      <c r="AW789" s="141">
        <v>0.0218978102189781</v>
      </c>
      <c r="AX789" s="95"/>
      <c r="AY789" s="93"/>
    </row>
    <row r="790" ht="14.5" spans="1:51">
      <c r="A790" s="91"/>
      <c r="B790" s="95"/>
      <c r="C790" s="152" t="s">
        <v>668</v>
      </c>
      <c r="D790" s="153" t="s">
        <v>25</v>
      </c>
      <c r="E790" s="130" t="s">
        <v>669</v>
      </c>
      <c r="F790" s="179" t="s">
        <v>817</v>
      </c>
      <c r="G790" s="179" t="s">
        <v>817</v>
      </c>
      <c r="H790" s="179" t="s">
        <v>817</v>
      </c>
      <c r="I790" s="179" t="s">
        <v>817</v>
      </c>
      <c r="J790" s="132">
        <v>0.9</v>
      </c>
      <c r="K790" s="133">
        <v>0.67741935483871</v>
      </c>
      <c r="L790" s="133">
        <v>0.692307692307692</v>
      </c>
      <c r="M790" s="134">
        <v>0.647058823529412</v>
      </c>
      <c r="N790" s="133">
        <v>0.726277372262774</v>
      </c>
      <c r="O790" s="135">
        <v>0.9</v>
      </c>
      <c r="P790" s="133">
        <v>0.940960762742941</v>
      </c>
      <c r="Q790" s="133">
        <v>0.946296946296946</v>
      </c>
      <c r="R790" s="133">
        <v>0.893525741029641</v>
      </c>
      <c r="S790" s="133">
        <v>0.938006964152728</v>
      </c>
      <c r="T790" s="135">
        <v>0.9</v>
      </c>
      <c r="U790" s="133">
        <v>0.896589658965897</v>
      </c>
      <c r="V790" s="133">
        <v>0.845208845208845</v>
      </c>
      <c r="W790" s="133">
        <v>0.857254290171607</v>
      </c>
      <c r="X790" s="133">
        <v>0.897288811062134</v>
      </c>
      <c r="Y790" s="135">
        <v>0.92</v>
      </c>
      <c r="Z790" s="135">
        <v>0.926147704590818</v>
      </c>
      <c r="AA790" s="135">
        <v>0.864327485380117</v>
      </c>
      <c r="AB790" s="135">
        <v>0.902173913043478</v>
      </c>
      <c r="AC790" s="135">
        <v>0.908581043185642</v>
      </c>
      <c r="AD790" s="135">
        <v>0.92</v>
      </c>
      <c r="AE790" s="133">
        <v>0.994974874371859</v>
      </c>
      <c r="AF790" s="133">
        <v>0.983623336745138</v>
      </c>
      <c r="AG790" s="133">
        <v>0.996594005449591</v>
      </c>
      <c r="AH790" s="133">
        <v>0.979920882282426</v>
      </c>
      <c r="AI790" s="135">
        <v>0.92</v>
      </c>
      <c r="AJ790" s="133">
        <v>0.950433705080545</v>
      </c>
      <c r="AK790" s="133">
        <v>0.914416846652268</v>
      </c>
      <c r="AL790" s="133">
        <v>0.945168130869434</v>
      </c>
      <c r="AM790" s="133">
        <v>0.949281818039731</v>
      </c>
      <c r="AN790" s="132">
        <v>0.99</v>
      </c>
      <c r="AO790" s="137">
        <v>1</v>
      </c>
      <c r="AP790" s="137">
        <v>1</v>
      </c>
      <c r="AQ790" s="137">
        <v>1</v>
      </c>
      <c r="AR790" s="137">
        <v>1</v>
      </c>
      <c r="AS790" s="158">
        <v>0.0810595228934205</v>
      </c>
      <c r="AT790" s="141">
        <v>0.111111111111111</v>
      </c>
      <c r="AU790" s="141">
        <v>0.117647058823529</v>
      </c>
      <c r="AV790" s="141">
        <v>0.125</v>
      </c>
      <c r="AW790" s="141">
        <v>0.0431372549019608</v>
      </c>
      <c r="AX790" s="95"/>
      <c r="AY790" s="93"/>
    </row>
    <row r="791" ht="14.5" spans="1:51">
      <c r="A791" s="91"/>
      <c r="B791" s="95"/>
      <c r="C791" s="152" t="s">
        <v>668</v>
      </c>
      <c r="D791" s="153" t="s">
        <v>25</v>
      </c>
      <c r="E791" s="130" t="s">
        <v>669</v>
      </c>
      <c r="F791" s="179" t="s">
        <v>818</v>
      </c>
      <c r="G791" s="179" t="s">
        <v>818</v>
      </c>
      <c r="H791" s="179" t="s">
        <v>818</v>
      </c>
      <c r="I791" s="179" t="s">
        <v>818</v>
      </c>
      <c r="J791" s="132">
        <v>0.9</v>
      </c>
      <c r="K791" s="133">
        <v>0.65</v>
      </c>
      <c r="L791" s="133">
        <v>0.75</v>
      </c>
      <c r="M791" s="134">
        <v>0.75</v>
      </c>
      <c r="N791" s="133">
        <v>0.724928366762178</v>
      </c>
      <c r="O791" s="135">
        <v>0.9</v>
      </c>
      <c r="P791" s="133">
        <v>0.924468085106383</v>
      </c>
      <c r="Q791" s="133">
        <v>0.931068931068931</v>
      </c>
      <c r="R791" s="133">
        <v>0.906935123042506</v>
      </c>
      <c r="S791" s="133">
        <v>0.936602600339175</v>
      </c>
      <c r="T791" s="135">
        <v>0.9</v>
      </c>
      <c r="U791" s="133">
        <v>0.935106382978723</v>
      </c>
      <c r="V791" s="133">
        <v>0.933566433566434</v>
      </c>
      <c r="W791" s="133">
        <v>0.943176733780761</v>
      </c>
      <c r="X791" s="133">
        <v>0.930836630864895</v>
      </c>
      <c r="Y791" s="135">
        <v>0.92</v>
      </c>
      <c r="Z791" s="135">
        <v>0.915451895043732</v>
      </c>
      <c r="AA791" s="135">
        <v>0.936967632027257</v>
      </c>
      <c r="AB791" s="135">
        <v>0.939571150097466</v>
      </c>
      <c r="AC791" s="135">
        <v>0.931989134977016</v>
      </c>
      <c r="AD791" s="135">
        <v>0.92</v>
      </c>
      <c r="AE791" s="133">
        <v>0.994444444444444</v>
      </c>
      <c r="AF791" s="133">
        <v>0.997762863534676</v>
      </c>
      <c r="AG791" s="133">
        <v>0.996073298429319</v>
      </c>
      <c r="AH791" s="133">
        <v>0.997960828946744</v>
      </c>
      <c r="AI791" s="135">
        <v>0.92</v>
      </c>
      <c r="AJ791" s="133">
        <v>0.970760233918129</v>
      </c>
      <c r="AK791" s="133">
        <v>0.967168791039011</v>
      </c>
      <c r="AL791" s="133">
        <v>0.976710334788937</v>
      </c>
      <c r="AM791" s="133">
        <v>0.966882409199084</v>
      </c>
      <c r="AN791" s="132">
        <v>0.99</v>
      </c>
      <c r="AO791" s="137">
        <v>1</v>
      </c>
      <c r="AP791" s="137">
        <v>1</v>
      </c>
      <c r="AQ791" s="137">
        <v>1</v>
      </c>
      <c r="AR791" s="137">
        <v>1</v>
      </c>
      <c r="AS791" s="158">
        <v>0.0810595228934205</v>
      </c>
      <c r="AT791" s="141">
        <v>0.166666666666667</v>
      </c>
      <c r="AU791" s="141">
        <v>0.111111111111111</v>
      </c>
      <c r="AV791" s="141">
        <v>0</v>
      </c>
      <c r="AW791" s="141">
        <v>0.0265486725663717</v>
      </c>
      <c r="AX791" s="95"/>
      <c r="AY791" s="93"/>
    </row>
    <row r="792" ht="14.5" spans="1:51">
      <c r="A792" s="91"/>
      <c r="B792" s="95"/>
      <c r="C792" s="152" t="s">
        <v>668</v>
      </c>
      <c r="D792" s="153" t="s">
        <v>25</v>
      </c>
      <c r="E792" s="130" t="s">
        <v>669</v>
      </c>
      <c r="F792" s="179" t="s">
        <v>819</v>
      </c>
      <c r="G792" s="179" t="s">
        <v>819</v>
      </c>
      <c r="H792" s="179" t="s">
        <v>819</v>
      </c>
      <c r="I792" s="179" t="s">
        <v>819</v>
      </c>
      <c r="J792" s="132">
        <v>0.9</v>
      </c>
      <c r="K792" s="133">
        <v>0.8</v>
      </c>
      <c r="L792" s="133">
        <v>0.947368421052632</v>
      </c>
      <c r="M792" s="134">
        <v>0.9</v>
      </c>
      <c r="N792" s="133">
        <v>0.871345029239766</v>
      </c>
      <c r="O792" s="135">
        <v>0.9</v>
      </c>
      <c r="P792" s="133">
        <v>0.927118644067797</v>
      </c>
      <c r="Q792" s="133">
        <v>0.915508615897721</v>
      </c>
      <c r="R792" s="133">
        <v>0.891656288916563</v>
      </c>
      <c r="S792" s="133">
        <v>0.947119986796501</v>
      </c>
      <c r="T792" s="135">
        <v>0.9</v>
      </c>
      <c r="U792" s="133">
        <v>0.940112994350283</v>
      </c>
      <c r="V792" s="133">
        <v>0.934408004446915</v>
      </c>
      <c r="W792" s="133">
        <v>0.926525529265255</v>
      </c>
      <c r="X792" s="133">
        <v>0.939957088628487</v>
      </c>
      <c r="Y792" s="135">
        <v>0.92</v>
      </c>
      <c r="Z792" s="135">
        <v>0.902017291066282</v>
      </c>
      <c r="AA792" s="135">
        <v>0.901818181818182</v>
      </c>
      <c r="AB792" s="135">
        <v>0.917721518987342</v>
      </c>
      <c r="AC792" s="135">
        <v>0.906561085972851</v>
      </c>
      <c r="AD792" s="135">
        <v>0.92</v>
      </c>
      <c r="AE792" s="133">
        <v>0.997942386831276</v>
      </c>
      <c r="AF792" s="133">
        <v>0.990888382687927</v>
      </c>
      <c r="AG792" s="133">
        <v>0.995841995841996</v>
      </c>
      <c r="AH792" s="133">
        <v>0.996496071352729</v>
      </c>
      <c r="AI792" s="135">
        <v>0.92</v>
      </c>
      <c r="AJ792" s="133">
        <v>0.959848842701937</v>
      </c>
      <c r="AK792" s="133">
        <v>0.948914431673052</v>
      </c>
      <c r="AL792" s="133">
        <v>0.953846153846154</v>
      </c>
      <c r="AM792" s="133">
        <v>0.955936446306325</v>
      </c>
      <c r="AN792" s="132">
        <v>0.99</v>
      </c>
      <c r="AO792" s="137">
        <v>1</v>
      </c>
      <c r="AP792" s="137">
        <v>1</v>
      </c>
      <c r="AQ792" s="137">
        <v>1</v>
      </c>
      <c r="AR792" s="137">
        <v>1</v>
      </c>
      <c r="AS792" s="158">
        <v>0.0810595228934205</v>
      </c>
      <c r="AT792" s="141">
        <v>0</v>
      </c>
      <c r="AU792" s="141">
        <v>0.0833333333333333</v>
      </c>
      <c r="AV792" s="141">
        <v>0</v>
      </c>
      <c r="AW792" s="141">
        <v>0.0308641975308642</v>
      </c>
      <c r="AX792" s="95"/>
      <c r="AY792" s="93"/>
    </row>
    <row r="793" ht="14.5" spans="1:51">
      <c r="A793" s="91"/>
      <c r="B793" s="95"/>
      <c r="C793" s="152" t="s">
        <v>668</v>
      </c>
      <c r="D793" s="153" t="s">
        <v>25</v>
      </c>
      <c r="E793" s="130" t="s">
        <v>669</v>
      </c>
      <c r="F793" s="179" t="s">
        <v>820</v>
      </c>
      <c r="G793" s="179" t="s">
        <v>820</v>
      </c>
      <c r="H793" s="179" t="s">
        <v>820</v>
      </c>
      <c r="I793" s="179" t="s">
        <v>820</v>
      </c>
      <c r="J793" s="132">
        <v>0.9</v>
      </c>
      <c r="K793" s="133">
        <v>0.909090909090909</v>
      </c>
      <c r="L793" s="133">
        <v>0.863636363636364</v>
      </c>
      <c r="M793" s="134">
        <v>0.958333333333333</v>
      </c>
      <c r="N793" s="133">
        <v>0.907692307692308</v>
      </c>
      <c r="O793" s="135">
        <v>0.9</v>
      </c>
      <c r="P793" s="133">
        <v>0.950992555831266</v>
      </c>
      <c r="Q793" s="133">
        <v>0.910578609000584</v>
      </c>
      <c r="R793" s="133">
        <v>0.943519619500594</v>
      </c>
      <c r="S793" s="133">
        <v>0.935296396745448</v>
      </c>
      <c r="T793" s="135">
        <v>0.9</v>
      </c>
      <c r="U793" s="133">
        <v>0.906327543424318</v>
      </c>
      <c r="V793" s="133">
        <v>0.883693746347165</v>
      </c>
      <c r="W793" s="133">
        <v>0.929250891795482</v>
      </c>
      <c r="X793" s="133">
        <v>0.918991347023118</v>
      </c>
      <c r="Y793" s="135">
        <v>0.92</v>
      </c>
      <c r="Z793" s="135">
        <v>0.899109792284866</v>
      </c>
      <c r="AA793" s="135">
        <v>0.932</v>
      </c>
      <c r="AB793" s="135">
        <v>0.933628318584071</v>
      </c>
      <c r="AC793" s="135">
        <v>0.916985807614328</v>
      </c>
      <c r="AD793" s="135">
        <v>0.92</v>
      </c>
      <c r="AE793" s="133">
        <v>0.998260869565217</v>
      </c>
      <c r="AF793" s="133">
        <v>0.995934959349594</v>
      </c>
      <c r="AG793" s="133">
        <v>0.998872604284104</v>
      </c>
      <c r="AH793" s="133">
        <v>0.993813761667028</v>
      </c>
      <c r="AI793" s="135">
        <v>0.92</v>
      </c>
      <c r="AJ793" s="133">
        <v>0.925089789635711</v>
      </c>
      <c r="AK793" s="133">
        <v>0.930894308943089</v>
      </c>
      <c r="AL793" s="133">
        <v>0.95137914913511</v>
      </c>
      <c r="AM793" s="133">
        <v>0.946219582487532</v>
      </c>
      <c r="AN793" s="132">
        <v>0.99</v>
      </c>
      <c r="AO793" s="137">
        <v>1</v>
      </c>
      <c r="AP793" s="137">
        <v>1</v>
      </c>
      <c r="AQ793" s="137">
        <v>1</v>
      </c>
      <c r="AR793" s="137">
        <v>1</v>
      </c>
      <c r="AS793" s="158">
        <v>0.0810595228934205</v>
      </c>
      <c r="AT793" s="141">
        <v>0</v>
      </c>
      <c r="AU793" s="141">
        <v>0</v>
      </c>
      <c r="AV793" s="141">
        <v>0</v>
      </c>
      <c r="AW793" s="141">
        <v>0.0271084337349398</v>
      </c>
      <c r="AX793" s="95"/>
      <c r="AY793" s="93"/>
    </row>
    <row r="794" ht="14.5" spans="1:51">
      <c r="A794" s="91"/>
      <c r="B794" s="95"/>
      <c r="C794" s="152" t="s">
        <v>668</v>
      </c>
      <c r="D794" s="153" t="s">
        <v>25</v>
      </c>
      <c r="E794" s="130" t="s">
        <v>669</v>
      </c>
      <c r="F794" s="179" t="s">
        <v>821</v>
      </c>
      <c r="G794" s="179" t="s">
        <v>821</v>
      </c>
      <c r="H794" s="179" t="s">
        <v>821</v>
      </c>
      <c r="I794" s="179" t="s">
        <v>821</v>
      </c>
      <c r="J794" s="132">
        <v>0.9</v>
      </c>
      <c r="K794" s="133">
        <v>0.896551724137931</v>
      </c>
      <c r="L794" s="133">
        <v>0.758620689655172</v>
      </c>
      <c r="M794" s="134">
        <v>0.870967741935484</v>
      </c>
      <c r="N794" s="133">
        <v>0.806772908366534</v>
      </c>
      <c r="O794" s="135">
        <v>0.9</v>
      </c>
      <c r="P794" s="133">
        <v>0.94294842537654</v>
      </c>
      <c r="Q794" s="133">
        <v>0.95049115913556</v>
      </c>
      <c r="R794" s="133">
        <v>0.946147473073737</v>
      </c>
      <c r="S794" s="133">
        <v>0.952801272153212</v>
      </c>
      <c r="T794" s="135">
        <v>0.9</v>
      </c>
      <c r="U794" s="133">
        <v>0.913738019169329</v>
      </c>
      <c r="V794" s="133">
        <v>0.926915520628684</v>
      </c>
      <c r="W794" s="133">
        <v>0.92129246064623</v>
      </c>
      <c r="X794" s="133">
        <v>0.920029499204904</v>
      </c>
      <c r="Y794" s="135">
        <v>0.92</v>
      </c>
      <c r="Z794" s="135">
        <v>0.898706896551724</v>
      </c>
      <c r="AA794" s="135">
        <v>0.887052341597796</v>
      </c>
      <c r="AB794" s="135">
        <v>0.809160305343511</v>
      </c>
      <c r="AC794" s="135">
        <v>0.90134314039015</v>
      </c>
      <c r="AD794" s="135">
        <v>0.92</v>
      </c>
      <c r="AE794" s="133">
        <v>0.996644295302013</v>
      </c>
      <c r="AF794" s="133">
        <v>0.992217898832685</v>
      </c>
      <c r="AG794" s="133">
        <v>0.997549019607843</v>
      </c>
      <c r="AH794" s="133">
        <v>0.994746556864972</v>
      </c>
      <c r="AI794" s="135">
        <v>0.92</v>
      </c>
      <c r="AJ794" s="133">
        <v>0.956308851224105</v>
      </c>
      <c r="AK794" s="133">
        <v>0.956309196455851</v>
      </c>
      <c r="AL794" s="133">
        <v>0.938782155649626</v>
      </c>
      <c r="AM794" s="133">
        <v>0.959836915704016</v>
      </c>
      <c r="AN794" s="132">
        <v>0.99</v>
      </c>
      <c r="AO794" s="137">
        <v>1</v>
      </c>
      <c r="AP794" s="137">
        <v>1</v>
      </c>
      <c r="AQ794" s="137">
        <v>1</v>
      </c>
      <c r="AR794" s="137">
        <v>1</v>
      </c>
      <c r="AS794" s="158">
        <v>0.0810595228934205</v>
      </c>
      <c r="AT794" s="141">
        <v>0</v>
      </c>
      <c r="AU794" s="141">
        <v>0.1</v>
      </c>
      <c r="AV794" s="141">
        <v>0.2</v>
      </c>
      <c r="AW794" s="141">
        <v>0.0785123966942149</v>
      </c>
      <c r="AX794" s="95"/>
      <c r="AY794" s="93"/>
    </row>
    <row r="795" ht="14.5" spans="1:51">
      <c r="A795" s="91"/>
      <c r="B795" s="95"/>
      <c r="C795" s="152" t="s">
        <v>668</v>
      </c>
      <c r="D795" s="153" t="s">
        <v>25</v>
      </c>
      <c r="E795" s="130" t="s">
        <v>669</v>
      </c>
      <c r="F795" s="179" t="s">
        <v>822</v>
      </c>
      <c r="G795" s="179" t="s">
        <v>822</v>
      </c>
      <c r="H795" s="179" t="s">
        <v>822</v>
      </c>
      <c r="I795" s="179" t="s">
        <v>822</v>
      </c>
      <c r="J795" s="132">
        <v>0.9</v>
      </c>
      <c r="K795" s="133">
        <v>0.91304347826087</v>
      </c>
      <c r="L795" s="133">
        <v>0.909090909090909</v>
      </c>
      <c r="M795" s="134">
        <v>0.826086956521739</v>
      </c>
      <c r="N795" s="133">
        <v>0.881266490765171</v>
      </c>
      <c r="O795" s="135">
        <v>0.9</v>
      </c>
      <c r="P795" s="133">
        <v>0.921023359288098</v>
      </c>
      <c r="Q795" s="133">
        <v>0.807874015748032</v>
      </c>
      <c r="R795" s="133">
        <v>0.938074800735745</v>
      </c>
      <c r="S795" s="133">
        <v>0.91558835745551</v>
      </c>
      <c r="T795" s="135">
        <v>0.9</v>
      </c>
      <c r="U795" s="133">
        <v>0.912680756395996</v>
      </c>
      <c r="V795" s="133">
        <v>0.798950131233596</v>
      </c>
      <c r="W795" s="133">
        <v>0.923359901900674</v>
      </c>
      <c r="X795" s="133">
        <v>0.906961883766255</v>
      </c>
      <c r="Y795" s="135">
        <v>0.92</v>
      </c>
      <c r="Z795" s="135">
        <v>0.863372093023256</v>
      </c>
      <c r="AA795" s="135">
        <v>0.915936952714536</v>
      </c>
      <c r="AB795" s="135">
        <v>0.907327586206897</v>
      </c>
      <c r="AC795" s="135">
        <v>0.894853103600619</v>
      </c>
      <c r="AD795" s="135">
        <v>0.92</v>
      </c>
      <c r="AE795" s="133">
        <v>0.99406528189911</v>
      </c>
      <c r="AF795" s="133">
        <v>0.997518610421836</v>
      </c>
      <c r="AG795" s="133">
        <v>0.998194945848375</v>
      </c>
      <c r="AH795" s="133">
        <v>0.994927995652568</v>
      </c>
      <c r="AI795" s="135">
        <v>0.92</v>
      </c>
      <c r="AJ795" s="133">
        <v>0.936041083099907</v>
      </c>
      <c r="AK795" s="133">
        <v>0.944287444489302</v>
      </c>
      <c r="AL795" s="133">
        <v>0.957558416785885</v>
      </c>
      <c r="AM795" s="133">
        <v>0.950094115316029</v>
      </c>
      <c r="AN795" s="132">
        <v>0.99</v>
      </c>
      <c r="AO795" s="137">
        <v>1</v>
      </c>
      <c r="AP795" s="137">
        <v>1</v>
      </c>
      <c r="AQ795" s="137">
        <v>1</v>
      </c>
      <c r="AR795" s="137">
        <v>1</v>
      </c>
      <c r="AS795" s="158">
        <v>0.0810595228934205</v>
      </c>
      <c r="AT795" s="141">
        <v>0</v>
      </c>
      <c r="AU795" s="141">
        <v>0.117647058823529</v>
      </c>
      <c r="AV795" s="141">
        <v>0</v>
      </c>
      <c r="AW795" s="141">
        <v>0.0425531914893617</v>
      </c>
      <c r="AX795" s="95"/>
      <c r="AY795" s="93"/>
    </row>
    <row r="796" ht="14.5" spans="1:51">
      <c r="A796" s="91"/>
      <c r="B796" s="95"/>
      <c r="C796" s="152" t="s">
        <v>668</v>
      </c>
      <c r="D796" s="153" t="s">
        <v>25</v>
      </c>
      <c r="E796" s="130" t="s">
        <v>669</v>
      </c>
      <c r="F796" s="179" t="s">
        <v>823</v>
      </c>
      <c r="G796" s="179" t="s">
        <v>823</v>
      </c>
      <c r="H796" s="179" t="s">
        <v>823</v>
      </c>
      <c r="I796" s="179" t="s">
        <v>823</v>
      </c>
      <c r="J796" s="132">
        <v>0.9</v>
      </c>
      <c r="K796" s="133">
        <v>0.80952380952381</v>
      </c>
      <c r="L796" s="133">
        <v>0.619047619047619</v>
      </c>
      <c r="M796" s="134">
        <v>0.80952380952381</v>
      </c>
      <c r="N796" s="133">
        <v>0.756446991404012</v>
      </c>
      <c r="O796" s="135">
        <v>0.9</v>
      </c>
      <c r="P796" s="133">
        <v>0.938556933483653</v>
      </c>
      <c r="Q796" s="133">
        <v>0.925348189415042</v>
      </c>
      <c r="R796" s="133">
        <v>0.939070016034206</v>
      </c>
      <c r="S796" s="133">
        <v>0.928657645638778</v>
      </c>
      <c r="T796" s="135">
        <v>0.9</v>
      </c>
      <c r="U796" s="133">
        <v>0.929537767756483</v>
      </c>
      <c r="V796" s="133">
        <v>0.929805013927577</v>
      </c>
      <c r="W796" s="133">
        <v>0.944414751469802</v>
      </c>
      <c r="X796" s="133">
        <v>0.925195349723652</v>
      </c>
      <c r="Y796" s="135">
        <v>0.92</v>
      </c>
      <c r="Z796" s="135">
        <v>0.941176470588235</v>
      </c>
      <c r="AA796" s="135">
        <v>0.898148148148148</v>
      </c>
      <c r="AB796" s="135">
        <v>0.929133858267717</v>
      </c>
      <c r="AC796" s="135">
        <v>0.923951347050131</v>
      </c>
      <c r="AD796" s="135">
        <v>0.92</v>
      </c>
      <c r="AE796" s="133">
        <v>0.997767857142857</v>
      </c>
      <c r="AF796" s="133">
        <v>0.998567335243553</v>
      </c>
      <c r="AG796" s="133">
        <v>0.996818663838812</v>
      </c>
      <c r="AH796" s="133">
        <v>0.995015511171529</v>
      </c>
      <c r="AI796" s="135">
        <v>0.92</v>
      </c>
      <c r="AJ796" s="133">
        <v>0.96752302472128</v>
      </c>
      <c r="AK796" s="133">
        <v>0.955926401369277</v>
      </c>
      <c r="AL796" s="133">
        <v>0.96890756302521</v>
      </c>
      <c r="AM796" s="133">
        <v>0.963276345500112</v>
      </c>
      <c r="AN796" s="132">
        <v>0.99</v>
      </c>
      <c r="AO796" s="137">
        <v>1</v>
      </c>
      <c r="AP796" s="137">
        <v>1</v>
      </c>
      <c r="AQ796" s="137">
        <v>1</v>
      </c>
      <c r="AR796" s="137">
        <v>1</v>
      </c>
      <c r="AS796" s="158">
        <v>0.0810595228934205</v>
      </c>
      <c r="AT796" s="141">
        <v>0</v>
      </c>
      <c r="AU796" s="141">
        <v>0</v>
      </c>
      <c r="AV796" s="141">
        <v>0</v>
      </c>
      <c r="AW796" s="141">
        <v>0.0310077519379845</v>
      </c>
      <c r="AX796" s="95"/>
      <c r="AY796" s="93"/>
    </row>
    <row r="797" ht="14.5" spans="1:51">
      <c r="A797" s="91"/>
      <c r="B797" s="95"/>
      <c r="C797" s="152" t="s">
        <v>668</v>
      </c>
      <c r="D797" s="153" t="s">
        <v>25</v>
      </c>
      <c r="E797" s="130" t="s">
        <v>669</v>
      </c>
      <c r="F797" s="179" t="s">
        <v>824</v>
      </c>
      <c r="G797" s="179" t="s">
        <v>824</v>
      </c>
      <c r="H797" s="179" t="s">
        <v>824</v>
      </c>
      <c r="I797" s="179" t="s">
        <v>824</v>
      </c>
      <c r="J797" s="132">
        <v>0.9</v>
      </c>
      <c r="K797" s="133">
        <v>0.846153846153846</v>
      </c>
      <c r="L797" s="133">
        <v>0.714285714285714</v>
      </c>
      <c r="M797" s="134">
        <v>0.769230769230769</v>
      </c>
      <c r="N797" s="133">
        <v>0.862660944206009</v>
      </c>
      <c r="O797" s="135">
        <v>0.9</v>
      </c>
      <c r="P797" s="133">
        <v>0.954652071931196</v>
      </c>
      <c r="Q797" s="133">
        <v>0.952455183164458</v>
      </c>
      <c r="R797" s="133">
        <v>0.93609022556391</v>
      </c>
      <c r="S797" s="133">
        <v>0.943121570086504</v>
      </c>
      <c r="T797" s="135">
        <v>0.9</v>
      </c>
      <c r="U797" s="133">
        <v>0.931196247068022</v>
      </c>
      <c r="V797" s="133">
        <v>0.93141075604053</v>
      </c>
      <c r="W797" s="133">
        <v>0.930451127819549</v>
      </c>
      <c r="X797" s="133">
        <v>0.926332434192168</v>
      </c>
      <c r="Y797" s="135">
        <v>0.92</v>
      </c>
      <c r="Z797" s="135">
        <v>0.918918918918919</v>
      </c>
      <c r="AA797" s="135">
        <v>0.904639175257732</v>
      </c>
      <c r="AB797" s="135">
        <v>0.915254237288136</v>
      </c>
      <c r="AC797" s="135">
        <v>0.923633440514469</v>
      </c>
      <c r="AD797" s="135">
        <v>0.92</v>
      </c>
      <c r="AE797" s="133">
        <v>0.995555555555556</v>
      </c>
      <c r="AF797" s="133">
        <v>0.995850622406639</v>
      </c>
      <c r="AG797" s="133">
        <v>1</v>
      </c>
      <c r="AH797" s="133">
        <v>0.997081930415264</v>
      </c>
      <c r="AI797" s="135">
        <v>0.92</v>
      </c>
      <c r="AJ797" s="133">
        <v>0.959365079365079</v>
      </c>
      <c r="AK797" s="133">
        <v>0.955768081291094</v>
      </c>
      <c r="AL797" s="133">
        <v>0.96262341325811</v>
      </c>
      <c r="AM797" s="133">
        <v>0.959113034072472</v>
      </c>
      <c r="AN797" s="132">
        <v>0.99</v>
      </c>
      <c r="AO797" s="137">
        <v>1</v>
      </c>
      <c r="AP797" s="137">
        <v>1</v>
      </c>
      <c r="AQ797" s="137">
        <v>1</v>
      </c>
      <c r="AR797" s="137">
        <v>1</v>
      </c>
      <c r="AS797" s="158">
        <v>0.0810595228934205</v>
      </c>
      <c r="AT797" s="141">
        <v>0.166666666666667</v>
      </c>
      <c r="AU797" s="141">
        <v>0</v>
      </c>
      <c r="AV797" s="141">
        <v>0</v>
      </c>
      <c r="AW797" s="141">
        <v>0.0947368421052632</v>
      </c>
      <c r="AX797" s="95"/>
      <c r="AY797" s="93"/>
    </row>
    <row r="798" ht="14.5" spans="1:51">
      <c r="A798" s="91"/>
      <c r="B798" s="95"/>
      <c r="C798" s="152" t="s">
        <v>668</v>
      </c>
      <c r="D798" s="153" t="s">
        <v>25</v>
      </c>
      <c r="E798" s="130" t="s">
        <v>669</v>
      </c>
      <c r="F798" s="179" t="s">
        <v>825</v>
      </c>
      <c r="G798" s="179" t="s">
        <v>825</v>
      </c>
      <c r="H798" s="179" t="s">
        <v>825</v>
      </c>
      <c r="I798" s="179" t="s">
        <v>825</v>
      </c>
      <c r="J798" s="132">
        <v>0.9</v>
      </c>
      <c r="K798" s="133">
        <v>0.833333333333333</v>
      </c>
      <c r="L798" s="133">
        <v>0.888888888888889</v>
      </c>
      <c r="M798" s="134">
        <v>0.944444444444444</v>
      </c>
      <c r="N798" s="133">
        <v>0.879478827361563</v>
      </c>
      <c r="O798" s="135">
        <v>0.9</v>
      </c>
      <c r="P798" s="133">
        <v>0.973490427098675</v>
      </c>
      <c r="Q798" s="133">
        <v>0.960468521229868</v>
      </c>
      <c r="R798" s="133">
        <v>0.970750988142292</v>
      </c>
      <c r="S798" s="133">
        <v>0.957922651933702</v>
      </c>
      <c r="T798" s="135">
        <v>0.9</v>
      </c>
      <c r="U798" s="133">
        <v>0.947717231222386</v>
      </c>
      <c r="V798" s="133">
        <v>0.954612005856515</v>
      </c>
      <c r="W798" s="133">
        <v>0.962055335968379</v>
      </c>
      <c r="X798" s="133">
        <v>0.948198895027624</v>
      </c>
      <c r="Y798" s="135">
        <v>0.92</v>
      </c>
      <c r="Z798" s="135">
        <v>0.947955390334573</v>
      </c>
      <c r="AA798" s="135">
        <v>0.958762886597938</v>
      </c>
      <c r="AB798" s="135">
        <v>0.950276243093923</v>
      </c>
      <c r="AC798" s="135">
        <v>0.950619244204509</v>
      </c>
      <c r="AD798" s="135">
        <v>0.92</v>
      </c>
      <c r="AE798" s="133">
        <v>0.999233716475096</v>
      </c>
      <c r="AF798" s="133">
        <v>0.996148290804044</v>
      </c>
      <c r="AG798" s="133">
        <v>0.998401917698762</v>
      </c>
      <c r="AH798" s="133">
        <v>0.995792977508611</v>
      </c>
      <c r="AI798" s="135">
        <v>0.92</v>
      </c>
      <c r="AJ798" s="133">
        <v>0.967424708051629</v>
      </c>
      <c r="AK798" s="133">
        <v>0.964672364672365</v>
      </c>
      <c r="AL798" s="133">
        <v>0.976644130301168</v>
      </c>
      <c r="AM798" s="133">
        <v>0.969594361136065</v>
      </c>
      <c r="AN798" s="132">
        <v>0.99</v>
      </c>
      <c r="AO798" s="137">
        <v>1</v>
      </c>
      <c r="AP798" s="137">
        <v>1</v>
      </c>
      <c r="AQ798" s="137">
        <v>1</v>
      </c>
      <c r="AR798" s="137">
        <v>1</v>
      </c>
      <c r="AS798" s="158">
        <v>0.0810595228934205</v>
      </c>
      <c r="AT798" s="141">
        <v>0</v>
      </c>
      <c r="AU798" s="141">
        <v>0</v>
      </c>
      <c r="AV798" s="141">
        <v>0</v>
      </c>
      <c r="AW798" s="141">
        <v>0.0208333333333333</v>
      </c>
      <c r="AX798" s="95"/>
      <c r="AY798" s="93"/>
    </row>
    <row r="799" ht="14.5" spans="1:51">
      <c r="A799" s="91"/>
      <c r="B799" s="95"/>
      <c r="C799" s="152" t="s">
        <v>668</v>
      </c>
      <c r="D799" s="153" t="s">
        <v>25</v>
      </c>
      <c r="E799" s="130" t="s">
        <v>669</v>
      </c>
      <c r="F799" s="179" t="s">
        <v>826</v>
      </c>
      <c r="G799" s="179" t="s">
        <v>826</v>
      </c>
      <c r="H799" s="179" t="s">
        <v>826</v>
      </c>
      <c r="I799" s="179" t="s">
        <v>826</v>
      </c>
      <c r="J799" s="132">
        <v>0.9</v>
      </c>
      <c r="K799" s="133">
        <v>0.841269841269841</v>
      </c>
      <c r="L799" s="133">
        <v>0.792452830188679</v>
      </c>
      <c r="M799" s="134">
        <v>0.857142857142857</v>
      </c>
      <c r="N799" s="133">
        <v>0.840384615384615</v>
      </c>
      <c r="O799" s="135">
        <v>0.9</v>
      </c>
      <c r="P799" s="133">
        <v>0.898545387589762</v>
      </c>
      <c r="Q799" s="133">
        <v>0.880444856348471</v>
      </c>
      <c r="R799" s="133">
        <v>0.90869821323385</v>
      </c>
      <c r="S799" s="133">
        <v>0.919950588043123</v>
      </c>
      <c r="T799" s="135">
        <v>0.9</v>
      </c>
      <c r="U799" s="133">
        <v>0.929663045479654</v>
      </c>
      <c r="V799" s="133">
        <v>0.876737720111214</v>
      </c>
      <c r="W799" s="133">
        <v>0.9210681327312</v>
      </c>
      <c r="X799" s="133">
        <v>0.916203854949363</v>
      </c>
      <c r="Y799" s="135">
        <v>0.92</v>
      </c>
      <c r="Z799" s="135">
        <v>0.912408759124088</v>
      </c>
      <c r="AA799" s="135">
        <v>0.906605922551253</v>
      </c>
      <c r="AB799" s="135">
        <v>0.892968263845675</v>
      </c>
      <c r="AC799" s="135">
        <v>0.933934549429528</v>
      </c>
      <c r="AD799" s="135">
        <v>0.92</v>
      </c>
      <c r="AE799" s="133">
        <v>0.993697478991597</v>
      </c>
      <c r="AF799" s="133">
        <v>0.984709480122324</v>
      </c>
      <c r="AG799" s="133">
        <v>0.997767857142857</v>
      </c>
      <c r="AH799" s="133">
        <v>0.978245935424777</v>
      </c>
      <c r="AI799" s="135">
        <v>0.92</v>
      </c>
      <c r="AJ799" s="133">
        <v>0.94866979655712</v>
      </c>
      <c r="AK799" s="133">
        <v>0.945337620578778</v>
      </c>
      <c r="AL799" s="133">
        <v>0.946268656716418</v>
      </c>
      <c r="AM799" s="133">
        <v>0.959397964396589</v>
      </c>
      <c r="AN799" s="132">
        <v>0.99</v>
      </c>
      <c r="AO799" s="137">
        <v>1</v>
      </c>
      <c r="AP799" s="137">
        <v>1</v>
      </c>
      <c r="AQ799" s="137">
        <v>1</v>
      </c>
      <c r="AR799" s="137">
        <v>1</v>
      </c>
      <c r="AS799" s="158">
        <v>0.0810595228934205</v>
      </c>
      <c r="AT799" s="141">
        <v>0.0232558139534884</v>
      </c>
      <c r="AU799" s="141">
        <v>0</v>
      </c>
      <c r="AV799" s="141">
        <v>0.0540540540540541</v>
      </c>
      <c r="AW799" s="141">
        <v>0.0289115646258503</v>
      </c>
      <c r="AX799" s="95"/>
      <c r="AY799" s="93"/>
    </row>
    <row r="800" ht="14.5" spans="1:51">
      <c r="A800" s="91"/>
      <c r="B800" s="95"/>
      <c r="C800" s="152" t="s">
        <v>668</v>
      </c>
      <c r="D800" s="153" t="s">
        <v>25</v>
      </c>
      <c r="E800" s="130" t="s">
        <v>669</v>
      </c>
      <c r="F800" s="179" t="s">
        <v>827</v>
      </c>
      <c r="G800" s="179" t="s">
        <v>827</v>
      </c>
      <c r="H800" s="179" t="s">
        <v>827</v>
      </c>
      <c r="I800" s="179" t="s">
        <v>827</v>
      </c>
      <c r="J800" s="132">
        <v>0.9</v>
      </c>
      <c r="K800" s="133">
        <v>0.736842105263158</v>
      </c>
      <c r="L800" s="133">
        <v>0.736842105263158</v>
      </c>
      <c r="M800" s="134">
        <v>0.95</v>
      </c>
      <c r="N800" s="133">
        <v>0.873873873873874</v>
      </c>
      <c r="O800" s="135">
        <v>0.9</v>
      </c>
      <c r="P800" s="133">
        <v>0.946140035906643</v>
      </c>
      <c r="Q800" s="133">
        <v>0.955479452054795</v>
      </c>
      <c r="R800" s="133">
        <v>0.955680399500624</v>
      </c>
      <c r="S800" s="133">
        <v>0.925976219653562</v>
      </c>
      <c r="T800" s="135">
        <v>0.9</v>
      </c>
      <c r="U800" s="133">
        <v>0.932375822860563</v>
      </c>
      <c r="V800" s="133">
        <v>0.928082191780822</v>
      </c>
      <c r="W800" s="133">
        <v>0.932584269662921</v>
      </c>
      <c r="X800" s="133">
        <v>0.914947173185838</v>
      </c>
      <c r="Y800" s="135">
        <v>0.92</v>
      </c>
      <c r="Z800" s="135">
        <v>0.928825622775801</v>
      </c>
      <c r="AA800" s="135">
        <v>0.936170212765957</v>
      </c>
      <c r="AB800" s="135">
        <v>0.924074074074074</v>
      </c>
      <c r="AC800" s="135">
        <v>0.93006993006993</v>
      </c>
      <c r="AD800" s="135">
        <v>0.92</v>
      </c>
      <c r="AE800" s="133">
        <v>1</v>
      </c>
      <c r="AF800" s="133">
        <v>1</v>
      </c>
      <c r="AG800" s="133">
        <v>1</v>
      </c>
      <c r="AH800" s="133">
        <v>0.994017707585547</v>
      </c>
      <c r="AI800" s="135">
        <v>0.92</v>
      </c>
      <c r="AJ800" s="133">
        <v>0.96875</v>
      </c>
      <c r="AK800" s="133">
        <v>0.958950486669488</v>
      </c>
      <c r="AL800" s="133">
        <v>0.96125116713352</v>
      </c>
      <c r="AM800" s="133">
        <v>0.960057134112126</v>
      </c>
      <c r="AN800" s="132">
        <v>0.99</v>
      </c>
      <c r="AO800" s="137">
        <v>1</v>
      </c>
      <c r="AP800" s="137">
        <v>1</v>
      </c>
      <c r="AQ800" s="137">
        <v>1</v>
      </c>
      <c r="AR800" s="137">
        <v>1</v>
      </c>
      <c r="AS800" s="158">
        <v>0.0810595228934205</v>
      </c>
      <c r="AT800" s="141">
        <v>0</v>
      </c>
      <c r="AU800" s="141">
        <v>0</v>
      </c>
      <c r="AV800" s="141">
        <v>0</v>
      </c>
      <c r="AW800" s="141">
        <v>0.0234375</v>
      </c>
      <c r="AX800" s="95"/>
      <c r="AY800" s="93"/>
    </row>
    <row r="801" ht="14.5" spans="1:51">
      <c r="A801" s="91"/>
      <c r="B801" s="95"/>
      <c r="C801" s="152" t="s">
        <v>668</v>
      </c>
      <c r="D801" s="153" t="s">
        <v>25</v>
      </c>
      <c r="E801" s="130" t="s">
        <v>669</v>
      </c>
      <c r="F801" s="179" t="s">
        <v>828</v>
      </c>
      <c r="G801" s="179" t="s">
        <v>828</v>
      </c>
      <c r="H801" s="179" t="s">
        <v>828</v>
      </c>
      <c r="I801" s="179" t="s">
        <v>828</v>
      </c>
      <c r="J801" s="132">
        <v>0.9</v>
      </c>
      <c r="K801" s="133">
        <v>0.941176470588235</v>
      </c>
      <c r="L801" s="133">
        <v>0.944444444444444</v>
      </c>
      <c r="M801" s="134">
        <v>0.882352941176471</v>
      </c>
      <c r="N801" s="133">
        <v>0.945945945945946</v>
      </c>
      <c r="O801" s="135">
        <v>0.9</v>
      </c>
      <c r="P801" s="133">
        <v>0.925119721375707</v>
      </c>
      <c r="Q801" s="133">
        <v>0.920308483290488</v>
      </c>
      <c r="R801" s="133">
        <v>0.931769722814499</v>
      </c>
      <c r="S801" s="133">
        <v>0.921908893709328</v>
      </c>
      <c r="T801" s="135">
        <v>0.9</v>
      </c>
      <c r="U801" s="133">
        <v>0.901610796691336</v>
      </c>
      <c r="V801" s="133">
        <v>0.91216795201371</v>
      </c>
      <c r="W801" s="133">
        <v>0.929637526652452</v>
      </c>
      <c r="X801" s="133">
        <v>0.916032840001098</v>
      </c>
      <c r="Y801" s="135">
        <v>0.92</v>
      </c>
      <c r="Z801" s="135">
        <v>0.891352549889135</v>
      </c>
      <c r="AA801" s="135">
        <v>0.880116959064328</v>
      </c>
      <c r="AB801" s="135">
        <v>0.923444976076555</v>
      </c>
      <c r="AC801" s="135">
        <v>0.899293798974557</v>
      </c>
      <c r="AD801" s="135">
        <v>0.92</v>
      </c>
      <c r="AE801" s="133">
        <v>0.998237885462555</v>
      </c>
      <c r="AF801" s="133">
        <v>0.958711566617862</v>
      </c>
      <c r="AG801" s="133">
        <v>0.994249726177437</v>
      </c>
      <c r="AH801" s="133">
        <v>0.964043647550834</v>
      </c>
      <c r="AI801" s="135">
        <v>0.92</v>
      </c>
      <c r="AJ801" s="133">
        <v>0.932678311499272</v>
      </c>
      <c r="AK801" s="133">
        <v>0.939695162359178</v>
      </c>
      <c r="AL801" s="133">
        <v>0.948482428115016</v>
      </c>
      <c r="AM801" s="133">
        <v>0.945614747962959</v>
      </c>
      <c r="AN801" s="132">
        <v>0.99</v>
      </c>
      <c r="AO801" s="137">
        <v>1</v>
      </c>
      <c r="AP801" s="137">
        <v>1</v>
      </c>
      <c r="AQ801" s="137">
        <v>1</v>
      </c>
      <c r="AR801" s="137">
        <v>1</v>
      </c>
      <c r="AS801" s="158">
        <v>0.0810595228934205</v>
      </c>
      <c r="AT801" s="141">
        <v>0</v>
      </c>
      <c r="AU801" s="141">
        <v>0.0909090909090909</v>
      </c>
      <c r="AV801" s="141">
        <v>0.0666666666666667</v>
      </c>
      <c r="AW801" s="141">
        <v>0.038961038961039</v>
      </c>
      <c r="AX801" s="95"/>
      <c r="AY801" s="93"/>
    </row>
    <row r="802" ht="14.5" spans="1:51">
      <c r="A802" s="91"/>
      <c r="B802" s="95"/>
      <c r="C802" s="152" t="s">
        <v>668</v>
      </c>
      <c r="D802" s="153" t="s">
        <v>25</v>
      </c>
      <c r="E802" s="130" t="s">
        <v>669</v>
      </c>
      <c r="F802" s="179" t="s">
        <v>829</v>
      </c>
      <c r="G802" s="179" t="s">
        <v>829</v>
      </c>
      <c r="H802" s="179" t="s">
        <v>829</v>
      </c>
      <c r="I802" s="179" t="s">
        <v>829</v>
      </c>
      <c r="J802" s="132">
        <v>0.9</v>
      </c>
      <c r="K802" s="133">
        <v>0.863636363636364</v>
      </c>
      <c r="L802" s="133">
        <v>0.91304347826087</v>
      </c>
      <c r="M802" s="134">
        <v>0.8</v>
      </c>
      <c r="N802" s="133">
        <v>0.858611825192802</v>
      </c>
      <c r="O802" s="135">
        <v>0.9</v>
      </c>
      <c r="P802" s="133">
        <v>0.853680430879713</v>
      </c>
      <c r="Q802" s="133">
        <v>0.934567369780456</v>
      </c>
      <c r="R802" s="133">
        <v>0.897200772200772</v>
      </c>
      <c r="S802" s="133">
        <v>0.900372664146492</v>
      </c>
      <c r="T802" s="135">
        <v>0.9</v>
      </c>
      <c r="U802" s="133">
        <v>0.849640933572711</v>
      </c>
      <c r="V802" s="133">
        <v>0.875161429186397</v>
      </c>
      <c r="W802" s="133">
        <v>0.874517374517375</v>
      </c>
      <c r="X802" s="133">
        <v>0.872329016863723</v>
      </c>
      <c r="Y802" s="135">
        <v>0.92</v>
      </c>
      <c r="Z802" s="135">
        <v>0.908888888888889</v>
      </c>
      <c r="AA802" s="135">
        <v>0.866035182679296</v>
      </c>
      <c r="AB802" s="135">
        <v>0.913978494623656</v>
      </c>
      <c r="AC802" s="135">
        <v>0.911730231719412</v>
      </c>
      <c r="AD802" s="135">
        <v>0.92</v>
      </c>
      <c r="AE802" s="133">
        <v>0.99672131147541</v>
      </c>
      <c r="AF802" s="133">
        <v>0.990719257540603</v>
      </c>
      <c r="AG802" s="133">
        <v>0.994515539305302</v>
      </c>
      <c r="AH802" s="133">
        <v>0.980032065296604</v>
      </c>
      <c r="AI802" s="135">
        <v>0.92</v>
      </c>
      <c r="AJ802" s="133">
        <v>0.914488424197162</v>
      </c>
      <c r="AK802" s="133">
        <v>0.914462944825335</v>
      </c>
      <c r="AL802" s="133">
        <v>0.927286081527727</v>
      </c>
      <c r="AM802" s="133">
        <v>0.932701245584681</v>
      </c>
      <c r="AN802" s="132">
        <v>0.99</v>
      </c>
      <c r="AO802" s="137">
        <v>1</v>
      </c>
      <c r="AP802" s="137">
        <v>1</v>
      </c>
      <c r="AQ802" s="137">
        <v>1</v>
      </c>
      <c r="AR802" s="137">
        <v>1</v>
      </c>
      <c r="AS802" s="158">
        <v>0.0810595228934205</v>
      </c>
      <c r="AT802" s="141">
        <v>0</v>
      </c>
      <c r="AU802" s="141">
        <v>0</v>
      </c>
      <c r="AV802" s="141">
        <v>0.142857142857143</v>
      </c>
      <c r="AW802" s="141">
        <v>0.0340909090909091</v>
      </c>
      <c r="AX802" s="95"/>
      <c r="AY802" s="93"/>
    </row>
    <row r="803" ht="14.5" spans="1:51">
      <c r="A803" s="91"/>
      <c r="B803" s="95"/>
      <c r="C803" s="152" t="s">
        <v>668</v>
      </c>
      <c r="D803" s="153" t="s">
        <v>25</v>
      </c>
      <c r="E803" s="130" t="s">
        <v>669</v>
      </c>
      <c r="F803" s="179" t="s">
        <v>830</v>
      </c>
      <c r="G803" s="179" t="s">
        <v>830</v>
      </c>
      <c r="H803" s="179" t="s">
        <v>830</v>
      </c>
      <c r="I803" s="179" t="s">
        <v>830</v>
      </c>
      <c r="J803" s="132">
        <v>0.9</v>
      </c>
      <c r="K803" s="133">
        <v>0.846153846153846</v>
      </c>
      <c r="L803" s="133">
        <v>0.923076923076923</v>
      </c>
      <c r="M803" s="134">
        <v>0.92</v>
      </c>
      <c r="N803" s="133">
        <v>0.938073394495413</v>
      </c>
      <c r="O803" s="135">
        <v>0.9</v>
      </c>
      <c r="P803" s="133">
        <v>0.960762331838565</v>
      </c>
      <c r="Q803" s="133">
        <v>0.95361716857044</v>
      </c>
      <c r="R803" s="133">
        <v>0.941943626419857</v>
      </c>
      <c r="S803" s="133">
        <v>0.947278757041614</v>
      </c>
      <c r="T803" s="135">
        <v>0.9</v>
      </c>
      <c r="U803" s="133">
        <v>0.948056801195815</v>
      </c>
      <c r="V803" s="133">
        <v>0.936656282450675</v>
      </c>
      <c r="W803" s="133">
        <v>0.94278502313841</v>
      </c>
      <c r="X803" s="133">
        <v>0.936943485371616</v>
      </c>
      <c r="Y803" s="135">
        <v>0.92</v>
      </c>
      <c r="Z803" s="135">
        <v>0.928</v>
      </c>
      <c r="AA803" s="135">
        <v>0.906024096385542</v>
      </c>
      <c r="AB803" s="135">
        <v>0.917737789203085</v>
      </c>
      <c r="AC803" s="135">
        <v>0.92111171324611</v>
      </c>
      <c r="AD803" s="135">
        <v>0.92</v>
      </c>
      <c r="AE803" s="133">
        <v>0.996562261268144</v>
      </c>
      <c r="AF803" s="133">
        <v>0.982253771073647</v>
      </c>
      <c r="AG803" s="133">
        <v>0.986928104575163</v>
      </c>
      <c r="AH803" s="133">
        <v>0.989740165128703</v>
      </c>
      <c r="AI803" s="135">
        <v>0.92</v>
      </c>
      <c r="AJ803" s="133">
        <v>0.97103274559194</v>
      </c>
      <c r="AK803" s="133">
        <v>0.955645161290323</v>
      </c>
      <c r="AL803" s="133">
        <v>0.963232963549921</v>
      </c>
      <c r="AM803" s="133">
        <v>0.964447487622459</v>
      </c>
      <c r="AN803" s="132">
        <v>0.99</v>
      </c>
      <c r="AO803" s="137">
        <v>1</v>
      </c>
      <c r="AP803" s="137">
        <v>1</v>
      </c>
      <c r="AQ803" s="137">
        <v>1</v>
      </c>
      <c r="AR803" s="137">
        <v>1</v>
      </c>
      <c r="AS803" s="158">
        <v>0.0810595228934205</v>
      </c>
      <c r="AT803" s="141">
        <v>0</v>
      </c>
      <c r="AU803" s="141">
        <v>0</v>
      </c>
      <c r="AV803" s="141">
        <v>0</v>
      </c>
      <c r="AW803" s="141">
        <v>0.0376344086021505</v>
      </c>
      <c r="AX803" s="95"/>
      <c r="AY803" s="93"/>
    </row>
    <row r="804" ht="14.5" spans="1:51">
      <c r="A804" s="91"/>
      <c r="B804" s="95"/>
      <c r="C804" s="152" t="s">
        <v>668</v>
      </c>
      <c r="D804" s="153" t="s">
        <v>25</v>
      </c>
      <c r="E804" s="130" t="s">
        <v>669</v>
      </c>
      <c r="F804" s="179" t="s">
        <v>831</v>
      </c>
      <c r="G804" s="179" t="s">
        <v>831</v>
      </c>
      <c r="H804" s="179" t="s">
        <v>831</v>
      </c>
      <c r="I804" s="179" t="s">
        <v>831</v>
      </c>
      <c r="J804" s="132">
        <v>0.9</v>
      </c>
      <c r="K804" s="133">
        <v>0.684210526315789</v>
      </c>
      <c r="L804" s="133">
        <v>0.75</v>
      </c>
      <c r="M804" s="134">
        <v>0.761904761904762</v>
      </c>
      <c r="N804" s="133">
        <v>0.696531791907514</v>
      </c>
      <c r="O804" s="135">
        <v>0.9</v>
      </c>
      <c r="P804" s="133">
        <v>0.894440974391006</v>
      </c>
      <c r="Q804" s="133">
        <v>0.850085178875639</v>
      </c>
      <c r="R804" s="133">
        <v>0.937922556853104</v>
      </c>
      <c r="S804" s="133">
        <v>0.88781470980084</v>
      </c>
      <c r="T804" s="135">
        <v>0.9</v>
      </c>
      <c r="U804" s="133">
        <v>0.901311680199875</v>
      </c>
      <c r="V804" s="133">
        <v>0.88358886996025</v>
      </c>
      <c r="W804" s="133">
        <v>0.892440073755378</v>
      </c>
      <c r="X804" s="133">
        <v>0.895398490076179</v>
      </c>
      <c r="Y804" s="135">
        <v>0.92</v>
      </c>
      <c r="Z804" s="135">
        <v>0.795918367346939</v>
      </c>
      <c r="AA804" s="135">
        <v>0.769090909090909</v>
      </c>
      <c r="AB804" s="135">
        <v>0.807053941908714</v>
      </c>
      <c r="AC804" s="135">
        <v>0.869981957600361</v>
      </c>
      <c r="AD804" s="135">
        <v>0.92</v>
      </c>
      <c r="AE804" s="133">
        <v>1</v>
      </c>
      <c r="AF804" s="133">
        <v>0.911764705882353</v>
      </c>
      <c r="AG804" s="133">
        <v>1</v>
      </c>
      <c r="AH804" s="133">
        <v>0.975877192982456</v>
      </c>
      <c r="AI804" s="135">
        <v>0.92</v>
      </c>
      <c r="AJ804" s="133">
        <v>0.915123456790123</v>
      </c>
      <c r="AK804" s="133">
        <v>0.899610558199913</v>
      </c>
      <c r="AL804" s="133">
        <v>0.909478672985782</v>
      </c>
      <c r="AM804" s="133">
        <v>0.92520840979395</v>
      </c>
      <c r="AN804" s="132">
        <v>0.99</v>
      </c>
      <c r="AO804" s="137">
        <v>1</v>
      </c>
      <c r="AP804" s="137">
        <v>1</v>
      </c>
      <c r="AQ804" s="137">
        <v>1</v>
      </c>
      <c r="AR804" s="137">
        <v>1</v>
      </c>
      <c r="AS804" s="158">
        <v>0.0810595228934205</v>
      </c>
      <c r="AT804" s="141">
        <v>0.333333333333333</v>
      </c>
      <c r="AU804" s="141">
        <v>0.125</v>
      </c>
      <c r="AV804" s="141">
        <v>0.1</v>
      </c>
      <c r="AW804" s="141">
        <v>0.0818181818181818</v>
      </c>
      <c r="AX804" s="95"/>
      <c r="AY804" s="93"/>
    </row>
    <row r="805" ht="14.5" spans="1:51">
      <c r="A805" s="91"/>
      <c r="B805" s="95"/>
      <c r="C805" s="152" t="s">
        <v>668</v>
      </c>
      <c r="D805" s="153" t="s">
        <v>25</v>
      </c>
      <c r="E805" s="130" t="s">
        <v>669</v>
      </c>
      <c r="F805" s="179" t="s">
        <v>832</v>
      </c>
      <c r="G805" s="179" t="s">
        <v>832</v>
      </c>
      <c r="H805" s="179" t="s">
        <v>832</v>
      </c>
      <c r="I805" s="179" t="s">
        <v>832</v>
      </c>
      <c r="J805" s="132">
        <v>0.9</v>
      </c>
      <c r="K805" s="133">
        <v>0.777777777777778</v>
      </c>
      <c r="L805" s="133">
        <v>0.888888888888889</v>
      </c>
      <c r="M805" s="134">
        <v>0.888888888888889</v>
      </c>
      <c r="N805" s="133">
        <v>0.837662337662338</v>
      </c>
      <c r="O805" s="135">
        <v>0.9</v>
      </c>
      <c r="P805" s="133">
        <v>0.96875</v>
      </c>
      <c r="Q805" s="133">
        <v>0.972043010752688</v>
      </c>
      <c r="R805" s="133">
        <v>0.982885085574572</v>
      </c>
      <c r="S805" s="133">
        <v>0.965394104661732</v>
      </c>
      <c r="T805" s="135">
        <v>0.9</v>
      </c>
      <c r="U805" s="133">
        <v>0.928571428571429</v>
      </c>
      <c r="V805" s="133">
        <v>0.93010752688172</v>
      </c>
      <c r="W805" s="133">
        <v>0.938875305623472</v>
      </c>
      <c r="X805" s="133">
        <v>0.925464225425269</v>
      </c>
      <c r="Y805" s="135">
        <v>0.92</v>
      </c>
      <c r="Z805" s="135">
        <v>0.915032679738562</v>
      </c>
      <c r="AA805" s="135">
        <v>0.96039603960396</v>
      </c>
      <c r="AB805" s="135">
        <v>0.955223880597015</v>
      </c>
      <c r="AC805" s="135">
        <v>0.941111601235113</v>
      </c>
      <c r="AD805" s="135">
        <v>0.92</v>
      </c>
      <c r="AE805" s="133">
        <v>0.997991967871486</v>
      </c>
      <c r="AF805" s="133">
        <v>0.994565217391304</v>
      </c>
      <c r="AG805" s="133">
        <v>0.986455981941309</v>
      </c>
      <c r="AH805" s="133">
        <v>0.979272074424678</v>
      </c>
      <c r="AI805" s="135">
        <v>0.92</v>
      </c>
      <c r="AJ805" s="133">
        <v>0.959008579599619</v>
      </c>
      <c r="AK805" s="133">
        <v>0.969991889699919</v>
      </c>
      <c r="AL805" s="133">
        <v>0.968692449355433</v>
      </c>
      <c r="AM805" s="133">
        <v>0.96770634841039</v>
      </c>
      <c r="AN805" s="132">
        <v>0.99</v>
      </c>
      <c r="AO805" s="137">
        <v>1</v>
      </c>
      <c r="AP805" s="137">
        <v>1</v>
      </c>
      <c r="AQ805" s="137">
        <v>1</v>
      </c>
      <c r="AR805" s="137">
        <v>1</v>
      </c>
      <c r="AS805" s="158">
        <v>0.0810595228934205</v>
      </c>
      <c r="AT805" s="141">
        <v>0</v>
      </c>
      <c r="AU805" s="141">
        <v>0</v>
      </c>
      <c r="AV805" s="141">
        <v>0</v>
      </c>
      <c r="AW805" s="141">
        <v>0.0227272727272727</v>
      </c>
      <c r="AX805" s="95"/>
      <c r="AY805" s="93"/>
    </row>
    <row r="806" ht="14.5" spans="1:51">
      <c r="A806" s="91"/>
      <c r="B806" s="95"/>
      <c r="C806" s="152" t="s">
        <v>668</v>
      </c>
      <c r="D806" s="153" t="s">
        <v>25</v>
      </c>
      <c r="E806" s="130" t="s">
        <v>669</v>
      </c>
      <c r="F806" s="179" t="s">
        <v>833</v>
      </c>
      <c r="G806" s="179" t="s">
        <v>833</v>
      </c>
      <c r="H806" s="179" t="s">
        <v>833</v>
      </c>
      <c r="I806" s="179" t="s">
        <v>833</v>
      </c>
      <c r="J806" s="132">
        <v>0.9</v>
      </c>
      <c r="K806" s="133">
        <v>0.85</v>
      </c>
      <c r="L806" s="133">
        <v>0.80952380952381</v>
      </c>
      <c r="M806" s="134">
        <v>0.727272727272727</v>
      </c>
      <c r="N806" s="133">
        <v>0.801724137931034</v>
      </c>
      <c r="O806" s="135">
        <v>0.9</v>
      </c>
      <c r="P806" s="133">
        <v>0.961717537506467</v>
      </c>
      <c r="Q806" s="133">
        <v>0.935014005602241</v>
      </c>
      <c r="R806" s="133">
        <v>0.966750313676286</v>
      </c>
      <c r="S806" s="133">
        <v>0.953523769070121</v>
      </c>
      <c r="T806" s="135">
        <v>0.9</v>
      </c>
      <c r="U806" s="133">
        <v>0.914123124676668</v>
      </c>
      <c r="V806" s="133">
        <v>0.903641456582633</v>
      </c>
      <c r="W806" s="133">
        <v>0.941028858218319</v>
      </c>
      <c r="X806" s="133">
        <v>0.919648861987186</v>
      </c>
      <c r="Y806" s="135">
        <v>0.92</v>
      </c>
      <c r="Z806" s="135">
        <v>0.898395721925134</v>
      </c>
      <c r="AA806" s="135">
        <v>0.8887171561051</v>
      </c>
      <c r="AB806" s="135">
        <v>0.914634146341463</v>
      </c>
      <c r="AC806" s="135">
        <v>0.90494745542567</v>
      </c>
      <c r="AD806" s="135">
        <v>0.92</v>
      </c>
      <c r="AE806" s="133">
        <v>1</v>
      </c>
      <c r="AF806" s="133">
        <v>0.994186046511628</v>
      </c>
      <c r="AG806" s="133">
        <v>0.968253968253968</v>
      </c>
      <c r="AH806" s="133">
        <v>0.979334677419355</v>
      </c>
      <c r="AI806" s="135">
        <v>0.92</v>
      </c>
      <c r="AJ806" s="133">
        <v>0.940182054616385</v>
      </c>
      <c r="AK806" s="133">
        <v>0.924342105263158</v>
      </c>
      <c r="AL806" s="133">
        <v>0.958772770853308</v>
      </c>
      <c r="AM806" s="133">
        <v>0.946395513448764</v>
      </c>
      <c r="AN806" s="132">
        <v>0.99</v>
      </c>
      <c r="AO806" s="137">
        <v>1</v>
      </c>
      <c r="AP806" s="137">
        <v>1</v>
      </c>
      <c r="AQ806" s="137">
        <v>1</v>
      </c>
      <c r="AR806" s="137">
        <v>1</v>
      </c>
      <c r="AS806" s="158">
        <v>0.0810595228934205</v>
      </c>
      <c r="AT806" s="141">
        <v>0</v>
      </c>
      <c r="AU806" s="141">
        <v>0</v>
      </c>
      <c r="AV806" s="141">
        <v>0</v>
      </c>
      <c r="AW806" s="141">
        <v>0.0273972602739726</v>
      </c>
      <c r="AX806" s="95"/>
      <c r="AY806" s="93"/>
    </row>
    <row r="807" ht="14.5" spans="1:51">
      <c r="A807" s="91"/>
      <c r="B807" s="95"/>
      <c r="C807" s="152" t="s">
        <v>668</v>
      </c>
      <c r="D807" s="153" t="s">
        <v>25</v>
      </c>
      <c r="E807" s="130" t="s">
        <v>669</v>
      </c>
      <c r="F807" s="179" t="s">
        <v>834</v>
      </c>
      <c r="G807" s="179" t="s">
        <v>834</v>
      </c>
      <c r="H807" s="179" t="s">
        <v>834</v>
      </c>
      <c r="I807" s="179" t="s">
        <v>834</v>
      </c>
      <c r="J807" s="132">
        <v>0.9</v>
      </c>
      <c r="K807" s="133">
        <v>1</v>
      </c>
      <c r="L807" s="133">
        <v>1</v>
      </c>
      <c r="M807" s="134">
        <v>1</v>
      </c>
      <c r="N807" s="133">
        <v>0.981132075471698</v>
      </c>
      <c r="O807" s="135">
        <v>0.9</v>
      </c>
      <c r="P807" s="133">
        <v>0.953940634595701</v>
      </c>
      <c r="Q807" s="133">
        <v>0.975657254138267</v>
      </c>
      <c r="R807" s="133">
        <v>0.97319587628866</v>
      </c>
      <c r="S807" s="133">
        <v>0.945572227125625</v>
      </c>
      <c r="T807" s="135">
        <v>0.9</v>
      </c>
      <c r="U807" s="133">
        <v>0.950870010235415</v>
      </c>
      <c r="V807" s="133">
        <v>0.962999026290166</v>
      </c>
      <c r="W807" s="133">
        <v>0.969072164948454</v>
      </c>
      <c r="X807" s="133">
        <v>0.951103265666372</v>
      </c>
      <c r="Y807" s="135">
        <v>0.92</v>
      </c>
      <c r="Z807" s="135">
        <v>0.985294117647059</v>
      </c>
      <c r="AA807" s="135">
        <v>0.965408805031447</v>
      </c>
      <c r="AB807" s="135">
        <v>0.981538461538462</v>
      </c>
      <c r="AC807" s="135">
        <v>0.973663522012579</v>
      </c>
      <c r="AD807" s="135">
        <v>0.92</v>
      </c>
      <c r="AE807" s="133">
        <v>1</v>
      </c>
      <c r="AF807" s="133">
        <v>1</v>
      </c>
      <c r="AG807" s="133">
        <v>1</v>
      </c>
      <c r="AH807" s="133">
        <v>0.960863697705803</v>
      </c>
      <c r="AI807" s="135">
        <v>0.92</v>
      </c>
      <c r="AJ807" s="133">
        <v>0.972904318374259</v>
      </c>
      <c r="AK807" s="133">
        <v>0.976951672862454</v>
      </c>
      <c r="AL807" s="133">
        <v>0.983783783783784</v>
      </c>
      <c r="AM807" s="133">
        <v>0.978136882129278</v>
      </c>
      <c r="AN807" s="132">
        <v>0.99</v>
      </c>
      <c r="AO807" s="137" t="s">
        <v>35</v>
      </c>
      <c r="AP807" s="137">
        <v>1</v>
      </c>
      <c r="AQ807" s="137">
        <v>1</v>
      </c>
      <c r="AR807" s="137">
        <v>1</v>
      </c>
      <c r="AS807" s="158">
        <v>0.0810595228934205</v>
      </c>
      <c r="AT807" s="141">
        <v>0</v>
      </c>
      <c r="AU807" s="141">
        <v>0</v>
      </c>
      <c r="AV807" s="141">
        <v>0</v>
      </c>
      <c r="AW807" s="141">
        <v>0.0128205128205128</v>
      </c>
      <c r="AX807" s="95"/>
      <c r="AY807" s="93"/>
    </row>
    <row r="808" ht="14.5" spans="1:51">
      <c r="A808" s="91"/>
      <c r="B808" s="95"/>
      <c r="C808" s="152" t="s">
        <v>668</v>
      </c>
      <c r="D808" s="153" t="s">
        <v>25</v>
      </c>
      <c r="E808" s="130" t="s">
        <v>669</v>
      </c>
      <c r="F808" s="179" t="s">
        <v>835</v>
      </c>
      <c r="G808" s="179" t="s">
        <v>835</v>
      </c>
      <c r="H808" s="179" t="s">
        <v>835</v>
      </c>
      <c r="I808" s="179" t="s">
        <v>835</v>
      </c>
      <c r="J808" s="132">
        <v>0.9</v>
      </c>
      <c r="K808" s="133">
        <v>0.92</v>
      </c>
      <c r="L808" s="133">
        <v>0.981132075471698</v>
      </c>
      <c r="M808" s="134">
        <v>1</v>
      </c>
      <c r="N808" s="133">
        <v>0.955974842767296</v>
      </c>
      <c r="O808" s="135">
        <v>0.9</v>
      </c>
      <c r="P808" s="133">
        <v>0.962566844919786</v>
      </c>
      <c r="Q808" s="133">
        <v>0.96679368535656</v>
      </c>
      <c r="R808" s="133">
        <v>0.974405850091408</v>
      </c>
      <c r="S808" s="133">
        <v>0.968715275940526</v>
      </c>
      <c r="T808" s="135">
        <v>0.9</v>
      </c>
      <c r="U808" s="133">
        <v>0.944322113872287</v>
      </c>
      <c r="V808" s="133">
        <v>0.940119760479042</v>
      </c>
      <c r="W808" s="133">
        <v>0.966048576651867</v>
      </c>
      <c r="X808" s="133">
        <v>0.952457802000106</v>
      </c>
      <c r="Y808" s="135">
        <v>0.92</v>
      </c>
      <c r="Z808" s="135">
        <v>0.927914110429448</v>
      </c>
      <c r="AA808" s="135">
        <v>0.926482873851295</v>
      </c>
      <c r="AB808" s="135">
        <v>0.950276243093923</v>
      </c>
      <c r="AC808" s="135">
        <v>0.952262259550257</v>
      </c>
      <c r="AD808" s="135">
        <v>0.92</v>
      </c>
      <c r="AE808" s="133">
        <v>1</v>
      </c>
      <c r="AF808" s="133">
        <v>0.997709049255441</v>
      </c>
      <c r="AG808" s="133">
        <v>0.998790078644888</v>
      </c>
      <c r="AH808" s="133">
        <v>0.999349018878453</v>
      </c>
      <c r="AI808" s="135">
        <v>0.92</v>
      </c>
      <c r="AJ808" s="133">
        <v>0.956669276951188</v>
      </c>
      <c r="AK808" s="133">
        <v>0.952781769657155</v>
      </c>
      <c r="AL808" s="133">
        <v>0.975183075671277</v>
      </c>
      <c r="AM808" s="133">
        <v>0.976237813240907</v>
      </c>
      <c r="AN808" s="132">
        <v>0.99</v>
      </c>
      <c r="AO808" s="137">
        <v>1</v>
      </c>
      <c r="AP808" s="137">
        <v>1</v>
      </c>
      <c r="AQ808" s="137">
        <v>1</v>
      </c>
      <c r="AR808" s="137">
        <v>1</v>
      </c>
      <c r="AS808" s="158">
        <v>0.0810595228934205</v>
      </c>
      <c r="AT808" s="141">
        <v>0.128205128205128</v>
      </c>
      <c r="AU808" s="141">
        <v>0</v>
      </c>
      <c r="AV808" s="141">
        <v>0.0649350649350649</v>
      </c>
      <c r="AW808" s="141">
        <v>0.0298969072164948</v>
      </c>
      <c r="AX808" s="95"/>
      <c r="AY808" s="93"/>
    </row>
    <row r="809" ht="14.5" spans="1:51">
      <c r="A809" s="91"/>
      <c r="B809" s="95"/>
      <c r="C809" s="152" t="s">
        <v>668</v>
      </c>
      <c r="D809" s="153" t="s">
        <v>25</v>
      </c>
      <c r="E809" s="130" t="s">
        <v>669</v>
      </c>
      <c r="F809" s="179" t="s">
        <v>836</v>
      </c>
      <c r="G809" s="179" t="s">
        <v>836</v>
      </c>
      <c r="H809" s="179" t="s">
        <v>836</v>
      </c>
      <c r="I809" s="179" t="s">
        <v>836</v>
      </c>
      <c r="J809" s="132">
        <v>0.9</v>
      </c>
      <c r="K809" s="133">
        <v>0.958333333333333</v>
      </c>
      <c r="L809" s="133">
        <v>0.909090909090909</v>
      </c>
      <c r="M809" s="134">
        <v>0.96</v>
      </c>
      <c r="N809" s="133">
        <v>0.963553530751708</v>
      </c>
      <c r="O809" s="135">
        <v>0.9</v>
      </c>
      <c r="P809" s="133">
        <v>0.975835110163468</v>
      </c>
      <c r="Q809" s="133">
        <v>0.95446584938704</v>
      </c>
      <c r="R809" s="133">
        <v>0.980769230769231</v>
      </c>
      <c r="S809" s="133">
        <v>0.97929440764135</v>
      </c>
      <c r="T809" s="135">
        <v>0.9</v>
      </c>
      <c r="U809" s="133">
        <v>0.865671641791045</v>
      </c>
      <c r="V809" s="133">
        <v>0.843549328663164</v>
      </c>
      <c r="W809" s="133">
        <v>0.926573426573427</v>
      </c>
      <c r="X809" s="133">
        <v>0.922631335695579</v>
      </c>
      <c r="Y809" s="135">
        <v>0.92</v>
      </c>
      <c r="Z809" s="135">
        <v>0.868512110726644</v>
      </c>
      <c r="AA809" s="135">
        <v>0.89647577092511</v>
      </c>
      <c r="AB809" s="135">
        <v>0.940528634361233</v>
      </c>
      <c r="AC809" s="135">
        <v>0.935518731988473</v>
      </c>
      <c r="AD809" s="135">
        <v>0.92</v>
      </c>
      <c r="AE809" s="133">
        <v>0.998027613412229</v>
      </c>
      <c r="AF809" s="133">
        <v>1</v>
      </c>
      <c r="AG809" s="133">
        <v>0.99874686716792</v>
      </c>
      <c r="AH809" s="133">
        <v>0.999172185430464</v>
      </c>
      <c r="AI809" s="135">
        <v>0.92</v>
      </c>
      <c r="AJ809" s="133">
        <v>0.903891509433962</v>
      </c>
      <c r="AK809" s="133">
        <v>0.918320258421781</v>
      </c>
      <c r="AL809" s="133">
        <v>0.947489636112391</v>
      </c>
      <c r="AM809" s="133">
        <v>0.95810350322375</v>
      </c>
      <c r="AN809" s="132">
        <v>0.99</v>
      </c>
      <c r="AO809" s="137">
        <v>1</v>
      </c>
      <c r="AP809" s="137">
        <v>1</v>
      </c>
      <c r="AQ809" s="137">
        <v>1</v>
      </c>
      <c r="AR809" s="137">
        <v>1</v>
      </c>
      <c r="AS809" s="158">
        <v>0.0810595228934205</v>
      </c>
      <c r="AT809" s="141">
        <v>0</v>
      </c>
      <c r="AU809" s="141">
        <v>0.0303030303030303</v>
      </c>
      <c r="AV809" s="141">
        <v>0</v>
      </c>
      <c r="AW809" s="141">
        <v>0.0236051502145923</v>
      </c>
      <c r="AX809" s="95"/>
      <c r="AY809" s="93"/>
    </row>
    <row r="810" ht="14.5" spans="1:51">
      <c r="A810" s="91"/>
      <c r="B810" s="95"/>
      <c r="C810" s="152" t="s">
        <v>668</v>
      </c>
      <c r="D810" s="153" t="s">
        <v>25</v>
      </c>
      <c r="E810" s="130" t="s">
        <v>669</v>
      </c>
      <c r="F810" s="179" t="s">
        <v>837</v>
      </c>
      <c r="G810" s="179" t="s">
        <v>837</v>
      </c>
      <c r="H810" s="179" t="s">
        <v>837</v>
      </c>
      <c r="I810" s="179" t="s">
        <v>837</v>
      </c>
      <c r="J810" s="132">
        <v>0.9</v>
      </c>
      <c r="K810" s="133">
        <v>0.851851851851852</v>
      </c>
      <c r="L810" s="133">
        <v>0.961538461538462</v>
      </c>
      <c r="M810" s="134">
        <v>0.964285714285714</v>
      </c>
      <c r="N810" s="133">
        <v>0.961945031712474</v>
      </c>
      <c r="O810" s="135">
        <v>0.9</v>
      </c>
      <c r="P810" s="133">
        <v>0.933849401829697</v>
      </c>
      <c r="Q810" s="133">
        <v>0.956302521008403</v>
      </c>
      <c r="R810" s="133">
        <v>0.974759615384615</v>
      </c>
      <c r="S810" s="133">
        <v>0.95838298379409</v>
      </c>
      <c r="T810" s="135">
        <v>0.9</v>
      </c>
      <c r="U810" s="133">
        <v>0.912033779028853</v>
      </c>
      <c r="V810" s="133">
        <v>0.887955182072829</v>
      </c>
      <c r="W810" s="133">
        <v>0.949519230769231</v>
      </c>
      <c r="X810" s="133">
        <v>0.925941372735939</v>
      </c>
      <c r="Y810" s="135">
        <v>0.92</v>
      </c>
      <c r="Z810" s="135">
        <v>0.931159420289855</v>
      </c>
      <c r="AA810" s="135">
        <v>0.91044776119403</v>
      </c>
      <c r="AB810" s="135">
        <v>0.938034188034188</v>
      </c>
      <c r="AC810" s="135">
        <v>0.938175834508698</v>
      </c>
      <c r="AD810" s="135">
        <v>0.92</v>
      </c>
      <c r="AE810" s="133">
        <v>0.993055555555556</v>
      </c>
      <c r="AF810" s="133">
        <v>0.990990990990991</v>
      </c>
      <c r="AG810" s="133">
        <v>1</v>
      </c>
      <c r="AH810" s="133">
        <v>0.990028046120287</v>
      </c>
      <c r="AI810" s="135">
        <v>0.92</v>
      </c>
      <c r="AJ810" s="133">
        <v>0.949911608721273</v>
      </c>
      <c r="AK810" s="133">
        <v>0.94321206743567</v>
      </c>
      <c r="AL810" s="133">
        <v>0.964369432723863</v>
      </c>
      <c r="AM810" s="133">
        <v>0.965493476556002</v>
      </c>
      <c r="AN810" s="132">
        <v>0.99</v>
      </c>
      <c r="AO810" s="137">
        <v>1</v>
      </c>
      <c r="AP810" s="137">
        <v>1</v>
      </c>
      <c r="AQ810" s="137">
        <v>1</v>
      </c>
      <c r="AR810" s="137">
        <v>1</v>
      </c>
      <c r="AS810" s="158">
        <v>0.0810595228934205</v>
      </c>
      <c r="AT810" s="141">
        <v>0</v>
      </c>
      <c r="AU810" s="141">
        <v>0.0714285714285714</v>
      </c>
      <c r="AV810" s="141">
        <v>0.0689655172413793</v>
      </c>
      <c r="AW810" s="141">
        <v>0.0445544554455446</v>
      </c>
      <c r="AX810" s="95"/>
      <c r="AY810" s="93"/>
    </row>
    <row r="811" ht="14.5" spans="1:51">
      <c r="A811" s="91"/>
      <c r="B811" s="95"/>
      <c r="C811" s="152" t="s">
        <v>668</v>
      </c>
      <c r="D811" s="153" t="s">
        <v>25</v>
      </c>
      <c r="E811" s="130" t="s">
        <v>669</v>
      </c>
      <c r="F811" s="179" t="s">
        <v>838</v>
      </c>
      <c r="G811" s="179" t="s">
        <v>838</v>
      </c>
      <c r="H811" s="179" t="s">
        <v>838</v>
      </c>
      <c r="I811" s="179" t="s">
        <v>838</v>
      </c>
      <c r="J811" s="132">
        <v>0.9</v>
      </c>
      <c r="K811" s="133">
        <v>0.956521739130435</v>
      </c>
      <c r="L811" s="133">
        <v>1</v>
      </c>
      <c r="M811" s="134">
        <v>0.979166666666667</v>
      </c>
      <c r="N811" s="133">
        <v>0.97639751552795</v>
      </c>
      <c r="O811" s="135">
        <v>0.9</v>
      </c>
      <c r="P811" s="133">
        <v>0.969347396176664</v>
      </c>
      <c r="Q811" s="133">
        <v>0.967501490757305</v>
      </c>
      <c r="R811" s="133">
        <v>0.97428661022264</v>
      </c>
      <c r="S811" s="133">
        <v>0.971169853593266</v>
      </c>
      <c r="T811" s="135">
        <v>0.9</v>
      </c>
      <c r="U811" s="133">
        <v>0.94825313117996</v>
      </c>
      <c r="V811" s="133">
        <v>0.927549194991055</v>
      </c>
      <c r="W811" s="133">
        <v>0.966760740043901</v>
      </c>
      <c r="X811" s="133">
        <v>0.954024240349758</v>
      </c>
      <c r="Y811" s="135">
        <v>0.92</v>
      </c>
      <c r="Z811" s="135">
        <v>0.926470588235294</v>
      </c>
      <c r="AA811" s="135">
        <v>0.940092165898618</v>
      </c>
      <c r="AB811" s="135">
        <v>0.963440860215054</v>
      </c>
      <c r="AC811" s="135">
        <v>0.964844457867714</v>
      </c>
      <c r="AD811" s="135">
        <v>0.92</v>
      </c>
      <c r="AE811" s="133">
        <v>0.999637023593466</v>
      </c>
      <c r="AF811" s="133">
        <v>0.994094488188976</v>
      </c>
      <c r="AG811" s="133">
        <v>0.99746192893401</v>
      </c>
      <c r="AH811" s="133">
        <v>0.999014964161462</v>
      </c>
      <c r="AI811" s="135">
        <v>0.92</v>
      </c>
      <c r="AJ811" s="133">
        <v>0.964902659720318</v>
      </c>
      <c r="AK811" s="133">
        <v>0.963296234904097</v>
      </c>
      <c r="AL811" s="133">
        <v>0.981809362114965</v>
      </c>
      <c r="AM811" s="133">
        <v>0.980615552091838</v>
      </c>
      <c r="AN811" s="132">
        <v>0.99</v>
      </c>
      <c r="AO811" s="137">
        <v>1</v>
      </c>
      <c r="AP811" s="137">
        <v>1</v>
      </c>
      <c r="AQ811" s="137">
        <v>1</v>
      </c>
      <c r="AR811" s="137">
        <v>1</v>
      </c>
      <c r="AS811" s="158">
        <v>0.0810595228934205</v>
      </c>
      <c r="AT811" s="141">
        <v>0</v>
      </c>
      <c r="AU811" s="141">
        <v>0.0333333333333333</v>
      </c>
      <c r="AV811" s="141">
        <v>0.0277777777777778</v>
      </c>
      <c r="AW811" s="141">
        <v>0.00764818355640535</v>
      </c>
      <c r="AX811" s="95"/>
      <c r="AY811" s="93"/>
    </row>
    <row r="812" ht="14.5" spans="1:51">
      <c r="A812" s="91"/>
      <c r="B812" s="95"/>
      <c r="C812" s="152" t="s">
        <v>668</v>
      </c>
      <c r="D812" s="153" t="s">
        <v>25</v>
      </c>
      <c r="E812" s="130" t="s">
        <v>669</v>
      </c>
      <c r="F812" s="179" t="s">
        <v>839</v>
      </c>
      <c r="G812" s="179" t="s">
        <v>839</v>
      </c>
      <c r="H812" s="179" t="s">
        <v>839</v>
      </c>
      <c r="I812" s="179" t="s">
        <v>839</v>
      </c>
      <c r="J812" s="132">
        <v>0.9</v>
      </c>
      <c r="K812" s="133">
        <v>0.954545454545455</v>
      </c>
      <c r="L812" s="133">
        <v>1</v>
      </c>
      <c r="M812" s="134">
        <v>1</v>
      </c>
      <c r="N812" s="133">
        <v>0.993131868131868</v>
      </c>
      <c r="O812" s="135">
        <v>0.9</v>
      </c>
      <c r="P812" s="133">
        <v>0.985700197238659</v>
      </c>
      <c r="Q812" s="133">
        <v>0.981331168831169</v>
      </c>
      <c r="R812" s="133">
        <v>0.985519964896885</v>
      </c>
      <c r="S812" s="133">
        <v>0.980783566636296</v>
      </c>
      <c r="T812" s="135">
        <v>0.9</v>
      </c>
      <c r="U812" s="133">
        <v>0.923076923076923</v>
      </c>
      <c r="V812" s="133">
        <v>0.905438311688312</v>
      </c>
      <c r="W812" s="133">
        <v>0.950855638437911</v>
      </c>
      <c r="X812" s="133">
        <v>0.939016814379193</v>
      </c>
      <c r="Y812" s="135">
        <v>0.92</v>
      </c>
      <c r="Z812" s="135">
        <v>0.930787589498807</v>
      </c>
      <c r="AA812" s="135">
        <v>0.909509202453988</v>
      </c>
      <c r="AB812" s="135">
        <v>0.932917316692668</v>
      </c>
      <c r="AC812" s="135">
        <v>0.936725700507192</v>
      </c>
      <c r="AD812" s="135">
        <v>0.92</v>
      </c>
      <c r="AE812" s="133">
        <v>1</v>
      </c>
      <c r="AF812" s="133">
        <v>0.995423340961098</v>
      </c>
      <c r="AG812" s="133">
        <v>0.997775305895439</v>
      </c>
      <c r="AH812" s="133">
        <v>0.996576075326343</v>
      </c>
      <c r="AI812" s="135">
        <v>0.92</v>
      </c>
      <c r="AJ812" s="133">
        <v>0.943627450980392</v>
      </c>
      <c r="AK812" s="133">
        <v>0.926852743022137</v>
      </c>
      <c r="AL812" s="133">
        <v>0.9637234770705</v>
      </c>
      <c r="AM812" s="133">
        <v>0.962301981838669</v>
      </c>
      <c r="AN812" s="132">
        <v>0.99</v>
      </c>
      <c r="AO812" s="137">
        <v>1</v>
      </c>
      <c r="AP812" s="137">
        <v>1</v>
      </c>
      <c r="AQ812" s="137">
        <v>1</v>
      </c>
      <c r="AR812" s="137">
        <v>1</v>
      </c>
      <c r="AS812" s="158">
        <v>0.0810595228934205</v>
      </c>
      <c r="AT812" s="141">
        <v>0</v>
      </c>
      <c r="AU812" s="141">
        <v>0.037037037037037</v>
      </c>
      <c r="AV812" s="141">
        <v>0.0487804878048781</v>
      </c>
      <c r="AW812" s="141">
        <v>0.0311355311355311</v>
      </c>
      <c r="AX812" s="95"/>
      <c r="AY812" s="93"/>
    </row>
    <row r="813" ht="14.5" spans="1:51">
      <c r="A813" s="91"/>
      <c r="B813" s="95"/>
      <c r="C813" s="152" t="s">
        <v>668</v>
      </c>
      <c r="D813" s="153" t="s">
        <v>25</v>
      </c>
      <c r="E813" s="130" t="s">
        <v>669</v>
      </c>
      <c r="F813" s="179" t="s">
        <v>840</v>
      </c>
      <c r="G813" s="179" t="s">
        <v>840</v>
      </c>
      <c r="H813" s="179" t="s">
        <v>840</v>
      </c>
      <c r="I813" s="179" t="s">
        <v>840</v>
      </c>
      <c r="J813" s="132">
        <v>0.9</v>
      </c>
      <c r="K813" s="133">
        <v>0.774193548387097</v>
      </c>
      <c r="L813" s="133">
        <v>0.903225806451613</v>
      </c>
      <c r="M813" s="134">
        <v>0.828571428571429</v>
      </c>
      <c r="N813" s="133">
        <v>0.902229845626072</v>
      </c>
      <c r="O813" s="135">
        <v>0.9</v>
      </c>
      <c r="P813" s="133">
        <v>0.933504933504933</v>
      </c>
      <c r="Q813" s="133">
        <v>0.900533536585366</v>
      </c>
      <c r="R813" s="133">
        <v>0.93677269200931</v>
      </c>
      <c r="S813" s="133">
        <v>0.946751412429379</v>
      </c>
      <c r="T813" s="135">
        <v>0.9</v>
      </c>
      <c r="U813" s="133">
        <v>0.886743886743887</v>
      </c>
      <c r="V813" s="133">
        <v>0.894817073170732</v>
      </c>
      <c r="W813" s="133">
        <v>0.920093095422808</v>
      </c>
      <c r="X813" s="133">
        <v>0.913034705407587</v>
      </c>
      <c r="Y813" s="135">
        <v>0.92</v>
      </c>
      <c r="Z813" s="135">
        <v>0.810185185185185</v>
      </c>
      <c r="AA813" s="135">
        <v>0.891139240506329</v>
      </c>
      <c r="AB813" s="135">
        <v>0.935947712418301</v>
      </c>
      <c r="AC813" s="135">
        <v>0.93398943831013</v>
      </c>
      <c r="AD813" s="135">
        <v>0.92</v>
      </c>
      <c r="AE813" s="133">
        <v>1</v>
      </c>
      <c r="AF813" s="133">
        <v>0.997311827956989</v>
      </c>
      <c r="AG813" s="133">
        <v>0.99811320754717</v>
      </c>
      <c r="AH813" s="133">
        <v>0.990419065898912</v>
      </c>
      <c r="AI813" s="135">
        <v>0.92</v>
      </c>
      <c r="AJ813" s="133">
        <v>0.901408450704225</v>
      </c>
      <c r="AK813" s="133">
        <v>0.925394967817437</v>
      </c>
      <c r="AL813" s="133">
        <v>0.959653317393903</v>
      </c>
      <c r="AM813" s="133">
        <v>0.954560813528778</v>
      </c>
      <c r="AN813" s="132">
        <v>0.99</v>
      </c>
      <c r="AO813" s="137">
        <v>1</v>
      </c>
      <c r="AP813" s="137">
        <v>1</v>
      </c>
      <c r="AQ813" s="137">
        <v>1</v>
      </c>
      <c r="AR813" s="137">
        <v>1</v>
      </c>
      <c r="AS813" s="158">
        <v>0.0810595228934205</v>
      </c>
      <c r="AT813" s="141">
        <v>0.0740740740740741</v>
      </c>
      <c r="AU813" s="141">
        <v>0</v>
      </c>
      <c r="AV813" s="141">
        <v>0.0975609756097561</v>
      </c>
      <c r="AW813" s="141">
        <v>0.032015065913371</v>
      </c>
      <c r="AX813" s="95"/>
      <c r="AY813" s="93"/>
    </row>
    <row r="814" ht="14.5" spans="1:51">
      <c r="A814" s="91"/>
      <c r="B814" s="95"/>
      <c r="C814" s="152" t="s">
        <v>668</v>
      </c>
      <c r="D814" s="153" t="s">
        <v>25</v>
      </c>
      <c r="E814" s="130" t="s">
        <v>669</v>
      </c>
      <c r="F814" s="179" t="s">
        <v>841</v>
      </c>
      <c r="G814" s="179" t="s">
        <v>841</v>
      </c>
      <c r="H814" s="179" t="s">
        <v>841</v>
      </c>
      <c r="I814" s="179" t="s">
        <v>841</v>
      </c>
      <c r="J814" s="132">
        <v>0.9</v>
      </c>
      <c r="K814" s="133">
        <v>0.869565217391304</v>
      </c>
      <c r="L814" s="133">
        <v>0.904761904761905</v>
      </c>
      <c r="M814" s="134">
        <v>0.962962962962963</v>
      </c>
      <c r="N814" s="133">
        <v>0.903073286052009</v>
      </c>
      <c r="O814" s="135">
        <v>0.9</v>
      </c>
      <c r="P814" s="133">
        <v>0.970521541950113</v>
      </c>
      <c r="Q814" s="133">
        <v>0.91698595146871</v>
      </c>
      <c r="R814" s="133">
        <v>0.988521269412559</v>
      </c>
      <c r="S814" s="133">
        <v>0.975258781605294</v>
      </c>
      <c r="T814" s="135">
        <v>0.9</v>
      </c>
      <c r="U814" s="133">
        <v>0.917611489040061</v>
      </c>
      <c r="V814" s="133">
        <v>0.909323116219668</v>
      </c>
      <c r="W814" s="133">
        <v>0.953409858203916</v>
      </c>
      <c r="X814" s="133">
        <v>0.939351773290344</v>
      </c>
      <c r="Y814" s="135">
        <v>0.92</v>
      </c>
      <c r="Z814" s="135">
        <v>0.895131086142322</v>
      </c>
      <c r="AA814" s="135">
        <v>0.86231884057971</v>
      </c>
      <c r="AB814" s="135">
        <v>0.955445544554455</v>
      </c>
      <c r="AC814" s="135">
        <v>0.947472187015913</v>
      </c>
      <c r="AD814" s="135">
        <v>0.92</v>
      </c>
      <c r="AE814" s="133">
        <v>0.997229916897507</v>
      </c>
      <c r="AF814" s="133">
        <v>1</v>
      </c>
      <c r="AG814" s="133">
        <v>0.998191681735985</v>
      </c>
      <c r="AH814" s="133">
        <v>0.996323965374125</v>
      </c>
      <c r="AI814" s="135">
        <v>0.92</v>
      </c>
      <c r="AJ814" s="133">
        <v>0.932746700188561</v>
      </c>
      <c r="AK814" s="133">
        <v>0.918686868686869</v>
      </c>
      <c r="AL814" s="133">
        <v>0.971352785145889</v>
      </c>
      <c r="AM814" s="133">
        <v>0.965739753369972</v>
      </c>
      <c r="AN814" s="132">
        <v>0.99</v>
      </c>
      <c r="AO814" s="137">
        <v>1</v>
      </c>
      <c r="AP814" s="137">
        <v>1</v>
      </c>
      <c r="AQ814" s="137">
        <v>1</v>
      </c>
      <c r="AR814" s="137">
        <v>1</v>
      </c>
      <c r="AS814" s="158">
        <v>0.0810595228934205</v>
      </c>
      <c r="AT814" s="141">
        <v>0.0526315789473684</v>
      </c>
      <c r="AU814" s="141">
        <v>0.125</v>
      </c>
      <c r="AV814" s="141">
        <v>0.03125</v>
      </c>
      <c r="AW814" s="141">
        <v>0.029023746701847</v>
      </c>
      <c r="AX814" s="95"/>
      <c r="AY814" s="93"/>
    </row>
    <row r="815" ht="14.5" spans="1:51">
      <c r="A815" s="91"/>
      <c r="B815" s="95"/>
      <c r="C815" s="152" t="s">
        <v>668</v>
      </c>
      <c r="D815" s="153" t="s">
        <v>25</v>
      </c>
      <c r="E815" s="130" t="s">
        <v>669</v>
      </c>
      <c r="F815" s="179" t="s">
        <v>842</v>
      </c>
      <c r="G815" s="179" t="s">
        <v>842</v>
      </c>
      <c r="H815" s="179" t="s">
        <v>842</v>
      </c>
      <c r="I815" s="179" t="s">
        <v>842</v>
      </c>
      <c r="J815" s="132">
        <v>0.9</v>
      </c>
      <c r="K815" s="133">
        <v>1</v>
      </c>
      <c r="L815" s="133">
        <v>0.909090909090909</v>
      </c>
      <c r="M815" s="134">
        <v>0.923076923076923</v>
      </c>
      <c r="N815" s="133">
        <v>0.926470588235294</v>
      </c>
      <c r="O815" s="135">
        <v>0.9</v>
      </c>
      <c r="P815" s="133">
        <v>0.96356783919598</v>
      </c>
      <c r="Q815" s="133">
        <v>0.967539267015707</v>
      </c>
      <c r="R815" s="133">
        <v>0.955156950672646</v>
      </c>
      <c r="S815" s="133">
        <v>0.944863149543832</v>
      </c>
      <c r="T815" s="135">
        <v>0.9</v>
      </c>
      <c r="U815" s="133">
        <v>0.9321608040201</v>
      </c>
      <c r="V815" s="133">
        <v>0.900523560209424</v>
      </c>
      <c r="W815" s="133">
        <v>0.947309417040359</v>
      </c>
      <c r="X815" s="133">
        <v>0.929676432254774</v>
      </c>
      <c r="Y815" s="135">
        <v>0.92</v>
      </c>
      <c r="Z815" s="135">
        <v>0.870503597122302</v>
      </c>
      <c r="AA815" s="135">
        <v>0.931818181818182</v>
      </c>
      <c r="AB815" s="135">
        <v>0.935064935064935</v>
      </c>
      <c r="AC815" s="135">
        <v>0.929908785405665</v>
      </c>
      <c r="AD815" s="135">
        <v>0.92</v>
      </c>
      <c r="AE815" s="133">
        <v>0.52605459057072</v>
      </c>
      <c r="AF815" s="133">
        <v>0.994557823129252</v>
      </c>
      <c r="AG815" s="133">
        <v>0.998561151079137</v>
      </c>
      <c r="AH815" s="133">
        <v>0.966905901116427</v>
      </c>
      <c r="AI815" s="135">
        <v>0.92</v>
      </c>
      <c r="AJ815" s="133">
        <v>0.93048128342246</v>
      </c>
      <c r="AK815" s="133">
        <v>0.941276595744681</v>
      </c>
      <c r="AL815" s="133">
        <v>0.958147818343722</v>
      </c>
      <c r="AM815" s="133">
        <v>0.9549425918302</v>
      </c>
      <c r="AN815" s="132">
        <v>0.99</v>
      </c>
      <c r="AO815" s="137">
        <v>1</v>
      </c>
      <c r="AP815" s="137">
        <v>1</v>
      </c>
      <c r="AQ815" s="137">
        <v>1</v>
      </c>
      <c r="AR815" s="137">
        <v>1</v>
      </c>
      <c r="AS815" s="158">
        <v>0.0810595228934205</v>
      </c>
      <c r="AT815" s="141">
        <v>0</v>
      </c>
      <c r="AU815" s="141">
        <v>0</v>
      </c>
      <c r="AV815" s="141">
        <v>0</v>
      </c>
      <c r="AW815" s="141">
        <v>0.0357142857142857</v>
      </c>
      <c r="AX815" s="95"/>
      <c r="AY815" s="93"/>
    </row>
    <row r="816" ht="14.5" spans="1:51">
      <c r="A816" s="91"/>
      <c r="B816" s="95"/>
      <c r="C816" s="152" t="s">
        <v>668</v>
      </c>
      <c r="D816" s="153" t="s">
        <v>25</v>
      </c>
      <c r="E816" s="130" t="s">
        <v>669</v>
      </c>
      <c r="F816" s="179" t="s">
        <v>843</v>
      </c>
      <c r="G816" s="179" t="s">
        <v>843</v>
      </c>
      <c r="H816" s="179" t="s">
        <v>843</v>
      </c>
      <c r="I816" s="179" t="s">
        <v>843</v>
      </c>
      <c r="J816" s="132">
        <v>0.9</v>
      </c>
      <c r="K816" s="133">
        <v>1</v>
      </c>
      <c r="L816" s="133">
        <v>0.955555555555556</v>
      </c>
      <c r="M816" s="134">
        <v>0.961538461538462</v>
      </c>
      <c r="N816" s="133">
        <v>0.960407239819005</v>
      </c>
      <c r="O816" s="135">
        <v>0.9</v>
      </c>
      <c r="P816" s="133">
        <v>0.967644845748683</v>
      </c>
      <c r="Q816" s="133">
        <v>0.969957081545064</v>
      </c>
      <c r="R816" s="133">
        <v>0.98718791064389</v>
      </c>
      <c r="S816" s="133">
        <v>0.978886533748427</v>
      </c>
      <c r="T816" s="135">
        <v>0.9</v>
      </c>
      <c r="U816" s="133">
        <v>0.90142964635064</v>
      </c>
      <c r="V816" s="133">
        <v>0.87277743715512</v>
      </c>
      <c r="W816" s="133">
        <v>0.961235216819974</v>
      </c>
      <c r="X816" s="133">
        <v>0.932834337947937</v>
      </c>
      <c r="Y816" s="135">
        <v>0.92</v>
      </c>
      <c r="Z816" s="135">
        <v>0.864059590316574</v>
      </c>
      <c r="AA816" s="135">
        <v>0.896028037383178</v>
      </c>
      <c r="AB816" s="135">
        <v>0.945945945945946</v>
      </c>
      <c r="AC816" s="135">
        <v>0.939773095623987</v>
      </c>
      <c r="AD816" s="135">
        <v>0.92</v>
      </c>
      <c r="AE816" s="133">
        <v>1</v>
      </c>
      <c r="AF816" s="133">
        <v>1</v>
      </c>
      <c r="AG816" s="133">
        <v>1</v>
      </c>
      <c r="AH816" s="133">
        <v>0.998204510619663</v>
      </c>
      <c r="AI816" s="135">
        <v>0.92</v>
      </c>
      <c r="AJ816" s="133">
        <v>0.91307066916823</v>
      </c>
      <c r="AK816" s="133">
        <v>0.913307430791646</v>
      </c>
      <c r="AL816" s="133">
        <v>0.973555840821566</v>
      </c>
      <c r="AM816" s="133">
        <v>0.964218828308407</v>
      </c>
      <c r="AN816" s="132">
        <v>0.99</v>
      </c>
      <c r="AO816" s="137">
        <v>1</v>
      </c>
      <c r="AP816" s="137">
        <v>1</v>
      </c>
      <c r="AQ816" s="137">
        <v>1</v>
      </c>
      <c r="AR816" s="137">
        <v>1</v>
      </c>
      <c r="AS816" s="158">
        <v>0.0810595228934205</v>
      </c>
      <c r="AT816" s="141">
        <v>0.03125</v>
      </c>
      <c r="AU816" s="141">
        <v>0.0232558139534884</v>
      </c>
      <c r="AV816" s="141">
        <v>0.0408163265306122</v>
      </c>
      <c r="AW816" s="141">
        <v>0.0450704225352113</v>
      </c>
      <c r="AX816" s="95"/>
      <c r="AY816" s="93"/>
    </row>
    <row r="817" ht="14.5" spans="1:51">
      <c r="A817" s="91"/>
      <c r="B817" s="95"/>
      <c r="C817" s="152" t="s">
        <v>668</v>
      </c>
      <c r="D817" s="153" t="s">
        <v>25</v>
      </c>
      <c r="E817" s="130" t="s">
        <v>669</v>
      </c>
      <c r="F817" s="179" t="s">
        <v>844</v>
      </c>
      <c r="G817" s="179" t="s">
        <v>844</v>
      </c>
      <c r="H817" s="179" t="s">
        <v>844</v>
      </c>
      <c r="I817" s="179" t="s">
        <v>844</v>
      </c>
      <c r="J817" s="132">
        <v>0.9</v>
      </c>
      <c r="K817" s="133">
        <v>0.915254237288136</v>
      </c>
      <c r="L817" s="133">
        <v>0.964912280701754</v>
      </c>
      <c r="M817" s="134">
        <v>0.967213114754098</v>
      </c>
      <c r="N817" s="133">
        <v>0.953817153628652</v>
      </c>
      <c r="O817" s="135">
        <v>0.9</v>
      </c>
      <c r="P817" s="133">
        <v>0.96903840428699</v>
      </c>
      <c r="Q817" s="133">
        <v>0.973290860083313</v>
      </c>
      <c r="R817" s="133">
        <v>0.965648854961832</v>
      </c>
      <c r="S817" s="133">
        <v>0.973072475710735</v>
      </c>
      <c r="T817" s="135">
        <v>0.9</v>
      </c>
      <c r="U817" s="133">
        <v>0.900267936885978</v>
      </c>
      <c r="V817" s="133">
        <v>0.874050477824063</v>
      </c>
      <c r="W817" s="133">
        <v>0.925027262813522</v>
      </c>
      <c r="X817" s="133">
        <v>0.939020986456492</v>
      </c>
      <c r="Y817" s="135">
        <v>0.92</v>
      </c>
      <c r="Z817" s="135">
        <v>0.841322314049587</v>
      </c>
      <c r="AA817" s="135">
        <v>0.863588667366212</v>
      </c>
      <c r="AB817" s="135">
        <v>0.893385982230997</v>
      </c>
      <c r="AC817" s="135">
        <v>0.905230021538631</v>
      </c>
      <c r="AD817" s="135">
        <v>0.92</v>
      </c>
      <c r="AE817" s="133">
        <v>0.998800959232614</v>
      </c>
      <c r="AF817" s="133">
        <v>0.992844364937388</v>
      </c>
      <c r="AG817" s="133">
        <v>0.9978009895547</v>
      </c>
      <c r="AH817" s="133">
        <v>0.997214681098614</v>
      </c>
      <c r="AI817" s="135">
        <v>0.92</v>
      </c>
      <c r="AJ817" s="133">
        <v>0.91372351160444</v>
      </c>
      <c r="AK817" s="133">
        <v>0.908224076281287</v>
      </c>
      <c r="AL817" s="133">
        <v>0.943827424177702</v>
      </c>
      <c r="AM817" s="133">
        <v>0.953287845842393</v>
      </c>
      <c r="AN817" s="132">
        <v>0.99</v>
      </c>
      <c r="AO817" s="137">
        <v>1</v>
      </c>
      <c r="AP817" s="137">
        <v>1</v>
      </c>
      <c r="AQ817" s="137">
        <v>1</v>
      </c>
      <c r="AR817" s="137">
        <v>1</v>
      </c>
      <c r="AS817" s="158">
        <v>0.0810595228934205</v>
      </c>
      <c r="AT817" s="141">
        <v>0</v>
      </c>
      <c r="AU817" s="141">
        <v>0.032258064516129</v>
      </c>
      <c r="AV817" s="141">
        <v>0.05</v>
      </c>
      <c r="AW817" s="141">
        <v>0.0319715808170515</v>
      </c>
      <c r="AX817" s="95"/>
      <c r="AY817" s="93"/>
    </row>
    <row r="818" ht="14.5" spans="1:51">
      <c r="A818" s="91"/>
      <c r="B818" s="95"/>
      <c r="C818" s="152" t="s">
        <v>668</v>
      </c>
      <c r="D818" s="153" t="s">
        <v>25</v>
      </c>
      <c r="E818" s="130" t="s">
        <v>669</v>
      </c>
      <c r="F818" s="179" t="s">
        <v>845</v>
      </c>
      <c r="G818" s="179" t="s">
        <v>845</v>
      </c>
      <c r="H818" s="179" t="s">
        <v>845</v>
      </c>
      <c r="I818" s="179" t="s">
        <v>845</v>
      </c>
      <c r="J818" s="132">
        <v>0.9</v>
      </c>
      <c r="K818" s="133">
        <v>0.96</v>
      </c>
      <c r="L818" s="133">
        <v>0.84</v>
      </c>
      <c r="M818" s="134">
        <v>1</v>
      </c>
      <c r="N818" s="133">
        <v>0.918793503480278</v>
      </c>
      <c r="O818" s="135">
        <v>0.9</v>
      </c>
      <c r="P818" s="133">
        <v>0.986808510638298</v>
      </c>
      <c r="Q818" s="133">
        <v>0.989034162800506</v>
      </c>
      <c r="R818" s="133">
        <v>0.991201055873295</v>
      </c>
      <c r="S818" s="133">
        <v>0.989967943543737</v>
      </c>
      <c r="T818" s="135">
        <v>0.9</v>
      </c>
      <c r="U818" s="133">
        <v>0.960851063829787</v>
      </c>
      <c r="V818" s="133">
        <v>0.961619569801771</v>
      </c>
      <c r="W818" s="133">
        <v>0.962164540255169</v>
      </c>
      <c r="X818" s="133">
        <v>0.966467563017458</v>
      </c>
      <c r="Y818" s="135">
        <v>0.92</v>
      </c>
      <c r="Z818" s="135">
        <v>0.923327895595432</v>
      </c>
      <c r="AA818" s="135">
        <v>0.939566704675028</v>
      </c>
      <c r="AB818" s="135">
        <v>0.944206008583691</v>
      </c>
      <c r="AC818" s="135">
        <v>0.949384985154814</v>
      </c>
      <c r="AD818" s="135">
        <v>0.92</v>
      </c>
      <c r="AE818" s="133">
        <v>0.999867391592627</v>
      </c>
      <c r="AF818" s="133">
        <v>0.990886495443248</v>
      </c>
      <c r="AG818" s="133">
        <v>0.99545587804163</v>
      </c>
      <c r="AH818" s="133">
        <v>0.994899558341644</v>
      </c>
      <c r="AI818" s="135">
        <v>0.92</v>
      </c>
      <c r="AJ818" s="133">
        <v>0.965575430307121</v>
      </c>
      <c r="AK818" s="133">
        <v>0.966451215758695</v>
      </c>
      <c r="AL818" s="133">
        <v>0.973418573351279</v>
      </c>
      <c r="AM818" s="133">
        <v>0.977834952975332</v>
      </c>
      <c r="AN818" s="132">
        <v>0.99</v>
      </c>
      <c r="AO818" s="137">
        <v>1</v>
      </c>
      <c r="AP818" s="137">
        <v>1</v>
      </c>
      <c r="AQ818" s="137">
        <v>1</v>
      </c>
      <c r="AR818" s="137">
        <v>1</v>
      </c>
      <c r="AS818" s="158">
        <v>0.0810595228934205</v>
      </c>
      <c r="AT818" s="141">
        <v>0</v>
      </c>
      <c r="AU818" s="141">
        <v>0.0666666666666667</v>
      </c>
      <c r="AV818" s="141">
        <v>0</v>
      </c>
      <c r="AW818" s="141">
        <v>0.0478723404255319</v>
      </c>
      <c r="AX818" s="95"/>
      <c r="AY818" s="93"/>
    </row>
    <row r="819" ht="14.5" spans="1:51">
      <c r="A819" s="91"/>
      <c r="B819" s="95"/>
      <c r="C819" s="152" t="s">
        <v>668</v>
      </c>
      <c r="D819" s="153" t="s">
        <v>25</v>
      </c>
      <c r="E819" s="130" t="s">
        <v>669</v>
      </c>
      <c r="F819" s="179" t="s">
        <v>846</v>
      </c>
      <c r="G819" s="179" t="s">
        <v>846</v>
      </c>
      <c r="H819" s="179" t="s">
        <v>846</v>
      </c>
      <c r="I819" s="179" t="s">
        <v>846</v>
      </c>
      <c r="J819" s="132">
        <v>0.9</v>
      </c>
      <c r="K819" s="133">
        <v>0.925925925925926</v>
      </c>
      <c r="L819" s="133">
        <v>1</v>
      </c>
      <c r="M819" s="134">
        <v>0.962962962962963</v>
      </c>
      <c r="N819" s="133">
        <v>0.958333333333333</v>
      </c>
      <c r="O819" s="135">
        <v>0.9</v>
      </c>
      <c r="P819" s="133">
        <v>0.957586618876941</v>
      </c>
      <c r="Q819" s="133">
        <v>0.957808564231738</v>
      </c>
      <c r="R819" s="133">
        <v>0.971733668341708</v>
      </c>
      <c r="S819" s="133">
        <v>0.96327446033081</v>
      </c>
      <c r="T819" s="135">
        <v>0.9</v>
      </c>
      <c r="U819" s="133">
        <v>0.943847072879331</v>
      </c>
      <c r="V819" s="133">
        <v>0.947103274559194</v>
      </c>
      <c r="W819" s="133">
        <v>0.951633165829146</v>
      </c>
      <c r="X819" s="133">
        <v>0.950623773479114</v>
      </c>
      <c r="Y819" s="135">
        <v>0.92</v>
      </c>
      <c r="Z819" s="135">
        <v>0.91304347826087</v>
      </c>
      <c r="AA819" s="135">
        <v>0.930434782608696</v>
      </c>
      <c r="AB819" s="135">
        <v>0.938735177865613</v>
      </c>
      <c r="AC819" s="135">
        <v>0.928620997323287</v>
      </c>
      <c r="AD819" s="135">
        <v>0.92</v>
      </c>
      <c r="AE819" s="133">
        <v>0.997130559540889</v>
      </c>
      <c r="AF819" s="133">
        <v>0.998447204968944</v>
      </c>
      <c r="AG819" s="133">
        <v>0.997506234413965</v>
      </c>
      <c r="AH819" s="133">
        <v>0.995824385588165</v>
      </c>
      <c r="AI819" s="135">
        <v>0.92</v>
      </c>
      <c r="AJ819" s="133">
        <v>0.954102920723227</v>
      </c>
      <c r="AK819" s="133">
        <v>0.963014331946371</v>
      </c>
      <c r="AL819" s="133">
        <v>0.967111534795043</v>
      </c>
      <c r="AM819" s="133">
        <v>0.963286124847889</v>
      </c>
      <c r="AN819" s="132">
        <v>0.99</v>
      </c>
      <c r="AO819" s="137">
        <v>1</v>
      </c>
      <c r="AP819" s="137">
        <v>1</v>
      </c>
      <c r="AQ819" s="137">
        <v>1</v>
      </c>
      <c r="AR819" s="137">
        <v>1</v>
      </c>
      <c r="AS819" s="158">
        <v>0.0810595228934205</v>
      </c>
      <c r="AT819" s="141">
        <v>0</v>
      </c>
      <c r="AU819" s="141">
        <v>0</v>
      </c>
      <c r="AV819" s="141">
        <v>0</v>
      </c>
      <c r="AW819" s="141">
        <v>0.0414201183431953</v>
      </c>
      <c r="AX819" s="95"/>
      <c r="AY819" s="93"/>
    </row>
    <row r="820" ht="14.5" spans="1:51">
      <c r="A820" s="91"/>
      <c r="B820" s="95"/>
      <c r="C820" s="152" t="s">
        <v>668</v>
      </c>
      <c r="D820" s="153" t="s">
        <v>25</v>
      </c>
      <c r="E820" s="130" t="s">
        <v>669</v>
      </c>
      <c r="F820" s="179" t="s">
        <v>847</v>
      </c>
      <c r="G820" s="179" t="s">
        <v>847</v>
      </c>
      <c r="H820" s="179" t="s">
        <v>847</v>
      </c>
      <c r="I820" s="179" t="s">
        <v>847</v>
      </c>
      <c r="J820" s="132">
        <v>0.9</v>
      </c>
      <c r="K820" s="133">
        <v>1</v>
      </c>
      <c r="L820" s="133">
        <v>1</v>
      </c>
      <c r="M820" s="134">
        <v>0.975</v>
      </c>
      <c r="N820" s="133">
        <v>0.982919254658385</v>
      </c>
      <c r="O820" s="135">
        <v>0.9</v>
      </c>
      <c r="P820" s="133">
        <v>0.958233481684355</v>
      </c>
      <c r="Q820" s="133">
        <v>0.954309449636552</v>
      </c>
      <c r="R820" s="133">
        <v>0.96436974789916</v>
      </c>
      <c r="S820" s="133">
        <v>0.958818245723658</v>
      </c>
      <c r="T820" s="135">
        <v>0.9</v>
      </c>
      <c r="U820" s="133">
        <v>0.917836357411845</v>
      </c>
      <c r="V820" s="133">
        <v>0.936656282450675</v>
      </c>
      <c r="W820" s="133">
        <v>0.930420168067227</v>
      </c>
      <c r="X820" s="133">
        <v>0.934429430602203</v>
      </c>
      <c r="Y820" s="135">
        <v>0.92</v>
      </c>
      <c r="Z820" s="135">
        <v>0.88681592039801</v>
      </c>
      <c r="AA820" s="135">
        <v>0.913321167883212</v>
      </c>
      <c r="AB820" s="135">
        <v>0.914255091103966</v>
      </c>
      <c r="AC820" s="135">
        <v>0.91553789320497</v>
      </c>
      <c r="AD820" s="135">
        <v>0.92</v>
      </c>
      <c r="AE820" s="133">
        <v>0.999597909127463</v>
      </c>
      <c r="AF820" s="133">
        <v>0.989236790606654</v>
      </c>
      <c r="AG820" s="133">
        <v>0.992047026279391</v>
      </c>
      <c r="AH820" s="133">
        <v>0.986224913905712</v>
      </c>
      <c r="AI820" s="135">
        <v>0.92</v>
      </c>
      <c r="AJ820" s="133">
        <v>0.947651006711409</v>
      </c>
      <c r="AK820" s="133">
        <v>0.954328732747804</v>
      </c>
      <c r="AL820" s="133">
        <v>0.951381780962129</v>
      </c>
      <c r="AM820" s="133">
        <v>0.96162531484323</v>
      </c>
      <c r="AN820" s="132">
        <v>0.99</v>
      </c>
      <c r="AO820" s="137">
        <v>1</v>
      </c>
      <c r="AP820" s="137">
        <v>1</v>
      </c>
      <c r="AQ820" s="137">
        <v>1</v>
      </c>
      <c r="AR820" s="137">
        <v>1</v>
      </c>
      <c r="AS820" s="158">
        <v>0.0810595228934205</v>
      </c>
      <c r="AT820" s="141">
        <v>0.0833333333333333</v>
      </c>
      <c r="AU820" s="141">
        <v>0</v>
      </c>
      <c r="AV820" s="141">
        <v>0</v>
      </c>
      <c r="AW820" s="141">
        <v>0.0698689956331878</v>
      </c>
      <c r="AX820" s="95"/>
      <c r="AY820" s="93"/>
    </row>
    <row r="821" ht="14.5" spans="1:51">
      <c r="A821" s="91"/>
      <c r="B821" s="95"/>
      <c r="C821" s="152" t="s">
        <v>668</v>
      </c>
      <c r="D821" s="153" t="s">
        <v>25</v>
      </c>
      <c r="E821" s="130" t="s">
        <v>669</v>
      </c>
      <c r="F821" s="179" t="s">
        <v>848</v>
      </c>
      <c r="G821" s="179" t="s">
        <v>848</v>
      </c>
      <c r="H821" s="179" t="s">
        <v>848</v>
      </c>
      <c r="I821" s="179" t="s">
        <v>848</v>
      </c>
      <c r="J821" s="132">
        <v>0.9</v>
      </c>
      <c r="K821" s="133">
        <v>1</v>
      </c>
      <c r="L821" s="133">
        <v>1</v>
      </c>
      <c r="M821" s="134">
        <v>0.933333333333333</v>
      </c>
      <c r="N821" s="133">
        <v>0.968063872255489</v>
      </c>
      <c r="O821" s="135">
        <v>0.9</v>
      </c>
      <c r="P821" s="133">
        <v>0.992462311557789</v>
      </c>
      <c r="Q821" s="133">
        <v>0.990136570561457</v>
      </c>
      <c r="R821" s="133">
        <v>0.995255041518387</v>
      </c>
      <c r="S821" s="133">
        <v>0.993554287705239</v>
      </c>
      <c r="T821" s="135">
        <v>0.9</v>
      </c>
      <c r="U821" s="133">
        <v>0.960516870064609</v>
      </c>
      <c r="V821" s="133">
        <v>0.965098634294385</v>
      </c>
      <c r="W821" s="133">
        <v>0.969553183076315</v>
      </c>
      <c r="X821" s="133">
        <v>0.967510125865598</v>
      </c>
      <c r="Y821" s="135">
        <v>0.92</v>
      </c>
      <c r="Z821" s="135">
        <v>0.936141304347826</v>
      </c>
      <c r="AA821" s="135">
        <v>0.939189189189189</v>
      </c>
      <c r="AB821" s="135">
        <v>0.941463414634146</v>
      </c>
      <c r="AC821" s="135">
        <v>0.944430363705487</v>
      </c>
      <c r="AD821" s="135">
        <v>0.92</v>
      </c>
      <c r="AE821" s="133">
        <v>0.999493499915583</v>
      </c>
      <c r="AF821" s="133">
        <v>0.980392156862745</v>
      </c>
      <c r="AG821" s="133">
        <v>0.995515695067265</v>
      </c>
      <c r="AH821" s="133">
        <v>0.995926112546501</v>
      </c>
      <c r="AI821" s="135">
        <v>0.92</v>
      </c>
      <c r="AJ821" s="133">
        <v>0.966212379329926</v>
      </c>
      <c r="AK821" s="133">
        <v>0.969636776390465</v>
      </c>
      <c r="AL821" s="133">
        <v>0.973723499552105</v>
      </c>
      <c r="AM821" s="133">
        <v>0.975321245118533</v>
      </c>
      <c r="AN821" s="132">
        <v>0.99</v>
      </c>
      <c r="AO821" s="137">
        <v>1</v>
      </c>
      <c r="AP821" s="137">
        <v>1</v>
      </c>
      <c r="AQ821" s="137">
        <v>1</v>
      </c>
      <c r="AR821" s="137">
        <v>1</v>
      </c>
      <c r="AS821" s="158">
        <v>0.0810595228934205</v>
      </c>
      <c r="AT821" s="141">
        <v>0</v>
      </c>
      <c r="AU821" s="141">
        <v>0</v>
      </c>
      <c r="AV821" s="141">
        <v>0</v>
      </c>
      <c r="AW821" s="141">
        <v>0.0384615384615385</v>
      </c>
      <c r="AX821" s="95"/>
      <c r="AY821" s="93"/>
    </row>
    <row r="822" ht="14.5" spans="1:51">
      <c r="A822" s="91"/>
      <c r="B822" s="95"/>
      <c r="C822" s="152" t="s">
        <v>668</v>
      </c>
      <c r="D822" s="153" t="s">
        <v>25</v>
      </c>
      <c r="E822" s="130" t="s">
        <v>669</v>
      </c>
      <c r="F822" s="179" t="s">
        <v>849</v>
      </c>
      <c r="G822" s="179" t="s">
        <v>849</v>
      </c>
      <c r="H822" s="179" t="s">
        <v>849</v>
      </c>
      <c r="I822" s="179" t="s">
        <v>849</v>
      </c>
      <c r="J822" s="132">
        <v>0.9</v>
      </c>
      <c r="K822" s="133">
        <v>1</v>
      </c>
      <c r="L822" s="133">
        <v>1</v>
      </c>
      <c r="M822" s="134">
        <v>1</v>
      </c>
      <c r="N822" s="133">
        <v>1</v>
      </c>
      <c r="O822" s="135">
        <v>0.9</v>
      </c>
      <c r="P822" s="133">
        <v>0.99108138238573</v>
      </c>
      <c r="Q822" s="133">
        <v>0.993534482758621</v>
      </c>
      <c r="R822" s="133">
        <v>0.997096188747731</v>
      </c>
      <c r="S822" s="133">
        <v>0.993948156563049</v>
      </c>
      <c r="T822" s="135">
        <v>0.9</v>
      </c>
      <c r="U822" s="133">
        <v>0.974730583426236</v>
      </c>
      <c r="V822" s="133">
        <v>0.976652298850575</v>
      </c>
      <c r="W822" s="133">
        <v>0.978584392014519</v>
      </c>
      <c r="X822" s="133">
        <v>0.979469172777032</v>
      </c>
      <c r="Y822" s="135">
        <v>0.92</v>
      </c>
      <c r="Z822" s="135">
        <v>0.928756476683938</v>
      </c>
      <c r="AA822" s="135">
        <v>0.940776699029126</v>
      </c>
      <c r="AB822" s="135">
        <v>0.940740740740741</v>
      </c>
      <c r="AC822" s="135">
        <v>0.938015568723132</v>
      </c>
      <c r="AD822" s="135">
        <v>0.92</v>
      </c>
      <c r="AE822" s="133">
        <v>1</v>
      </c>
      <c r="AF822" s="133">
        <v>0.998355263157895</v>
      </c>
      <c r="AG822" s="133">
        <v>0.995391705069124</v>
      </c>
      <c r="AH822" s="133">
        <v>0.996779168934858</v>
      </c>
      <c r="AI822" s="135">
        <v>0.92</v>
      </c>
      <c r="AJ822" s="133">
        <v>0.976898642795264</v>
      </c>
      <c r="AK822" s="133">
        <v>0.978238070267436</v>
      </c>
      <c r="AL822" s="133">
        <v>0.981351351351351</v>
      </c>
      <c r="AM822" s="133">
        <v>0.979735186116317</v>
      </c>
      <c r="AN822" s="132">
        <v>0.99</v>
      </c>
      <c r="AO822" s="137">
        <v>1</v>
      </c>
      <c r="AP822" s="137">
        <v>1</v>
      </c>
      <c r="AQ822" s="137">
        <v>1</v>
      </c>
      <c r="AR822" s="137">
        <v>1</v>
      </c>
      <c r="AS822" s="158">
        <v>0.0810595228934205</v>
      </c>
      <c r="AT822" s="141">
        <v>0</v>
      </c>
      <c r="AU822" s="141">
        <v>0</v>
      </c>
      <c r="AV822" s="141">
        <v>0</v>
      </c>
      <c r="AW822" s="141">
        <v>0.0177514792899408</v>
      </c>
      <c r="AX822" s="95"/>
      <c r="AY822" s="93"/>
    </row>
    <row r="823" ht="14.5" spans="1:51">
      <c r="A823" s="91"/>
      <c r="B823" s="95"/>
      <c r="C823" s="152" t="s">
        <v>668</v>
      </c>
      <c r="D823" s="153" t="s">
        <v>25</v>
      </c>
      <c r="E823" s="130" t="s">
        <v>669</v>
      </c>
      <c r="F823" s="179" t="s">
        <v>850</v>
      </c>
      <c r="G823" s="179" t="s">
        <v>850</v>
      </c>
      <c r="H823" s="179" t="s">
        <v>850</v>
      </c>
      <c r="I823" s="179" t="s">
        <v>850</v>
      </c>
      <c r="J823" s="132">
        <v>0.9</v>
      </c>
      <c r="K823" s="133">
        <v>0.875</v>
      </c>
      <c r="L823" s="133">
        <v>0.970588235294118</v>
      </c>
      <c r="M823" s="134">
        <v>0.916666666666667</v>
      </c>
      <c r="N823" s="133">
        <v>0.920807453416149</v>
      </c>
      <c r="O823" s="135">
        <v>0.9</v>
      </c>
      <c r="P823" s="133">
        <v>0.974043261231281</v>
      </c>
      <c r="Q823" s="133">
        <v>0.978014656895403</v>
      </c>
      <c r="R823" s="133">
        <v>0.973907150118604</v>
      </c>
      <c r="S823" s="133">
        <v>0.977763935292674</v>
      </c>
      <c r="T823" s="135">
        <v>0.9</v>
      </c>
      <c r="U823" s="133">
        <v>0.929118136439268</v>
      </c>
      <c r="V823" s="133">
        <v>0.895069953364424</v>
      </c>
      <c r="W823" s="133">
        <v>0.920704845814978</v>
      </c>
      <c r="X823" s="133">
        <v>0.922268154104611</v>
      </c>
      <c r="Y823" s="135">
        <v>0.92</v>
      </c>
      <c r="Z823" s="135">
        <v>0.913265306122449</v>
      </c>
      <c r="AA823" s="135">
        <v>0.923003802281369</v>
      </c>
      <c r="AB823" s="135">
        <v>0.9625</v>
      </c>
      <c r="AC823" s="135">
        <v>0.944658944658945</v>
      </c>
      <c r="AD823" s="135">
        <v>0.92</v>
      </c>
      <c r="AE823" s="133">
        <v>0.99966588706983</v>
      </c>
      <c r="AF823" s="133">
        <v>0.994531784005468</v>
      </c>
      <c r="AG823" s="133">
        <v>0.997010057080728</v>
      </c>
      <c r="AH823" s="133">
        <v>0.995012856132116</v>
      </c>
      <c r="AI823" s="135">
        <v>0.92</v>
      </c>
      <c r="AJ823" s="133">
        <v>0.949617515167502</v>
      </c>
      <c r="AK823" s="133">
        <v>0.944499259990133</v>
      </c>
      <c r="AL823" s="133">
        <v>0.972385579135771</v>
      </c>
      <c r="AM823" s="133">
        <v>0.966184938466749</v>
      </c>
      <c r="AN823" s="132">
        <v>0.99</v>
      </c>
      <c r="AO823" s="137">
        <v>1</v>
      </c>
      <c r="AP823" s="137">
        <v>1</v>
      </c>
      <c r="AQ823" s="137">
        <v>1</v>
      </c>
      <c r="AR823" s="137">
        <v>1</v>
      </c>
      <c r="AS823" s="158">
        <v>0.0810595228934205</v>
      </c>
      <c r="AT823" s="141">
        <v>0.0909090909090909</v>
      </c>
      <c r="AU823" s="141">
        <v>0.0357142857142857</v>
      </c>
      <c r="AV823" s="141">
        <v>0.0555555555555556</v>
      </c>
      <c r="AW823" s="141">
        <v>0.0383795309168444</v>
      </c>
      <c r="AX823" s="95"/>
      <c r="AY823" s="93"/>
    </row>
    <row r="824" ht="14.5" spans="1:51">
      <c r="A824" s="91"/>
      <c r="B824" s="95"/>
      <c r="C824" s="152" t="s">
        <v>668</v>
      </c>
      <c r="D824" s="153" t="s">
        <v>25</v>
      </c>
      <c r="E824" s="130" t="s">
        <v>669</v>
      </c>
      <c r="F824" s="179" t="s">
        <v>851</v>
      </c>
      <c r="G824" s="179" t="s">
        <v>851</v>
      </c>
      <c r="H824" s="179" t="s">
        <v>851</v>
      </c>
      <c r="I824" s="179" t="s">
        <v>851</v>
      </c>
      <c r="J824" s="132">
        <v>0.9</v>
      </c>
      <c r="K824" s="133">
        <v>1</v>
      </c>
      <c r="L824" s="133">
        <v>0.96551724137931</v>
      </c>
      <c r="M824" s="134">
        <v>1</v>
      </c>
      <c r="N824" s="133">
        <v>0.982625482625483</v>
      </c>
      <c r="O824" s="135">
        <v>0.9</v>
      </c>
      <c r="P824" s="133">
        <v>0.956008583690987</v>
      </c>
      <c r="Q824" s="133">
        <v>0.940777065258393</v>
      </c>
      <c r="R824" s="133">
        <v>0.955700798838054</v>
      </c>
      <c r="S824" s="133">
        <v>0.941244996081588</v>
      </c>
      <c r="T824" s="135">
        <v>0.9</v>
      </c>
      <c r="U824" s="133">
        <v>0.945994277539342</v>
      </c>
      <c r="V824" s="133">
        <v>0.940777065258393</v>
      </c>
      <c r="W824" s="133">
        <v>0.949164851125635</v>
      </c>
      <c r="X824" s="133">
        <v>0.939126935377968</v>
      </c>
      <c r="Y824" s="135">
        <v>0.92</v>
      </c>
      <c r="Z824" s="135">
        <v>0.855755894590846</v>
      </c>
      <c r="AA824" s="135">
        <v>0.827760891590679</v>
      </c>
      <c r="AB824" s="135">
        <v>0.883538633818589</v>
      </c>
      <c r="AC824" s="135">
        <v>0.873468137254902</v>
      </c>
      <c r="AD824" s="135">
        <v>0.92</v>
      </c>
      <c r="AE824" s="133">
        <v>0.998499249624812</v>
      </c>
      <c r="AF824" s="133">
        <v>0.936651583710407</v>
      </c>
      <c r="AG824" s="133">
        <v>0.986588921282799</v>
      </c>
      <c r="AH824" s="133">
        <v>0.991184866831885</v>
      </c>
      <c r="AI824" s="135">
        <v>0.92</v>
      </c>
      <c r="AJ824" s="133">
        <v>0.945976684674438</v>
      </c>
      <c r="AK824" s="133">
        <v>0.935678944474986</v>
      </c>
      <c r="AL824" s="133">
        <v>0.949013157894737</v>
      </c>
      <c r="AM824" s="133">
        <v>0.947619422365625</v>
      </c>
      <c r="AN824" s="132">
        <v>0.99</v>
      </c>
      <c r="AO824" s="137">
        <v>1</v>
      </c>
      <c r="AP824" s="137">
        <v>1</v>
      </c>
      <c r="AQ824" s="137">
        <v>1</v>
      </c>
      <c r="AR824" s="137">
        <v>1</v>
      </c>
      <c r="AS824" s="158">
        <v>0.0810595228934205</v>
      </c>
      <c r="AT824" s="141">
        <v>0</v>
      </c>
      <c r="AU824" s="141">
        <v>0</v>
      </c>
      <c r="AV824" s="141">
        <v>0</v>
      </c>
      <c r="AW824" s="141">
        <v>0.0434782608695652</v>
      </c>
      <c r="AX824" s="95"/>
      <c r="AY824" s="93"/>
    </row>
    <row r="825" ht="14.5" spans="1:51">
      <c r="A825" s="91"/>
      <c r="B825" s="95"/>
      <c r="C825" s="152" t="s">
        <v>668</v>
      </c>
      <c r="D825" s="153" t="s">
        <v>25</v>
      </c>
      <c r="E825" s="130" t="s">
        <v>669</v>
      </c>
      <c r="F825" s="179" t="s">
        <v>852</v>
      </c>
      <c r="G825" s="179" t="s">
        <v>852</v>
      </c>
      <c r="H825" s="179" t="s">
        <v>852</v>
      </c>
      <c r="I825" s="179" t="s">
        <v>852</v>
      </c>
      <c r="J825" s="132">
        <v>0.9</v>
      </c>
      <c r="K825" s="133">
        <v>1</v>
      </c>
      <c r="L825" s="133">
        <v>0.909090909090909</v>
      </c>
      <c r="M825" s="134">
        <v>0.958333333333333</v>
      </c>
      <c r="N825" s="133">
        <v>0.877777777777778</v>
      </c>
      <c r="O825" s="135">
        <v>0.9</v>
      </c>
      <c r="P825" s="133">
        <v>0.94984126984127</v>
      </c>
      <c r="Q825" s="133">
        <v>0.966688438928805</v>
      </c>
      <c r="R825" s="133">
        <v>0.97027027027027</v>
      </c>
      <c r="S825" s="133">
        <v>0.942128586450353</v>
      </c>
      <c r="T825" s="135">
        <v>0.9</v>
      </c>
      <c r="U825" s="133">
        <v>0.925714285714286</v>
      </c>
      <c r="V825" s="133">
        <v>0.928151534944481</v>
      </c>
      <c r="W825" s="133">
        <v>0.930405405405405</v>
      </c>
      <c r="X825" s="133">
        <v>0.937697160883281</v>
      </c>
      <c r="Y825" s="135">
        <v>0.92</v>
      </c>
      <c r="Z825" s="135">
        <v>0.86284289276808</v>
      </c>
      <c r="AA825" s="135">
        <v>0.913412563667233</v>
      </c>
      <c r="AB825" s="135">
        <v>0.935849056603774</v>
      </c>
      <c r="AC825" s="135">
        <v>0.926698769395399</v>
      </c>
      <c r="AD825" s="135">
        <v>0.92</v>
      </c>
      <c r="AE825" s="133">
        <v>1</v>
      </c>
      <c r="AF825" s="133">
        <v>0.991869918699187</v>
      </c>
      <c r="AG825" s="133">
        <v>0.983957219251337</v>
      </c>
      <c r="AH825" s="133">
        <v>0.989579831932773</v>
      </c>
      <c r="AI825" s="135">
        <v>0.92</v>
      </c>
      <c r="AJ825" s="133">
        <v>0.940789473684211</v>
      </c>
      <c r="AK825" s="133">
        <v>0.95188679245283</v>
      </c>
      <c r="AL825" s="133">
        <v>0.964676616915423</v>
      </c>
      <c r="AM825" s="133">
        <v>0.963166819559114</v>
      </c>
      <c r="AN825" s="132">
        <v>0.99</v>
      </c>
      <c r="AO825" s="137">
        <v>1</v>
      </c>
      <c r="AP825" s="137">
        <v>1</v>
      </c>
      <c r="AQ825" s="137">
        <v>1</v>
      </c>
      <c r="AR825" s="137">
        <v>1</v>
      </c>
      <c r="AS825" s="158">
        <v>0.0810595228934205</v>
      </c>
      <c r="AT825" s="141">
        <v>0</v>
      </c>
      <c r="AU825" s="141">
        <v>0</v>
      </c>
      <c r="AV825" s="141">
        <v>0</v>
      </c>
      <c r="AW825" s="141">
        <v>0.0447761194029851</v>
      </c>
      <c r="AX825" s="95"/>
      <c r="AY825" s="93"/>
    </row>
    <row r="826" ht="14.5" spans="1:51">
      <c r="A826" s="91"/>
      <c r="B826" s="95"/>
      <c r="C826" s="152" t="s">
        <v>668</v>
      </c>
      <c r="D826" s="153" t="s">
        <v>25</v>
      </c>
      <c r="E826" s="130" t="s">
        <v>669</v>
      </c>
      <c r="F826" s="179" t="s">
        <v>853</v>
      </c>
      <c r="G826" s="179" t="s">
        <v>853</v>
      </c>
      <c r="H826" s="179" t="s">
        <v>853</v>
      </c>
      <c r="I826" s="179" t="s">
        <v>853</v>
      </c>
      <c r="J826" s="132">
        <v>0.9</v>
      </c>
      <c r="K826" s="133">
        <v>0.862068965517241</v>
      </c>
      <c r="L826" s="133">
        <v>0.888888888888889</v>
      </c>
      <c r="M826" s="134">
        <v>0.870967741935484</v>
      </c>
      <c r="N826" s="133">
        <v>0.91869918699187</v>
      </c>
      <c r="O826" s="135">
        <v>0.9</v>
      </c>
      <c r="P826" s="133">
        <v>0.90574809805579</v>
      </c>
      <c r="Q826" s="133">
        <v>0.905078310393925</v>
      </c>
      <c r="R826" s="133">
        <v>0.922596153846154</v>
      </c>
      <c r="S826" s="133">
        <v>0.907666613647209</v>
      </c>
      <c r="T826" s="135">
        <v>0.9</v>
      </c>
      <c r="U826" s="133">
        <v>0.906170752324598</v>
      </c>
      <c r="V826" s="133">
        <v>0.904129093497864</v>
      </c>
      <c r="W826" s="133">
        <v>0.925</v>
      </c>
      <c r="X826" s="133">
        <v>0.918535602566142</v>
      </c>
      <c r="Y826" s="135">
        <v>0.92</v>
      </c>
      <c r="Z826" s="135">
        <v>0.906911142454161</v>
      </c>
      <c r="AA826" s="135">
        <v>0.868442964196503</v>
      </c>
      <c r="AB826" s="135">
        <v>0.917874396135266</v>
      </c>
      <c r="AC826" s="135">
        <v>0.914397340952825</v>
      </c>
      <c r="AD826" s="135">
        <v>0.92</v>
      </c>
      <c r="AE826" s="133">
        <v>0.984762979683973</v>
      </c>
      <c r="AF826" s="133">
        <v>0.984004127966976</v>
      </c>
      <c r="AG826" s="133">
        <v>0.988630490956072</v>
      </c>
      <c r="AH826" s="133">
        <v>0.986641668619639</v>
      </c>
      <c r="AI826" s="135">
        <v>0.92</v>
      </c>
      <c r="AJ826" s="133">
        <v>0.940603700097371</v>
      </c>
      <c r="AK826" s="133">
        <v>0.924448473859172</v>
      </c>
      <c r="AL826" s="133">
        <v>0.956145966709347</v>
      </c>
      <c r="AM826" s="133">
        <v>0.956195745145499</v>
      </c>
      <c r="AN826" s="132">
        <v>0.99</v>
      </c>
      <c r="AO826" s="137">
        <v>1</v>
      </c>
      <c r="AP826" s="137">
        <v>1</v>
      </c>
      <c r="AQ826" s="137">
        <v>1</v>
      </c>
      <c r="AR826" s="137">
        <v>1</v>
      </c>
      <c r="AS826" s="158">
        <v>0.0810595228934205</v>
      </c>
      <c r="AT826" s="141">
        <v>0.153846153846154</v>
      </c>
      <c r="AU826" s="141">
        <v>0</v>
      </c>
      <c r="AV826" s="141">
        <v>0</v>
      </c>
      <c r="AW826" s="141">
        <v>0.042654028436019</v>
      </c>
      <c r="AX826" s="95"/>
      <c r="AY826" s="93"/>
    </row>
    <row r="827" ht="14.5" spans="1:51">
      <c r="A827" s="91"/>
      <c r="B827" s="95"/>
      <c r="C827" s="152" t="s">
        <v>668</v>
      </c>
      <c r="D827" s="153" t="s">
        <v>25</v>
      </c>
      <c r="E827" s="130" t="s">
        <v>669</v>
      </c>
      <c r="F827" s="179" t="s">
        <v>854</v>
      </c>
      <c r="G827" s="179" t="s">
        <v>854</v>
      </c>
      <c r="H827" s="179" t="s">
        <v>854</v>
      </c>
      <c r="I827" s="179" t="s">
        <v>854</v>
      </c>
      <c r="J827" s="132">
        <v>0.9</v>
      </c>
      <c r="K827" s="133">
        <v>0.769230769230769</v>
      </c>
      <c r="L827" s="133">
        <v>0.91304347826087</v>
      </c>
      <c r="M827" s="134">
        <v>0.814814814814815</v>
      </c>
      <c r="N827" s="133">
        <v>0.853488372093023</v>
      </c>
      <c r="O827" s="135">
        <v>0.9</v>
      </c>
      <c r="P827" s="133">
        <v>0.944174757281553</v>
      </c>
      <c r="Q827" s="133">
        <v>0.884012539184953</v>
      </c>
      <c r="R827" s="133">
        <v>0.951910408432148</v>
      </c>
      <c r="S827" s="133">
        <v>0.906447866321981</v>
      </c>
      <c r="T827" s="135">
        <v>0.9</v>
      </c>
      <c r="U827" s="133">
        <v>0.900485436893204</v>
      </c>
      <c r="V827" s="133">
        <v>0.758620689655172</v>
      </c>
      <c r="W827" s="133">
        <v>0.918313570487484</v>
      </c>
      <c r="X827" s="133">
        <v>0.911168558690195</v>
      </c>
      <c r="Y827" s="135">
        <v>0.92</v>
      </c>
      <c r="Z827" s="135">
        <v>0.840954274353877</v>
      </c>
      <c r="AA827" s="135">
        <v>0.678260869565217</v>
      </c>
      <c r="AB827" s="135">
        <v>0.898373983739837</v>
      </c>
      <c r="AC827" s="135">
        <v>0.89868901427149</v>
      </c>
      <c r="AD827" s="135">
        <v>0.92</v>
      </c>
      <c r="AE827" s="133">
        <v>0.975206611570248</v>
      </c>
      <c r="AF827" s="133">
        <v>0.984052532833021</v>
      </c>
      <c r="AG827" s="133">
        <v>0.983794089609152</v>
      </c>
      <c r="AH827" s="133">
        <v>0.983411703239289</v>
      </c>
      <c r="AI827" s="135">
        <v>0.92</v>
      </c>
      <c r="AJ827" s="133">
        <v>0.927010692701069</v>
      </c>
      <c r="AK827" s="133">
        <v>0.837151187005414</v>
      </c>
      <c r="AL827" s="133">
        <v>0.948604342046965</v>
      </c>
      <c r="AM827" s="133">
        <v>0.949825873855282</v>
      </c>
      <c r="AN827" s="132">
        <v>0.99</v>
      </c>
      <c r="AO827" s="137">
        <v>1</v>
      </c>
      <c r="AP827" s="137">
        <v>1</v>
      </c>
      <c r="AQ827" s="137">
        <v>1</v>
      </c>
      <c r="AR827" s="137">
        <v>1</v>
      </c>
      <c r="AS827" s="158">
        <v>0.0810595228934205</v>
      </c>
      <c r="AT827" s="141">
        <v>0</v>
      </c>
      <c r="AU827" s="141">
        <v>0</v>
      </c>
      <c r="AV827" s="141">
        <v>0</v>
      </c>
      <c r="AW827" s="141">
        <v>0.0512820512820513</v>
      </c>
      <c r="AX827" s="95"/>
      <c r="AY827" s="93"/>
    </row>
    <row r="828" ht="14.5" spans="1:51">
      <c r="A828" s="91"/>
      <c r="B828" s="95"/>
      <c r="C828" s="152" t="s">
        <v>668</v>
      </c>
      <c r="D828" s="153" t="s">
        <v>25</v>
      </c>
      <c r="E828" s="130" t="s">
        <v>669</v>
      </c>
      <c r="F828" s="179" t="s">
        <v>855</v>
      </c>
      <c r="G828" s="179" t="s">
        <v>855</v>
      </c>
      <c r="H828" s="179" t="s">
        <v>855</v>
      </c>
      <c r="I828" s="179" t="s">
        <v>855</v>
      </c>
      <c r="J828" s="132">
        <v>0.9</v>
      </c>
      <c r="K828" s="133">
        <v>1</v>
      </c>
      <c r="L828" s="133">
        <v>0.925925925925926</v>
      </c>
      <c r="M828" s="134">
        <v>1</v>
      </c>
      <c r="N828" s="133">
        <v>0.968063872255489</v>
      </c>
      <c r="O828" s="135">
        <v>0.9</v>
      </c>
      <c r="P828" s="133">
        <v>0.838345864661654</v>
      </c>
      <c r="Q828" s="133">
        <v>0.901971830985915</v>
      </c>
      <c r="R828" s="133">
        <v>0.923875432525952</v>
      </c>
      <c r="S828" s="133">
        <v>0.923069170558</v>
      </c>
      <c r="T828" s="135">
        <v>0.9</v>
      </c>
      <c r="U828" s="133">
        <v>0.891514500537057</v>
      </c>
      <c r="V828" s="133">
        <v>0.905915492957746</v>
      </c>
      <c r="W828" s="133">
        <v>0.908304498269896</v>
      </c>
      <c r="X828" s="133">
        <v>0.911714314509356</v>
      </c>
      <c r="Y828" s="135">
        <v>0.92</v>
      </c>
      <c r="Z828" s="135">
        <v>0.827242524916943</v>
      </c>
      <c r="AA828" s="135">
        <v>0.802816901408451</v>
      </c>
      <c r="AB828" s="135">
        <v>0.826436781609195</v>
      </c>
      <c r="AC828" s="135">
        <v>0.827334415105473</v>
      </c>
      <c r="AD828" s="135">
        <v>0.92</v>
      </c>
      <c r="AE828" s="133">
        <v>0.973154362416107</v>
      </c>
      <c r="AF828" s="133">
        <v>0.968085106382979</v>
      </c>
      <c r="AG828" s="133">
        <v>0.971326164874552</v>
      </c>
      <c r="AH828" s="133">
        <v>0.965116279069767</v>
      </c>
      <c r="AI828" s="135">
        <v>0.92</v>
      </c>
      <c r="AJ828" s="133">
        <v>0.917442331040065</v>
      </c>
      <c r="AK828" s="133">
        <v>0.905485544848036</v>
      </c>
      <c r="AL828" s="133">
        <v>0.914362519201229</v>
      </c>
      <c r="AM828" s="133">
        <v>0.919474533302604</v>
      </c>
      <c r="AN828" s="132">
        <v>0.99</v>
      </c>
      <c r="AO828" s="137">
        <v>1</v>
      </c>
      <c r="AP828" s="137">
        <v>1</v>
      </c>
      <c r="AQ828" s="137">
        <v>1</v>
      </c>
      <c r="AR828" s="137">
        <v>1</v>
      </c>
      <c r="AS828" s="158">
        <v>0.0810595228934205</v>
      </c>
      <c r="AT828" s="141">
        <v>0</v>
      </c>
      <c r="AU828" s="141">
        <v>0.0666666666666667</v>
      </c>
      <c r="AV828" s="141">
        <v>0</v>
      </c>
      <c r="AW828" s="141">
        <v>0.0784313725490196</v>
      </c>
      <c r="AX828" s="95"/>
      <c r="AY828" s="93"/>
    </row>
    <row r="829" ht="14.5" spans="1:51">
      <c r="A829" s="91"/>
      <c r="B829" s="95"/>
      <c r="C829" s="152" t="s">
        <v>668</v>
      </c>
      <c r="D829" s="153" t="s">
        <v>25</v>
      </c>
      <c r="E829" s="130" t="s">
        <v>669</v>
      </c>
      <c r="F829" s="179" t="s">
        <v>856</v>
      </c>
      <c r="G829" s="179" t="s">
        <v>856</v>
      </c>
      <c r="H829" s="179" t="s">
        <v>856</v>
      </c>
      <c r="I829" s="179" t="s">
        <v>856</v>
      </c>
      <c r="J829" s="132">
        <v>0.9</v>
      </c>
      <c r="K829" s="133">
        <v>0.976190476190476</v>
      </c>
      <c r="L829" s="133">
        <v>0.902439024390244</v>
      </c>
      <c r="M829" s="134">
        <v>0.933333333333333</v>
      </c>
      <c r="N829" s="133">
        <v>0.928763440860215</v>
      </c>
      <c r="O829" s="135">
        <v>0.9</v>
      </c>
      <c r="P829" s="133">
        <v>0.763231197771588</v>
      </c>
      <c r="Q829" s="133">
        <v>0.7997799779978</v>
      </c>
      <c r="R829" s="133">
        <v>0.934295480440562</v>
      </c>
      <c r="S829" s="133">
        <v>0.840912451156405</v>
      </c>
      <c r="T829" s="135">
        <v>0.9</v>
      </c>
      <c r="U829" s="133">
        <v>0.848189415041783</v>
      </c>
      <c r="V829" s="133">
        <v>0.863953061972864</v>
      </c>
      <c r="W829" s="133">
        <v>0.914925939992404</v>
      </c>
      <c r="X829" s="133">
        <v>0.896800084486218</v>
      </c>
      <c r="Y829" s="135">
        <v>0.92</v>
      </c>
      <c r="Z829" s="135">
        <v>0.803667745415318</v>
      </c>
      <c r="AA829" s="135">
        <v>0.828241683638832</v>
      </c>
      <c r="AB829" s="135">
        <v>0.853006681514477</v>
      </c>
      <c r="AC829" s="135">
        <v>0.839366623742071</v>
      </c>
      <c r="AD829" s="135">
        <v>0.92</v>
      </c>
      <c r="AE829" s="133">
        <v>0.973801916932907</v>
      </c>
      <c r="AF829" s="133">
        <v>0.921520033044197</v>
      </c>
      <c r="AG829" s="133">
        <v>0.970976744186047</v>
      </c>
      <c r="AH829" s="133">
        <v>0.968373151308305</v>
      </c>
      <c r="AI829" s="135">
        <v>0.92</v>
      </c>
      <c r="AJ829" s="133">
        <v>0.887075546196367</v>
      </c>
      <c r="AK829" s="133">
        <v>0.888148500713946</v>
      </c>
      <c r="AL829" s="133">
        <v>0.924912104470116</v>
      </c>
      <c r="AM829" s="133">
        <v>0.917374709349088</v>
      </c>
      <c r="AN829" s="132">
        <v>0.99</v>
      </c>
      <c r="AO829" s="137">
        <v>1</v>
      </c>
      <c r="AP829" s="137">
        <v>1</v>
      </c>
      <c r="AQ829" s="137">
        <v>1</v>
      </c>
      <c r="AR829" s="137">
        <v>1</v>
      </c>
      <c r="AS829" s="158">
        <v>0.0810595228934205</v>
      </c>
      <c r="AT829" s="141">
        <v>0</v>
      </c>
      <c r="AU829" s="141">
        <v>0.0357142857142857</v>
      </c>
      <c r="AV829" s="141">
        <v>0.09375</v>
      </c>
      <c r="AW829" s="141">
        <v>0.0740740740740741</v>
      </c>
      <c r="AX829" s="95"/>
      <c r="AY829" s="93"/>
    </row>
    <row r="830" ht="14.5" spans="1:51">
      <c r="A830" s="91"/>
      <c r="B830" s="95"/>
      <c r="C830" s="152" t="s">
        <v>668</v>
      </c>
      <c r="D830" s="153" t="s">
        <v>25</v>
      </c>
      <c r="E830" s="130" t="s">
        <v>669</v>
      </c>
      <c r="F830" s="179" t="s">
        <v>857</v>
      </c>
      <c r="G830" s="179" t="s">
        <v>857</v>
      </c>
      <c r="H830" s="179" t="s">
        <v>857</v>
      </c>
      <c r="I830" s="179" t="s">
        <v>857</v>
      </c>
      <c r="J830" s="132">
        <v>0.9</v>
      </c>
      <c r="K830" s="133">
        <v>0.962962962962963</v>
      </c>
      <c r="L830" s="133">
        <v>1</v>
      </c>
      <c r="M830" s="134">
        <v>1</v>
      </c>
      <c r="N830" s="133">
        <v>0.981012658227848</v>
      </c>
      <c r="O830" s="135">
        <v>0.9</v>
      </c>
      <c r="P830" s="133">
        <v>0.950635386119257</v>
      </c>
      <c r="Q830" s="133">
        <v>0.934150076569678</v>
      </c>
      <c r="R830" s="133">
        <v>0.962486602357985</v>
      </c>
      <c r="S830" s="133">
        <v>0.953566702754722</v>
      </c>
      <c r="T830" s="135">
        <v>0.9</v>
      </c>
      <c r="U830" s="133">
        <v>0.920332355816227</v>
      </c>
      <c r="V830" s="133">
        <v>0.911179173047473</v>
      </c>
      <c r="W830" s="133">
        <v>0.943193997856377</v>
      </c>
      <c r="X830" s="133">
        <v>0.931222182124383</v>
      </c>
      <c r="Y830" s="135">
        <v>0.92</v>
      </c>
      <c r="Z830" s="135">
        <v>0.868702290076336</v>
      </c>
      <c r="AA830" s="135">
        <v>0.853681267474371</v>
      </c>
      <c r="AB830" s="135">
        <v>0.91014799154334</v>
      </c>
      <c r="AC830" s="135">
        <v>0.891272288510524</v>
      </c>
      <c r="AD830" s="135">
        <v>0.92</v>
      </c>
      <c r="AE830" s="133">
        <v>0.981029810298103</v>
      </c>
      <c r="AF830" s="133">
        <v>0.983516483516483</v>
      </c>
      <c r="AG830" s="133">
        <v>0.977572559366755</v>
      </c>
      <c r="AH830" s="133">
        <v>0.953127627375147</v>
      </c>
      <c r="AI830" s="135">
        <v>0.92</v>
      </c>
      <c r="AJ830" s="133">
        <v>0.938609467455621</v>
      </c>
      <c r="AK830" s="133">
        <v>0.922214897824654</v>
      </c>
      <c r="AL830" s="133">
        <v>0.9513839602555</v>
      </c>
      <c r="AM830" s="133">
        <v>0.946554440666722</v>
      </c>
      <c r="AN830" s="132">
        <v>0.99</v>
      </c>
      <c r="AO830" s="137">
        <v>1</v>
      </c>
      <c r="AP830" s="137">
        <v>1</v>
      </c>
      <c r="AQ830" s="137">
        <v>1</v>
      </c>
      <c r="AR830" s="137">
        <v>1</v>
      </c>
      <c r="AS830" s="158">
        <v>0.0810595228934205</v>
      </c>
      <c r="AT830" s="141">
        <v>0.0588235294117647</v>
      </c>
      <c r="AU830" s="141">
        <v>0.25</v>
      </c>
      <c r="AV830" s="141">
        <v>0.05</v>
      </c>
      <c r="AW830" s="141">
        <v>0.0714285714285714</v>
      </c>
      <c r="AX830" s="95"/>
      <c r="AY830" s="93"/>
    </row>
    <row r="831" ht="14.5" spans="1:51">
      <c r="A831" s="91"/>
      <c r="B831" s="95"/>
      <c r="C831" s="152" t="s">
        <v>668</v>
      </c>
      <c r="D831" s="153" t="s">
        <v>25</v>
      </c>
      <c r="E831" s="130" t="s">
        <v>669</v>
      </c>
      <c r="F831" s="179" t="s">
        <v>858</v>
      </c>
      <c r="G831" s="179" t="s">
        <v>858</v>
      </c>
      <c r="H831" s="179" t="s">
        <v>858</v>
      </c>
      <c r="I831" s="179" t="s">
        <v>858</v>
      </c>
      <c r="J831" s="132">
        <v>0.9</v>
      </c>
      <c r="K831" s="133">
        <v>0.931818181818182</v>
      </c>
      <c r="L831" s="133">
        <v>0.973684210526316</v>
      </c>
      <c r="M831" s="134">
        <v>0.909090909090909</v>
      </c>
      <c r="N831" s="133">
        <v>0.946175637393768</v>
      </c>
      <c r="O831" s="135">
        <v>0.9</v>
      </c>
      <c r="P831" s="133">
        <v>0.980833333333333</v>
      </c>
      <c r="Q831" s="133">
        <v>0.953592146363231</v>
      </c>
      <c r="R831" s="133">
        <v>0.954635108481262</v>
      </c>
      <c r="S831" s="133">
        <v>0.931383008591162</v>
      </c>
      <c r="T831" s="135">
        <v>0.9</v>
      </c>
      <c r="U831" s="133">
        <v>0.926666666666667</v>
      </c>
      <c r="V831" s="133">
        <v>0.919232485497546</v>
      </c>
      <c r="W831" s="133">
        <v>0.918145956607495</v>
      </c>
      <c r="X831" s="133">
        <v>0.928491212308383</v>
      </c>
      <c r="Y831" s="135">
        <v>0.92</v>
      </c>
      <c r="Z831" s="135">
        <v>0.900439238653001</v>
      </c>
      <c r="AA831" s="135">
        <v>0.904841402337229</v>
      </c>
      <c r="AB831" s="135">
        <v>0.896614821591949</v>
      </c>
      <c r="AC831" s="135">
        <v>0.905093016163464</v>
      </c>
      <c r="AD831" s="135">
        <v>0.92</v>
      </c>
      <c r="AE831" s="133">
        <v>0.982570806100218</v>
      </c>
      <c r="AF831" s="133">
        <v>0.972222222222222</v>
      </c>
      <c r="AG831" s="133">
        <v>0.967798085291558</v>
      </c>
      <c r="AH831" s="133">
        <v>0.974438687392055</v>
      </c>
      <c r="AI831" s="135">
        <v>0.92</v>
      </c>
      <c r="AJ831" s="133">
        <v>0.947795071335927</v>
      </c>
      <c r="AK831" s="133">
        <v>0.947383720930233</v>
      </c>
      <c r="AL831" s="133">
        <v>0.943946188340807</v>
      </c>
      <c r="AM831" s="133">
        <v>0.95055631353408</v>
      </c>
      <c r="AN831" s="132">
        <v>0.99</v>
      </c>
      <c r="AO831" s="137">
        <v>1</v>
      </c>
      <c r="AP831" s="137">
        <v>1</v>
      </c>
      <c r="AQ831" s="137">
        <v>1</v>
      </c>
      <c r="AR831" s="137">
        <v>1</v>
      </c>
      <c r="AS831" s="158">
        <v>0.0810595228934205</v>
      </c>
      <c r="AT831" s="141">
        <v>0</v>
      </c>
      <c r="AU831" s="141">
        <v>0.0666666666666667</v>
      </c>
      <c r="AV831" s="141">
        <v>0.0666666666666667</v>
      </c>
      <c r="AW831" s="141">
        <v>0.0669456066945607</v>
      </c>
      <c r="AX831" s="95"/>
      <c r="AY831" s="93"/>
    </row>
    <row r="832" ht="14.5" spans="1:51">
      <c r="A832" s="91"/>
      <c r="B832" s="95"/>
      <c r="C832" s="152" t="s">
        <v>668</v>
      </c>
      <c r="D832" s="153" t="s">
        <v>25</v>
      </c>
      <c r="E832" s="130" t="s">
        <v>669</v>
      </c>
      <c r="F832" s="179" t="s">
        <v>859</v>
      </c>
      <c r="G832" s="179" t="s">
        <v>859</v>
      </c>
      <c r="H832" s="179" t="s">
        <v>859</v>
      </c>
      <c r="I832" s="179" t="s">
        <v>859</v>
      </c>
      <c r="J832" s="132">
        <v>0.9</v>
      </c>
      <c r="K832" s="133">
        <v>0.954545454545455</v>
      </c>
      <c r="L832" s="133">
        <v>0.878048780487805</v>
      </c>
      <c r="M832" s="134">
        <v>0.883720930232558</v>
      </c>
      <c r="N832" s="133">
        <v>0.919332406119611</v>
      </c>
      <c r="O832" s="135">
        <v>0.9</v>
      </c>
      <c r="P832" s="133">
        <v>0.924585218702866</v>
      </c>
      <c r="Q832" s="133">
        <v>0.900085397096499</v>
      </c>
      <c r="R832" s="133">
        <v>0.953880266075388</v>
      </c>
      <c r="S832" s="133">
        <v>0.913853375948861</v>
      </c>
      <c r="T832" s="135">
        <v>0.9</v>
      </c>
      <c r="U832" s="133">
        <v>0.89630467571644</v>
      </c>
      <c r="V832" s="133">
        <v>0.910760034158839</v>
      </c>
      <c r="W832" s="133">
        <v>0.927716186252772</v>
      </c>
      <c r="X832" s="133">
        <v>0.907236316420296</v>
      </c>
      <c r="Y832" s="135">
        <v>0.92</v>
      </c>
      <c r="Z832" s="135">
        <v>0.899026763990268</v>
      </c>
      <c r="AA832" s="135">
        <v>0.88370253164557</v>
      </c>
      <c r="AB832" s="135">
        <v>0.922493681550126</v>
      </c>
      <c r="AC832" s="135">
        <v>0.884875600174596</v>
      </c>
      <c r="AD832" s="135">
        <v>0.92</v>
      </c>
      <c r="AE832" s="133">
        <v>0.983157894736842</v>
      </c>
      <c r="AF832" s="133">
        <v>0.989373601789709</v>
      </c>
      <c r="AG832" s="133">
        <v>0.978800726832223</v>
      </c>
      <c r="AH832" s="133">
        <v>0.977424472796986</v>
      </c>
      <c r="AI832" s="135">
        <v>0.92</v>
      </c>
      <c r="AJ832" s="133">
        <v>0.939298043728424</v>
      </c>
      <c r="AK832" s="133">
        <v>0.935510655964572</v>
      </c>
      <c r="AL832" s="133">
        <v>0.957668889533198</v>
      </c>
      <c r="AM832" s="133">
        <v>0.940740867423724</v>
      </c>
      <c r="AN832" s="132">
        <v>0.99</v>
      </c>
      <c r="AO832" s="137">
        <v>1</v>
      </c>
      <c r="AP832" s="137">
        <v>1</v>
      </c>
      <c r="AQ832" s="137">
        <v>1</v>
      </c>
      <c r="AR832" s="137">
        <v>1</v>
      </c>
      <c r="AS832" s="158">
        <v>0.0810595228934205</v>
      </c>
      <c r="AT832" s="141">
        <v>0.125</v>
      </c>
      <c r="AU832" s="141">
        <v>0</v>
      </c>
      <c r="AV832" s="141">
        <v>0.0434782608695652</v>
      </c>
      <c r="AW832" s="141">
        <v>0.0202702702702703</v>
      </c>
      <c r="AX832" s="95"/>
      <c r="AY832" s="93"/>
    </row>
    <row r="833" ht="14.5" spans="1:51">
      <c r="A833" s="91"/>
      <c r="B833" s="95"/>
      <c r="C833" s="152" t="s">
        <v>668</v>
      </c>
      <c r="D833" s="153" t="s">
        <v>25</v>
      </c>
      <c r="E833" s="130" t="s">
        <v>669</v>
      </c>
      <c r="F833" s="179" t="s">
        <v>860</v>
      </c>
      <c r="G833" s="179" t="s">
        <v>860</v>
      </c>
      <c r="H833" s="179" t="s">
        <v>860</v>
      </c>
      <c r="I833" s="179" t="s">
        <v>860</v>
      </c>
      <c r="J833" s="132">
        <v>0.9</v>
      </c>
      <c r="K833" s="133">
        <v>0.928571428571429</v>
      </c>
      <c r="L833" s="133">
        <v>0.922077922077922</v>
      </c>
      <c r="M833" s="134">
        <v>0.946236559139785</v>
      </c>
      <c r="N833" s="133">
        <v>0.942460317460317</v>
      </c>
      <c r="O833" s="135">
        <v>0.9</v>
      </c>
      <c r="P833" s="133">
        <v>0.950098021743005</v>
      </c>
      <c r="Q833" s="133">
        <v>0.865550022634676</v>
      </c>
      <c r="R833" s="133">
        <v>0.966327059229839</v>
      </c>
      <c r="S833" s="133">
        <v>0.927839594579707</v>
      </c>
      <c r="T833" s="135">
        <v>0.9</v>
      </c>
      <c r="U833" s="133">
        <v>0.918552842630547</v>
      </c>
      <c r="V833" s="133">
        <v>0.895729591066848</v>
      </c>
      <c r="W833" s="133">
        <v>0.943705750302193</v>
      </c>
      <c r="X833" s="133">
        <v>0.920293048363997</v>
      </c>
      <c r="Y833" s="135">
        <v>0.92</v>
      </c>
      <c r="Z833" s="135">
        <v>0.876179245283019</v>
      </c>
      <c r="AA833" s="135">
        <v>0.887843137254902</v>
      </c>
      <c r="AB833" s="135">
        <v>0.930992736077482</v>
      </c>
      <c r="AC833" s="135">
        <v>0.923669053130215</v>
      </c>
      <c r="AD833" s="135">
        <v>0.92</v>
      </c>
      <c r="AE833" s="133">
        <v>0.990022805017104</v>
      </c>
      <c r="AF833" s="133">
        <v>0.996298581122764</v>
      </c>
      <c r="AG833" s="133">
        <v>0.988533157440763</v>
      </c>
      <c r="AH833" s="133">
        <v>0.989265870073486</v>
      </c>
      <c r="AI833" s="135">
        <v>0.92</v>
      </c>
      <c r="AJ833" s="133">
        <v>0.943498452012384</v>
      </c>
      <c r="AK833" s="133">
        <v>0.952670210073399</v>
      </c>
      <c r="AL833" s="133">
        <v>0.972041710745051</v>
      </c>
      <c r="AM833" s="133">
        <v>0.966592427616927</v>
      </c>
      <c r="AN833" s="132">
        <v>0.99</v>
      </c>
      <c r="AO833" s="137">
        <v>1</v>
      </c>
      <c r="AP833" s="137">
        <v>1</v>
      </c>
      <c r="AQ833" s="137">
        <v>1</v>
      </c>
      <c r="AR833" s="137">
        <v>1</v>
      </c>
      <c r="AS833" s="158">
        <v>0.0810595228934205</v>
      </c>
      <c r="AT833" s="141">
        <v>0.08</v>
      </c>
      <c r="AU833" s="141">
        <v>0</v>
      </c>
      <c r="AV833" s="141">
        <v>0.0909090909090909</v>
      </c>
      <c r="AW833" s="141">
        <v>0.0589318600368324</v>
      </c>
      <c r="AX833" s="95"/>
      <c r="AY833" s="93"/>
    </row>
    <row r="834" ht="14.5" spans="1:51">
      <c r="A834" s="91"/>
      <c r="B834" s="95"/>
      <c r="C834" s="152" t="s">
        <v>668</v>
      </c>
      <c r="D834" s="153" t="s">
        <v>25</v>
      </c>
      <c r="E834" s="130" t="s">
        <v>669</v>
      </c>
      <c r="F834" s="179" t="s">
        <v>861</v>
      </c>
      <c r="G834" s="179" t="s">
        <v>861</v>
      </c>
      <c r="H834" s="179" t="s">
        <v>861</v>
      </c>
      <c r="I834" s="179" t="s">
        <v>861</v>
      </c>
      <c r="J834" s="132">
        <v>0.9</v>
      </c>
      <c r="K834" s="133">
        <v>0.958333333333333</v>
      </c>
      <c r="L834" s="133">
        <v>0.98</v>
      </c>
      <c r="M834" s="134">
        <v>0.959183673469388</v>
      </c>
      <c r="N834" s="133">
        <v>0.9688995215311</v>
      </c>
      <c r="O834" s="135">
        <v>0.9</v>
      </c>
      <c r="P834" s="133">
        <v>0.91283676703645</v>
      </c>
      <c r="Q834" s="133">
        <v>0.922850536052134</v>
      </c>
      <c r="R834" s="133">
        <v>0.924776564051639</v>
      </c>
      <c r="S834" s="133">
        <v>0.914214817440624</v>
      </c>
      <c r="T834" s="135">
        <v>0.9</v>
      </c>
      <c r="U834" s="133">
        <v>0.885669006112746</v>
      </c>
      <c r="V834" s="133">
        <v>0.910868194240067</v>
      </c>
      <c r="W834" s="133">
        <v>0.89175769612711</v>
      </c>
      <c r="X834" s="133">
        <v>0.87589113395565</v>
      </c>
      <c r="Y834" s="135">
        <v>0.92</v>
      </c>
      <c r="Z834" s="135">
        <v>0.874380165289256</v>
      </c>
      <c r="AA834" s="135">
        <v>0.9226393629124</v>
      </c>
      <c r="AB834" s="135">
        <v>0.910394265232975</v>
      </c>
      <c r="AC834" s="135">
        <v>0.921479925680588</v>
      </c>
      <c r="AD834" s="135">
        <v>0.92</v>
      </c>
      <c r="AE834" s="133">
        <v>0.989051094890511</v>
      </c>
      <c r="AF834" s="133">
        <v>0.989384288747346</v>
      </c>
      <c r="AG834" s="133">
        <v>0.992565055762082</v>
      </c>
      <c r="AH834" s="133">
        <v>0.992825875486381</v>
      </c>
      <c r="AI834" s="135">
        <v>0.92</v>
      </c>
      <c r="AJ834" s="133">
        <v>0.952011150935882</v>
      </c>
      <c r="AK834" s="133">
        <v>0.962739531582683</v>
      </c>
      <c r="AL834" s="133">
        <v>0.967509812472743</v>
      </c>
      <c r="AM834" s="133">
        <v>0.967825723610656</v>
      </c>
      <c r="AN834" s="132">
        <v>0.99</v>
      </c>
      <c r="AO834" s="137">
        <v>1</v>
      </c>
      <c r="AP834" s="137">
        <v>1</v>
      </c>
      <c r="AQ834" s="137">
        <v>1</v>
      </c>
      <c r="AR834" s="137">
        <v>1</v>
      </c>
      <c r="AS834" s="158">
        <v>0.0810595228934205</v>
      </c>
      <c r="AT834" s="141">
        <v>0</v>
      </c>
      <c r="AU834" s="141">
        <v>0.1</v>
      </c>
      <c r="AV834" s="141">
        <v>0.0909090909090909</v>
      </c>
      <c r="AW834" s="141">
        <v>0.0817610062893082</v>
      </c>
      <c r="AX834" s="95"/>
      <c r="AY834" s="93"/>
    </row>
    <row r="835" ht="14.5" spans="1:51">
      <c r="A835" s="91"/>
      <c r="B835" s="95"/>
      <c r="C835" s="152" t="s">
        <v>668</v>
      </c>
      <c r="D835" s="153" t="s">
        <v>25</v>
      </c>
      <c r="E835" s="130" t="s">
        <v>669</v>
      </c>
      <c r="F835" s="179" t="s">
        <v>862</v>
      </c>
      <c r="G835" s="179" t="s">
        <v>862</v>
      </c>
      <c r="H835" s="179" t="s">
        <v>862</v>
      </c>
      <c r="I835" s="179" t="s">
        <v>862</v>
      </c>
      <c r="J835" s="132">
        <v>0.9</v>
      </c>
      <c r="K835" s="133">
        <v>0.958333333333333</v>
      </c>
      <c r="L835" s="133">
        <v>0.956521739130435</v>
      </c>
      <c r="M835" s="134">
        <v>0.958333333333333</v>
      </c>
      <c r="N835" s="133">
        <v>0.953367875647668</v>
      </c>
      <c r="O835" s="135">
        <v>0.9</v>
      </c>
      <c r="P835" s="133">
        <v>0.98783858485351</v>
      </c>
      <c r="Q835" s="133">
        <v>0.988483685220729</v>
      </c>
      <c r="R835" s="133">
        <v>0.994655264564404</v>
      </c>
      <c r="S835" s="133">
        <v>0.991854450324038</v>
      </c>
      <c r="T835" s="135">
        <v>0.9</v>
      </c>
      <c r="U835" s="133">
        <v>0.943615257048093</v>
      </c>
      <c r="V835" s="133">
        <v>0.953934740882918</v>
      </c>
      <c r="W835" s="133">
        <v>0.964190272581507</v>
      </c>
      <c r="X835" s="133">
        <v>0.9562994232713</v>
      </c>
      <c r="Y835" s="135">
        <v>0.92</v>
      </c>
      <c r="Z835" s="135">
        <v>0.92741935483871</v>
      </c>
      <c r="AA835" s="135">
        <v>0.986263736263736</v>
      </c>
      <c r="AB835" s="135">
        <v>0.94</v>
      </c>
      <c r="AC835" s="135">
        <v>0.956808751414561</v>
      </c>
      <c r="AD835" s="135">
        <v>0.92</v>
      </c>
      <c r="AE835" s="133">
        <v>0.983333333333333</v>
      </c>
      <c r="AF835" s="133">
        <v>0.989130434782609</v>
      </c>
      <c r="AG835" s="133">
        <v>0.980891719745223</v>
      </c>
      <c r="AH835" s="133">
        <v>0.988725065047702</v>
      </c>
      <c r="AI835" s="135">
        <v>0.92</v>
      </c>
      <c r="AJ835" s="133">
        <v>0.964025279533301</v>
      </c>
      <c r="AK835" s="133">
        <v>0.985702614379085</v>
      </c>
      <c r="AL835" s="133">
        <v>0.983498349834984</v>
      </c>
      <c r="AM835" s="133">
        <v>0.983153569594248</v>
      </c>
      <c r="AN835" s="132">
        <v>0.99</v>
      </c>
      <c r="AO835" s="137">
        <v>1</v>
      </c>
      <c r="AP835" s="137">
        <v>1</v>
      </c>
      <c r="AQ835" s="137">
        <v>1</v>
      </c>
      <c r="AR835" s="137">
        <v>1</v>
      </c>
      <c r="AS835" s="158">
        <v>0.0810595228934205</v>
      </c>
      <c r="AT835" s="141">
        <v>0</v>
      </c>
      <c r="AU835" s="141">
        <v>0.166666666666667</v>
      </c>
      <c r="AV835" s="141">
        <v>0</v>
      </c>
      <c r="AW835" s="141">
        <v>0.0531914893617021</v>
      </c>
      <c r="AX835" s="95"/>
      <c r="AY835" s="93"/>
    </row>
    <row r="836" ht="14.5" spans="1:51">
      <c r="A836" s="91"/>
      <c r="B836" s="95"/>
      <c r="C836" s="152" t="s">
        <v>668</v>
      </c>
      <c r="D836" s="153" t="s">
        <v>25</v>
      </c>
      <c r="E836" s="130" t="s">
        <v>669</v>
      </c>
      <c r="F836" s="179" t="s">
        <v>863</v>
      </c>
      <c r="G836" s="179" t="s">
        <v>863</v>
      </c>
      <c r="H836" s="179" t="s">
        <v>863</v>
      </c>
      <c r="I836" s="179" t="s">
        <v>863</v>
      </c>
      <c r="J836" s="132">
        <v>0.9</v>
      </c>
      <c r="K836" s="133">
        <v>0.977272727272727</v>
      </c>
      <c r="L836" s="133">
        <v>0.925</v>
      </c>
      <c r="M836" s="134">
        <v>0.928571428571429</v>
      </c>
      <c r="N836" s="133">
        <v>0.948952879581152</v>
      </c>
      <c r="O836" s="135">
        <v>0.9</v>
      </c>
      <c r="P836" s="133">
        <v>0.974779702218171</v>
      </c>
      <c r="Q836" s="133">
        <v>0.976648351648352</v>
      </c>
      <c r="R836" s="133">
        <v>0.984560952074622</v>
      </c>
      <c r="S836" s="133">
        <v>0.975851829978509</v>
      </c>
      <c r="T836" s="135">
        <v>0.9</v>
      </c>
      <c r="U836" s="133">
        <v>0.95928289273777</v>
      </c>
      <c r="V836" s="133">
        <v>0.935714285714286</v>
      </c>
      <c r="W836" s="133">
        <v>0.939530395625603</v>
      </c>
      <c r="X836" s="133">
        <v>0.938907754646718</v>
      </c>
      <c r="Y836" s="135">
        <v>0.92</v>
      </c>
      <c r="Z836" s="135">
        <v>0.928725701943845</v>
      </c>
      <c r="AA836" s="135">
        <v>0.936046511627907</v>
      </c>
      <c r="AB836" s="135">
        <v>0.947826086956522</v>
      </c>
      <c r="AC836" s="135">
        <v>0.942096407007819</v>
      </c>
      <c r="AD836" s="135">
        <v>0.92</v>
      </c>
      <c r="AE836" s="133">
        <v>0.989795918367347</v>
      </c>
      <c r="AF836" s="133">
        <v>0.996112311015119</v>
      </c>
      <c r="AG836" s="133">
        <v>0.998873873873874</v>
      </c>
      <c r="AH836" s="133">
        <v>0.995276584996211</v>
      </c>
      <c r="AI836" s="135">
        <v>0.92</v>
      </c>
      <c r="AJ836" s="133">
        <v>0.975492807671817</v>
      </c>
      <c r="AK836" s="133">
        <v>0.976432532347505</v>
      </c>
      <c r="AL836" s="133">
        <v>0.982628187167274</v>
      </c>
      <c r="AM836" s="133">
        <v>0.979285694182545</v>
      </c>
      <c r="AN836" s="132">
        <v>0.99</v>
      </c>
      <c r="AO836" s="137">
        <v>1</v>
      </c>
      <c r="AP836" s="137">
        <v>1</v>
      </c>
      <c r="AQ836" s="137">
        <v>1</v>
      </c>
      <c r="AR836" s="137">
        <v>1</v>
      </c>
      <c r="AS836" s="158">
        <v>0.0810595228934205</v>
      </c>
      <c r="AT836" s="141">
        <v>0.0666666666666667</v>
      </c>
      <c r="AU836" s="141">
        <v>0.1</v>
      </c>
      <c r="AV836" s="141">
        <v>0</v>
      </c>
      <c r="AW836" s="141">
        <v>0.0509090909090909</v>
      </c>
      <c r="AX836" s="95"/>
      <c r="AY836" s="93"/>
    </row>
    <row r="837" ht="14.5" spans="1:51">
      <c r="A837" s="91"/>
      <c r="B837" s="95"/>
      <c r="C837" s="152" t="s">
        <v>668</v>
      </c>
      <c r="D837" s="153" t="s">
        <v>25</v>
      </c>
      <c r="E837" s="130" t="s">
        <v>669</v>
      </c>
      <c r="F837" s="179" t="s">
        <v>864</v>
      </c>
      <c r="G837" s="179" t="s">
        <v>864</v>
      </c>
      <c r="H837" s="179" t="s">
        <v>864</v>
      </c>
      <c r="I837" s="179" t="s">
        <v>864</v>
      </c>
      <c r="J837" s="132">
        <v>0.9</v>
      </c>
      <c r="K837" s="133">
        <v>0.826923076923077</v>
      </c>
      <c r="L837" s="133">
        <v>0.865384615384615</v>
      </c>
      <c r="M837" s="134">
        <v>0.892857142857143</v>
      </c>
      <c r="N837" s="133">
        <v>0.86644591611479</v>
      </c>
      <c r="O837" s="135">
        <v>0.9</v>
      </c>
      <c r="P837" s="133">
        <v>0.909508497932935</v>
      </c>
      <c r="Q837" s="133">
        <v>0.919288925214548</v>
      </c>
      <c r="R837" s="133">
        <v>0.935830212234707</v>
      </c>
      <c r="S837" s="133">
        <v>0.902813199901609</v>
      </c>
      <c r="T837" s="135">
        <v>0.9</v>
      </c>
      <c r="U837" s="133">
        <v>0.88562241616904</v>
      </c>
      <c r="V837" s="133">
        <v>0.856967715570086</v>
      </c>
      <c r="W837" s="133">
        <v>0.89063670411985</v>
      </c>
      <c r="X837" s="133">
        <v>0.87055137682379</v>
      </c>
      <c r="Y837" s="135">
        <v>0.92</v>
      </c>
      <c r="Z837" s="135">
        <v>0.834285714285714</v>
      </c>
      <c r="AA837" s="135">
        <v>0.847222222222222</v>
      </c>
      <c r="AB837" s="135">
        <v>0.911270983213429</v>
      </c>
      <c r="AC837" s="135">
        <v>0.885235966972199</v>
      </c>
      <c r="AD837" s="135">
        <v>0.92</v>
      </c>
      <c r="AE837" s="133">
        <v>0.992389649923896</v>
      </c>
      <c r="AF837" s="133">
        <v>0.974269819193324</v>
      </c>
      <c r="AG837" s="133">
        <v>0.991379310344828</v>
      </c>
      <c r="AH837" s="133">
        <v>0.988678140352019</v>
      </c>
      <c r="AI837" s="135">
        <v>0.92</v>
      </c>
      <c r="AJ837" s="133">
        <v>0.946915351506456</v>
      </c>
      <c r="AK837" s="133">
        <v>0.946140651801029</v>
      </c>
      <c r="AL837" s="133">
        <v>0.964455466005373</v>
      </c>
      <c r="AM837" s="133">
        <v>0.963978904772961</v>
      </c>
      <c r="AN837" s="132">
        <v>0.99</v>
      </c>
      <c r="AO837" s="137">
        <v>1</v>
      </c>
      <c r="AP837" s="137">
        <v>1</v>
      </c>
      <c r="AQ837" s="137">
        <v>1</v>
      </c>
      <c r="AR837" s="137">
        <v>1</v>
      </c>
      <c r="AS837" s="158">
        <v>0.0810595228934205</v>
      </c>
      <c r="AT837" s="141">
        <v>0.142857142857143</v>
      </c>
      <c r="AU837" s="141">
        <v>0</v>
      </c>
      <c r="AV837" s="141">
        <v>0</v>
      </c>
      <c r="AW837" s="141">
        <v>0.0497737556561086</v>
      </c>
      <c r="AX837" s="95"/>
      <c r="AY837" s="93"/>
    </row>
    <row r="838" ht="14.5" spans="1:51">
      <c r="A838" s="91"/>
      <c r="B838" s="95"/>
      <c r="C838" s="152" t="s">
        <v>668</v>
      </c>
      <c r="D838" s="153" t="s">
        <v>25</v>
      </c>
      <c r="E838" s="130" t="s">
        <v>669</v>
      </c>
      <c r="F838" s="179" t="s">
        <v>865</v>
      </c>
      <c r="G838" s="179" t="s">
        <v>865</v>
      </c>
      <c r="H838" s="179" t="s">
        <v>865</v>
      </c>
      <c r="I838" s="179" t="s">
        <v>865</v>
      </c>
      <c r="J838" s="132">
        <v>0.9</v>
      </c>
      <c r="K838" s="133">
        <v>0.775510204081633</v>
      </c>
      <c r="L838" s="133">
        <v>0.729166666666667</v>
      </c>
      <c r="M838" s="134">
        <v>0.705882352941177</v>
      </c>
      <c r="N838" s="133">
        <v>0.795990566037736</v>
      </c>
      <c r="O838" s="135">
        <v>0.9</v>
      </c>
      <c r="P838" s="133">
        <v>0.966224366706876</v>
      </c>
      <c r="Q838" s="133">
        <v>0.941116231438812</v>
      </c>
      <c r="R838" s="133">
        <v>0.96014171833481</v>
      </c>
      <c r="S838" s="133">
        <v>0.958623996535243</v>
      </c>
      <c r="T838" s="135">
        <v>0.9</v>
      </c>
      <c r="U838" s="133">
        <v>0.92400482509047</v>
      </c>
      <c r="V838" s="133">
        <v>0.935995903737839</v>
      </c>
      <c r="W838" s="133">
        <v>0.939474461175081</v>
      </c>
      <c r="X838" s="133">
        <v>0.922120307497177</v>
      </c>
      <c r="Y838" s="135">
        <v>0.92</v>
      </c>
      <c r="Z838" s="135">
        <v>0.870748299319728</v>
      </c>
      <c r="AA838" s="135">
        <v>0.927125506072874</v>
      </c>
      <c r="AB838" s="135">
        <v>0.933566433566434</v>
      </c>
      <c r="AC838" s="135">
        <v>0.921267893660532</v>
      </c>
      <c r="AD838" s="135">
        <v>0.92</v>
      </c>
      <c r="AE838" s="133">
        <v>1</v>
      </c>
      <c r="AF838" s="133">
        <v>0.996023856858847</v>
      </c>
      <c r="AG838" s="133">
        <v>1</v>
      </c>
      <c r="AH838" s="133">
        <v>0.997245179063361</v>
      </c>
      <c r="AI838" s="135">
        <v>0.92</v>
      </c>
      <c r="AJ838" s="133">
        <v>0.942241149853607</v>
      </c>
      <c r="AK838" s="133">
        <v>0.960843373493976</v>
      </c>
      <c r="AL838" s="133">
        <v>0.965412774551881</v>
      </c>
      <c r="AM838" s="133">
        <v>0.963443255499423</v>
      </c>
      <c r="AN838" s="132">
        <v>0.99</v>
      </c>
      <c r="AO838" s="137">
        <v>1</v>
      </c>
      <c r="AP838" s="137">
        <v>1</v>
      </c>
      <c r="AQ838" s="137">
        <v>1</v>
      </c>
      <c r="AR838" s="137">
        <v>1</v>
      </c>
      <c r="AS838" s="158">
        <v>0.0810595228934205</v>
      </c>
      <c r="AT838" s="141">
        <v>0.25</v>
      </c>
      <c r="AU838" s="141">
        <v>0.0952380952380952</v>
      </c>
      <c r="AV838" s="141">
        <v>0.05</v>
      </c>
      <c r="AW838" s="141">
        <v>0.0446735395189003</v>
      </c>
      <c r="AX838" s="95"/>
      <c r="AY838" s="93"/>
    </row>
    <row r="839" ht="14.5" spans="1:51">
      <c r="A839" s="91"/>
      <c r="B839" s="95"/>
      <c r="C839" s="152" t="s">
        <v>668</v>
      </c>
      <c r="D839" s="153" t="s">
        <v>25</v>
      </c>
      <c r="E839" s="130" t="s">
        <v>669</v>
      </c>
      <c r="F839" s="179" t="s">
        <v>866</v>
      </c>
      <c r="G839" s="179" t="s">
        <v>866</v>
      </c>
      <c r="H839" s="179" t="s">
        <v>866</v>
      </c>
      <c r="I839" s="179" t="s">
        <v>866</v>
      </c>
      <c r="J839" s="132">
        <v>0.9</v>
      </c>
      <c r="K839" s="133">
        <v>0.979591836734694</v>
      </c>
      <c r="L839" s="133">
        <v>1</v>
      </c>
      <c r="M839" s="134">
        <v>0.947368421052632</v>
      </c>
      <c r="N839" s="133">
        <v>0.980176211453744</v>
      </c>
      <c r="O839" s="135">
        <v>0.9</v>
      </c>
      <c r="P839" s="133">
        <v>0.964223602484472</v>
      </c>
      <c r="Q839" s="133">
        <v>0.956033676333021</v>
      </c>
      <c r="R839" s="133">
        <v>0.978067004097373</v>
      </c>
      <c r="S839" s="133">
        <v>0.939791484458512</v>
      </c>
      <c r="T839" s="135">
        <v>0.9</v>
      </c>
      <c r="U839" s="133">
        <v>0.914285714285714</v>
      </c>
      <c r="V839" s="133">
        <v>0.905986903648269</v>
      </c>
      <c r="W839" s="133">
        <v>0.957821161725717</v>
      </c>
      <c r="X839" s="133">
        <v>0.916330015409604</v>
      </c>
      <c r="Y839" s="135">
        <v>0.92</v>
      </c>
      <c r="Z839" s="135">
        <v>0.864912280701754</v>
      </c>
      <c r="AA839" s="135">
        <v>0.915606936416185</v>
      </c>
      <c r="AB839" s="135">
        <v>0.937062937062937</v>
      </c>
      <c r="AC839" s="135">
        <v>0.917772741987698</v>
      </c>
      <c r="AD839" s="135">
        <v>0.92</v>
      </c>
      <c r="AE839" s="133">
        <v>0.981707317073171</v>
      </c>
      <c r="AF839" s="133">
        <v>0.993119266055046</v>
      </c>
      <c r="AG839" s="133">
        <v>0.992857142857143</v>
      </c>
      <c r="AH839" s="133">
        <v>0.990338164251208</v>
      </c>
      <c r="AI839" s="135">
        <v>0.92</v>
      </c>
      <c r="AJ839" s="133">
        <v>0.947769314472252</v>
      </c>
      <c r="AK839" s="133">
        <v>0.964403812487843</v>
      </c>
      <c r="AL839" s="133">
        <v>0.976916560779331</v>
      </c>
      <c r="AM839" s="133">
        <v>0.969570575409991</v>
      </c>
      <c r="AN839" s="132">
        <v>0.99</v>
      </c>
      <c r="AO839" s="137">
        <v>1</v>
      </c>
      <c r="AP839" s="137">
        <v>1</v>
      </c>
      <c r="AQ839" s="137">
        <v>1</v>
      </c>
      <c r="AR839" s="137">
        <v>1</v>
      </c>
      <c r="AS839" s="158">
        <v>0.0810595228934205</v>
      </c>
      <c r="AT839" s="141">
        <v>0</v>
      </c>
      <c r="AU839" s="141">
        <v>0</v>
      </c>
      <c r="AV839" s="141">
        <v>0.0526315789473684</v>
      </c>
      <c r="AW839" s="141">
        <v>0.0183823529411765</v>
      </c>
      <c r="AX839" s="95"/>
      <c r="AY839" s="93"/>
    </row>
    <row r="840" ht="14.5" spans="1:51">
      <c r="A840" s="91"/>
      <c r="B840" s="95"/>
      <c r="C840" s="152" t="s">
        <v>668</v>
      </c>
      <c r="D840" s="153" t="s">
        <v>25</v>
      </c>
      <c r="E840" s="130" t="s">
        <v>669</v>
      </c>
      <c r="F840" s="179" t="s">
        <v>867</v>
      </c>
      <c r="G840" s="179" t="s">
        <v>867</v>
      </c>
      <c r="H840" s="179" t="s">
        <v>867</v>
      </c>
      <c r="I840" s="179" t="s">
        <v>867</v>
      </c>
      <c r="J840" s="132">
        <v>0.9</v>
      </c>
      <c r="K840" s="133">
        <v>0.882352941176471</v>
      </c>
      <c r="L840" s="133">
        <v>0.903225806451613</v>
      </c>
      <c r="M840" s="134">
        <v>0.96875</v>
      </c>
      <c r="N840" s="133">
        <v>0.932110091743119</v>
      </c>
      <c r="O840" s="135">
        <v>0.9</v>
      </c>
      <c r="P840" s="133">
        <v>0.979976896418945</v>
      </c>
      <c r="Q840" s="133">
        <v>0.965437022266534</v>
      </c>
      <c r="R840" s="133">
        <v>0.982804738249904</v>
      </c>
      <c r="S840" s="133">
        <v>0.961526946107784</v>
      </c>
      <c r="T840" s="135">
        <v>0.9</v>
      </c>
      <c r="U840" s="133">
        <v>0.955718136311128</v>
      </c>
      <c r="V840" s="133">
        <v>0.941508806912596</v>
      </c>
      <c r="W840" s="133">
        <v>0.96140619029423</v>
      </c>
      <c r="X840" s="133">
        <v>0.956864841745081</v>
      </c>
      <c r="Y840" s="135">
        <v>0.92</v>
      </c>
      <c r="Z840" s="135">
        <v>0.920634920634921</v>
      </c>
      <c r="AA840" s="135">
        <v>0.93717277486911</v>
      </c>
      <c r="AB840" s="135">
        <v>0.951945080091533</v>
      </c>
      <c r="AC840" s="135">
        <v>0.936562464216191</v>
      </c>
      <c r="AD840" s="135">
        <v>0.92</v>
      </c>
      <c r="AE840" s="133">
        <v>0.994119467657072</v>
      </c>
      <c r="AF840" s="133">
        <v>0.994583733729361</v>
      </c>
      <c r="AG840" s="133">
        <v>0.997605473204105</v>
      </c>
      <c r="AH840" s="133">
        <v>0.992842564771246</v>
      </c>
      <c r="AI840" s="135">
        <v>0.92</v>
      </c>
      <c r="AJ840" s="133">
        <v>0.968067226890756</v>
      </c>
      <c r="AK840" s="133">
        <v>0.965382467895031</v>
      </c>
      <c r="AL840" s="133">
        <v>0.980039267015707</v>
      </c>
      <c r="AM840" s="133">
        <v>0.977442254333177</v>
      </c>
      <c r="AN840" s="132">
        <v>0.99</v>
      </c>
      <c r="AO840" s="137">
        <v>1</v>
      </c>
      <c r="AP840" s="137">
        <v>1</v>
      </c>
      <c r="AQ840" s="137">
        <v>1</v>
      </c>
      <c r="AR840" s="137">
        <v>1</v>
      </c>
      <c r="AS840" s="158">
        <v>0.0810595228934205</v>
      </c>
      <c r="AT840" s="141">
        <v>0.111111111111111</v>
      </c>
      <c r="AU840" s="141">
        <v>0</v>
      </c>
      <c r="AV840" s="141">
        <v>0.0555555555555556</v>
      </c>
      <c r="AW840" s="141">
        <v>0.0403587443946188</v>
      </c>
      <c r="AX840" s="95"/>
      <c r="AY840" s="93"/>
    </row>
    <row r="841" ht="14.5" spans="1:51">
      <c r="A841" s="91"/>
      <c r="B841" s="95"/>
      <c r="C841" s="152" t="s">
        <v>668</v>
      </c>
      <c r="D841" s="153" t="s">
        <v>25</v>
      </c>
      <c r="E841" s="130" t="s">
        <v>669</v>
      </c>
      <c r="F841" s="179" t="s">
        <v>868</v>
      </c>
      <c r="G841" s="179" t="s">
        <v>868</v>
      </c>
      <c r="H841" s="179" t="s">
        <v>868</v>
      </c>
      <c r="I841" s="179" t="s">
        <v>868</v>
      </c>
      <c r="J841" s="132">
        <v>0.9</v>
      </c>
      <c r="K841" s="133">
        <v>0.925925925925926</v>
      </c>
      <c r="L841" s="133">
        <v>0.961538461538462</v>
      </c>
      <c r="M841" s="134">
        <v>0.888888888888889</v>
      </c>
      <c r="N841" s="133">
        <v>0.925581395348837</v>
      </c>
      <c r="O841" s="135">
        <v>0.9</v>
      </c>
      <c r="P841" s="133">
        <v>0.963076923076923</v>
      </c>
      <c r="Q841" s="133">
        <v>0.973897911832947</v>
      </c>
      <c r="R841" s="133">
        <v>0.978538283062645</v>
      </c>
      <c r="S841" s="133">
        <v>0.966579822118408</v>
      </c>
      <c r="T841" s="135">
        <v>0.9</v>
      </c>
      <c r="U841" s="133">
        <v>0.955897435897436</v>
      </c>
      <c r="V841" s="133">
        <v>0.963457076566125</v>
      </c>
      <c r="W841" s="133">
        <v>0.959976798143852</v>
      </c>
      <c r="X841" s="133">
        <v>0.937651603629503</v>
      </c>
      <c r="Y841" s="135">
        <v>0.92</v>
      </c>
      <c r="Z841" s="135">
        <v>0.957854406130268</v>
      </c>
      <c r="AA841" s="135">
        <v>0.96927374301676</v>
      </c>
      <c r="AB841" s="135">
        <v>0.964426877470356</v>
      </c>
      <c r="AC841" s="135">
        <v>0.953957578892913</v>
      </c>
      <c r="AD841" s="135">
        <v>0.92</v>
      </c>
      <c r="AE841" s="133">
        <v>0.990909090909091</v>
      </c>
      <c r="AF841" s="133">
        <v>0.996168582375479</v>
      </c>
      <c r="AG841" s="133">
        <v>0.99194847020934</v>
      </c>
      <c r="AH841" s="133">
        <v>0.994872787075554</v>
      </c>
      <c r="AI841" s="135">
        <v>0.92</v>
      </c>
      <c r="AJ841" s="133">
        <v>0.978742650384441</v>
      </c>
      <c r="AK841" s="133">
        <v>0.983189241114313</v>
      </c>
      <c r="AL841" s="133">
        <v>0.984825493171472</v>
      </c>
      <c r="AM841" s="133">
        <v>0.984282907662082</v>
      </c>
      <c r="AN841" s="132">
        <v>0.99</v>
      </c>
      <c r="AO841" s="137">
        <v>1</v>
      </c>
      <c r="AP841" s="137">
        <v>1</v>
      </c>
      <c r="AQ841" s="137">
        <v>1</v>
      </c>
      <c r="AR841" s="137">
        <v>1</v>
      </c>
      <c r="AS841" s="158">
        <v>0.0810595228934205</v>
      </c>
      <c r="AT841" s="141">
        <v>0</v>
      </c>
      <c r="AU841" s="141">
        <v>0.111111111111111</v>
      </c>
      <c r="AV841" s="141">
        <v>0</v>
      </c>
      <c r="AW841" s="141">
        <v>0</v>
      </c>
      <c r="AX841" s="95"/>
      <c r="AY841" s="93"/>
    </row>
    <row r="842" ht="14.5" spans="1:51">
      <c r="A842" s="91"/>
      <c r="B842" s="95"/>
      <c r="C842" s="152" t="s">
        <v>668</v>
      </c>
      <c r="D842" s="153" t="s">
        <v>25</v>
      </c>
      <c r="E842" s="130" t="s">
        <v>669</v>
      </c>
      <c r="F842" s="179" t="s">
        <v>869</v>
      </c>
      <c r="G842" s="179" t="s">
        <v>869</v>
      </c>
      <c r="H842" s="179" t="s">
        <v>869</v>
      </c>
      <c r="I842" s="179" t="s">
        <v>869</v>
      </c>
      <c r="J842" s="132">
        <v>0.9</v>
      </c>
      <c r="K842" s="133">
        <v>1</v>
      </c>
      <c r="L842" s="133">
        <v>0.941176470588235</v>
      </c>
      <c r="M842" s="134">
        <v>1</v>
      </c>
      <c r="N842" s="133">
        <v>0.97953216374269</v>
      </c>
      <c r="O842" s="135">
        <v>0.9</v>
      </c>
      <c r="P842" s="133">
        <v>0.964820846905537</v>
      </c>
      <c r="Q842" s="133">
        <v>0.951466666666667</v>
      </c>
      <c r="R842" s="133">
        <v>0.968421052631579</v>
      </c>
      <c r="S842" s="133">
        <v>0.961000367291061</v>
      </c>
      <c r="T842" s="135">
        <v>0.9</v>
      </c>
      <c r="U842" s="133">
        <v>0.934201954397394</v>
      </c>
      <c r="V842" s="133">
        <v>0.888</v>
      </c>
      <c r="W842" s="133">
        <v>0.942414860681115</v>
      </c>
      <c r="X842" s="133">
        <v>0.927209589635714</v>
      </c>
      <c r="Y842" s="135">
        <v>0.92</v>
      </c>
      <c r="Z842" s="135">
        <v>0.932038834951456</v>
      </c>
      <c r="AA842" s="135">
        <v>0.934844192634561</v>
      </c>
      <c r="AB842" s="135">
        <v>0.927927927927928</v>
      </c>
      <c r="AC842" s="135">
        <v>0.945796686438945</v>
      </c>
      <c r="AD842" s="135">
        <v>0.92</v>
      </c>
      <c r="AE842" s="133">
        <v>1</v>
      </c>
      <c r="AF842" s="133">
        <v>1</v>
      </c>
      <c r="AG842" s="133">
        <v>0.997347480106101</v>
      </c>
      <c r="AH842" s="133">
        <v>0.998021026592455</v>
      </c>
      <c r="AI842" s="135">
        <v>0.92</v>
      </c>
      <c r="AJ842" s="133">
        <v>0.956921309592188</v>
      </c>
      <c r="AK842" s="133">
        <v>0.961866307761328</v>
      </c>
      <c r="AL842" s="133">
        <v>0.971692977681002</v>
      </c>
      <c r="AM842" s="133">
        <v>0.972444674072161</v>
      </c>
      <c r="AN842" s="132">
        <v>0.99</v>
      </c>
      <c r="AO842" s="137">
        <v>1</v>
      </c>
      <c r="AP842" s="137">
        <v>1</v>
      </c>
      <c r="AQ842" s="137">
        <v>1</v>
      </c>
      <c r="AR842" s="137">
        <v>1</v>
      </c>
      <c r="AS842" s="158">
        <v>0.0810595228934205</v>
      </c>
      <c r="AT842" s="141">
        <v>0.166666666666667</v>
      </c>
      <c r="AU842" s="141">
        <v>0.0909090909090909</v>
      </c>
      <c r="AV842" s="141">
        <v>0</v>
      </c>
      <c r="AW842" s="141">
        <v>0.0465116279069767</v>
      </c>
      <c r="AX842" s="95"/>
      <c r="AY842" s="93"/>
    </row>
    <row r="843" ht="14.5" spans="1:51">
      <c r="A843" s="91"/>
      <c r="B843" s="95"/>
      <c r="C843" s="152" t="s">
        <v>668</v>
      </c>
      <c r="D843" s="153" t="s">
        <v>25</v>
      </c>
      <c r="E843" s="130" t="s">
        <v>669</v>
      </c>
      <c r="F843" s="179" t="s">
        <v>870</v>
      </c>
      <c r="G843" s="179" t="s">
        <v>870</v>
      </c>
      <c r="H843" s="179" t="s">
        <v>870</v>
      </c>
      <c r="I843" s="179" t="s">
        <v>870</v>
      </c>
      <c r="J843" s="132">
        <v>0.9</v>
      </c>
      <c r="K843" s="133">
        <v>1</v>
      </c>
      <c r="L843" s="133">
        <v>0.857142857142857</v>
      </c>
      <c r="M843" s="134">
        <v>1</v>
      </c>
      <c r="N843" s="133">
        <v>0.873076923076923</v>
      </c>
      <c r="O843" s="135">
        <v>0.9</v>
      </c>
      <c r="P843" s="133">
        <v>0.971243042671614</v>
      </c>
      <c r="Q843" s="133">
        <v>0.966332378223496</v>
      </c>
      <c r="R843" s="133">
        <v>0.983552631578947</v>
      </c>
      <c r="S843" s="133">
        <v>0.939964657738095</v>
      </c>
      <c r="T843" s="135">
        <v>0.9</v>
      </c>
      <c r="U843" s="133">
        <v>0.847866419294991</v>
      </c>
      <c r="V843" s="133">
        <v>0.741404011461318</v>
      </c>
      <c r="W843" s="133">
        <v>0.875822368421053</v>
      </c>
      <c r="X843" s="133">
        <v>0.723214285714286</v>
      </c>
      <c r="Y843" s="135">
        <v>0.92</v>
      </c>
      <c r="Z843" s="135">
        <v>0.813333333333333</v>
      </c>
      <c r="AA843" s="135">
        <v>0.745833333333333</v>
      </c>
      <c r="AB843" s="135">
        <v>0.737967914438503</v>
      </c>
      <c r="AC843" s="135">
        <v>0.74181174387725</v>
      </c>
      <c r="AD843" s="135">
        <v>0.92</v>
      </c>
      <c r="AE843" s="133">
        <v>1</v>
      </c>
      <c r="AF843" s="133">
        <v>0.65</v>
      </c>
      <c r="AG843" s="133">
        <v>0.583333333333333</v>
      </c>
      <c r="AH843" s="133">
        <v>0.942424242424242</v>
      </c>
      <c r="AI843" s="135">
        <v>0.92</v>
      </c>
      <c r="AJ843" s="133">
        <v>0.943811074918567</v>
      </c>
      <c r="AK843" s="133">
        <v>0.937041564792176</v>
      </c>
      <c r="AL843" s="133">
        <v>0.935138987883108</v>
      </c>
      <c r="AM843" s="133">
        <v>0.936852253555074</v>
      </c>
      <c r="AN843" s="132">
        <v>0.99</v>
      </c>
      <c r="AO843" s="137">
        <v>1</v>
      </c>
      <c r="AP843" s="137">
        <v>1</v>
      </c>
      <c r="AQ843" s="137">
        <v>1</v>
      </c>
      <c r="AR843" s="137">
        <v>1</v>
      </c>
      <c r="AS843" s="158">
        <v>0.0810595228934205</v>
      </c>
      <c r="AT843" s="141">
        <v>0</v>
      </c>
      <c r="AU843" s="141">
        <v>0</v>
      </c>
      <c r="AV843" s="141">
        <v>0</v>
      </c>
      <c r="AW843" s="141">
        <v>0.0784313725490196</v>
      </c>
      <c r="AX843" s="95"/>
      <c r="AY843" s="93"/>
    </row>
    <row r="844" ht="14.5" spans="1:51">
      <c r="A844" s="91"/>
      <c r="B844" s="95"/>
      <c r="C844" s="152" t="s">
        <v>668</v>
      </c>
      <c r="D844" s="153" t="s">
        <v>25</v>
      </c>
      <c r="E844" s="130" t="s">
        <v>669</v>
      </c>
      <c r="F844" s="179" t="s">
        <v>871</v>
      </c>
      <c r="G844" s="179" t="s">
        <v>871</v>
      </c>
      <c r="H844" s="179" t="s">
        <v>871</v>
      </c>
      <c r="I844" s="179" t="s">
        <v>871</v>
      </c>
      <c r="J844" s="132">
        <v>0.9</v>
      </c>
      <c r="K844" s="133">
        <v>1</v>
      </c>
      <c r="L844" s="133">
        <v>0.857142857142857</v>
      </c>
      <c r="M844" s="134">
        <v>0.896551724137931</v>
      </c>
      <c r="N844" s="133">
        <v>0.914225941422594</v>
      </c>
      <c r="O844" s="135">
        <v>0.9</v>
      </c>
      <c r="P844" s="133">
        <v>0.965299684542587</v>
      </c>
      <c r="Q844" s="133">
        <v>0.94819391634981</v>
      </c>
      <c r="R844" s="133">
        <v>0.94931576279777</v>
      </c>
      <c r="S844" s="133">
        <v>0.955622793746848</v>
      </c>
      <c r="T844" s="135">
        <v>0.9</v>
      </c>
      <c r="U844" s="133">
        <v>0.95478443743428</v>
      </c>
      <c r="V844" s="133">
        <v>0.923479087452472</v>
      </c>
      <c r="W844" s="133">
        <v>0.950836289913837</v>
      </c>
      <c r="X844" s="133">
        <v>0.928046288186427</v>
      </c>
      <c r="Y844" s="135">
        <v>0.92</v>
      </c>
      <c r="Z844" s="135">
        <v>0.810810810810811</v>
      </c>
      <c r="AA844" s="135">
        <v>0.824390243902439</v>
      </c>
      <c r="AB844" s="135">
        <v>0.857651245551601</v>
      </c>
      <c r="AC844" s="135">
        <v>0.828289164183786</v>
      </c>
      <c r="AD844" s="135">
        <v>0.92</v>
      </c>
      <c r="AE844" s="133">
        <v>1</v>
      </c>
      <c r="AF844" s="133">
        <v>0.99025974025974</v>
      </c>
      <c r="AG844" s="133">
        <v>0.995983935742972</v>
      </c>
      <c r="AH844" s="133">
        <v>0.991094147582697</v>
      </c>
      <c r="AI844" s="135">
        <v>0.92</v>
      </c>
      <c r="AJ844" s="133">
        <v>0.949044585987261</v>
      </c>
      <c r="AK844" s="133">
        <v>0.938345266507558</v>
      </c>
      <c r="AL844" s="133">
        <v>0.963620230700976</v>
      </c>
      <c r="AM844" s="133">
        <v>0.953556998229446</v>
      </c>
      <c r="AN844" s="132">
        <v>0.99</v>
      </c>
      <c r="AO844" s="137">
        <v>1</v>
      </c>
      <c r="AP844" s="137">
        <v>1</v>
      </c>
      <c r="AQ844" s="137">
        <v>1</v>
      </c>
      <c r="AR844" s="137">
        <v>1</v>
      </c>
      <c r="AS844" s="158">
        <v>0.0810595228934205</v>
      </c>
      <c r="AT844" s="141">
        <v>0</v>
      </c>
      <c r="AU844" s="141">
        <v>0</v>
      </c>
      <c r="AV844" s="141">
        <v>0</v>
      </c>
      <c r="AW844" s="141">
        <v>0.0737704918032787</v>
      </c>
      <c r="AX844" s="95"/>
      <c r="AY844" s="93"/>
    </row>
    <row r="845" ht="14.5" spans="1:51">
      <c r="A845" s="91"/>
      <c r="B845" s="95"/>
      <c r="C845" s="152" t="s">
        <v>668</v>
      </c>
      <c r="D845" s="153" t="s">
        <v>25</v>
      </c>
      <c r="E845" s="130" t="s">
        <v>669</v>
      </c>
      <c r="F845" s="179" t="s">
        <v>872</v>
      </c>
      <c r="G845" s="179" t="s">
        <v>872</v>
      </c>
      <c r="H845" s="179" t="s">
        <v>872</v>
      </c>
      <c r="I845" s="179" t="s">
        <v>872</v>
      </c>
      <c r="J845" s="132">
        <v>0.9</v>
      </c>
      <c r="K845" s="133">
        <v>0.86046511627907</v>
      </c>
      <c r="L845" s="133">
        <v>0.952380952380952</v>
      </c>
      <c r="M845" s="134">
        <v>0.957446808510638</v>
      </c>
      <c r="N845" s="133">
        <v>0.899608865710561</v>
      </c>
      <c r="O845" s="135">
        <v>0.9</v>
      </c>
      <c r="P845" s="133">
        <v>0.96195652173913</v>
      </c>
      <c r="Q845" s="133">
        <v>0.883580080753701</v>
      </c>
      <c r="R845" s="133">
        <v>0.975809199318569</v>
      </c>
      <c r="S845" s="133">
        <v>0.950862255573995</v>
      </c>
      <c r="T845" s="135">
        <v>0.9</v>
      </c>
      <c r="U845" s="133">
        <v>0.905570652173913</v>
      </c>
      <c r="V845" s="133">
        <v>0.862045760430686</v>
      </c>
      <c r="W845" s="133">
        <v>0.947189097103918</v>
      </c>
      <c r="X845" s="133">
        <v>0.919276282560069</v>
      </c>
      <c r="Y845" s="135">
        <v>0.92</v>
      </c>
      <c r="Z845" s="135">
        <v>0.87467362924282</v>
      </c>
      <c r="AA845" s="135">
        <v>0.88380716934487</v>
      </c>
      <c r="AB845" s="135">
        <v>0.927807486631016</v>
      </c>
      <c r="AC845" s="135">
        <v>0.907917661482868</v>
      </c>
      <c r="AD845" s="135">
        <v>0.92</v>
      </c>
      <c r="AE845" s="133">
        <v>1</v>
      </c>
      <c r="AF845" s="133">
        <v>0.988744588744589</v>
      </c>
      <c r="AG845" s="133">
        <v>0.993639254884144</v>
      </c>
      <c r="AH845" s="133">
        <v>0.992644304444066</v>
      </c>
      <c r="AI845" s="135">
        <v>0.92</v>
      </c>
      <c r="AJ845" s="133">
        <v>0.938984069732492</v>
      </c>
      <c r="AK845" s="133">
        <v>0.908249603384453</v>
      </c>
      <c r="AL845" s="133">
        <v>0.968503937007874</v>
      </c>
      <c r="AM845" s="133">
        <v>0.951905728461885</v>
      </c>
      <c r="AN845" s="132">
        <v>0.99</v>
      </c>
      <c r="AO845" s="137">
        <v>1</v>
      </c>
      <c r="AP845" s="137">
        <v>1</v>
      </c>
      <c r="AQ845" s="137">
        <v>1</v>
      </c>
      <c r="AR845" s="137">
        <v>1</v>
      </c>
      <c r="AS845" s="158">
        <v>0.0810595228934205</v>
      </c>
      <c r="AT845" s="141">
        <v>0.05</v>
      </c>
      <c r="AU845" s="141">
        <v>0.0357142857142857</v>
      </c>
      <c r="AV845" s="141">
        <v>0.03125</v>
      </c>
      <c r="AW845" s="141">
        <v>0.0359408033826638</v>
      </c>
      <c r="AX845" s="95"/>
      <c r="AY845" s="93"/>
    </row>
    <row r="846" ht="14.5" spans="1:51">
      <c r="A846" s="91"/>
      <c r="B846" s="95"/>
      <c r="C846" s="152" t="s">
        <v>668</v>
      </c>
      <c r="D846" s="153" t="s">
        <v>25</v>
      </c>
      <c r="E846" s="130" t="s">
        <v>669</v>
      </c>
      <c r="F846" s="179" t="s">
        <v>873</v>
      </c>
      <c r="G846" s="179" t="s">
        <v>873</v>
      </c>
      <c r="H846" s="179" t="s">
        <v>873</v>
      </c>
      <c r="I846" s="179" t="s">
        <v>873</v>
      </c>
      <c r="J846" s="132">
        <v>0.9</v>
      </c>
      <c r="K846" s="133">
        <v>0.871794871794872</v>
      </c>
      <c r="L846" s="133">
        <v>0.857142857142857</v>
      </c>
      <c r="M846" s="134">
        <v>0.846153846153846</v>
      </c>
      <c r="N846" s="133">
        <v>0.865740740740741</v>
      </c>
      <c r="O846" s="135">
        <v>0.9</v>
      </c>
      <c r="P846" s="133">
        <v>0.939658594680429</v>
      </c>
      <c r="Q846" s="133">
        <v>0.915372670807453</v>
      </c>
      <c r="R846" s="133">
        <v>0.929809358752166</v>
      </c>
      <c r="S846" s="133">
        <v>0.935987184270008</v>
      </c>
      <c r="T846" s="135">
        <v>0.9</v>
      </c>
      <c r="U846" s="133">
        <v>0.876935291782453</v>
      </c>
      <c r="V846" s="133">
        <v>0.791537267080745</v>
      </c>
      <c r="W846" s="133">
        <v>0.866551126516464</v>
      </c>
      <c r="X846" s="133">
        <v>0.877043604204613</v>
      </c>
      <c r="Y846" s="135">
        <v>0.92</v>
      </c>
      <c r="Z846" s="135">
        <v>0.921212121212121</v>
      </c>
      <c r="AA846" s="135">
        <v>0.889561270801815</v>
      </c>
      <c r="AB846" s="135">
        <v>0.93109243697479</v>
      </c>
      <c r="AC846" s="135">
        <v>0.921652652005175</v>
      </c>
      <c r="AD846" s="135">
        <v>0.92</v>
      </c>
      <c r="AE846" s="133">
        <v>0.995928338762215</v>
      </c>
      <c r="AF846" s="133">
        <v>0.993558776167472</v>
      </c>
      <c r="AG846" s="133">
        <v>0.974649766511007</v>
      </c>
      <c r="AH846" s="133">
        <v>0.988780649636578</v>
      </c>
      <c r="AI846" s="135">
        <v>0.92</v>
      </c>
      <c r="AJ846" s="133">
        <v>0.927368421052632</v>
      </c>
      <c r="AK846" s="133">
        <v>0.915405989502933</v>
      </c>
      <c r="AL846" s="133">
        <v>0.937650706166035</v>
      </c>
      <c r="AM846" s="133">
        <v>0.943543377734833</v>
      </c>
      <c r="AN846" s="132">
        <v>0.99</v>
      </c>
      <c r="AO846" s="137">
        <v>1</v>
      </c>
      <c r="AP846" s="137">
        <v>1</v>
      </c>
      <c r="AQ846" s="137">
        <v>1</v>
      </c>
      <c r="AR846" s="137">
        <v>1</v>
      </c>
      <c r="AS846" s="158">
        <v>0.0810595228934205</v>
      </c>
      <c r="AT846" s="141">
        <v>0.0416666666666667</v>
      </c>
      <c r="AU846" s="141">
        <v>0</v>
      </c>
      <c r="AV846" s="141">
        <v>0.142857142857143</v>
      </c>
      <c r="AW846" s="141">
        <v>0.0306748466257669</v>
      </c>
      <c r="AX846" s="95"/>
      <c r="AY846" s="93"/>
    </row>
    <row r="847" ht="14.5" spans="1:51">
      <c r="A847" s="91"/>
      <c r="B847" s="95"/>
      <c r="C847" s="152" t="s">
        <v>668</v>
      </c>
      <c r="D847" s="153" t="s">
        <v>25</v>
      </c>
      <c r="E847" s="130" t="s">
        <v>669</v>
      </c>
      <c r="F847" s="179" t="s">
        <v>874</v>
      </c>
      <c r="G847" s="179" t="s">
        <v>874</v>
      </c>
      <c r="H847" s="179" t="s">
        <v>874</v>
      </c>
      <c r="I847" s="179" t="s">
        <v>874</v>
      </c>
      <c r="J847" s="132">
        <v>0.9</v>
      </c>
      <c r="K847" s="133">
        <v>0.902439024390244</v>
      </c>
      <c r="L847" s="133">
        <v>0.85</v>
      </c>
      <c r="M847" s="134">
        <v>0.880952380952381</v>
      </c>
      <c r="N847" s="133">
        <v>0.866279069767442</v>
      </c>
      <c r="O847" s="135">
        <v>0.9</v>
      </c>
      <c r="P847" s="133">
        <v>0.892713178294574</v>
      </c>
      <c r="Q847" s="133">
        <v>0.9313832695462</v>
      </c>
      <c r="R847" s="133">
        <v>0.968019680196802</v>
      </c>
      <c r="S847" s="133">
        <v>0.914963870412021</v>
      </c>
      <c r="T847" s="135">
        <v>0.9</v>
      </c>
      <c r="U847" s="133">
        <v>0.893023255813953</v>
      </c>
      <c r="V847" s="133">
        <v>0.899398578458174</v>
      </c>
      <c r="W847" s="133">
        <v>0.907134071340713</v>
      </c>
      <c r="X847" s="133">
        <v>0.90489862978737</v>
      </c>
      <c r="Y847" s="135">
        <v>0.92</v>
      </c>
      <c r="Z847" s="135">
        <v>0.916666666666667</v>
      </c>
      <c r="AA847" s="135">
        <v>0.945945945945946</v>
      </c>
      <c r="AB847" s="135">
        <v>0.957420924574209</v>
      </c>
      <c r="AC847" s="135">
        <v>0.94970963300006</v>
      </c>
      <c r="AD847" s="135">
        <v>0.92</v>
      </c>
      <c r="AE847" s="133">
        <v>0.99660441426146</v>
      </c>
      <c r="AF847" s="133">
        <v>0.988532110091743</v>
      </c>
      <c r="AG847" s="133">
        <v>0.992070484581498</v>
      </c>
      <c r="AH847" s="133">
        <v>0.986868621205227</v>
      </c>
      <c r="AI847" s="135">
        <v>0.92</v>
      </c>
      <c r="AJ847" s="133">
        <v>0.941760971570522</v>
      </c>
      <c r="AK847" s="133">
        <v>0.950736749505168</v>
      </c>
      <c r="AL847" s="133">
        <v>0.956308296514482</v>
      </c>
      <c r="AM847" s="133">
        <v>0.958628246139896</v>
      </c>
      <c r="AN847" s="132">
        <v>0.99</v>
      </c>
      <c r="AO847" s="137">
        <v>1</v>
      </c>
      <c r="AP847" s="137">
        <v>1</v>
      </c>
      <c r="AQ847" s="137">
        <v>1</v>
      </c>
      <c r="AR847" s="137">
        <v>1</v>
      </c>
      <c r="AS847" s="158">
        <v>0.0810595228934205</v>
      </c>
      <c r="AT847" s="141">
        <v>0</v>
      </c>
      <c r="AU847" s="141">
        <v>0.0333333333333333</v>
      </c>
      <c r="AV847" s="141">
        <v>0.0298507462686567</v>
      </c>
      <c r="AW847" s="141">
        <v>0.0268756998880179</v>
      </c>
      <c r="AX847" s="95"/>
      <c r="AY847" s="93"/>
    </row>
    <row r="848" ht="14.5" spans="1:51">
      <c r="A848" s="91"/>
      <c r="B848" s="95"/>
      <c r="C848" s="152" t="s">
        <v>668</v>
      </c>
      <c r="D848" s="153" t="s">
        <v>25</v>
      </c>
      <c r="E848" s="130" t="s">
        <v>669</v>
      </c>
      <c r="F848" s="179" t="s">
        <v>875</v>
      </c>
      <c r="G848" s="179" t="s">
        <v>875</v>
      </c>
      <c r="H848" s="179" t="s">
        <v>875</v>
      </c>
      <c r="I848" s="179" t="s">
        <v>875</v>
      </c>
      <c r="J848" s="132">
        <v>0.9</v>
      </c>
      <c r="K848" s="133">
        <v>0.870967741935484</v>
      </c>
      <c r="L848" s="133">
        <v>0.933333333333333</v>
      </c>
      <c r="M848" s="134">
        <v>0.939393939393939</v>
      </c>
      <c r="N848" s="133">
        <v>0.939670932358318</v>
      </c>
      <c r="O848" s="135">
        <v>0.9</v>
      </c>
      <c r="P848" s="133">
        <v>0.968220338983051</v>
      </c>
      <c r="Q848" s="133">
        <v>0.968593384563983</v>
      </c>
      <c r="R848" s="133">
        <v>0.975627240143369</v>
      </c>
      <c r="S848" s="133">
        <v>0.974068484290166</v>
      </c>
      <c r="T848" s="135">
        <v>0.9</v>
      </c>
      <c r="U848" s="133">
        <v>0.937853107344633</v>
      </c>
      <c r="V848" s="133">
        <v>0.922151687270297</v>
      </c>
      <c r="W848" s="133">
        <v>0.956989247311828</v>
      </c>
      <c r="X848" s="133">
        <v>0.942021599796154</v>
      </c>
      <c r="Y848" s="135">
        <v>0.92</v>
      </c>
      <c r="Z848" s="135">
        <v>0.982954545454545</v>
      </c>
      <c r="AA848" s="135">
        <v>0.983627204030227</v>
      </c>
      <c r="AB848" s="135">
        <v>0.983379501385042</v>
      </c>
      <c r="AC848" s="135">
        <v>0.979257558362036</v>
      </c>
      <c r="AD848" s="135">
        <v>0.92</v>
      </c>
      <c r="AE848" s="133">
        <v>0.998449612403101</v>
      </c>
      <c r="AF848" s="133">
        <v>0.997277059223962</v>
      </c>
      <c r="AG848" s="133">
        <v>0.998216674097191</v>
      </c>
      <c r="AH848" s="133">
        <v>0.992073266306903</v>
      </c>
      <c r="AI848" s="135">
        <v>0.92</v>
      </c>
      <c r="AJ848" s="133">
        <v>0.974874371859296</v>
      </c>
      <c r="AK848" s="133">
        <v>0.982317234098707</v>
      </c>
      <c r="AL848" s="133">
        <v>0.987756264236902</v>
      </c>
      <c r="AM848" s="133">
        <v>0.98469387755102</v>
      </c>
      <c r="AN848" s="132">
        <v>0.99</v>
      </c>
      <c r="AO848" s="137">
        <v>1</v>
      </c>
      <c r="AP848" s="137">
        <v>1</v>
      </c>
      <c r="AQ848" s="137">
        <v>1</v>
      </c>
      <c r="AR848" s="137">
        <v>1</v>
      </c>
      <c r="AS848" s="158">
        <v>0.0810595228934205</v>
      </c>
      <c r="AT848" s="141">
        <v>0.111111111111111</v>
      </c>
      <c r="AU848" s="141">
        <v>0</v>
      </c>
      <c r="AV848" s="141">
        <v>0</v>
      </c>
      <c r="AW848" s="141">
        <v>0.0521739130434783</v>
      </c>
      <c r="AX848" s="95"/>
      <c r="AY848" s="93"/>
    </row>
    <row r="849" ht="14.5" spans="1:51">
      <c r="A849" s="91"/>
      <c r="B849" s="95"/>
      <c r="C849" s="152" t="s">
        <v>668</v>
      </c>
      <c r="D849" s="153" t="s">
        <v>25</v>
      </c>
      <c r="E849" s="130" t="s">
        <v>669</v>
      </c>
      <c r="F849" s="179" t="s">
        <v>876</v>
      </c>
      <c r="G849" s="179" t="s">
        <v>876</v>
      </c>
      <c r="H849" s="179" t="s">
        <v>876</v>
      </c>
      <c r="I849" s="179" t="s">
        <v>876</v>
      </c>
      <c r="J849" s="132">
        <v>0.9</v>
      </c>
      <c r="K849" s="133">
        <v>0.727272727272727</v>
      </c>
      <c r="L849" s="133">
        <v>0.636363636363636</v>
      </c>
      <c r="M849" s="134">
        <v>0.652173913043478</v>
      </c>
      <c r="N849" s="133">
        <v>0.742627345844504</v>
      </c>
      <c r="O849" s="135">
        <v>0.9</v>
      </c>
      <c r="P849" s="133">
        <v>0.95079086115993</v>
      </c>
      <c r="Q849" s="133">
        <v>0.932043910088866</v>
      </c>
      <c r="R849" s="133">
        <v>0.959037711313394</v>
      </c>
      <c r="S849" s="133">
        <v>0.954878505946904</v>
      </c>
      <c r="T849" s="135">
        <v>0.9</v>
      </c>
      <c r="U849" s="133">
        <v>0.891622729935559</v>
      </c>
      <c r="V849" s="133">
        <v>0.866701515943544</v>
      </c>
      <c r="W849" s="133">
        <v>0.886215864759428</v>
      </c>
      <c r="X849" s="133">
        <v>0.894557475377432</v>
      </c>
      <c r="Y849" s="135">
        <v>0.92</v>
      </c>
      <c r="Z849" s="135">
        <v>0.945</v>
      </c>
      <c r="AA849" s="135">
        <v>0.941860465116279</v>
      </c>
      <c r="AB849" s="135">
        <v>0.91025641025641</v>
      </c>
      <c r="AC849" s="135">
        <v>0.93507390523553</v>
      </c>
      <c r="AD849" s="135">
        <v>0.92</v>
      </c>
      <c r="AE849" s="133">
        <v>1</v>
      </c>
      <c r="AF849" s="133">
        <v>0.996932515337423</v>
      </c>
      <c r="AG849" s="133">
        <v>0.98494623655914</v>
      </c>
      <c r="AH849" s="133">
        <v>0.978326474622771</v>
      </c>
      <c r="AI849" s="135">
        <v>0.92</v>
      </c>
      <c r="AJ849" s="133">
        <v>0.957547169811321</v>
      </c>
      <c r="AK849" s="133">
        <v>0.964590443686007</v>
      </c>
      <c r="AL849" s="133">
        <v>0.954875518672199</v>
      </c>
      <c r="AM849" s="133">
        <v>0.963213992894233</v>
      </c>
      <c r="AN849" s="132">
        <v>0.99</v>
      </c>
      <c r="AO849" s="137">
        <v>1</v>
      </c>
      <c r="AP849" s="137">
        <v>1</v>
      </c>
      <c r="AQ849" s="137">
        <v>1</v>
      </c>
      <c r="AR849" s="137">
        <v>1</v>
      </c>
      <c r="AS849" s="158">
        <v>0.0810595228934205</v>
      </c>
      <c r="AT849" s="141">
        <v>0.272727272727273</v>
      </c>
      <c r="AU849" s="141">
        <v>0.222222222222222</v>
      </c>
      <c r="AV849" s="141">
        <v>0</v>
      </c>
      <c r="AW849" s="141">
        <v>0.0842696629213483</v>
      </c>
      <c r="AX849" s="95"/>
      <c r="AY849" s="93"/>
    </row>
    <row r="850" ht="14.5" spans="1:51">
      <c r="A850" s="91"/>
      <c r="B850" s="95"/>
      <c r="C850" s="152" t="s">
        <v>668</v>
      </c>
      <c r="D850" s="153" t="s">
        <v>25</v>
      </c>
      <c r="E850" s="130" t="s">
        <v>669</v>
      </c>
      <c r="F850" s="179" t="s">
        <v>877</v>
      </c>
      <c r="G850" s="179" t="s">
        <v>877</v>
      </c>
      <c r="H850" s="179" t="s">
        <v>877</v>
      </c>
      <c r="I850" s="179" t="s">
        <v>877</v>
      </c>
      <c r="J850" s="132">
        <v>0.9</v>
      </c>
      <c r="K850" s="133">
        <v>0.961538461538462</v>
      </c>
      <c r="L850" s="133">
        <v>0.962962962962963</v>
      </c>
      <c r="M850" s="134">
        <v>0.896551724137931</v>
      </c>
      <c r="N850" s="133">
        <v>0.969758064516129</v>
      </c>
      <c r="O850" s="135">
        <v>0.9</v>
      </c>
      <c r="P850" s="133">
        <v>0.977413479052823</v>
      </c>
      <c r="Q850" s="133">
        <v>0.91953642384106</v>
      </c>
      <c r="R850" s="133">
        <v>0.928542914171657</v>
      </c>
      <c r="S850" s="133">
        <v>0.964064461687283</v>
      </c>
      <c r="T850" s="135">
        <v>0.9</v>
      </c>
      <c r="U850" s="133">
        <v>0.83752276867031</v>
      </c>
      <c r="V850" s="133">
        <v>0.86953642384106</v>
      </c>
      <c r="W850" s="133">
        <v>0.920558882235529</v>
      </c>
      <c r="X850" s="133">
        <v>0.919649288904439</v>
      </c>
      <c r="Y850" s="135">
        <v>0.92</v>
      </c>
      <c r="Z850" s="135">
        <v>1</v>
      </c>
      <c r="AA850" s="135">
        <v>0.925561797752809</v>
      </c>
      <c r="AB850" s="135">
        <v>0.92846034214619</v>
      </c>
      <c r="AC850" s="135">
        <v>0.935132330046705</v>
      </c>
      <c r="AD850" s="135">
        <v>0.92</v>
      </c>
      <c r="AE850" s="133">
        <v>0.99906103286385</v>
      </c>
      <c r="AF850" s="133">
        <v>0.984782608695652</v>
      </c>
      <c r="AG850" s="133">
        <v>0.988693467336683</v>
      </c>
      <c r="AH850" s="133">
        <v>0.991612399062256</v>
      </c>
      <c r="AI850" s="135">
        <v>0.92</v>
      </c>
      <c r="AJ850" s="133">
        <v>0.91195652173913</v>
      </c>
      <c r="AK850" s="133">
        <v>0.957674792392178</v>
      </c>
      <c r="AL850" s="133">
        <v>0.969831692600826</v>
      </c>
      <c r="AM850" s="133">
        <v>0.967216930161422</v>
      </c>
      <c r="AN850" s="132">
        <v>0.99</v>
      </c>
      <c r="AO850" s="137">
        <v>1</v>
      </c>
      <c r="AP850" s="137">
        <v>1</v>
      </c>
      <c r="AQ850" s="137">
        <v>1</v>
      </c>
      <c r="AR850" s="137">
        <v>1</v>
      </c>
      <c r="AS850" s="158">
        <v>0.0810595228934205</v>
      </c>
      <c r="AT850" s="141">
        <v>0</v>
      </c>
      <c r="AU850" s="141">
        <v>0</v>
      </c>
      <c r="AV850" s="141">
        <v>0</v>
      </c>
      <c r="AW850" s="141">
        <v>0.0325581395348837</v>
      </c>
      <c r="AX850" s="95"/>
      <c r="AY850" s="93"/>
    </row>
    <row r="851" ht="14.5" spans="1:51">
      <c r="A851" s="91"/>
      <c r="B851" s="95"/>
      <c r="C851" s="152" t="s">
        <v>668</v>
      </c>
      <c r="D851" s="153" t="s">
        <v>25</v>
      </c>
      <c r="E851" s="130" t="s">
        <v>669</v>
      </c>
      <c r="F851" s="179" t="s">
        <v>878</v>
      </c>
      <c r="G851" s="179" t="s">
        <v>878</v>
      </c>
      <c r="H851" s="179" t="s">
        <v>878</v>
      </c>
      <c r="I851" s="179" t="s">
        <v>878</v>
      </c>
      <c r="J851" s="132">
        <v>0.9</v>
      </c>
      <c r="K851" s="133">
        <v>0.428571428571429</v>
      </c>
      <c r="L851" s="133">
        <v>0.617647058823529</v>
      </c>
      <c r="M851" s="134">
        <v>0.522727272727273</v>
      </c>
      <c r="N851" s="133">
        <v>0.616959064327485</v>
      </c>
      <c r="O851" s="135">
        <v>0.9</v>
      </c>
      <c r="P851" s="133">
        <v>0.810081300813008</v>
      </c>
      <c r="Q851" s="133">
        <v>0.703610675039246</v>
      </c>
      <c r="R851" s="133">
        <v>0.709224833391792</v>
      </c>
      <c r="S851" s="133">
        <v>0.753630641014274</v>
      </c>
      <c r="T851" s="135">
        <v>0.9</v>
      </c>
      <c r="U851" s="133">
        <v>0.335934959349593</v>
      </c>
      <c r="V851" s="133">
        <v>0.434536891679749</v>
      </c>
      <c r="W851" s="133">
        <v>0.577692037881445</v>
      </c>
      <c r="X851" s="133">
        <v>0.480556786949198</v>
      </c>
      <c r="Y851" s="135">
        <v>0.92</v>
      </c>
      <c r="Z851" s="135">
        <v>0.190058479532164</v>
      </c>
      <c r="AA851" s="135">
        <v>0.194587628865979</v>
      </c>
      <c r="AB851" s="135">
        <v>0.632798573975045</v>
      </c>
      <c r="AC851" s="135">
        <v>0.472035959030285</v>
      </c>
      <c r="AD851" s="135">
        <v>0.92</v>
      </c>
      <c r="AE851" s="133">
        <v>1</v>
      </c>
      <c r="AF851" s="133">
        <v>0.98876404494382</v>
      </c>
      <c r="AG851" s="133">
        <v>0.990407673860911</v>
      </c>
      <c r="AH851" s="133">
        <v>0.963923919784991</v>
      </c>
      <c r="AI851" s="135">
        <v>0.92</v>
      </c>
      <c r="AJ851" s="133">
        <v>0.58852794849283</v>
      </c>
      <c r="AK851" s="133">
        <v>0.57334006563999</v>
      </c>
      <c r="AL851" s="133">
        <v>0.83626244874048</v>
      </c>
      <c r="AM851" s="133">
        <v>0.757517292631338</v>
      </c>
      <c r="AN851" s="132">
        <v>0.99</v>
      </c>
      <c r="AO851" s="137">
        <v>1</v>
      </c>
      <c r="AP851" s="137">
        <v>1</v>
      </c>
      <c r="AQ851" s="137">
        <v>1</v>
      </c>
      <c r="AR851" s="137">
        <v>1</v>
      </c>
      <c r="AS851" s="158">
        <v>0.0810595228934205</v>
      </c>
      <c r="AT851" s="141">
        <v>0.025</v>
      </c>
      <c r="AU851" s="141">
        <v>0</v>
      </c>
      <c r="AV851" s="141">
        <v>0</v>
      </c>
      <c r="AW851" s="141">
        <v>0.031434184675835</v>
      </c>
      <c r="AX851" s="95"/>
      <c r="AY851" s="93"/>
    </row>
    <row r="852" ht="14.5" spans="1:51">
      <c r="A852" s="91"/>
      <c r="B852" s="95"/>
      <c r="C852" s="152" t="s">
        <v>668</v>
      </c>
      <c r="D852" s="153" t="s">
        <v>25</v>
      </c>
      <c r="E852" s="130" t="s">
        <v>669</v>
      </c>
      <c r="F852" s="179" t="s">
        <v>879</v>
      </c>
      <c r="G852" s="179" t="s">
        <v>879</v>
      </c>
      <c r="H852" s="179" t="s">
        <v>879</v>
      </c>
      <c r="I852" s="179" t="s">
        <v>879</v>
      </c>
      <c r="J852" s="132">
        <v>0.9</v>
      </c>
      <c r="K852" s="133" t="s">
        <v>35</v>
      </c>
      <c r="L852" s="133" t="s">
        <v>35</v>
      </c>
      <c r="M852" s="134" t="s">
        <v>35</v>
      </c>
      <c r="N852" s="133" t="s">
        <v>35</v>
      </c>
      <c r="O852" s="135">
        <v>0.9</v>
      </c>
      <c r="P852" s="133" t="s">
        <v>35</v>
      </c>
      <c r="Q852" s="133">
        <v>0</v>
      </c>
      <c r="R852" s="133">
        <v>0</v>
      </c>
      <c r="S852" s="133">
        <v>0.00884955752212389</v>
      </c>
      <c r="T852" s="135">
        <v>0.9</v>
      </c>
      <c r="U852" s="133" t="s">
        <v>35</v>
      </c>
      <c r="V852" s="133">
        <v>1</v>
      </c>
      <c r="W852" s="133">
        <v>1</v>
      </c>
      <c r="X852" s="133">
        <v>0.707964601769911</v>
      </c>
      <c r="Y852" s="135">
        <v>0.92</v>
      </c>
      <c r="Z852" s="135" t="s">
        <v>35</v>
      </c>
      <c r="AA852" s="135" t="s">
        <v>35</v>
      </c>
      <c r="AB852" s="135">
        <v>1</v>
      </c>
      <c r="AC852" s="135">
        <v>1</v>
      </c>
      <c r="AD852" s="135">
        <v>0.92</v>
      </c>
      <c r="AE852" s="133" t="s">
        <v>35</v>
      </c>
      <c r="AF852" s="133" t="s">
        <v>35</v>
      </c>
      <c r="AG852" s="133" t="s">
        <v>35</v>
      </c>
      <c r="AH852" s="133">
        <v>0.666666666666667</v>
      </c>
      <c r="AI852" s="135">
        <v>0.92</v>
      </c>
      <c r="AJ852" s="133" t="s">
        <v>35</v>
      </c>
      <c r="AK852" s="133">
        <v>1</v>
      </c>
      <c r="AL852" s="133">
        <v>1</v>
      </c>
      <c r="AM852" s="133">
        <v>1</v>
      </c>
      <c r="AN852" s="132">
        <v>0.99</v>
      </c>
      <c r="AO852" s="137" t="s">
        <v>35</v>
      </c>
      <c r="AP852" s="137" t="s">
        <v>35</v>
      </c>
      <c r="AQ852" s="137" t="s">
        <v>35</v>
      </c>
      <c r="AR852" s="137">
        <v>1</v>
      </c>
      <c r="AS852" s="158">
        <v>0.0810595228934205</v>
      </c>
      <c r="AT852" s="141" t="s">
        <v>35</v>
      </c>
      <c r="AU852" s="141" t="s">
        <v>35</v>
      </c>
      <c r="AV852" s="141" t="s">
        <v>35</v>
      </c>
      <c r="AW852" s="141">
        <v>0</v>
      </c>
      <c r="AX852" s="95"/>
      <c r="AY852" s="93"/>
    </row>
    <row r="853" ht="14.5" spans="1:51">
      <c r="A853" s="91"/>
      <c r="B853" s="95"/>
      <c r="C853" s="152" t="s">
        <v>668</v>
      </c>
      <c r="D853" s="153" t="s">
        <v>25</v>
      </c>
      <c r="E853" s="130" t="s">
        <v>669</v>
      </c>
      <c r="F853" s="179" t="s">
        <v>880</v>
      </c>
      <c r="G853" s="179" t="s">
        <v>880</v>
      </c>
      <c r="H853" s="179" t="s">
        <v>880</v>
      </c>
      <c r="I853" s="179" t="s">
        <v>880</v>
      </c>
      <c r="J853" s="132">
        <v>0.9</v>
      </c>
      <c r="K853" s="133">
        <v>0.977777777777778</v>
      </c>
      <c r="L853" s="133">
        <v>0.891304347826087</v>
      </c>
      <c r="M853" s="134">
        <v>0.91304347826087</v>
      </c>
      <c r="N853" s="133">
        <v>0.907711757269279</v>
      </c>
      <c r="O853" s="135">
        <v>0.9</v>
      </c>
      <c r="P853" s="133">
        <v>0.978001833180568</v>
      </c>
      <c r="Q853" s="133">
        <v>0.953934191702432</v>
      </c>
      <c r="R853" s="133">
        <v>0.944894651539708</v>
      </c>
      <c r="S853" s="133">
        <v>0.95941751044223</v>
      </c>
      <c r="T853" s="135">
        <v>0.9</v>
      </c>
      <c r="U853" s="133">
        <v>0.908646501680415</v>
      </c>
      <c r="V853" s="133">
        <v>0.888125894134478</v>
      </c>
      <c r="W853" s="133">
        <v>0.904700162074554</v>
      </c>
      <c r="X853" s="133">
        <v>0.910172439012498</v>
      </c>
      <c r="Y853" s="135">
        <v>0.92</v>
      </c>
      <c r="Z853" s="135">
        <v>0.855696202531646</v>
      </c>
      <c r="AA853" s="135">
        <v>0.892397660818713</v>
      </c>
      <c r="AB853" s="135">
        <v>0.907975460122699</v>
      </c>
      <c r="AC853" s="135">
        <v>0.912808827056848</v>
      </c>
      <c r="AD853" s="135">
        <v>0.92</v>
      </c>
      <c r="AE853" s="133">
        <v>0.996402877697842</v>
      </c>
      <c r="AF853" s="133">
        <v>1</v>
      </c>
      <c r="AG853" s="133">
        <v>0.959247648902821</v>
      </c>
      <c r="AH853" s="133">
        <v>0.983492474510439</v>
      </c>
      <c r="AI853" s="135">
        <v>0.92</v>
      </c>
      <c r="AJ853" s="133">
        <v>0.944111232279171</v>
      </c>
      <c r="AK853" s="133">
        <v>0.94277177660308</v>
      </c>
      <c r="AL853" s="133">
        <v>0.958461538461538</v>
      </c>
      <c r="AM853" s="133">
        <v>0.957946554149086</v>
      </c>
      <c r="AN853" s="132">
        <v>0.99</v>
      </c>
      <c r="AO853" s="137">
        <v>1</v>
      </c>
      <c r="AP853" s="137">
        <v>1</v>
      </c>
      <c r="AQ853" s="137">
        <v>1</v>
      </c>
      <c r="AR853" s="137">
        <v>1</v>
      </c>
      <c r="AS853" s="158">
        <v>0.0810595228934205</v>
      </c>
      <c r="AT853" s="141">
        <v>0</v>
      </c>
      <c r="AU853" s="141">
        <v>0</v>
      </c>
      <c r="AV853" s="141">
        <v>0</v>
      </c>
      <c r="AW853" s="141">
        <v>0.0308747855917667</v>
      </c>
      <c r="AX853" s="95"/>
      <c r="AY853" s="93"/>
    </row>
    <row r="854" ht="14.5" spans="1:51">
      <c r="A854" s="91"/>
      <c r="B854" s="95"/>
      <c r="C854" s="152" t="s">
        <v>668</v>
      </c>
      <c r="D854" s="153" t="s">
        <v>25</v>
      </c>
      <c r="E854" s="130" t="s">
        <v>669</v>
      </c>
      <c r="F854" s="179" t="s">
        <v>881</v>
      </c>
      <c r="G854" s="179" t="s">
        <v>881</v>
      </c>
      <c r="H854" s="179" t="s">
        <v>881</v>
      </c>
      <c r="I854" s="179" t="s">
        <v>881</v>
      </c>
      <c r="J854" s="132">
        <v>0.9</v>
      </c>
      <c r="K854" s="133">
        <v>0.914285714285714</v>
      </c>
      <c r="L854" s="133">
        <v>1</v>
      </c>
      <c r="M854" s="134">
        <v>0.941176470588235</v>
      </c>
      <c r="N854" s="133">
        <v>0.966725043782837</v>
      </c>
      <c r="O854" s="135">
        <v>0.9</v>
      </c>
      <c r="P854" s="133">
        <v>0.965909090909091</v>
      </c>
      <c r="Q854" s="133">
        <v>0.971981870622167</v>
      </c>
      <c r="R854" s="133">
        <v>0.956194065002355</v>
      </c>
      <c r="S854" s="133">
        <v>0.957198923802236</v>
      </c>
      <c r="T854" s="135">
        <v>0.9</v>
      </c>
      <c r="U854" s="133">
        <v>0.936625874125874</v>
      </c>
      <c r="V854" s="133">
        <v>0.934899052327977</v>
      </c>
      <c r="W854" s="133">
        <v>0.932642487046632</v>
      </c>
      <c r="X854" s="133">
        <v>0.928615506133834</v>
      </c>
      <c r="Y854" s="135">
        <v>0.92</v>
      </c>
      <c r="Z854" s="135">
        <v>0.933035714285714</v>
      </c>
      <c r="AA854" s="135">
        <v>0.915682967959528</v>
      </c>
      <c r="AB854" s="135">
        <v>0.90929203539823</v>
      </c>
      <c r="AC854" s="135">
        <v>0.916065911431514</v>
      </c>
      <c r="AD854" s="135">
        <v>0.92</v>
      </c>
      <c r="AE854" s="133">
        <v>0.986486486486487</v>
      </c>
      <c r="AF854" s="133">
        <v>0.977443609022556</v>
      </c>
      <c r="AG854" s="133">
        <v>0.991735537190083</v>
      </c>
      <c r="AH854" s="133">
        <v>0.991169049621531</v>
      </c>
      <c r="AI854" s="135">
        <v>0.92</v>
      </c>
      <c r="AJ854" s="133">
        <v>0.962579617834395</v>
      </c>
      <c r="AK854" s="133">
        <v>0.963245033112583</v>
      </c>
      <c r="AL854" s="133">
        <v>0.960388349514563</v>
      </c>
      <c r="AM854" s="133">
        <v>0.966848518636508</v>
      </c>
      <c r="AN854" s="132">
        <v>0.99</v>
      </c>
      <c r="AO854" s="137">
        <v>1</v>
      </c>
      <c r="AP854" s="137">
        <v>1</v>
      </c>
      <c r="AQ854" s="137">
        <v>1</v>
      </c>
      <c r="AR854" s="137">
        <v>1</v>
      </c>
      <c r="AS854" s="158">
        <v>0.0810595228934205</v>
      </c>
      <c r="AT854" s="141">
        <v>0.0555555555555556</v>
      </c>
      <c r="AU854" s="141">
        <v>0</v>
      </c>
      <c r="AV854" s="141">
        <v>0.166666666666667</v>
      </c>
      <c r="AW854" s="141">
        <v>0.0805084745762712</v>
      </c>
      <c r="AX854" s="95"/>
      <c r="AY854" s="93"/>
    </row>
    <row r="855" ht="14.5" spans="1:51">
      <c r="A855" s="91"/>
      <c r="B855" s="95"/>
      <c r="C855" s="152" t="s">
        <v>668</v>
      </c>
      <c r="D855" s="153" t="s">
        <v>25</v>
      </c>
      <c r="E855" s="130" t="s">
        <v>669</v>
      </c>
      <c r="F855" s="179" t="s">
        <v>882</v>
      </c>
      <c r="G855" s="179" t="s">
        <v>882</v>
      </c>
      <c r="H855" s="179" t="s">
        <v>882</v>
      </c>
      <c r="I855" s="179" t="s">
        <v>882</v>
      </c>
      <c r="J855" s="132">
        <v>0.9</v>
      </c>
      <c r="K855" s="133">
        <v>0.962962962962963</v>
      </c>
      <c r="L855" s="133">
        <v>0.925925925925926</v>
      </c>
      <c r="M855" s="134">
        <v>0.888888888888889</v>
      </c>
      <c r="N855" s="133">
        <v>0.926724137931034</v>
      </c>
      <c r="O855" s="135">
        <v>0.9</v>
      </c>
      <c r="P855" s="133">
        <v>0.969567081011573</v>
      </c>
      <c r="Q855" s="133">
        <v>0.967121090617482</v>
      </c>
      <c r="R855" s="133">
        <v>0.931290622098422</v>
      </c>
      <c r="S855" s="133">
        <v>0.968963315817905</v>
      </c>
      <c r="T855" s="135">
        <v>0.9</v>
      </c>
      <c r="U855" s="133">
        <v>0.903557651093013</v>
      </c>
      <c r="V855" s="133">
        <v>0.899358460304731</v>
      </c>
      <c r="W855" s="133">
        <v>0.90761374187558</v>
      </c>
      <c r="X855" s="133">
        <v>0.916515248244365</v>
      </c>
      <c r="Y855" s="135">
        <v>0.92</v>
      </c>
      <c r="Z855" s="135">
        <v>0.911439114391144</v>
      </c>
      <c r="AA855" s="135">
        <v>0.925124792013311</v>
      </c>
      <c r="AB855" s="135">
        <v>0.925343811394892</v>
      </c>
      <c r="AC855" s="135">
        <v>0.92616076907343</v>
      </c>
      <c r="AD855" s="135">
        <v>0.92</v>
      </c>
      <c r="AE855" s="133">
        <v>0.999091734786558</v>
      </c>
      <c r="AF855" s="133">
        <v>0.997668997668998</v>
      </c>
      <c r="AG855" s="133">
        <v>0.993150684931507</v>
      </c>
      <c r="AH855" s="133">
        <v>0.993280238924838</v>
      </c>
      <c r="AI855" s="135">
        <v>0.92</v>
      </c>
      <c r="AJ855" s="133">
        <v>0.952380952380952</v>
      </c>
      <c r="AK855" s="133">
        <v>0.952827140549273</v>
      </c>
      <c r="AL855" s="133">
        <v>0.951951951951952</v>
      </c>
      <c r="AM855" s="133">
        <v>0.958836573872411</v>
      </c>
      <c r="AN855" s="132">
        <v>0.99</v>
      </c>
      <c r="AO855" s="137">
        <v>1</v>
      </c>
      <c r="AP855" s="137">
        <v>1</v>
      </c>
      <c r="AQ855" s="137">
        <v>1</v>
      </c>
      <c r="AR855" s="137">
        <v>1</v>
      </c>
      <c r="AS855" s="158">
        <v>0.0810595228934205</v>
      </c>
      <c r="AT855" s="141">
        <v>0</v>
      </c>
      <c r="AU855" s="141">
        <v>0</v>
      </c>
      <c r="AV855" s="141">
        <v>0.0769230769230769</v>
      </c>
      <c r="AW855" s="141">
        <v>0.030188679245283</v>
      </c>
      <c r="AX855" s="95"/>
      <c r="AY855" s="93"/>
    </row>
    <row r="856" ht="14.5" spans="1:51">
      <c r="A856" s="91"/>
      <c r="B856" s="95"/>
      <c r="C856" s="152" t="s">
        <v>668</v>
      </c>
      <c r="D856" s="153" t="s">
        <v>25</v>
      </c>
      <c r="E856" s="130" t="s">
        <v>669</v>
      </c>
      <c r="F856" s="179" t="s">
        <v>883</v>
      </c>
      <c r="G856" s="179" t="s">
        <v>883</v>
      </c>
      <c r="H856" s="179" t="s">
        <v>883</v>
      </c>
      <c r="I856" s="179" t="s">
        <v>883</v>
      </c>
      <c r="J856" s="132">
        <v>0.9</v>
      </c>
      <c r="K856" s="133">
        <v>0.918032786885246</v>
      </c>
      <c r="L856" s="133">
        <v>0.896551724137931</v>
      </c>
      <c r="M856" s="134">
        <v>0.935483870967742</v>
      </c>
      <c r="N856" s="133">
        <v>0.938656280428432</v>
      </c>
      <c r="O856" s="135">
        <v>0.9</v>
      </c>
      <c r="P856" s="133">
        <v>0.924352089656783</v>
      </c>
      <c r="Q856" s="133">
        <v>0.805997931747673</v>
      </c>
      <c r="R856" s="133">
        <v>0.930725730442978</v>
      </c>
      <c r="S856" s="133">
        <v>0.866822751687095</v>
      </c>
      <c r="T856" s="135">
        <v>0.9</v>
      </c>
      <c r="U856" s="133">
        <v>0.920382909175811</v>
      </c>
      <c r="V856" s="133">
        <v>0.893278179937952</v>
      </c>
      <c r="W856" s="133">
        <v>0.927662582469369</v>
      </c>
      <c r="X856" s="133">
        <v>0.917041228981733</v>
      </c>
      <c r="Y856" s="135">
        <v>0.92</v>
      </c>
      <c r="Z856" s="135">
        <v>0.861290322580645</v>
      </c>
      <c r="AA856" s="135">
        <v>0.814606741573034</v>
      </c>
      <c r="AB856" s="135">
        <v>0.89386189258312</v>
      </c>
      <c r="AC856" s="135">
        <v>0.88406597198261</v>
      </c>
      <c r="AD856" s="135">
        <v>0.92</v>
      </c>
      <c r="AE856" s="133">
        <v>0.999101325544821</v>
      </c>
      <c r="AF856" s="133">
        <v>0.98359343737495</v>
      </c>
      <c r="AG856" s="133">
        <v>0.989426465876322</v>
      </c>
      <c r="AH856" s="133">
        <v>0.980071802360959</v>
      </c>
      <c r="AI856" s="135">
        <v>0.92</v>
      </c>
      <c r="AJ856" s="133">
        <v>0.94187232306751</v>
      </c>
      <c r="AK856" s="133">
        <v>0.918007792647806</v>
      </c>
      <c r="AL856" s="133">
        <v>0.957620374054914</v>
      </c>
      <c r="AM856" s="133">
        <v>0.954220314735336</v>
      </c>
      <c r="AN856" s="132">
        <v>0.99</v>
      </c>
      <c r="AO856" s="137">
        <v>1</v>
      </c>
      <c r="AP856" s="137">
        <v>1</v>
      </c>
      <c r="AQ856" s="137">
        <v>1</v>
      </c>
      <c r="AR856" s="137">
        <v>1</v>
      </c>
      <c r="AS856" s="158">
        <v>0.0810595228934205</v>
      </c>
      <c r="AT856" s="141">
        <v>0.129032258064516</v>
      </c>
      <c r="AU856" s="141">
        <v>0</v>
      </c>
      <c r="AV856" s="141">
        <v>0.0526315789473684</v>
      </c>
      <c r="AW856" s="141">
        <v>0.0550847457627119</v>
      </c>
      <c r="AX856" s="95"/>
      <c r="AY856" s="93"/>
    </row>
    <row r="857" ht="14.5" spans="1:51">
      <c r="A857" s="91"/>
      <c r="B857" s="95"/>
      <c r="C857" s="152" t="s">
        <v>668</v>
      </c>
      <c r="D857" s="153" t="s">
        <v>25</v>
      </c>
      <c r="E857" s="130" t="s">
        <v>669</v>
      </c>
      <c r="F857" s="179" t="s">
        <v>884</v>
      </c>
      <c r="G857" s="179" t="s">
        <v>884</v>
      </c>
      <c r="H857" s="179" t="s">
        <v>884</v>
      </c>
      <c r="I857" s="179" t="s">
        <v>884</v>
      </c>
      <c r="J857" s="132">
        <v>0.9</v>
      </c>
      <c r="K857" s="133">
        <v>0.9</v>
      </c>
      <c r="L857" s="133">
        <v>0.933333333333333</v>
      </c>
      <c r="M857" s="134">
        <v>0.852941176470588</v>
      </c>
      <c r="N857" s="133">
        <v>0.915467625899281</v>
      </c>
      <c r="O857" s="135">
        <v>0.9</v>
      </c>
      <c r="P857" s="133">
        <v>0.952601922439509</v>
      </c>
      <c r="Q857" s="133">
        <v>0.888888888888889</v>
      </c>
      <c r="R857" s="133">
        <v>0.97337692666978</v>
      </c>
      <c r="S857" s="133">
        <v>0.840861774544434</v>
      </c>
      <c r="T857" s="135">
        <v>0.9</v>
      </c>
      <c r="U857" s="133">
        <v>0.900894928737156</v>
      </c>
      <c r="V857" s="133">
        <v>0.85022385022385</v>
      </c>
      <c r="W857" s="133">
        <v>0.941148995796357</v>
      </c>
      <c r="X857" s="133">
        <v>0.921261316054177</v>
      </c>
      <c r="Y857" s="135">
        <v>0.92</v>
      </c>
      <c r="Z857" s="135">
        <v>0.838827838827839</v>
      </c>
      <c r="AA857" s="135">
        <v>1</v>
      </c>
      <c r="AB857" s="135">
        <v>0.901515151515151</v>
      </c>
      <c r="AC857" s="135">
        <v>0.869284876905041</v>
      </c>
      <c r="AD857" s="135">
        <v>0.92</v>
      </c>
      <c r="AE857" s="133">
        <v>0.989847715736041</v>
      </c>
      <c r="AF857" s="133">
        <v>0.98501872659176</v>
      </c>
      <c r="AG857" s="133">
        <v>0.988888888888889</v>
      </c>
      <c r="AH857" s="133">
        <v>0.927684441197955</v>
      </c>
      <c r="AI857" s="135">
        <v>0.92</v>
      </c>
      <c r="AJ857" s="133">
        <v>0.95531914893617</v>
      </c>
      <c r="AK857" s="133">
        <v>0.956275303643725</v>
      </c>
      <c r="AL857" s="133">
        <v>0.962160031533307</v>
      </c>
      <c r="AM857" s="133">
        <v>0.959757130754024</v>
      </c>
      <c r="AN857" s="132">
        <v>0.99</v>
      </c>
      <c r="AO857" s="137">
        <v>1</v>
      </c>
      <c r="AP857" s="137">
        <v>1</v>
      </c>
      <c r="AQ857" s="137">
        <v>1</v>
      </c>
      <c r="AR857" s="137">
        <v>1</v>
      </c>
      <c r="AS857" s="158">
        <v>0.0810595228934205</v>
      </c>
      <c r="AT857" s="141">
        <v>0</v>
      </c>
      <c r="AU857" s="141">
        <v>0.166666666666667</v>
      </c>
      <c r="AV857" s="141">
        <v>0</v>
      </c>
      <c r="AW857" s="141">
        <v>0.05</v>
      </c>
      <c r="AX857" s="95"/>
      <c r="AY857" s="93"/>
    </row>
    <row r="858" ht="14.5" spans="1:51">
      <c r="A858" s="91"/>
      <c r="B858" s="95"/>
      <c r="C858" s="152" t="s">
        <v>668</v>
      </c>
      <c r="D858" s="153" t="s">
        <v>25</v>
      </c>
      <c r="E858" s="130" t="s">
        <v>669</v>
      </c>
      <c r="F858" s="179" t="s">
        <v>885</v>
      </c>
      <c r="G858" s="179" t="s">
        <v>885</v>
      </c>
      <c r="H858" s="179" t="s">
        <v>885</v>
      </c>
      <c r="I858" s="179" t="s">
        <v>885</v>
      </c>
      <c r="J858" s="132">
        <v>0.9</v>
      </c>
      <c r="K858" s="133">
        <v>0.973684210526316</v>
      </c>
      <c r="L858" s="133">
        <v>0.897435897435897</v>
      </c>
      <c r="M858" s="134">
        <v>0.954545454545455</v>
      </c>
      <c r="N858" s="133">
        <v>0.961810466760962</v>
      </c>
      <c r="O858" s="135">
        <v>0.9</v>
      </c>
      <c r="P858" s="133">
        <v>0.755710306406685</v>
      </c>
      <c r="Q858" s="133">
        <v>0.587565917291146</v>
      </c>
      <c r="R858" s="133">
        <v>0.825879546809779</v>
      </c>
      <c r="S858" s="133">
        <v>0.787228113884837</v>
      </c>
      <c r="T858" s="135">
        <v>0.9</v>
      </c>
      <c r="U858" s="133">
        <v>0.598328690807799</v>
      </c>
      <c r="V858" s="133">
        <v>0.634748820427422</v>
      </c>
      <c r="W858" s="133">
        <v>0.686940966010733</v>
      </c>
      <c r="X858" s="133">
        <v>0.621350948220754</v>
      </c>
      <c r="Y858" s="135">
        <v>0.92</v>
      </c>
      <c r="Z858" s="135">
        <v>0.50635593220339</v>
      </c>
      <c r="AA858" s="135">
        <v>0.629310344827586</v>
      </c>
      <c r="AB858" s="135">
        <v>0.733466933867735</v>
      </c>
      <c r="AC858" s="135">
        <v>0.676642268136755</v>
      </c>
      <c r="AD858" s="135">
        <v>0.92</v>
      </c>
      <c r="AE858" s="133">
        <v>0.997624703087886</v>
      </c>
      <c r="AF858" s="133">
        <v>0.996655518394649</v>
      </c>
      <c r="AG858" s="133">
        <v>0.996062992125984</v>
      </c>
      <c r="AH858" s="133">
        <v>0.995953131617336</v>
      </c>
      <c r="AI858" s="135">
        <v>0.92</v>
      </c>
      <c r="AJ858" s="133">
        <v>0.836041358936484</v>
      </c>
      <c r="AK858" s="133">
        <v>0.857757644394111</v>
      </c>
      <c r="AL858" s="133">
        <v>0.911497534388788</v>
      </c>
      <c r="AM858" s="133">
        <v>0.89799044661384</v>
      </c>
      <c r="AN858" s="132">
        <v>0.99</v>
      </c>
      <c r="AO858" s="137">
        <v>1</v>
      </c>
      <c r="AP858" s="137">
        <v>1</v>
      </c>
      <c r="AQ858" s="137">
        <v>1</v>
      </c>
      <c r="AR858" s="137">
        <v>1</v>
      </c>
      <c r="AS858" s="158">
        <v>0.0810595228934205</v>
      </c>
      <c r="AT858" s="141">
        <v>0</v>
      </c>
      <c r="AU858" s="141">
        <v>0.117647058823529</v>
      </c>
      <c r="AV858" s="141">
        <v>0.04</v>
      </c>
      <c r="AW858" s="141">
        <v>0.0659340659340659</v>
      </c>
      <c r="AX858" s="95"/>
      <c r="AY858" s="93"/>
    </row>
    <row r="859" ht="14.5" spans="1:51">
      <c r="A859" s="91"/>
      <c r="B859" s="95"/>
      <c r="C859" s="152" t="s">
        <v>668</v>
      </c>
      <c r="D859" s="153" t="s">
        <v>25</v>
      </c>
      <c r="E859" s="130" t="s">
        <v>669</v>
      </c>
      <c r="F859" s="179" t="s">
        <v>886</v>
      </c>
      <c r="G859" s="179" t="s">
        <v>886</v>
      </c>
      <c r="H859" s="179" t="s">
        <v>886</v>
      </c>
      <c r="I859" s="179" t="s">
        <v>886</v>
      </c>
      <c r="J859" s="132">
        <v>0.9</v>
      </c>
      <c r="K859" s="133">
        <v>0.975609756097561</v>
      </c>
      <c r="L859" s="133">
        <v>0.972972972972973</v>
      </c>
      <c r="M859" s="134">
        <v>0.975609756097561</v>
      </c>
      <c r="N859" s="133">
        <v>0.982195845697329</v>
      </c>
      <c r="O859" s="135">
        <v>0.9</v>
      </c>
      <c r="P859" s="133">
        <v>0.974921630094044</v>
      </c>
      <c r="Q859" s="133">
        <v>0.963532169835895</v>
      </c>
      <c r="R859" s="133">
        <v>0.950909090909091</v>
      </c>
      <c r="S859" s="133">
        <v>0.93743801388489</v>
      </c>
      <c r="T859" s="135">
        <v>0.9</v>
      </c>
      <c r="U859" s="133">
        <v>0.929324593901396</v>
      </c>
      <c r="V859" s="133">
        <v>0.911956238603803</v>
      </c>
      <c r="W859" s="133">
        <v>0.937575757575758</v>
      </c>
      <c r="X859" s="133">
        <v>0.924352944940333</v>
      </c>
      <c r="Y859" s="135">
        <v>0.92</v>
      </c>
      <c r="Z859" s="135">
        <v>0.712871287128713</v>
      </c>
      <c r="AA859" s="135">
        <v>0.715425531914894</v>
      </c>
      <c r="AB859" s="135">
        <v>0.880266075388027</v>
      </c>
      <c r="AC859" s="135">
        <v>0.809338521400778</v>
      </c>
      <c r="AD859" s="135">
        <v>0.92</v>
      </c>
      <c r="AE859" s="133">
        <v>0.991967871485944</v>
      </c>
      <c r="AF859" s="133">
        <v>0.986348122866894</v>
      </c>
      <c r="AG859" s="133">
        <v>1</v>
      </c>
      <c r="AH859" s="133">
        <v>0.988152256112932</v>
      </c>
      <c r="AI859" s="135">
        <v>0.92</v>
      </c>
      <c r="AJ859" s="133">
        <v>0.930244145490782</v>
      </c>
      <c r="AK859" s="133">
        <v>0.926159878022217</v>
      </c>
      <c r="AL859" s="133">
        <v>0.966942148760331</v>
      </c>
      <c r="AM859" s="133">
        <v>0.954153594325467</v>
      </c>
      <c r="AN859" s="132">
        <v>0.99</v>
      </c>
      <c r="AO859" s="137">
        <v>1</v>
      </c>
      <c r="AP859" s="137">
        <v>1</v>
      </c>
      <c r="AQ859" s="137">
        <v>1</v>
      </c>
      <c r="AR859" s="137">
        <v>1</v>
      </c>
      <c r="AS859" s="158">
        <v>0.0810595228934205</v>
      </c>
      <c r="AT859" s="141">
        <v>0.2</v>
      </c>
      <c r="AU859" s="141">
        <v>0.0625</v>
      </c>
      <c r="AV859" s="141">
        <v>0</v>
      </c>
      <c r="AW859" s="141">
        <v>0.0502283105022831</v>
      </c>
      <c r="AX859" s="95"/>
      <c r="AY859" s="93"/>
    </row>
    <row r="860" ht="14.5" spans="1:51">
      <c r="A860" s="91"/>
      <c r="B860" s="95"/>
      <c r="C860" s="152" t="s">
        <v>668</v>
      </c>
      <c r="D860" s="153" t="s">
        <v>25</v>
      </c>
      <c r="E860" s="130" t="s">
        <v>669</v>
      </c>
      <c r="F860" s="179" t="s">
        <v>887</v>
      </c>
      <c r="G860" s="179" t="s">
        <v>887</v>
      </c>
      <c r="H860" s="179" t="s">
        <v>887</v>
      </c>
      <c r="I860" s="179" t="s">
        <v>887</v>
      </c>
      <c r="J860" s="132">
        <v>0.9</v>
      </c>
      <c r="K860" s="133">
        <v>0.978723404255319</v>
      </c>
      <c r="L860" s="133">
        <v>0.9375</v>
      </c>
      <c r="M860" s="134">
        <v>0.956521739130435</v>
      </c>
      <c r="N860" s="133">
        <v>0.941919191919192</v>
      </c>
      <c r="O860" s="135">
        <v>0.9</v>
      </c>
      <c r="P860" s="133">
        <v>0.932918932918933</v>
      </c>
      <c r="Q860" s="133">
        <v>0.928824781272168</v>
      </c>
      <c r="R860" s="133">
        <v>0.943061440677966</v>
      </c>
      <c r="S860" s="133">
        <v>0.914427632803218</v>
      </c>
      <c r="T860" s="135">
        <v>0.9</v>
      </c>
      <c r="U860" s="133">
        <v>0.908313908313908</v>
      </c>
      <c r="V860" s="133">
        <v>0.913691179947978</v>
      </c>
      <c r="W860" s="133">
        <v>0.917108050847458</v>
      </c>
      <c r="X860" s="133">
        <v>0.889935441389084</v>
      </c>
      <c r="Y860" s="135">
        <v>0.92</v>
      </c>
      <c r="Z860" s="135">
        <v>0.86443661971831</v>
      </c>
      <c r="AA860" s="135">
        <v>0.915758176412289</v>
      </c>
      <c r="AB860" s="135">
        <v>0.924466338259442</v>
      </c>
      <c r="AC860" s="135">
        <v>0.900414937759336</v>
      </c>
      <c r="AD860" s="135">
        <v>0.92</v>
      </c>
      <c r="AE860" s="133">
        <v>0.998097050428164</v>
      </c>
      <c r="AF860" s="133">
        <v>0.99372197309417</v>
      </c>
      <c r="AG860" s="133">
        <v>0.995693367786391</v>
      </c>
      <c r="AH860" s="133">
        <v>0.993919346208104</v>
      </c>
      <c r="AI860" s="135">
        <v>0.92</v>
      </c>
      <c r="AJ860" s="133">
        <v>0.94965003386769</v>
      </c>
      <c r="AK860" s="133">
        <v>0.962962962962963</v>
      </c>
      <c r="AL860" s="133">
        <v>0.968072976054732</v>
      </c>
      <c r="AM860" s="133">
        <v>0.96208912844699</v>
      </c>
      <c r="AN860" s="132">
        <v>0.99</v>
      </c>
      <c r="AO860" s="137">
        <v>1</v>
      </c>
      <c r="AP860" s="137">
        <v>1</v>
      </c>
      <c r="AQ860" s="137">
        <v>1</v>
      </c>
      <c r="AR860" s="137">
        <v>1</v>
      </c>
      <c r="AS860" s="158">
        <v>0.0810595228934205</v>
      </c>
      <c r="AT860" s="141">
        <v>0.0666666666666667</v>
      </c>
      <c r="AU860" s="141">
        <v>0.0526315789473684</v>
      </c>
      <c r="AV860" s="141">
        <v>0</v>
      </c>
      <c r="AW860" s="141">
        <v>0.060126582278481</v>
      </c>
      <c r="AX860" s="95"/>
      <c r="AY860" s="93"/>
    </row>
    <row r="861" ht="14.5" spans="1:51">
      <c r="A861" s="91"/>
      <c r="B861" s="95"/>
      <c r="C861" s="152" t="s">
        <v>668</v>
      </c>
      <c r="D861" s="153" t="s">
        <v>25</v>
      </c>
      <c r="E861" s="130" t="s">
        <v>669</v>
      </c>
      <c r="F861" s="179" t="s">
        <v>888</v>
      </c>
      <c r="G861" s="179" t="s">
        <v>888</v>
      </c>
      <c r="H861" s="179" t="s">
        <v>888</v>
      </c>
      <c r="I861" s="179" t="s">
        <v>888</v>
      </c>
      <c r="J861" s="132">
        <v>0.9</v>
      </c>
      <c r="K861" s="133">
        <v>0.934426229508197</v>
      </c>
      <c r="L861" s="133">
        <v>0.913793103448276</v>
      </c>
      <c r="M861" s="134">
        <v>0.983050847457627</v>
      </c>
      <c r="N861" s="133">
        <v>0.934313725490196</v>
      </c>
      <c r="O861" s="135">
        <v>0.9</v>
      </c>
      <c r="P861" s="133">
        <v>0.882505297857311</v>
      </c>
      <c r="Q861" s="133">
        <v>0.871760198332206</v>
      </c>
      <c r="R861" s="133">
        <v>0.910415149308085</v>
      </c>
      <c r="S861" s="133">
        <v>0.655583868280492</v>
      </c>
      <c r="T861" s="135">
        <v>0.9</v>
      </c>
      <c r="U861" s="133">
        <v>0.902283965151872</v>
      </c>
      <c r="V861" s="133">
        <v>0.888888888888889</v>
      </c>
      <c r="W861" s="133">
        <v>0.876426317067249</v>
      </c>
      <c r="X861" s="133">
        <v>0.882332042926447</v>
      </c>
      <c r="Y861" s="135">
        <v>0.92</v>
      </c>
      <c r="Z861" s="135">
        <v>0.795527156549521</v>
      </c>
      <c r="AA861" s="135">
        <v>0.876174210076857</v>
      </c>
      <c r="AB861" s="135">
        <v>0.88903743315508</v>
      </c>
      <c r="AC861" s="135">
        <v>0.866847826086957</v>
      </c>
      <c r="AD861" s="135">
        <v>0.92</v>
      </c>
      <c r="AE861" s="133">
        <v>0.994742376445847</v>
      </c>
      <c r="AF861" s="133">
        <v>0.931818181818182</v>
      </c>
      <c r="AG861" s="133">
        <v>0.97289156626506</v>
      </c>
      <c r="AH861" s="133">
        <v>0.979194100605741</v>
      </c>
      <c r="AI861" s="135">
        <v>0.92</v>
      </c>
      <c r="AJ861" s="133">
        <v>0.923866201518572</v>
      </c>
      <c r="AK861" s="133">
        <v>0.939372325249643</v>
      </c>
      <c r="AL861" s="133">
        <v>0.95068830901993</v>
      </c>
      <c r="AM861" s="133">
        <v>0.949812734082397</v>
      </c>
      <c r="AN861" s="132">
        <v>0.99</v>
      </c>
      <c r="AO861" s="137">
        <v>1</v>
      </c>
      <c r="AP861" s="137">
        <v>1</v>
      </c>
      <c r="AQ861" s="137">
        <v>1</v>
      </c>
      <c r="AR861" s="137">
        <v>1</v>
      </c>
      <c r="AS861" s="158">
        <v>0.0810595228934205</v>
      </c>
      <c r="AT861" s="141">
        <v>0.0769230769230769</v>
      </c>
      <c r="AU861" s="141">
        <v>0.0526315789473684</v>
      </c>
      <c r="AV861" s="141">
        <v>0</v>
      </c>
      <c r="AW861" s="141">
        <v>0.0557103064066852</v>
      </c>
      <c r="AX861" s="95"/>
      <c r="AY861" s="93"/>
    </row>
    <row r="862" ht="14.5" spans="1:51">
      <c r="A862" s="91"/>
      <c r="B862" s="95"/>
      <c r="C862" s="152" t="s">
        <v>668</v>
      </c>
      <c r="D862" s="153" t="s">
        <v>25</v>
      </c>
      <c r="E862" s="130" t="s">
        <v>669</v>
      </c>
      <c r="F862" s="179" t="s">
        <v>889</v>
      </c>
      <c r="G862" s="179" t="s">
        <v>889</v>
      </c>
      <c r="H862" s="179" t="s">
        <v>889</v>
      </c>
      <c r="I862" s="179" t="s">
        <v>889</v>
      </c>
      <c r="J862" s="132">
        <v>0.9</v>
      </c>
      <c r="K862" s="133">
        <v>0.8125</v>
      </c>
      <c r="L862" s="133">
        <v>0.772727272727273</v>
      </c>
      <c r="M862" s="134">
        <v>0.851063829787234</v>
      </c>
      <c r="N862" s="133">
        <v>0.806949806949807</v>
      </c>
      <c r="O862" s="135">
        <v>0.9</v>
      </c>
      <c r="P862" s="133">
        <v>0.959241437871497</v>
      </c>
      <c r="Q862" s="133">
        <v>0.859305664317411</v>
      </c>
      <c r="R862" s="133">
        <v>0.950691521346963</v>
      </c>
      <c r="S862" s="133">
        <v>0.807802996126503</v>
      </c>
      <c r="T862" s="135">
        <v>0.9</v>
      </c>
      <c r="U862" s="133">
        <v>0.913388055476932</v>
      </c>
      <c r="V862" s="133">
        <v>0.885408509527538</v>
      </c>
      <c r="W862" s="133">
        <v>0.919723391461215</v>
      </c>
      <c r="X862" s="133">
        <v>0.891682093243937</v>
      </c>
      <c r="Y862" s="135">
        <v>0.92</v>
      </c>
      <c r="Z862" s="135">
        <v>0.839015151515151</v>
      </c>
      <c r="AA862" s="135">
        <v>0.887920298879203</v>
      </c>
      <c r="AB862" s="135">
        <v>0.894339622641509</v>
      </c>
      <c r="AC862" s="135">
        <v>0.907087178568229</v>
      </c>
      <c r="AD862" s="135">
        <v>0.92</v>
      </c>
      <c r="AE862" s="133">
        <v>0.993520518358531</v>
      </c>
      <c r="AF862" s="133">
        <v>0.976415094339623</v>
      </c>
      <c r="AG862" s="133">
        <v>0.990430622009569</v>
      </c>
      <c r="AH862" s="133">
        <v>0.992098331870061</v>
      </c>
      <c r="AI862" s="135">
        <v>0.92</v>
      </c>
      <c r="AJ862" s="133">
        <v>0.950258557005664</v>
      </c>
      <c r="AK862" s="133">
        <v>0.950366853690117</v>
      </c>
      <c r="AL862" s="133">
        <v>0.967582987551867</v>
      </c>
      <c r="AM862" s="133">
        <v>0.96544502617801</v>
      </c>
      <c r="AN862" s="132">
        <v>0.99</v>
      </c>
      <c r="AO862" s="137">
        <v>1</v>
      </c>
      <c r="AP862" s="137">
        <v>1</v>
      </c>
      <c r="AQ862" s="137">
        <v>1</v>
      </c>
      <c r="AR862" s="137">
        <v>1</v>
      </c>
      <c r="AS862" s="158">
        <v>0.0810595228934205</v>
      </c>
      <c r="AT862" s="141">
        <v>0.0909090909090909</v>
      </c>
      <c r="AU862" s="141">
        <v>0</v>
      </c>
      <c r="AV862" s="141">
        <v>0.222222222222222</v>
      </c>
      <c r="AW862" s="141">
        <v>0.0869565217391304</v>
      </c>
      <c r="AX862" s="95"/>
      <c r="AY862" s="93"/>
    </row>
    <row r="863" ht="14.5" spans="1:51">
      <c r="A863" s="91"/>
      <c r="B863" s="95"/>
      <c r="C863" s="152" t="s">
        <v>668</v>
      </c>
      <c r="D863" s="153" t="s">
        <v>25</v>
      </c>
      <c r="E863" s="130" t="s">
        <v>669</v>
      </c>
      <c r="F863" s="179" t="s">
        <v>890</v>
      </c>
      <c r="G863" s="179" t="s">
        <v>890</v>
      </c>
      <c r="H863" s="179" t="s">
        <v>890</v>
      </c>
      <c r="I863" s="179" t="s">
        <v>890</v>
      </c>
      <c r="J863" s="132">
        <v>0.9</v>
      </c>
      <c r="K863" s="133">
        <v>0.959183673469388</v>
      </c>
      <c r="L863" s="133">
        <v>0.895833333333333</v>
      </c>
      <c r="M863" s="134">
        <v>0.88</v>
      </c>
      <c r="N863" s="133">
        <v>0.893742621015348</v>
      </c>
      <c r="O863" s="135">
        <v>0.9</v>
      </c>
      <c r="P863" s="133">
        <v>0.923431063726678</v>
      </c>
      <c r="Q863" s="133">
        <v>0.916190476190476</v>
      </c>
      <c r="R863" s="133">
        <v>0.940064794816415</v>
      </c>
      <c r="S863" s="133">
        <v>0.942517723701859</v>
      </c>
      <c r="T863" s="135">
        <v>0.9</v>
      </c>
      <c r="U863" s="133">
        <v>0.900654228252968</v>
      </c>
      <c r="V863" s="133">
        <v>0.917857142857143</v>
      </c>
      <c r="W863" s="133">
        <v>0.920356371490281</v>
      </c>
      <c r="X863" s="133">
        <v>0.919182656776065</v>
      </c>
      <c r="Y863" s="135">
        <v>0.92</v>
      </c>
      <c r="Z863" s="135">
        <v>0.847290640394089</v>
      </c>
      <c r="AA863" s="135">
        <v>0.873863636363636</v>
      </c>
      <c r="AB863" s="135">
        <v>0.938144329896907</v>
      </c>
      <c r="AC863" s="135">
        <v>0.920307249159866</v>
      </c>
      <c r="AD863" s="135">
        <v>0.92</v>
      </c>
      <c r="AE863" s="133">
        <v>0.997087378640777</v>
      </c>
      <c r="AF863" s="133">
        <v>0.988034188034188</v>
      </c>
      <c r="AG863" s="133">
        <v>0.992317541613316</v>
      </c>
      <c r="AH863" s="133">
        <v>0.989374349829098</v>
      </c>
      <c r="AI863" s="135">
        <v>0.92</v>
      </c>
      <c r="AJ863" s="133">
        <v>0.938133445945946</v>
      </c>
      <c r="AK863" s="133">
        <v>0.94507874015748</v>
      </c>
      <c r="AL863" s="133">
        <v>0.96617681362258</v>
      </c>
      <c r="AM863" s="133">
        <v>0.963210975937547</v>
      </c>
      <c r="AN863" s="132">
        <v>0.99</v>
      </c>
      <c r="AO863" s="137">
        <v>1</v>
      </c>
      <c r="AP863" s="137">
        <v>1</v>
      </c>
      <c r="AQ863" s="137">
        <v>1</v>
      </c>
      <c r="AR863" s="137">
        <v>1</v>
      </c>
      <c r="AS863" s="158">
        <v>0.0810595228934205</v>
      </c>
      <c r="AT863" s="141">
        <v>0.0416666666666667</v>
      </c>
      <c r="AU863" s="141">
        <v>0.0555555555555556</v>
      </c>
      <c r="AV863" s="141">
        <v>0</v>
      </c>
      <c r="AW863" s="141">
        <v>0.0552147239263804</v>
      </c>
      <c r="AX863" s="95"/>
      <c r="AY863" s="93"/>
    </row>
    <row r="864" ht="14.5" spans="1:51">
      <c r="A864" s="91"/>
      <c r="B864" s="95"/>
      <c r="C864" s="152" t="s">
        <v>668</v>
      </c>
      <c r="D864" s="153" t="s">
        <v>25</v>
      </c>
      <c r="E864" s="130" t="s">
        <v>669</v>
      </c>
      <c r="F864" s="179" t="s">
        <v>891</v>
      </c>
      <c r="G864" s="179" t="s">
        <v>891</v>
      </c>
      <c r="H864" s="179" t="s">
        <v>891</v>
      </c>
      <c r="I864" s="179" t="s">
        <v>891</v>
      </c>
      <c r="J864" s="132">
        <v>0.9</v>
      </c>
      <c r="K864" s="133">
        <v>0.849056603773585</v>
      </c>
      <c r="L864" s="133">
        <v>0.886792452830189</v>
      </c>
      <c r="M864" s="134">
        <v>0.907407407407407</v>
      </c>
      <c r="N864" s="133">
        <v>0.926535087719298</v>
      </c>
      <c r="O864" s="135">
        <v>0.9</v>
      </c>
      <c r="P864" s="133">
        <v>0.849215922798553</v>
      </c>
      <c r="Q864" s="133">
        <v>0.8475905864774</v>
      </c>
      <c r="R864" s="133">
        <v>0.843035791289349</v>
      </c>
      <c r="S864" s="133">
        <v>0.872011363636364</v>
      </c>
      <c r="T864" s="135">
        <v>0.9</v>
      </c>
      <c r="U864" s="133">
        <v>0.755729794933655</v>
      </c>
      <c r="V864" s="133">
        <v>0.857302951064625</v>
      </c>
      <c r="W864" s="133">
        <v>0.848426045709358</v>
      </c>
      <c r="X864" s="133">
        <v>0.848829545454545</v>
      </c>
      <c r="Y864" s="135">
        <v>0.92</v>
      </c>
      <c r="Z864" s="135">
        <v>0.80672268907563</v>
      </c>
      <c r="AA864" s="135">
        <v>0.862689393939394</v>
      </c>
      <c r="AB864" s="135">
        <v>0.855263157894737</v>
      </c>
      <c r="AC864" s="135">
        <v>0.870051518438178</v>
      </c>
      <c r="AD864" s="135">
        <v>0.92</v>
      </c>
      <c r="AE864" s="133">
        <v>0.986363636363636</v>
      </c>
      <c r="AF864" s="133">
        <v>0.898989898989899</v>
      </c>
      <c r="AG864" s="133">
        <v>0.898089171974522</v>
      </c>
      <c r="AH864" s="133">
        <v>0.968456375838926</v>
      </c>
      <c r="AI864" s="135">
        <v>0.92</v>
      </c>
      <c r="AJ864" s="133">
        <v>0.940049226441631</v>
      </c>
      <c r="AK864" s="133">
        <v>0.951170046801872</v>
      </c>
      <c r="AL864" s="133">
        <v>0.94946458763855</v>
      </c>
      <c r="AM864" s="133">
        <v>0.957413264561335</v>
      </c>
      <c r="AN864" s="132">
        <v>0.99</v>
      </c>
      <c r="AO864" s="137">
        <v>1</v>
      </c>
      <c r="AP864" s="137">
        <v>1</v>
      </c>
      <c r="AQ864" s="137">
        <v>1</v>
      </c>
      <c r="AR864" s="137">
        <v>1</v>
      </c>
      <c r="AS864" s="158">
        <v>0.0810595228934205</v>
      </c>
      <c r="AT864" s="141">
        <v>0.0714285714285714</v>
      </c>
      <c r="AU864" s="141">
        <v>0.0416666666666667</v>
      </c>
      <c r="AV864" s="141">
        <v>0.0454545454545455</v>
      </c>
      <c r="AW864" s="141">
        <v>0.0346820809248555</v>
      </c>
      <c r="AX864" s="95"/>
      <c r="AY864" s="93"/>
    </row>
    <row r="865" ht="14.5" spans="1:51">
      <c r="A865" s="91"/>
      <c r="B865" s="95"/>
      <c r="C865" s="152" t="s">
        <v>668</v>
      </c>
      <c r="D865" s="153" t="s">
        <v>25</v>
      </c>
      <c r="E865" s="130" t="s">
        <v>669</v>
      </c>
      <c r="F865" s="179" t="s">
        <v>892</v>
      </c>
      <c r="G865" s="179" t="s">
        <v>892</v>
      </c>
      <c r="H865" s="179" t="s">
        <v>892</v>
      </c>
      <c r="I865" s="179" t="s">
        <v>892</v>
      </c>
      <c r="J865" s="132">
        <v>0.9</v>
      </c>
      <c r="K865" s="133">
        <v>0.8</v>
      </c>
      <c r="L865" s="133">
        <v>0.571428571428571</v>
      </c>
      <c r="M865" s="134">
        <v>0.857142857142857</v>
      </c>
      <c r="N865" s="133">
        <v>0.73121387283237</v>
      </c>
      <c r="O865" s="135">
        <v>0.9</v>
      </c>
      <c r="P865" s="133">
        <v>0.935503685503685</v>
      </c>
      <c r="Q865" s="133">
        <v>0.95150798344175</v>
      </c>
      <c r="R865" s="133">
        <v>0.953972257250946</v>
      </c>
      <c r="S865" s="133">
        <v>0.931757250792103</v>
      </c>
      <c r="T865" s="135">
        <v>0.9</v>
      </c>
      <c r="U865" s="133">
        <v>0.888820638820639</v>
      </c>
      <c r="V865" s="133">
        <v>0.946777054997043</v>
      </c>
      <c r="W865" s="133">
        <v>0.945145018915511</v>
      </c>
      <c r="X865" s="133">
        <v>0.928693290623586</v>
      </c>
      <c r="Y865" s="135">
        <v>0.92</v>
      </c>
      <c r="Z865" s="135">
        <v>0.847161572052402</v>
      </c>
      <c r="AA865" s="135">
        <v>0.866336633663366</v>
      </c>
      <c r="AB865" s="135">
        <v>0.904929577464789</v>
      </c>
      <c r="AC865" s="135">
        <v>0.894805436603984</v>
      </c>
      <c r="AD865" s="135">
        <v>0.92</v>
      </c>
      <c r="AE865" s="133">
        <v>0.962962962962963</v>
      </c>
      <c r="AF865" s="133">
        <v>1</v>
      </c>
      <c r="AG865" s="133">
        <v>0.943396226415094</v>
      </c>
      <c r="AH865" s="133">
        <v>0.961098398169336</v>
      </c>
      <c r="AI865" s="135">
        <v>0.92</v>
      </c>
      <c r="AJ865" s="133">
        <v>0.935379644588045</v>
      </c>
      <c r="AK865" s="133">
        <v>0.94653937947494</v>
      </c>
      <c r="AL865" s="133">
        <v>0.962032085561497</v>
      </c>
      <c r="AM865" s="133">
        <v>0.958262450871121</v>
      </c>
      <c r="AN865" s="132">
        <v>0.99</v>
      </c>
      <c r="AO865" s="137">
        <v>1</v>
      </c>
      <c r="AP865" s="137">
        <v>1</v>
      </c>
      <c r="AQ865" s="137">
        <v>1</v>
      </c>
      <c r="AR865" s="137">
        <v>1</v>
      </c>
      <c r="AS865" s="158">
        <v>0.0810595228934205</v>
      </c>
      <c r="AT865" s="141">
        <v>0</v>
      </c>
      <c r="AU865" s="141">
        <v>0.25</v>
      </c>
      <c r="AV865" s="141">
        <v>0</v>
      </c>
      <c r="AW865" s="141">
        <v>0.0454545454545455</v>
      </c>
      <c r="AX865" s="95"/>
      <c r="AY865" s="93"/>
    </row>
    <row r="866" ht="14.5" spans="1:51">
      <c r="A866" s="91"/>
      <c r="B866" s="95"/>
      <c r="C866" s="152" t="s">
        <v>668</v>
      </c>
      <c r="D866" s="153" t="s">
        <v>25</v>
      </c>
      <c r="E866" s="130" t="s">
        <v>669</v>
      </c>
      <c r="F866" s="179" t="s">
        <v>893</v>
      </c>
      <c r="G866" s="179" t="s">
        <v>893</v>
      </c>
      <c r="H866" s="179" t="s">
        <v>893</v>
      </c>
      <c r="I866" s="179" t="s">
        <v>893</v>
      </c>
      <c r="J866" s="132">
        <v>0.9</v>
      </c>
      <c r="K866" s="133">
        <v>1</v>
      </c>
      <c r="L866" s="133">
        <v>1</v>
      </c>
      <c r="M866" s="134">
        <v>1</v>
      </c>
      <c r="N866" s="133">
        <v>0.988505747126437</v>
      </c>
      <c r="O866" s="135">
        <v>0.9</v>
      </c>
      <c r="P866" s="133">
        <v>0.986607142857143</v>
      </c>
      <c r="Q866" s="133">
        <v>0.970556745182013</v>
      </c>
      <c r="R866" s="133">
        <v>0.986685353889278</v>
      </c>
      <c r="S866" s="133">
        <v>0.918751000800641</v>
      </c>
      <c r="T866" s="135">
        <v>0.9</v>
      </c>
      <c r="U866" s="133">
        <v>0.948102678571429</v>
      </c>
      <c r="V866" s="133">
        <v>0.908993576017131</v>
      </c>
      <c r="W866" s="133">
        <v>0.948142957252978</v>
      </c>
      <c r="X866" s="133">
        <v>0.924579663730985</v>
      </c>
      <c r="Y866" s="135">
        <v>0.92</v>
      </c>
      <c r="Z866" s="135">
        <v>0.78125</v>
      </c>
      <c r="AA866" s="135">
        <v>0.865934065934066</v>
      </c>
      <c r="AB866" s="135">
        <v>0.863636363636364</v>
      </c>
      <c r="AC866" s="135">
        <v>0.835812672176309</v>
      </c>
      <c r="AD866" s="135">
        <v>0.92</v>
      </c>
      <c r="AE866" s="133">
        <v>1</v>
      </c>
      <c r="AF866" s="133">
        <v>0.970760233918129</v>
      </c>
      <c r="AG866" s="133">
        <v>0.991202346041056</v>
      </c>
      <c r="AH866" s="133">
        <v>0.986170212765957</v>
      </c>
      <c r="AI866" s="135">
        <v>0.92</v>
      </c>
      <c r="AJ866" s="133">
        <v>0.951171875</v>
      </c>
      <c r="AK866" s="133">
        <v>0.958674128282394</v>
      </c>
      <c r="AL866" s="133">
        <v>0.9591957421644</v>
      </c>
      <c r="AM866" s="133">
        <v>0.960921734387783</v>
      </c>
      <c r="AN866" s="132">
        <v>0.99</v>
      </c>
      <c r="AO866" s="137">
        <v>1</v>
      </c>
      <c r="AP866" s="137">
        <v>1</v>
      </c>
      <c r="AQ866" s="137">
        <v>1</v>
      </c>
      <c r="AR866" s="137">
        <v>1</v>
      </c>
      <c r="AS866" s="158">
        <v>0.0810595228934205</v>
      </c>
      <c r="AT866" s="141">
        <v>0</v>
      </c>
      <c r="AU866" s="141">
        <v>0</v>
      </c>
      <c r="AV866" s="141">
        <v>0</v>
      </c>
      <c r="AW866" s="141">
        <v>0.043956043956044</v>
      </c>
      <c r="AX866" s="95"/>
      <c r="AY866" s="93"/>
    </row>
    <row r="867" ht="14.5" spans="1:51">
      <c r="A867" s="91"/>
      <c r="B867" s="95"/>
      <c r="C867" s="152" t="s">
        <v>668</v>
      </c>
      <c r="D867" s="153" t="s">
        <v>25</v>
      </c>
      <c r="E867" s="130" t="s">
        <v>669</v>
      </c>
      <c r="F867" s="179" t="s">
        <v>894</v>
      </c>
      <c r="G867" s="179" t="s">
        <v>894</v>
      </c>
      <c r="H867" s="179" t="s">
        <v>894</v>
      </c>
      <c r="I867" s="179" t="s">
        <v>894</v>
      </c>
      <c r="J867" s="132">
        <v>0.9</v>
      </c>
      <c r="K867" s="133">
        <v>0.925925925925926</v>
      </c>
      <c r="L867" s="133">
        <v>0.896551724137931</v>
      </c>
      <c r="M867" s="134">
        <v>0.892857142857143</v>
      </c>
      <c r="N867" s="133">
        <v>0.947478991596639</v>
      </c>
      <c r="O867" s="135">
        <v>0.9</v>
      </c>
      <c r="P867" s="133">
        <v>0.989881214254289</v>
      </c>
      <c r="Q867" s="133">
        <v>0.994547932757837</v>
      </c>
      <c r="R867" s="133">
        <v>0.930357142857143</v>
      </c>
      <c r="S867" s="133">
        <v>0.930998575030144</v>
      </c>
      <c r="T867" s="135">
        <v>0.9</v>
      </c>
      <c r="U867" s="133">
        <v>0.944126704795425</v>
      </c>
      <c r="V867" s="133">
        <v>0.928214447978192</v>
      </c>
      <c r="W867" s="133">
        <v>0.883928571428571</v>
      </c>
      <c r="X867" s="133">
        <v>0.939000328839198</v>
      </c>
      <c r="Y867" s="135">
        <v>0.92</v>
      </c>
      <c r="Z867" s="135">
        <v>0.795527156549521</v>
      </c>
      <c r="AA867" s="135">
        <v>0.907608695652174</v>
      </c>
      <c r="AB867" s="135">
        <v>0.947058823529412</v>
      </c>
      <c r="AC867" s="135">
        <v>0.908688597138221</v>
      </c>
      <c r="AD867" s="135">
        <v>0.92</v>
      </c>
      <c r="AE867" s="133">
        <v>1</v>
      </c>
      <c r="AF867" s="133">
        <v>0.973333333333333</v>
      </c>
      <c r="AG867" s="133">
        <v>0.987179487179487</v>
      </c>
      <c r="AH867" s="133">
        <v>0.987088444157521</v>
      </c>
      <c r="AI867" s="135">
        <v>0.92</v>
      </c>
      <c r="AJ867" s="133">
        <v>0.957463263727765</v>
      </c>
      <c r="AK867" s="133">
        <v>0.96585543043952</v>
      </c>
      <c r="AL867" s="133">
        <v>0.924752475247525</v>
      </c>
      <c r="AM867" s="133">
        <v>0.967484747642818</v>
      </c>
      <c r="AN867" s="132">
        <v>0.99</v>
      </c>
      <c r="AO867" s="137">
        <v>1</v>
      </c>
      <c r="AP867" s="137">
        <v>1</v>
      </c>
      <c r="AQ867" s="137">
        <v>1</v>
      </c>
      <c r="AR867" s="137">
        <v>1</v>
      </c>
      <c r="AS867" s="158">
        <v>0.0810595228934205</v>
      </c>
      <c r="AT867" s="141">
        <v>0.2</v>
      </c>
      <c r="AU867" s="141">
        <v>0</v>
      </c>
      <c r="AV867" s="141">
        <v>0.2</v>
      </c>
      <c r="AW867" s="141">
        <v>0.0559006211180124</v>
      </c>
      <c r="AX867" s="95"/>
      <c r="AY867" s="93"/>
    </row>
    <row r="868" ht="14.5" spans="1:51">
      <c r="A868" s="91"/>
      <c r="B868" s="95"/>
      <c r="C868" s="152" t="s">
        <v>668</v>
      </c>
      <c r="D868" s="153" t="s">
        <v>25</v>
      </c>
      <c r="E868" s="130" t="s">
        <v>669</v>
      </c>
      <c r="F868" s="179" t="s">
        <v>895</v>
      </c>
      <c r="G868" s="179" t="s">
        <v>895</v>
      </c>
      <c r="H868" s="179" t="s">
        <v>895</v>
      </c>
      <c r="I868" s="179" t="s">
        <v>895</v>
      </c>
      <c r="J868" s="132">
        <v>0.9</v>
      </c>
      <c r="K868" s="133">
        <v>0.846153846153846</v>
      </c>
      <c r="L868" s="133">
        <v>0.870967741935484</v>
      </c>
      <c r="M868" s="134">
        <v>0.857142857142857</v>
      </c>
      <c r="N868" s="133">
        <v>0.844133099824869</v>
      </c>
      <c r="O868" s="135">
        <v>0.9</v>
      </c>
      <c r="P868" s="133">
        <v>0.945210449927431</v>
      </c>
      <c r="Q868" s="133">
        <v>0.941759603469641</v>
      </c>
      <c r="R868" s="133">
        <v>0.962924281984334</v>
      </c>
      <c r="S868" s="133">
        <v>0.869588811326805</v>
      </c>
      <c r="T868" s="135">
        <v>0.9</v>
      </c>
      <c r="U868" s="133">
        <v>0.784833091436865</v>
      </c>
      <c r="V868" s="133">
        <v>0.925650557620818</v>
      </c>
      <c r="W868" s="133">
        <v>0.947258485639687</v>
      </c>
      <c r="X868" s="133">
        <v>0.911225672775709</v>
      </c>
      <c r="Y868" s="135">
        <v>0.92</v>
      </c>
      <c r="Z868" s="135">
        <v>0.484848484848485</v>
      </c>
      <c r="AA868" s="135">
        <v>0.903225806451613</v>
      </c>
      <c r="AB868" s="135">
        <v>0.75</v>
      </c>
      <c r="AC868" s="135">
        <v>0.768528222787842</v>
      </c>
      <c r="AD868" s="135">
        <v>0.92</v>
      </c>
      <c r="AE868" s="133">
        <v>1</v>
      </c>
      <c r="AF868" s="133">
        <v>1</v>
      </c>
      <c r="AG868" s="133">
        <v>0.92156862745098</v>
      </c>
      <c r="AH868" s="133">
        <v>0.92814371257485</v>
      </c>
      <c r="AI868" s="135">
        <v>0.92</v>
      </c>
      <c r="AJ868" s="133">
        <v>0.8683262364887</v>
      </c>
      <c r="AK868" s="133">
        <v>0.959216965742251</v>
      </c>
      <c r="AL868" s="133">
        <v>0.935153583617747</v>
      </c>
      <c r="AM868" s="133">
        <v>0.939265596543984</v>
      </c>
      <c r="AN868" s="132">
        <v>0.99</v>
      </c>
      <c r="AO868" s="137">
        <v>1</v>
      </c>
      <c r="AP868" s="137">
        <v>1</v>
      </c>
      <c r="AQ868" s="137">
        <v>1</v>
      </c>
      <c r="AR868" s="137">
        <v>1</v>
      </c>
      <c r="AS868" s="158">
        <v>0.0810595228934205</v>
      </c>
      <c r="AT868" s="141">
        <v>0.0769230769230769</v>
      </c>
      <c r="AU868" s="141">
        <v>0</v>
      </c>
      <c r="AV868" s="141">
        <v>0</v>
      </c>
      <c r="AW868" s="141">
        <v>0.0406976744186047</v>
      </c>
      <c r="AX868" s="95"/>
      <c r="AY868" s="93"/>
    </row>
    <row r="869" ht="14.5" spans="1:51">
      <c r="A869" s="91"/>
      <c r="B869" s="95"/>
      <c r="C869" s="152" t="s">
        <v>668</v>
      </c>
      <c r="D869" s="153" t="s">
        <v>25</v>
      </c>
      <c r="E869" s="130" t="s">
        <v>669</v>
      </c>
      <c r="F869" s="179" t="s">
        <v>896</v>
      </c>
      <c r="G869" s="179" t="s">
        <v>896</v>
      </c>
      <c r="H869" s="179" t="s">
        <v>896</v>
      </c>
      <c r="I869" s="179" t="s">
        <v>896</v>
      </c>
      <c r="J869" s="132">
        <v>0.9</v>
      </c>
      <c r="K869" s="133">
        <v>1</v>
      </c>
      <c r="L869" s="133">
        <v>1</v>
      </c>
      <c r="M869" s="134">
        <v>0.975609756097561</v>
      </c>
      <c r="N869" s="133">
        <v>0.985272459499264</v>
      </c>
      <c r="O869" s="135">
        <v>0.9</v>
      </c>
      <c r="P869" s="133">
        <v>0.95499707773232</v>
      </c>
      <c r="Q869" s="133">
        <v>0.979716024340771</v>
      </c>
      <c r="R869" s="133">
        <v>0.973488522470094</v>
      </c>
      <c r="S869" s="133">
        <v>0.952514635899894</v>
      </c>
      <c r="T869" s="135">
        <v>0.9</v>
      </c>
      <c r="U869" s="133">
        <v>0.926066627703098</v>
      </c>
      <c r="V869" s="133">
        <v>0.936540133294697</v>
      </c>
      <c r="W869" s="133">
        <v>0.938894277400582</v>
      </c>
      <c r="X869" s="133">
        <v>0.929799034544147</v>
      </c>
      <c r="Y869" s="135">
        <v>0.92</v>
      </c>
      <c r="Z869" s="135">
        <v>0.873727087576375</v>
      </c>
      <c r="AA869" s="135">
        <v>0.935393258426966</v>
      </c>
      <c r="AB869" s="135">
        <v>0.904572564612326</v>
      </c>
      <c r="AC869" s="135">
        <v>0.916946143223516</v>
      </c>
      <c r="AD869" s="135">
        <v>0.92</v>
      </c>
      <c r="AE869" s="133">
        <v>0.991228070175439</v>
      </c>
      <c r="AF869" s="133">
        <v>0.975609756097561</v>
      </c>
      <c r="AG869" s="133">
        <v>1</v>
      </c>
      <c r="AH869" s="133">
        <v>0.982707509881423</v>
      </c>
      <c r="AI869" s="135">
        <v>0.92</v>
      </c>
      <c r="AJ869" s="133">
        <v>0.944543828264758</v>
      </c>
      <c r="AK869" s="133">
        <v>0.969012731203459</v>
      </c>
      <c r="AL869" s="133">
        <v>0.966351501668521</v>
      </c>
      <c r="AM869" s="133">
        <v>0.969513973977478</v>
      </c>
      <c r="AN869" s="132">
        <v>0.99</v>
      </c>
      <c r="AO869" s="137">
        <v>1</v>
      </c>
      <c r="AP869" s="137">
        <v>1</v>
      </c>
      <c r="AQ869" s="137">
        <v>1</v>
      </c>
      <c r="AR869" s="137">
        <v>1</v>
      </c>
      <c r="AS869" s="158">
        <v>0.0810595228934205</v>
      </c>
      <c r="AT869" s="141">
        <v>0.1</v>
      </c>
      <c r="AU869" s="141">
        <v>0</v>
      </c>
      <c r="AV869" s="141">
        <v>0</v>
      </c>
      <c r="AW869" s="141">
        <v>0.0728155339805825</v>
      </c>
      <c r="AX869" s="95"/>
      <c r="AY869" s="93"/>
    </row>
    <row r="870" ht="14.5" spans="1:51">
      <c r="A870" s="91"/>
      <c r="B870" s="95"/>
      <c r="C870" s="152" t="s">
        <v>668</v>
      </c>
      <c r="D870" s="153" t="s">
        <v>25</v>
      </c>
      <c r="E870" s="130" t="s">
        <v>669</v>
      </c>
      <c r="F870" s="179" t="s">
        <v>897</v>
      </c>
      <c r="G870" s="179" t="s">
        <v>897</v>
      </c>
      <c r="H870" s="179" t="s">
        <v>897</v>
      </c>
      <c r="I870" s="179" t="s">
        <v>897</v>
      </c>
      <c r="J870" s="132">
        <v>0.9</v>
      </c>
      <c r="K870" s="133">
        <v>0.75</v>
      </c>
      <c r="L870" s="133">
        <v>0.724137931034483</v>
      </c>
      <c r="M870" s="134">
        <v>0.838709677419355</v>
      </c>
      <c r="N870" s="133">
        <v>0.771317829457364</v>
      </c>
      <c r="O870" s="135">
        <v>0.9</v>
      </c>
      <c r="P870" s="133">
        <v>0.966585662211422</v>
      </c>
      <c r="Q870" s="133">
        <v>0.947171824973319</v>
      </c>
      <c r="R870" s="133">
        <v>0.99741935483871</v>
      </c>
      <c r="S870" s="133">
        <v>0.931661717062635</v>
      </c>
      <c r="T870" s="135">
        <v>0.9</v>
      </c>
      <c r="U870" s="133">
        <v>0.854191980558931</v>
      </c>
      <c r="V870" s="133">
        <v>0.899679829242263</v>
      </c>
      <c r="W870" s="133">
        <v>0.936774193548387</v>
      </c>
      <c r="X870" s="133">
        <v>0.925384719222462</v>
      </c>
      <c r="Y870" s="135">
        <v>0.92</v>
      </c>
      <c r="Z870" s="135">
        <v>0.873362445414847</v>
      </c>
      <c r="AA870" s="135">
        <v>0.833333333333333</v>
      </c>
      <c r="AB870" s="135">
        <v>0.908805031446541</v>
      </c>
      <c r="AC870" s="135">
        <v>0.925250357653791</v>
      </c>
      <c r="AD870" s="135">
        <v>0.92</v>
      </c>
      <c r="AE870" s="133">
        <v>1</v>
      </c>
      <c r="AF870" s="133">
        <v>0.925925925925926</v>
      </c>
      <c r="AG870" s="133">
        <v>0.992307692307692</v>
      </c>
      <c r="AH870" s="133">
        <v>0.983105390185036</v>
      </c>
      <c r="AI870" s="135">
        <v>0.92</v>
      </c>
      <c r="AJ870" s="133">
        <v>0.9488</v>
      </c>
      <c r="AK870" s="133">
        <v>0.94636678200692</v>
      </c>
      <c r="AL870" s="133">
        <v>0.971092077087794</v>
      </c>
      <c r="AM870" s="133">
        <v>0.972717465364524</v>
      </c>
      <c r="AN870" s="132">
        <v>0.99</v>
      </c>
      <c r="AO870" s="137">
        <v>1</v>
      </c>
      <c r="AP870" s="137">
        <v>1</v>
      </c>
      <c r="AQ870" s="137">
        <v>1</v>
      </c>
      <c r="AR870" s="137">
        <v>1</v>
      </c>
      <c r="AS870" s="158">
        <v>0.0810595228934205</v>
      </c>
      <c r="AT870" s="141">
        <v>0</v>
      </c>
      <c r="AU870" s="141">
        <v>0</v>
      </c>
      <c r="AV870" s="141">
        <v>0.166666666666667</v>
      </c>
      <c r="AW870" s="141">
        <v>0.0344827586206897</v>
      </c>
      <c r="AX870" s="95"/>
      <c r="AY870" s="93"/>
    </row>
    <row r="871" ht="14.5" spans="1:51">
      <c r="A871" s="91"/>
      <c r="B871" s="95"/>
      <c r="C871" s="152" t="s">
        <v>668</v>
      </c>
      <c r="D871" s="153" t="s">
        <v>25</v>
      </c>
      <c r="E871" s="130" t="s">
        <v>669</v>
      </c>
      <c r="F871" s="179" t="s">
        <v>898</v>
      </c>
      <c r="G871" s="179" t="s">
        <v>898</v>
      </c>
      <c r="H871" s="179" t="s">
        <v>898</v>
      </c>
      <c r="I871" s="179" t="s">
        <v>898</v>
      </c>
      <c r="J871" s="132">
        <v>0.9</v>
      </c>
      <c r="K871" s="133">
        <v>0.885714285714286</v>
      </c>
      <c r="L871" s="133">
        <v>0.90625</v>
      </c>
      <c r="M871" s="134">
        <v>0.828571428571429</v>
      </c>
      <c r="N871" s="133">
        <v>0.89983305509182</v>
      </c>
      <c r="O871" s="135">
        <v>0.9</v>
      </c>
      <c r="P871" s="133">
        <v>0.956425639406378</v>
      </c>
      <c r="Q871" s="133">
        <v>0.960419790104947</v>
      </c>
      <c r="R871" s="133">
        <v>0.96605054696341</v>
      </c>
      <c r="S871" s="133">
        <v>0.962237870463515</v>
      </c>
      <c r="T871" s="135">
        <v>0.9</v>
      </c>
      <c r="U871" s="133">
        <v>0.9074834227976</v>
      </c>
      <c r="V871" s="133">
        <v>0.892353823088456</v>
      </c>
      <c r="W871" s="133">
        <v>0.927951716333459</v>
      </c>
      <c r="X871" s="133">
        <v>0.923895380329645</v>
      </c>
      <c r="Y871" s="135">
        <v>0.92</v>
      </c>
      <c r="Z871" s="135">
        <v>0.907692307692308</v>
      </c>
      <c r="AA871" s="135">
        <v>0.946069469835466</v>
      </c>
      <c r="AB871" s="135">
        <v>0.960358056265985</v>
      </c>
      <c r="AC871" s="135">
        <v>0.943136604774536</v>
      </c>
      <c r="AD871" s="135">
        <v>0.92</v>
      </c>
      <c r="AE871" s="133">
        <v>0.981651376146789</v>
      </c>
      <c r="AF871" s="133">
        <v>0.987080103359173</v>
      </c>
      <c r="AG871" s="133">
        <v>0.993928354584092</v>
      </c>
      <c r="AH871" s="133">
        <v>0.986816269284712</v>
      </c>
      <c r="AI871" s="135">
        <v>0.92</v>
      </c>
      <c r="AJ871" s="133">
        <v>0.945535480492275</v>
      </c>
      <c r="AK871" s="133">
        <v>0.963648679160081</v>
      </c>
      <c r="AL871" s="133">
        <v>0.978172293364377</v>
      </c>
      <c r="AM871" s="133">
        <v>0.969780298473261</v>
      </c>
      <c r="AN871" s="132">
        <v>0.99</v>
      </c>
      <c r="AO871" s="137">
        <v>1</v>
      </c>
      <c r="AP871" s="137">
        <v>1</v>
      </c>
      <c r="AQ871" s="137">
        <v>1</v>
      </c>
      <c r="AR871" s="137">
        <v>1</v>
      </c>
      <c r="AS871" s="158">
        <v>0.0810595228934205</v>
      </c>
      <c r="AT871" s="141">
        <v>0.0357142857142857</v>
      </c>
      <c r="AU871" s="141">
        <v>0</v>
      </c>
      <c r="AV871" s="141">
        <v>0.15</v>
      </c>
      <c r="AW871" s="141">
        <v>0.0592255125284738</v>
      </c>
      <c r="AX871" s="95"/>
      <c r="AY871" s="93"/>
    </row>
    <row r="872" ht="14.5" spans="1:51">
      <c r="A872" s="91"/>
      <c r="B872" s="95"/>
      <c r="C872" s="152" t="s">
        <v>668</v>
      </c>
      <c r="D872" s="153" t="s">
        <v>25</v>
      </c>
      <c r="E872" s="130" t="s">
        <v>669</v>
      </c>
      <c r="F872" s="179" t="s">
        <v>899</v>
      </c>
      <c r="G872" s="179" t="s">
        <v>899</v>
      </c>
      <c r="H872" s="179" t="s">
        <v>899</v>
      </c>
      <c r="I872" s="179" t="s">
        <v>899</v>
      </c>
      <c r="J872" s="132">
        <v>0.9</v>
      </c>
      <c r="K872" s="133">
        <v>0.948717948717949</v>
      </c>
      <c r="L872" s="133">
        <v>0.973684210526316</v>
      </c>
      <c r="M872" s="134">
        <v>0.947368421052632</v>
      </c>
      <c r="N872" s="133">
        <v>0.92511013215859</v>
      </c>
      <c r="O872" s="135">
        <v>0.9</v>
      </c>
      <c r="P872" s="133">
        <v>0.978494623655914</v>
      </c>
      <c r="Q872" s="133">
        <v>0.961918604651163</v>
      </c>
      <c r="R872" s="133">
        <v>0.980322003577818</v>
      </c>
      <c r="S872" s="133">
        <v>0.971126029226319</v>
      </c>
      <c r="T872" s="135">
        <v>0.9</v>
      </c>
      <c r="U872" s="133">
        <v>0.950418160095579</v>
      </c>
      <c r="V872" s="133">
        <v>0.943604651162791</v>
      </c>
      <c r="W872" s="133">
        <v>0.960644007155635</v>
      </c>
      <c r="X872" s="133">
        <v>0.952451598546102</v>
      </c>
      <c r="Y872" s="135">
        <v>0.92</v>
      </c>
      <c r="Z872" s="135">
        <v>0.927272727272727</v>
      </c>
      <c r="AA872" s="135">
        <v>0.937919463087248</v>
      </c>
      <c r="AB872" s="135">
        <v>0.939189189189189</v>
      </c>
      <c r="AC872" s="135">
        <v>0.93535800906886</v>
      </c>
      <c r="AD872" s="135">
        <v>0.92</v>
      </c>
      <c r="AE872" s="133">
        <v>0.995991983967936</v>
      </c>
      <c r="AF872" s="133">
        <v>0.984201537147737</v>
      </c>
      <c r="AG872" s="133">
        <v>0.991224862888483</v>
      </c>
      <c r="AH872" s="133">
        <v>0.991559351200677</v>
      </c>
      <c r="AI872" s="135">
        <v>0.92</v>
      </c>
      <c r="AJ872" s="133">
        <v>0.972087378640777</v>
      </c>
      <c r="AK872" s="133">
        <v>0.972815533980583</v>
      </c>
      <c r="AL872" s="133">
        <v>0.976927252985885</v>
      </c>
      <c r="AM872" s="133">
        <v>0.974285479181524</v>
      </c>
      <c r="AN872" s="132">
        <v>0.99</v>
      </c>
      <c r="AO872" s="137">
        <v>1</v>
      </c>
      <c r="AP872" s="137">
        <v>1</v>
      </c>
      <c r="AQ872" s="137">
        <v>1</v>
      </c>
      <c r="AR872" s="137">
        <v>1</v>
      </c>
      <c r="AS872" s="158">
        <v>0.0810595228934205</v>
      </c>
      <c r="AT872" s="141">
        <v>0.25</v>
      </c>
      <c r="AU872" s="141">
        <v>0</v>
      </c>
      <c r="AV872" s="141">
        <v>0.0769230769230769</v>
      </c>
      <c r="AW872" s="141">
        <v>0.0552763819095477</v>
      </c>
      <c r="AX872" s="95"/>
      <c r="AY872" s="93"/>
    </row>
    <row r="873" ht="14.5" spans="1:51">
      <c r="A873" s="91"/>
      <c r="B873" s="95"/>
      <c r="C873" s="152" t="s">
        <v>668</v>
      </c>
      <c r="D873" s="153" t="s">
        <v>25</v>
      </c>
      <c r="E873" s="130" t="s">
        <v>669</v>
      </c>
      <c r="F873" s="179" t="s">
        <v>900</v>
      </c>
      <c r="G873" s="179" t="s">
        <v>900</v>
      </c>
      <c r="H873" s="179" t="s">
        <v>900</v>
      </c>
      <c r="I873" s="179" t="s">
        <v>900</v>
      </c>
      <c r="J873" s="132">
        <v>0.9</v>
      </c>
      <c r="K873" s="133">
        <v>0.92156862745098</v>
      </c>
      <c r="L873" s="133">
        <v>0.853658536585366</v>
      </c>
      <c r="M873" s="134">
        <v>0.936170212765957</v>
      </c>
      <c r="N873" s="133">
        <v>0.927639383155397</v>
      </c>
      <c r="O873" s="135">
        <v>0.9</v>
      </c>
      <c r="P873" s="133">
        <v>0.977134986225895</v>
      </c>
      <c r="Q873" s="133">
        <v>0.977887617065557</v>
      </c>
      <c r="R873" s="133">
        <v>0.974629324546952</v>
      </c>
      <c r="S873" s="133">
        <v>0.970287635661495</v>
      </c>
      <c r="T873" s="135">
        <v>0.9</v>
      </c>
      <c r="U873" s="133">
        <v>0.936088154269972</v>
      </c>
      <c r="V873" s="133">
        <v>0.898803329864724</v>
      </c>
      <c r="W873" s="133">
        <v>0.937067545304778</v>
      </c>
      <c r="X873" s="133">
        <v>0.925294626806046</v>
      </c>
      <c r="Y873" s="135">
        <v>0.92</v>
      </c>
      <c r="Z873" s="135">
        <v>0.931490384615385</v>
      </c>
      <c r="AA873" s="135">
        <v>0.933713471133286</v>
      </c>
      <c r="AB873" s="135">
        <v>0.948405253283302</v>
      </c>
      <c r="AC873" s="135">
        <v>0.947290480818178</v>
      </c>
      <c r="AD873" s="135">
        <v>0.92</v>
      </c>
      <c r="AE873" s="133">
        <v>0.99876050130836</v>
      </c>
      <c r="AF873" s="133">
        <v>0.994411988823978</v>
      </c>
      <c r="AG873" s="133">
        <v>0.992568058809274</v>
      </c>
      <c r="AH873" s="133">
        <v>0.995320846324548</v>
      </c>
      <c r="AI873" s="135">
        <v>0.92</v>
      </c>
      <c r="AJ873" s="133">
        <v>0.97244623655914</v>
      </c>
      <c r="AK873" s="133">
        <v>0.971412235563179</v>
      </c>
      <c r="AL873" s="133">
        <v>0.978303266699171</v>
      </c>
      <c r="AM873" s="133">
        <v>0.976263596432198</v>
      </c>
      <c r="AN873" s="132">
        <v>0.99</v>
      </c>
      <c r="AO873" s="137">
        <v>1</v>
      </c>
      <c r="AP873" s="137">
        <v>1</v>
      </c>
      <c r="AQ873" s="137">
        <v>1</v>
      </c>
      <c r="AR873" s="137">
        <v>1</v>
      </c>
      <c r="AS873" s="158">
        <v>0.0810595228934205</v>
      </c>
      <c r="AT873" s="141">
        <v>0.0625</v>
      </c>
      <c r="AU873" s="141">
        <v>0</v>
      </c>
      <c r="AV873" s="141">
        <v>0</v>
      </c>
      <c r="AW873" s="141">
        <v>0.0447761194029851</v>
      </c>
      <c r="AX873" s="95"/>
      <c r="AY873" s="93"/>
    </row>
    <row r="874" ht="14.5" spans="1:51">
      <c r="A874" s="91"/>
      <c r="B874" s="95"/>
      <c r="C874" s="152" t="s">
        <v>668</v>
      </c>
      <c r="D874" s="153" t="s">
        <v>25</v>
      </c>
      <c r="E874" s="130" t="s">
        <v>669</v>
      </c>
      <c r="F874" s="179" t="s">
        <v>901</v>
      </c>
      <c r="G874" s="179" t="s">
        <v>901</v>
      </c>
      <c r="H874" s="179" t="s">
        <v>901</v>
      </c>
      <c r="I874" s="179" t="s">
        <v>901</v>
      </c>
      <c r="J874" s="132">
        <v>0.9</v>
      </c>
      <c r="K874" s="133">
        <v>0.956521739130435</v>
      </c>
      <c r="L874" s="133">
        <v>0.951219512195122</v>
      </c>
      <c r="M874" s="134">
        <v>0.976744186046512</v>
      </c>
      <c r="N874" s="133">
        <v>0.969616908850727</v>
      </c>
      <c r="O874" s="135">
        <v>0.9</v>
      </c>
      <c r="P874" s="133">
        <v>0.984288623799825</v>
      </c>
      <c r="Q874" s="133">
        <v>0.970910061382439</v>
      </c>
      <c r="R874" s="133">
        <v>0.979166666666667</v>
      </c>
      <c r="S874" s="133">
        <v>0.977123709472922</v>
      </c>
      <c r="T874" s="135">
        <v>0.9</v>
      </c>
      <c r="U874" s="133">
        <v>0.972359615944137</v>
      </c>
      <c r="V874" s="133">
        <v>0.96290365625834</v>
      </c>
      <c r="W874" s="133">
        <v>0.971560846560847</v>
      </c>
      <c r="X874" s="133">
        <v>0.964680311537765</v>
      </c>
      <c r="Y874" s="135">
        <v>0.92</v>
      </c>
      <c r="Z874" s="135">
        <v>0.968253968253968</v>
      </c>
      <c r="AA874" s="135">
        <v>0.961151079136691</v>
      </c>
      <c r="AB874" s="135">
        <v>0.967836257309941</v>
      </c>
      <c r="AC874" s="135">
        <v>0.964539338441413</v>
      </c>
      <c r="AD874" s="135">
        <v>0.92</v>
      </c>
      <c r="AE874" s="133">
        <v>0.993677470988395</v>
      </c>
      <c r="AF874" s="133">
        <v>0.992919007490637</v>
      </c>
      <c r="AG874" s="133">
        <v>0.996540989277067</v>
      </c>
      <c r="AH874" s="133">
        <v>0.99511376627208</v>
      </c>
      <c r="AI874" s="135">
        <v>0.92</v>
      </c>
      <c r="AJ874" s="133">
        <v>0.983359568248257</v>
      </c>
      <c r="AK874" s="133">
        <v>0.981513913212687</v>
      </c>
      <c r="AL874" s="133">
        <v>0.984691358024691</v>
      </c>
      <c r="AM874" s="133">
        <v>0.982917025552684</v>
      </c>
      <c r="AN874" s="132">
        <v>0.99</v>
      </c>
      <c r="AO874" s="137">
        <v>1</v>
      </c>
      <c r="AP874" s="137">
        <v>1</v>
      </c>
      <c r="AQ874" s="137">
        <v>1</v>
      </c>
      <c r="AR874" s="137">
        <v>1</v>
      </c>
      <c r="AS874" s="158">
        <v>0.0810595228934205</v>
      </c>
      <c r="AT874" s="141">
        <v>0.0625</v>
      </c>
      <c r="AU874" s="141">
        <v>0</v>
      </c>
      <c r="AV874" s="141">
        <v>0</v>
      </c>
      <c r="AW874" s="141">
        <v>0.0381679389312977</v>
      </c>
      <c r="AX874" s="95"/>
      <c r="AY874" s="93"/>
    </row>
    <row r="875" ht="14.5" spans="1:51">
      <c r="A875" s="91"/>
      <c r="B875" s="95"/>
      <c r="C875" s="152" t="s">
        <v>668</v>
      </c>
      <c r="D875" s="153" t="s">
        <v>25</v>
      </c>
      <c r="E875" s="130" t="s">
        <v>669</v>
      </c>
      <c r="F875" s="179" t="s">
        <v>902</v>
      </c>
      <c r="G875" s="179" t="s">
        <v>902</v>
      </c>
      <c r="H875" s="179" t="s">
        <v>902</v>
      </c>
      <c r="I875" s="179" t="s">
        <v>902</v>
      </c>
      <c r="J875" s="132">
        <v>0.9</v>
      </c>
      <c r="K875" s="133">
        <v>0.96875</v>
      </c>
      <c r="L875" s="133">
        <v>0.967741935483871</v>
      </c>
      <c r="M875" s="134">
        <v>0.935483870967742</v>
      </c>
      <c r="N875" s="133">
        <v>0.938661710037175</v>
      </c>
      <c r="O875" s="135">
        <v>0.9</v>
      </c>
      <c r="P875" s="133">
        <v>0.985945945945946</v>
      </c>
      <c r="Q875" s="133">
        <v>0.98292349726776</v>
      </c>
      <c r="R875" s="133">
        <v>0.988367083153813</v>
      </c>
      <c r="S875" s="133">
        <v>0.980660775345264</v>
      </c>
      <c r="T875" s="135">
        <v>0.9</v>
      </c>
      <c r="U875" s="133">
        <v>0.961441441441441</v>
      </c>
      <c r="V875" s="133">
        <v>0.965846994535519</v>
      </c>
      <c r="W875" s="133">
        <v>0.968117190866006</v>
      </c>
      <c r="X875" s="133">
        <v>0.963031218082508</v>
      </c>
      <c r="Y875" s="135">
        <v>0.92</v>
      </c>
      <c r="Z875" s="135">
        <v>0.910924369747899</v>
      </c>
      <c r="AA875" s="135">
        <v>0.933760683760684</v>
      </c>
      <c r="AB875" s="135">
        <v>0.926449787835926</v>
      </c>
      <c r="AC875" s="135">
        <v>0.936229497815211</v>
      </c>
      <c r="AD875" s="135">
        <v>0.92</v>
      </c>
      <c r="AE875" s="133">
        <v>0.975609756097561</v>
      </c>
      <c r="AF875" s="133">
        <v>0.995433789954338</v>
      </c>
      <c r="AG875" s="133">
        <v>0.954802259887006</v>
      </c>
      <c r="AH875" s="133">
        <v>0.98725520671433</v>
      </c>
      <c r="AI875" s="135">
        <v>0.92</v>
      </c>
      <c r="AJ875" s="133">
        <v>0.971513353115727</v>
      </c>
      <c r="AK875" s="133">
        <v>0.976449275362319</v>
      </c>
      <c r="AL875" s="133">
        <v>0.97459584295612</v>
      </c>
      <c r="AM875" s="133">
        <v>0.976382223390967</v>
      </c>
      <c r="AN875" s="132">
        <v>0.99</v>
      </c>
      <c r="AO875" s="137">
        <v>1</v>
      </c>
      <c r="AP875" s="137">
        <v>1</v>
      </c>
      <c r="AQ875" s="137">
        <v>1</v>
      </c>
      <c r="AR875" s="137">
        <v>1</v>
      </c>
      <c r="AS875" s="158">
        <v>0.0810595228934205</v>
      </c>
      <c r="AT875" s="141">
        <v>0.142857142857143</v>
      </c>
      <c r="AU875" s="141">
        <v>0.0769230769230769</v>
      </c>
      <c r="AV875" s="141">
        <v>0</v>
      </c>
      <c r="AW875" s="141">
        <v>0.0357142857142857</v>
      </c>
      <c r="AX875" s="95"/>
      <c r="AY875" s="93"/>
    </row>
    <row r="876" ht="14.5" spans="1:51">
      <c r="A876" s="91"/>
      <c r="B876" s="95"/>
      <c r="C876" s="152" t="s">
        <v>668</v>
      </c>
      <c r="D876" s="153" t="s">
        <v>25</v>
      </c>
      <c r="E876" s="130" t="s">
        <v>669</v>
      </c>
      <c r="F876" s="179" t="s">
        <v>903</v>
      </c>
      <c r="G876" s="179" t="s">
        <v>903</v>
      </c>
      <c r="H876" s="179" t="s">
        <v>903</v>
      </c>
      <c r="I876" s="179" t="s">
        <v>903</v>
      </c>
      <c r="J876" s="132">
        <v>0.9</v>
      </c>
      <c r="K876" s="133">
        <v>0.754385964912281</v>
      </c>
      <c r="L876" s="133">
        <v>0.892857142857143</v>
      </c>
      <c r="M876" s="134">
        <v>0.931034482758621</v>
      </c>
      <c r="N876" s="133">
        <v>0.869336143308746</v>
      </c>
      <c r="O876" s="135">
        <v>0.9</v>
      </c>
      <c r="P876" s="133">
        <v>0.95623113410953</v>
      </c>
      <c r="Q876" s="133">
        <v>0.807700355722955</v>
      </c>
      <c r="R876" s="133">
        <v>0.962067209775967</v>
      </c>
      <c r="S876" s="133">
        <v>0.939647794174858</v>
      </c>
      <c r="T876" s="135">
        <v>0.9</v>
      </c>
      <c r="U876" s="133">
        <v>0.927554980595084</v>
      </c>
      <c r="V876" s="133">
        <v>0.836785938480854</v>
      </c>
      <c r="W876" s="133">
        <v>0.932535641547862</v>
      </c>
      <c r="X876" s="133">
        <v>0.914879269652722</v>
      </c>
      <c r="Y876" s="135">
        <v>0.92</v>
      </c>
      <c r="Z876" s="135">
        <v>0.913811007268951</v>
      </c>
      <c r="AA876" s="135">
        <v>0.909033480732786</v>
      </c>
      <c r="AB876" s="135">
        <v>0.925574030087094</v>
      </c>
      <c r="AC876" s="135">
        <v>0.929838377020287</v>
      </c>
      <c r="AD876" s="135">
        <v>0.92</v>
      </c>
      <c r="AE876" s="133">
        <v>1</v>
      </c>
      <c r="AF876" s="133">
        <v>0.991869918699187</v>
      </c>
      <c r="AG876" s="133">
        <v>1</v>
      </c>
      <c r="AH876" s="133">
        <v>0.989940184883089</v>
      </c>
      <c r="AI876" s="135">
        <v>0.92</v>
      </c>
      <c r="AJ876" s="133">
        <v>0.965905033916458</v>
      </c>
      <c r="AK876" s="133">
        <v>0.95490966221524</v>
      </c>
      <c r="AL876" s="133">
        <v>0.96962706651288</v>
      </c>
      <c r="AM876" s="133">
        <v>0.967726406192833</v>
      </c>
      <c r="AN876" s="132">
        <v>0.99</v>
      </c>
      <c r="AO876" s="137">
        <v>1</v>
      </c>
      <c r="AP876" s="137">
        <v>1</v>
      </c>
      <c r="AQ876" s="137">
        <v>1</v>
      </c>
      <c r="AR876" s="137">
        <v>1</v>
      </c>
      <c r="AS876" s="158">
        <v>0.0810595228934205</v>
      </c>
      <c r="AT876" s="141">
        <v>0</v>
      </c>
      <c r="AU876" s="141">
        <v>0.0555555555555556</v>
      </c>
      <c r="AV876" s="141">
        <v>0</v>
      </c>
      <c r="AW876" s="141">
        <v>0.0769230769230769</v>
      </c>
      <c r="AX876" s="95"/>
      <c r="AY876" s="93"/>
    </row>
    <row r="877" ht="14.5" spans="1:51">
      <c r="A877" s="91"/>
      <c r="B877" s="95"/>
      <c r="C877" s="152" t="s">
        <v>668</v>
      </c>
      <c r="D877" s="153" t="s">
        <v>25</v>
      </c>
      <c r="E877" s="130" t="s">
        <v>669</v>
      </c>
      <c r="F877" s="179" t="s">
        <v>904</v>
      </c>
      <c r="G877" s="179" t="s">
        <v>904</v>
      </c>
      <c r="H877" s="179" t="s">
        <v>904</v>
      </c>
      <c r="I877" s="179" t="s">
        <v>904</v>
      </c>
      <c r="J877" s="132">
        <v>0.9</v>
      </c>
      <c r="K877" s="133">
        <v>0.975</v>
      </c>
      <c r="L877" s="133">
        <v>0.789473684210526</v>
      </c>
      <c r="M877" s="134">
        <v>0.975</v>
      </c>
      <c r="N877" s="133">
        <v>0.885586924219911</v>
      </c>
      <c r="O877" s="135">
        <v>0.9</v>
      </c>
      <c r="P877" s="133">
        <v>0.969407265774379</v>
      </c>
      <c r="Q877" s="133">
        <v>0.952139782223348</v>
      </c>
      <c r="R877" s="133">
        <v>0.974871134020619</v>
      </c>
      <c r="S877" s="133">
        <v>0.949325925320696</v>
      </c>
      <c r="T877" s="135">
        <v>0.9</v>
      </c>
      <c r="U877" s="133">
        <v>0.944277519803332</v>
      </c>
      <c r="V877" s="133">
        <v>0.94201063560395</v>
      </c>
      <c r="W877" s="133">
        <v>0.949420103092783</v>
      </c>
      <c r="X877" s="133">
        <v>0.934177628891249</v>
      </c>
      <c r="Y877" s="135">
        <v>0.92</v>
      </c>
      <c r="Z877" s="135">
        <v>0.935802469135802</v>
      </c>
      <c r="AA877" s="135">
        <v>0.931902294596595</v>
      </c>
      <c r="AB877" s="135">
        <v>0.947208121827411</v>
      </c>
      <c r="AC877" s="135">
        <v>0.937971619761758</v>
      </c>
      <c r="AD877" s="135">
        <v>0.92</v>
      </c>
      <c r="AE877" s="133">
        <v>0.991362763915547</v>
      </c>
      <c r="AF877" s="133">
        <v>0.998482549317147</v>
      </c>
      <c r="AG877" s="133">
        <v>0.994501178318932</v>
      </c>
      <c r="AH877" s="133">
        <v>0.996636208454664</v>
      </c>
      <c r="AI877" s="135">
        <v>0.92</v>
      </c>
      <c r="AJ877" s="133">
        <v>0.973384030418251</v>
      </c>
      <c r="AK877" s="133">
        <v>0.969439728353141</v>
      </c>
      <c r="AL877" s="133">
        <v>0.976545321280235</v>
      </c>
      <c r="AM877" s="133">
        <v>0.972808530276165</v>
      </c>
      <c r="AN877" s="132">
        <v>0.99</v>
      </c>
      <c r="AO877" s="137">
        <v>1</v>
      </c>
      <c r="AP877" s="137">
        <v>1</v>
      </c>
      <c r="AQ877" s="137">
        <v>1</v>
      </c>
      <c r="AR877" s="137">
        <v>1</v>
      </c>
      <c r="AS877" s="158">
        <v>0.0810595228934205</v>
      </c>
      <c r="AT877" s="141">
        <v>0</v>
      </c>
      <c r="AU877" s="141">
        <v>0.0769230769230769</v>
      </c>
      <c r="AV877" s="141">
        <v>0.08</v>
      </c>
      <c r="AW877" s="141">
        <v>0.0299539170506912</v>
      </c>
      <c r="AX877" s="95"/>
      <c r="AY877" s="93"/>
    </row>
    <row r="878" ht="14.5" spans="1:51">
      <c r="A878" s="91"/>
      <c r="B878" s="95"/>
      <c r="C878" s="152" t="s">
        <v>668</v>
      </c>
      <c r="D878" s="153" t="s">
        <v>25</v>
      </c>
      <c r="E878" s="130" t="s">
        <v>669</v>
      </c>
      <c r="F878" s="179" t="s">
        <v>905</v>
      </c>
      <c r="G878" s="179" t="s">
        <v>905</v>
      </c>
      <c r="H878" s="179" t="s">
        <v>905</v>
      </c>
      <c r="I878" s="179" t="s">
        <v>905</v>
      </c>
      <c r="J878" s="132">
        <v>0.9</v>
      </c>
      <c r="K878" s="133">
        <v>1</v>
      </c>
      <c r="L878" s="133">
        <v>1</v>
      </c>
      <c r="M878" s="134">
        <v>1</v>
      </c>
      <c r="N878" s="133">
        <v>0.996644295302013</v>
      </c>
      <c r="O878" s="135">
        <v>0.9</v>
      </c>
      <c r="P878" s="133">
        <v>0.981701738334858</v>
      </c>
      <c r="Q878" s="133">
        <v>0.973821989528796</v>
      </c>
      <c r="R878" s="133">
        <v>0.98294434470377</v>
      </c>
      <c r="S878" s="133">
        <v>0.971580643586113</v>
      </c>
      <c r="T878" s="135">
        <v>0.9</v>
      </c>
      <c r="U878" s="133">
        <v>0.963403476669716</v>
      </c>
      <c r="V878" s="133">
        <v>0.952879581151832</v>
      </c>
      <c r="W878" s="133">
        <v>0.951526032315978</v>
      </c>
      <c r="X878" s="133">
        <v>0.944333219395478</v>
      </c>
      <c r="Y878" s="135">
        <v>0.92</v>
      </c>
      <c r="Z878" s="135">
        <v>0.930735930735931</v>
      </c>
      <c r="AA878" s="135">
        <v>0.926160337552743</v>
      </c>
      <c r="AB878" s="135">
        <v>0.948126801152738</v>
      </c>
      <c r="AC878" s="135">
        <v>0.946848476415751</v>
      </c>
      <c r="AD878" s="135">
        <v>0.92</v>
      </c>
      <c r="AE878" s="133">
        <v>0.987124463519313</v>
      </c>
      <c r="AF878" s="133">
        <v>0.997787610619469</v>
      </c>
      <c r="AG878" s="133">
        <v>0.995753715498938</v>
      </c>
      <c r="AH878" s="133">
        <v>0.996047802766538</v>
      </c>
      <c r="AI878" s="135">
        <v>0.92</v>
      </c>
      <c r="AJ878" s="133">
        <v>0.97583081570997</v>
      </c>
      <c r="AK878" s="133">
        <v>0.969094922737307</v>
      </c>
      <c r="AL878" s="133">
        <v>0.979466119096509</v>
      </c>
      <c r="AM878" s="133">
        <v>0.97615348484301</v>
      </c>
      <c r="AN878" s="132">
        <v>0.99</v>
      </c>
      <c r="AO878" s="137">
        <v>1</v>
      </c>
      <c r="AP878" s="137">
        <v>1</v>
      </c>
      <c r="AQ878" s="137">
        <v>1</v>
      </c>
      <c r="AR878" s="137">
        <v>1</v>
      </c>
      <c r="AS878" s="158">
        <v>0.0810595228934205</v>
      </c>
      <c r="AT878" s="141">
        <v>0</v>
      </c>
      <c r="AU878" s="141">
        <v>0</v>
      </c>
      <c r="AV878" s="141">
        <v>0</v>
      </c>
      <c r="AW878" s="141">
        <v>0.0218978102189781</v>
      </c>
      <c r="AX878" s="95"/>
      <c r="AY878" s="93"/>
    </row>
    <row r="879" ht="14.5" spans="1:51">
      <c r="A879" s="91"/>
      <c r="B879" s="95"/>
      <c r="C879" s="152" t="s">
        <v>668</v>
      </c>
      <c r="D879" s="153" t="s">
        <v>25</v>
      </c>
      <c r="E879" s="130" t="s">
        <v>669</v>
      </c>
      <c r="F879" s="179" t="s">
        <v>906</v>
      </c>
      <c r="G879" s="179" t="s">
        <v>906</v>
      </c>
      <c r="H879" s="179" t="s">
        <v>906</v>
      </c>
      <c r="I879" s="179" t="s">
        <v>906</v>
      </c>
      <c r="J879" s="132">
        <v>0.9</v>
      </c>
      <c r="K879" s="133">
        <v>0.838709677419355</v>
      </c>
      <c r="L879" s="133">
        <v>0.875</v>
      </c>
      <c r="M879" s="134">
        <v>0.882352941176471</v>
      </c>
      <c r="N879" s="133">
        <v>0.83001808318264</v>
      </c>
      <c r="O879" s="135">
        <v>0.9</v>
      </c>
      <c r="P879" s="133">
        <v>0.974701335207309</v>
      </c>
      <c r="Q879" s="133">
        <v>0.969518190757129</v>
      </c>
      <c r="R879" s="133">
        <v>0.981697171381032</v>
      </c>
      <c r="S879" s="133">
        <v>0.976970968245822</v>
      </c>
      <c r="T879" s="135">
        <v>0.9</v>
      </c>
      <c r="U879" s="133">
        <v>0.966268446943078</v>
      </c>
      <c r="V879" s="133">
        <v>0.958374303507047</v>
      </c>
      <c r="W879" s="133">
        <v>0.974209650582363</v>
      </c>
      <c r="X879" s="133">
        <v>0.966862294423493</v>
      </c>
      <c r="Y879" s="135">
        <v>0.92</v>
      </c>
      <c r="Z879" s="135">
        <v>0.954621848739496</v>
      </c>
      <c r="AA879" s="135">
        <v>0.964439655172414</v>
      </c>
      <c r="AB879" s="135">
        <v>0.978171896316507</v>
      </c>
      <c r="AC879" s="135">
        <v>0.973559235014761</v>
      </c>
      <c r="AD879" s="135">
        <v>0.92</v>
      </c>
      <c r="AE879" s="133">
        <v>1</v>
      </c>
      <c r="AF879" s="133">
        <v>1</v>
      </c>
      <c r="AG879" s="133">
        <v>1</v>
      </c>
      <c r="AH879" s="133">
        <v>0.998749106504646</v>
      </c>
      <c r="AI879" s="135">
        <v>0.92</v>
      </c>
      <c r="AJ879" s="133">
        <v>0.983149331783847</v>
      </c>
      <c r="AK879" s="133">
        <v>0.987939698492462</v>
      </c>
      <c r="AL879" s="133">
        <v>0.991079961771265</v>
      </c>
      <c r="AM879" s="133">
        <v>0.989408532750803</v>
      </c>
      <c r="AN879" s="132">
        <v>0.99</v>
      </c>
      <c r="AO879" s="137">
        <v>1</v>
      </c>
      <c r="AP879" s="137">
        <v>1</v>
      </c>
      <c r="AQ879" s="137">
        <v>1</v>
      </c>
      <c r="AR879" s="137">
        <v>1</v>
      </c>
      <c r="AS879" s="158">
        <v>0.0810595228934205</v>
      </c>
      <c r="AT879" s="141">
        <v>0</v>
      </c>
      <c r="AU879" s="141">
        <v>0.0588235294117647</v>
      </c>
      <c r="AV879" s="141">
        <v>0</v>
      </c>
      <c r="AW879" s="141">
        <v>0.0183150183150183</v>
      </c>
      <c r="AX879" s="95"/>
      <c r="AY879" s="93"/>
    </row>
    <row r="880" ht="14.5" spans="1:51">
      <c r="A880" s="91"/>
      <c r="B880" s="95"/>
      <c r="C880" s="152" t="s">
        <v>668</v>
      </c>
      <c r="D880" s="153" t="s">
        <v>25</v>
      </c>
      <c r="E880" s="130" t="s">
        <v>669</v>
      </c>
      <c r="F880" s="179" t="s">
        <v>907</v>
      </c>
      <c r="G880" s="179" t="s">
        <v>907</v>
      </c>
      <c r="H880" s="179" t="s">
        <v>907</v>
      </c>
      <c r="I880" s="179" t="s">
        <v>907</v>
      </c>
      <c r="J880" s="132">
        <v>0.9</v>
      </c>
      <c r="K880" s="133">
        <v>0.91304347826087</v>
      </c>
      <c r="L880" s="133">
        <v>1</v>
      </c>
      <c r="M880" s="134">
        <v>1</v>
      </c>
      <c r="N880" s="133">
        <v>0.977777777777778</v>
      </c>
      <c r="O880" s="135">
        <v>0.9</v>
      </c>
      <c r="P880" s="133">
        <v>0.961114335461405</v>
      </c>
      <c r="Q880" s="133">
        <v>0.961864406779661</v>
      </c>
      <c r="R880" s="133">
        <v>0.965469613259669</v>
      </c>
      <c r="S880" s="133">
        <v>0.964122494512217</v>
      </c>
      <c r="T880" s="135">
        <v>0.9</v>
      </c>
      <c r="U880" s="133">
        <v>0.937318630295995</v>
      </c>
      <c r="V880" s="133">
        <v>0.945974576271186</v>
      </c>
      <c r="W880" s="133">
        <v>0.953729281767956</v>
      </c>
      <c r="X880" s="133">
        <v>0.953542768721437</v>
      </c>
      <c r="Y880" s="135">
        <v>0.92</v>
      </c>
      <c r="Z880" s="135">
        <v>0.926345609065156</v>
      </c>
      <c r="AA880" s="135">
        <v>0.926751592356688</v>
      </c>
      <c r="AB880" s="135">
        <v>0.95131845841785</v>
      </c>
      <c r="AC880" s="135">
        <v>0.94421947762705</v>
      </c>
      <c r="AD880" s="135">
        <v>0.92</v>
      </c>
      <c r="AE880" s="133">
        <v>0.997772828507795</v>
      </c>
      <c r="AF880" s="133">
        <v>0.997237569060773</v>
      </c>
      <c r="AG880" s="133">
        <v>1</v>
      </c>
      <c r="AH880" s="133">
        <v>0.998688524590164</v>
      </c>
      <c r="AI880" s="135">
        <v>0.92</v>
      </c>
      <c r="AJ880" s="133">
        <v>0.967726396917148</v>
      </c>
      <c r="AK880" s="133">
        <v>0.975755166931638</v>
      </c>
      <c r="AL880" s="133">
        <v>0.976828012358393</v>
      </c>
      <c r="AM880" s="133">
        <v>0.978391292805946</v>
      </c>
      <c r="AN880" s="132">
        <v>0.99</v>
      </c>
      <c r="AO880" s="137">
        <v>1</v>
      </c>
      <c r="AP880" s="137">
        <v>1</v>
      </c>
      <c r="AQ880" s="137" t="s">
        <v>35</v>
      </c>
      <c r="AR880" s="137">
        <v>1</v>
      </c>
      <c r="AS880" s="158">
        <v>0.0810595228934205</v>
      </c>
      <c r="AT880" s="141">
        <v>0</v>
      </c>
      <c r="AU880" s="141">
        <v>0</v>
      </c>
      <c r="AV880" s="141">
        <v>0</v>
      </c>
      <c r="AW880" s="141">
        <v>0.0229885057471264</v>
      </c>
      <c r="AX880" s="95"/>
      <c r="AY880" s="93"/>
    </row>
    <row r="881" ht="14.5" spans="1:51">
      <c r="A881" s="91"/>
      <c r="B881" s="95"/>
      <c r="C881" s="152" t="s">
        <v>668</v>
      </c>
      <c r="D881" s="153" t="s">
        <v>25</v>
      </c>
      <c r="E881" s="130" t="s">
        <v>669</v>
      </c>
      <c r="F881" s="179" t="s">
        <v>908</v>
      </c>
      <c r="G881" s="179" t="s">
        <v>908</v>
      </c>
      <c r="H881" s="179" t="s">
        <v>908</v>
      </c>
      <c r="I881" s="179" t="s">
        <v>908</v>
      </c>
      <c r="J881" s="132">
        <v>0.9</v>
      </c>
      <c r="K881" s="133">
        <v>0.958333333333333</v>
      </c>
      <c r="L881" s="133">
        <v>0.956521739130435</v>
      </c>
      <c r="M881" s="134">
        <v>0.916666666666667</v>
      </c>
      <c r="N881" s="133">
        <v>0.902912621359223</v>
      </c>
      <c r="O881" s="135">
        <v>0.9</v>
      </c>
      <c r="P881" s="133">
        <v>0.994830557151063</v>
      </c>
      <c r="Q881" s="133">
        <v>0.996681415929204</v>
      </c>
      <c r="R881" s="133">
        <v>0.984649122807018</v>
      </c>
      <c r="S881" s="133">
        <v>0.985882841424172</v>
      </c>
      <c r="T881" s="135">
        <v>0.9</v>
      </c>
      <c r="U881" s="133">
        <v>0.966111430212522</v>
      </c>
      <c r="V881" s="133">
        <v>0.962389380530973</v>
      </c>
      <c r="W881" s="133">
        <v>0.966374269005848</v>
      </c>
      <c r="X881" s="133">
        <v>0.955676274177364</v>
      </c>
      <c r="Y881" s="135">
        <v>0.92</v>
      </c>
      <c r="Z881" s="135">
        <v>0.949238578680203</v>
      </c>
      <c r="AA881" s="135">
        <v>0.951585976627713</v>
      </c>
      <c r="AB881" s="135">
        <v>0.967811158798283</v>
      </c>
      <c r="AC881" s="135">
        <v>0.950299401197605</v>
      </c>
      <c r="AD881" s="135">
        <v>0.92</v>
      </c>
      <c r="AE881" s="133">
        <v>1</v>
      </c>
      <c r="AF881" s="133">
        <v>1</v>
      </c>
      <c r="AG881" s="133">
        <v>1</v>
      </c>
      <c r="AH881" s="133">
        <v>1</v>
      </c>
      <c r="AI881" s="135">
        <v>0.92</v>
      </c>
      <c r="AJ881" s="133">
        <v>0.983614232209738</v>
      </c>
      <c r="AK881" s="133">
        <v>0.982550893228085</v>
      </c>
      <c r="AL881" s="133">
        <v>0.986376021798365</v>
      </c>
      <c r="AM881" s="133">
        <v>0.979507460003595</v>
      </c>
      <c r="AN881" s="132">
        <v>0.99</v>
      </c>
      <c r="AO881" s="137">
        <v>1</v>
      </c>
      <c r="AP881" s="137">
        <v>1</v>
      </c>
      <c r="AQ881" s="137">
        <v>1</v>
      </c>
      <c r="AR881" s="137">
        <v>1</v>
      </c>
      <c r="AS881" s="158">
        <v>0.0810595228934205</v>
      </c>
      <c r="AT881" s="141">
        <v>0</v>
      </c>
      <c r="AU881" s="141">
        <v>0</v>
      </c>
      <c r="AV881" s="141">
        <v>0</v>
      </c>
      <c r="AW881" s="141">
        <v>0.03125</v>
      </c>
      <c r="AX881" s="95"/>
      <c r="AY881" s="93"/>
    </row>
    <row r="882" ht="14.5" spans="1:51">
      <c r="A882" s="91"/>
      <c r="B882" s="95"/>
      <c r="C882" s="152" t="s">
        <v>668</v>
      </c>
      <c r="D882" s="153" t="s">
        <v>25</v>
      </c>
      <c r="E882" s="130" t="s">
        <v>669</v>
      </c>
      <c r="F882" s="179" t="s">
        <v>909</v>
      </c>
      <c r="G882" s="179" t="s">
        <v>909</v>
      </c>
      <c r="H882" s="179" t="s">
        <v>909</v>
      </c>
      <c r="I882" s="179" t="s">
        <v>909</v>
      </c>
      <c r="J882" s="132">
        <v>0.9</v>
      </c>
      <c r="K882" s="133">
        <v>0.84</v>
      </c>
      <c r="L882" s="133">
        <v>0.875</v>
      </c>
      <c r="M882" s="134">
        <v>0.916666666666667</v>
      </c>
      <c r="N882" s="133">
        <v>0.868663594470046</v>
      </c>
      <c r="O882" s="135">
        <v>0.9</v>
      </c>
      <c r="P882" s="133">
        <v>0.934993668214437</v>
      </c>
      <c r="Q882" s="133">
        <v>0.945200155460552</v>
      </c>
      <c r="R882" s="133">
        <v>0.933639612046963</v>
      </c>
      <c r="S882" s="133">
        <v>0.932189211113364</v>
      </c>
      <c r="T882" s="135">
        <v>0.9</v>
      </c>
      <c r="U882" s="133">
        <v>0.926973406500633</v>
      </c>
      <c r="V882" s="133">
        <v>0.92537893509522</v>
      </c>
      <c r="W882" s="133">
        <v>0.936191934660541</v>
      </c>
      <c r="X882" s="133">
        <v>0.918779152301764</v>
      </c>
      <c r="Y882" s="135">
        <v>0.92</v>
      </c>
      <c r="Z882" s="135">
        <v>0.927107061503417</v>
      </c>
      <c r="AA882" s="135">
        <v>0.906056860321384</v>
      </c>
      <c r="AB882" s="135">
        <v>0.925862068965517</v>
      </c>
      <c r="AC882" s="135">
        <v>0.915268082578345</v>
      </c>
      <c r="AD882" s="135">
        <v>0.92</v>
      </c>
      <c r="AE882" s="133">
        <v>1</v>
      </c>
      <c r="AF882" s="133">
        <v>0.993880048959608</v>
      </c>
      <c r="AG882" s="133">
        <v>0.997794928335171</v>
      </c>
      <c r="AH882" s="133">
        <v>0.992984173600914</v>
      </c>
      <c r="AI882" s="135">
        <v>0.92</v>
      </c>
      <c r="AJ882" s="133">
        <v>0.959772160911356</v>
      </c>
      <c r="AK882" s="133">
        <v>0.95951536643026</v>
      </c>
      <c r="AL882" s="133">
        <v>0.965354330708661</v>
      </c>
      <c r="AM882" s="133">
        <v>0.963251123616724</v>
      </c>
      <c r="AN882" s="132">
        <v>0.99</v>
      </c>
      <c r="AO882" s="137">
        <v>1</v>
      </c>
      <c r="AP882" s="137">
        <v>1</v>
      </c>
      <c r="AQ882" s="137">
        <v>1</v>
      </c>
      <c r="AR882" s="137">
        <v>1</v>
      </c>
      <c r="AS882" s="158">
        <v>0.0810595228934205</v>
      </c>
      <c r="AT882" s="141">
        <v>0</v>
      </c>
      <c r="AU882" s="141">
        <v>0</v>
      </c>
      <c r="AV882" s="141">
        <v>0</v>
      </c>
      <c r="AW882" s="141">
        <v>0.0204081632653061</v>
      </c>
      <c r="AX882" s="95"/>
      <c r="AY882" s="93"/>
    </row>
    <row r="883" ht="14.5" spans="1:51">
      <c r="A883" s="91"/>
      <c r="B883" s="95"/>
      <c r="C883" s="152" t="s">
        <v>668</v>
      </c>
      <c r="D883" s="153" t="s">
        <v>25</v>
      </c>
      <c r="E883" s="130" t="s">
        <v>669</v>
      </c>
      <c r="F883" s="179" t="s">
        <v>910</v>
      </c>
      <c r="G883" s="179" t="s">
        <v>910</v>
      </c>
      <c r="H883" s="179" t="s">
        <v>910</v>
      </c>
      <c r="I883" s="179" t="s">
        <v>910</v>
      </c>
      <c r="J883" s="132">
        <v>0.9</v>
      </c>
      <c r="K883" s="133">
        <v>1</v>
      </c>
      <c r="L883" s="133">
        <v>1</v>
      </c>
      <c r="M883" s="134">
        <v>1</v>
      </c>
      <c r="N883" s="133">
        <v>0.985858585858586</v>
      </c>
      <c r="O883" s="135">
        <v>0.9</v>
      </c>
      <c r="P883" s="133">
        <v>0.913758292471878</v>
      </c>
      <c r="Q883" s="133">
        <v>0.975967619529471</v>
      </c>
      <c r="R883" s="133">
        <v>0.978822796636562</v>
      </c>
      <c r="S883" s="133">
        <v>0.967932439614953</v>
      </c>
      <c r="T883" s="135">
        <v>0.9</v>
      </c>
      <c r="U883" s="133">
        <v>0.924430343236227</v>
      </c>
      <c r="V883" s="133">
        <v>0.919048823678219</v>
      </c>
      <c r="W883" s="133">
        <v>0.935845530987231</v>
      </c>
      <c r="X883" s="133">
        <v>0.936484970176578</v>
      </c>
      <c r="Y883" s="135">
        <v>0.92</v>
      </c>
      <c r="Z883" s="135">
        <v>0.912457912457912</v>
      </c>
      <c r="AA883" s="135">
        <v>0.920997920997921</v>
      </c>
      <c r="AB883" s="135">
        <v>0.964792433000526</v>
      </c>
      <c r="AC883" s="135">
        <v>0.949785140942137</v>
      </c>
      <c r="AD883" s="135">
        <v>0.92</v>
      </c>
      <c r="AE883" s="133">
        <v>0.996563573883162</v>
      </c>
      <c r="AF883" s="133">
        <v>1</v>
      </c>
      <c r="AG883" s="133">
        <v>1</v>
      </c>
      <c r="AH883" s="133">
        <v>0.982149046793761</v>
      </c>
      <c r="AI883" s="135">
        <v>0.92</v>
      </c>
      <c r="AJ883" s="133">
        <v>0.951812758145938</v>
      </c>
      <c r="AK883" s="133">
        <v>0.94998427178358</v>
      </c>
      <c r="AL883" s="133">
        <v>0.978685960109503</v>
      </c>
      <c r="AM883" s="133">
        <v>0.970621652329167</v>
      </c>
      <c r="AN883" s="132">
        <v>0.99</v>
      </c>
      <c r="AO883" s="137">
        <v>1</v>
      </c>
      <c r="AP883" s="137">
        <v>1</v>
      </c>
      <c r="AQ883" s="137">
        <v>1</v>
      </c>
      <c r="AR883" s="137">
        <v>1</v>
      </c>
      <c r="AS883" s="158">
        <v>0.0810595228934205</v>
      </c>
      <c r="AT883" s="141">
        <v>0</v>
      </c>
      <c r="AU883" s="141">
        <v>0</v>
      </c>
      <c r="AV883" s="141">
        <v>0.0232558139534884</v>
      </c>
      <c r="AW883" s="141">
        <v>0.00884955752212389</v>
      </c>
      <c r="AX883" s="95"/>
      <c r="AY883" s="93"/>
    </row>
    <row r="884" ht="14.5" spans="1:51">
      <c r="A884" s="91"/>
      <c r="B884" s="95"/>
      <c r="C884" s="152" t="s">
        <v>668</v>
      </c>
      <c r="D884" s="153" t="s">
        <v>25</v>
      </c>
      <c r="E884" s="130" t="s">
        <v>669</v>
      </c>
      <c r="F884" s="179" t="s">
        <v>911</v>
      </c>
      <c r="G884" s="179" t="s">
        <v>911</v>
      </c>
      <c r="H884" s="179" t="s">
        <v>911</v>
      </c>
      <c r="I884" s="179" t="s">
        <v>911</v>
      </c>
      <c r="J884" s="132">
        <v>0.9</v>
      </c>
      <c r="K884" s="133" t="s">
        <v>35</v>
      </c>
      <c r="L884" s="133" t="s">
        <v>35</v>
      </c>
      <c r="M884" s="134" t="s">
        <v>35</v>
      </c>
      <c r="N884" s="133" t="s">
        <v>35</v>
      </c>
      <c r="O884" s="135">
        <v>0.9</v>
      </c>
      <c r="P884" s="133" t="s">
        <v>35</v>
      </c>
      <c r="Q884" s="133" t="s">
        <v>35</v>
      </c>
      <c r="R884" s="133" t="s">
        <v>35</v>
      </c>
      <c r="S884" s="133" t="s">
        <v>35</v>
      </c>
      <c r="T884" s="135">
        <v>0.9</v>
      </c>
      <c r="U884" s="133" t="s">
        <v>35</v>
      </c>
      <c r="V884" s="133" t="s">
        <v>35</v>
      </c>
      <c r="W884" s="133" t="s">
        <v>35</v>
      </c>
      <c r="X884" s="133" t="s">
        <v>35</v>
      </c>
      <c r="Y884" s="135">
        <v>0.92</v>
      </c>
      <c r="Z884" s="135" t="s">
        <v>35</v>
      </c>
      <c r="AA884" s="135" t="s">
        <v>35</v>
      </c>
      <c r="AB884" s="135" t="s">
        <v>35</v>
      </c>
      <c r="AC884" s="135" t="s">
        <v>35</v>
      </c>
      <c r="AD884" s="135">
        <v>0.92</v>
      </c>
      <c r="AE884" s="133" t="s">
        <v>35</v>
      </c>
      <c r="AF884" s="133" t="s">
        <v>35</v>
      </c>
      <c r="AG884" s="133" t="s">
        <v>35</v>
      </c>
      <c r="AH884" s="133">
        <v>1</v>
      </c>
      <c r="AI884" s="135">
        <v>0.92</v>
      </c>
      <c r="AJ884" s="133" t="s">
        <v>35</v>
      </c>
      <c r="AK884" s="133" t="s">
        <v>35</v>
      </c>
      <c r="AL884" s="133" t="s">
        <v>35</v>
      </c>
      <c r="AM884" s="133" t="s">
        <v>35</v>
      </c>
      <c r="AN884" s="132">
        <v>0.99</v>
      </c>
      <c r="AO884" s="137" t="s">
        <v>35</v>
      </c>
      <c r="AP884" s="137" t="s">
        <v>35</v>
      </c>
      <c r="AQ884" s="137" t="s">
        <v>35</v>
      </c>
      <c r="AR884" s="137" t="s">
        <v>35</v>
      </c>
      <c r="AS884" s="158">
        <v>0.0810595228934205</v>
      </c>
      <c r="AT884" s="141" t="s">
        <v>35</v>
      </c>
      <c r="AU884" s="141" t="s">
        <v>35</v>
      </c>
      <c r="AV884" s="141" t="s">
        <v>35</v>
      </c>
      <c r="AW884" s="141" t="s">
        <v>35</v>
      </c>
      <c r="AX884" s="95"/>
      <c r="AY884" s="93"/>
    </row>
    <row r="885" ht="14.5" spans="1:51">
      <c r="A885" s="91"/>
      <c r="B885" s="95"/>
      <c r="C885" s="152" t="s">
        <v>668</v>
      </c>
      <c r="D885" s="153" t="s">
        <v>25</v>
      </c>
      <c r="E885" s="130" t="s">
        <v>669</v>
      </c>
      <c r="F885" s="179" t="s">
        <v>912</v>
      </c>
      <c r="G885" s="179" t="s">
        <v>912</v>
      </c>
      <c r="H885" s="179" t="s">
        <v>912</v>
      </c>
      <c r="I885" s="179" t="s">
        <v>912</v>
      </c>
      <c r="J885" s="132">
        <v>0.9</v>
      </c>
      <c r="K885" s="133">
        <v>1</v>
      </c>
      <c r="L885" s="133">
        <v>1</v>
      </c>
      <c r="M885" s="134">
        <v>1</v>
      </c>
      <c r="N885" s="133">
        <v>1</v>
      </c>
      <c r="O885" s="135">
        <v>0.9</v>
      </c>
      <c r="P885" s="133">
        <v>0.984387838948233</v>
      </c>
      <c r="Q885" s="133">
        <v>0.978030303030303</v>
      </c>
      <c r="R885" s="133">
        <v>0.984244670991659</v>
      </c>
      <c r="S885" s="133">
        <v>0.98272198096646</v>
      </c>
      <c r="T885" s="135">
        <v>0.9</v>
      </c>
      <c r="U885" s="133">
        <v>0.926869350862777</v>
      </c>
      <c r="V885" s="133">
        <v>0.939393939393939</v>
      </c>
      <c r="W885" s="133">
        <v>0.942539388322521</v>
      </c>
      <c r="X885" s="133">
        <v>0.941605839416058</v>
      </c>
      <c r="Y885" s="135">
        <v>0.92</v>
      </c>
      <c r="Z885" s="135">
        <v>0.946996466431095</v>
      </c>
      <c r="AA885" s="135">
        <v>0.93888166449935</v>
      </c>
      <c r="AB885" s="135">
        <v>0.955673758865248</v>
      </c>
      <c r="AC885" s="135">
        <v>0.951040391676867</v>
      </c>
      <c r="AD885" s="135">
        <v>0.92</v>
      </c>
      <c r="AE885" s="133">
        <v>0.997685185185185</v>
      </c>
      <c r="AF885" s="133">
        <v>1</v>
      </c>
      <c r="AG885" s="133">
        <v>0.998613037447989</v>
      </c>
      <c r="AH885" s="133">
        <v>0.997916106480237</v>
      </c>
      <c r="AI885" s="135">
        <v>0.92</v>
      </c>
      <c r="AJ885" s="133">
        <v>0.966666666666667</v>
      </c>
      <c r="AK885" s="133">
        <v>0.961704164672092</v>
      </c>
      <c r="AL885" s="133">
        <v>0.976262933657943</v>
      </c>
      <c r="AM885" s="133">
        <v>0.971378487019071</v>
      </c>
      <c r="AN885" s="132">
        <v>0.99</v>
      </c>
      <c r="AO885" s="137">
        <v>1</v>
      </c>
      <c r="AP885" s="137">
        <v>1</v>
      </c>
      <c r="AQ885" s="137">
        <v>1</v>
      </c>
      <c r="AR885" s="137">
        <v>1</v>
      </c>
      <c r="AS885" s="158">
        <v>0.0810595228934205</v>
      </c>
      <c r="AT885" s="141">
        <v>0</v>
      </c>
      <c r="AU885" s="141">
        <v>0</v>
      </c>
      <c r="AV885" s="141">
        <v>0</v>
      </c>
      <c r="AW885" s="141">
        <v>0.0137931034482759</v>
      </c>
      <c r="AX885" s="95"/>
      <c r="AY885" s="93"/>
    </row>
    <row r="886" ht="14.5" spans="1:51">
      <c r="A886" s="91"/>
      <c r="B886" s="95"/>
      <c r="C886" s="152" t="s">
        <v>668</v>
      </c>
      <c r="D886" s="153" t="s">
        <v>25</v>
      </c>
      <c r="E886" s="130" t="s">
        <v>669</v>
      </c>
      <c r="F886" s="179" t="s">
        <v>913</v>
      </c>
      <c r="G886" s="179" t="s">
        <v>913</v>
      </c>
      <c r="H886" s="179" t="s">
        <v>913</v>
      </c>
      <c r="I886" s="179" t="s">
        <v>913</v>
      </c>
      <c r="J886" s="132">
        <v>0.9</v>
      </c>
      <c r="K886" s="133">
        <v>1</v>
      </c>
      <c r="L886" s="133">
        <v>0.976744186046512</v>
      </c>
      <c r="M886" s="134">
        <v>0.930232558139535</v>
      </c>
      <c r="N886" s="133">
        <v>0.964190981432361</v>
      </c>
      <c r="O886" s="135">
        <v>0.9</v>
      </c>
      <c r="P886" s="133">
        <v>0.895450917797286</v>
      </c>
      <c r="Q886" s="133">
        <v>0.914705882352941</v>
      </c>
      <c r="R886" s="133">
        <v>0.92893600314095</v>
      </c>
      <c r="S886" s="133">
        <v>0.922803482492491</v>
      </c>
      <c r="T886" s="135">
        <v>0.9</v>
      </c>
      <c r="U886" s="133">
        <v>0.879489225857941</v>
      </c>
      <c r="V886" s="133">
        <v>0.894771241830065</v>
      </c>
      <c r="W886" s="133">
        <v>0.90616411464468</v>
      </c>
      <c r="X886" s="133">
        <v>0.907634110177546</v>
      </c>
      <c r="Y886" s="135">
        <v>0.92</v>
      </c>
      <c r="Z886" s="135">
        <v>0.873684210526316</v>
      </c>
      <c r="AA886" s="135">
        <v>0.908351409978308</v>
      </c>
      <c r="AB886" s="135">
        <v>0.942612137203166</v>
      </c>
      <c r="AC886" s="135">
        <v>0.931183486893793</v>
      </c>
      <c r="AD886" s="135">
        <v>0.92</v>
      </c>
      <c r="AE886" s="133">
        <v>1</v>
      </c>
      <c r="AF886" s="133">
        <v>0.997752808988764</v>
      </c>
      <c r="AG886" s="133">
        <v>0.995620437956204</v>
      </c>
      <c r="AH886" s="133">
        <v>0.995439368026712</v>
      </c>
      <c r="AI886" s="135">
        <v>0.92</v>
      </c>
      <c r="AJ886" s="133">
        <v>0.927467675812047</v>
      </c>
      <c r="AK886" s="133">
        <v>0.942711518858308</v>
      </c>
      <c r="AL886" s="133">
        <v>0.961860236220472</v>
      </c>
      <c r="AM886" s="133">
        <v>0.957737393785276</v>
      </c>
      <c r="AN886" s="132">
        <v>0.99</v>
      </c>
      <c r="AO886" s="137">
        <v>1</v>
      </c>
      <c r="AP886" s="137">
        <v>1</v>
      </c>
      <c r="AQ886" s="137">
        <v>1</v>
      </c>
      <c r="AR886" s="137">
        <v>1</v>
      </c>
      <c r="AS886" s="158">
        <v>0.0810595228934205</v>
      </c>
      <c r="AT886" s="141">
        <v>0.131578947368421</v>
      </c>
      <c r="AU886" s="141">
        <v>0.032258064516129</v>
      </c>
      <c r="AV886" s="141">
        <v>0.0277777777777778</v>
      </c>
      <c r="AW886" s="141">
        <v>0.047808764940239</v>
      </c>
      <c r="AX886" s="95"/>
      <c r="AY886" s="93"/>
    </row>
    <row r="887" ht="14.5" spans="1:51">
      <c r="A887" s="91"/>
      <c r="B887" s="95"/>
      <c r="C887" s="152" t="s">
        <v>668</v>
      </c>
      <c r="D887" s="153" t="s">
        <v>25</v>
      </c>
      <c r="E887" s="130" t="s">
        <v>669</v>
      </c>
      <c r="F887" s="179" t="s">
        <v>914</v>
      </c>
      <c r="G887" s="179" t="s">
        <v>914</v>
      </c>
      <c r="H887" s="179" t="s">
        <v>914</v>
      </c>
      <c r="I887" s="179" t="s">
        <v>914</v>
      </c>
      <c r="J887" s="132">
        <v>0.9</v>
      </c>
      <c r="K887" s="133" t="s">
        <v>35</v>
      </c>
      <c r="L887" s="133" t="s">
        <v>35</v>
      </c>
      <c r="M887" s="134" t="s">
        <v>35</v>
      </c>
      <c r="N887" s="133" t="s">
        <v>35</v>
      </c>
      <c r="O887" s="135">
        <v>0.9</v>
      </c>
      <c r="P887" s="133" t="s">
        <v>35</v>
      </c>
      <c r="Q887" s="133" t="s">
        <v>35</v>
      </c>
      <c r="R887" s="133" t="s">
        <v>35</v>
      </c>
      <c r="S887" s="133">
        <v>0</v>
      </c>
      <c r="T887" s="135">
        <v>0.9</v>
      </c>
      <c r="U887" s="133" t="s">
        <v>35</v>
      </c>
      <c r="V887" s="133" t="s">
        <v>35</v>
      </c>
      <c r="W887" s="133" t="s">
        <v>35</v>
      </c>
      <c r="X887" s="133">
        <v>1</v>
      </c>
      <c r="Y887" s="135">
        <v>0.92</v>
      </c>
      <c r="Z887" s="135" t="s">
        <v>35</v>
      </c>
      <c r="AA887" s="135" t="s">
        <v>35</v>
      </c>
      <c r="AB887" s="135" t="s">
        <v>35</v>
      </c>
      <c r="AC887" s="135">
        <v>1</v>
      </c>
      <c r="AD887" s="135">
        <v>0.92</v>
      </c>
      <c r="AE887" s="133">
        <v>1</v>
      </c>
      <c r="AF887" s="133">
        <v>1</v>
      </c>
      <c r="AG887" s="133">
        <v>1</v>
      </c>
      <c r="AH887" s="133">
        <v>0.998772169167804</v>
      </c>
      <c r="AI887" s="135">
        <v>0.92</v>
      </c>
      <c r="AJ887" s="133" t="s">
        <v>35</v>
      </c>
      <c r="AK887" s="133" t="s">
        <v>35</v>
      </c>
      <c r="AL887" s="133" t="s">
        <v>35</v>
      </c>
      <c r="AM887" s="133">
        <v>1</v>
      </c>
      <c r="AN887" s="132">
        <v>0.99</v>
      </c>
      <c r="AO887" s="137" t="s">
        <v>35</v>
      </c>
      <c r="AP887" s="137" t="s">
        <v>35</v>
      </c>
      <c r="AQ887" s="137" t="s">
        <v>35</v>
      </c>
      <c r="AR887" s="137">
        <v>1</v>
      </c>
      <c r="AS887" s="158">
        <v>0.0810595228934205</v>
      </c>
      <c r="AT887" s="141" t="s">
        <v>35</v>
      </c>
      <c r="AU887" s="141" t="s">
        <v>35</v>
      </c>
      <c r="AV887" s="141" t="s">
        <v>35</v>
      </c>
      <c r="AW887" s="141" t="s">
        <v>35</v>
      </c>
      <c r="AX887" s="95"/>
      <c r="AY887" s="93"/>
    </row>
    <row r="888" ht="14.5" spans="1:51">
      <c r="A888" s="91"/>
      <c r="B888" s="95"/>
      <c r="C888" s="152" t="s">
        <v>668</v>
      </c>
      <c r="D888" s="153" t="s">
        <v>25</v>
      </c>
      <c r="E888" s="130" t="s">
        <v>669</v>
      </c>
      <c r="F888" s="179" t="s">
        <v>915</v>
      </c>
      <c r="G888" s="179" t="s">
        <v>915</v>
      </c>
      <c r="H888" s="179" t="s">
        <v>915</v>
      </c>
      <c r="I888" s="179" t="s">
        <v>915</v>
      </c>
      <c r="J888" s="132">
        <v>0.9</v>
      </c>
      <c r="K888" s="133" t="s">
        <v>35</v>
      </c>
      <c r="L888" s="133" t="s">
        <v>35</v>
      </c>
      <c r="M888" s="134" t="s">
        <v>35</v>
      </c>
      <c r="N888" s="133" t="s">
        <v>35</v>
      </c>
      <c r="O888" s="135">
        <v>0.9</v>
      </c>
      <c r="P888" s="133" t="s">
        <v>35</v>
      </c>
      <c r="Q888" s="133" t="s">
        <v>35</v>
      </c>
      <c r="R888" s="133" t="s">
        <v>35</v>
      </c>
      <c r="S888" s="133">
        <v>1</v>
      </c>
      <c r="T888" s="135">
        <v>0.9</v>
      </c>
      <c r="U888" s="133" t="s">
        <v>35</v>
      </c>
      <c r="V888" s="133" t="s">
        <v>35</v>
      </c>
      <c r="W888" s="133" t="s">
        <v>35</v>
      </c>
      <c r="X888" s="133">
        <v>1</v>
      </c>
      <c r="Y888" s="135">
        <v>0.92</v>
      </c>
      <c r="Z888" s="135" t="s">
        <v>35</v>
      </c>
      <c r="AA888" s="135" t="s">
        <v>35</v>
      </c>
      <c r="AB888" s="135" t="s">
        <v>35</v>
      </c>
      <c r="AC888" s="135" t="s">
        <v>35</v>
      </c>
      <c r="AD888" s="135">
        <v>0.92</v>
      </c>
      <c r="AE888" s="133">
        <v>1</v>
      </c>
      <c r="AF888" s="133" t="s">
        <v>35</v>
      </c>
      <c r="AG888" s="133">
        <v>0.998740554156171</v>
      </c>
      <c r="AH888" s="133">
        <v>0.998273215656178</v>
      </c>
      <c r="AI888" s="135">
        <v>0.92</v>
      </c>
      <c r="AJ888" s="133" t="s">
        <v>35</v>
      </c>
      <c r="AK888" s="133">
        <v>0</v>
      </c>
      <c r="AL888" s="133" t="s">
        <v>35</v>
      </c>
      <c r="AM888" s="133">
        <v>0.857142857142857</v>
      </c>
      <c r="AN888" s="132">
        <v>0.99</v>
      </c>
      <c r="AO888" s="137">
        <v>1</v>
      </c>
      <c r="AP888" s="137" t="s">
        <v>35</v>
      </c>
      <c r="AQ888" s="137" t="s">
        <v>35</v>
      </c>
      <c r="AR888" s="137">
        <v>1</v>
      </c>
      <c r="AS888" s="158">
        <v>0.0810595228934205</v>
      </c>
      <c r="AT888" s="141" t="s">
        <v>35</v>
      </c>
      <c r="AU888" s="141" t="s">
        <v>35</v>
      </c>
      <c r="AV888" s="141" t="s">
        <v>35</v>
      </c>
      <c r="AW888" s="141" t="s">
        <v>35</v>
      </c>
      <c r="AX888" s="95"/>
      <c r="AY888" s="93"/>
    </row>
    <row r="889" ht="14.5" spans="1:51">
      <c r="A889" s="91"/>
      <c r="B889" s="95"/>
      <c r="C889" s="152" t="s">
        <v>668</v>
      </c>
      <c r="D889" s="153" t="s">
        <v>25</v>
      </c>
      <c r="E889" s="130" t="s">
        <v>669</v>
      </c>
      <c r="F889" s="179" t="s">
        <v>916</v>
      </c>
      <c r="G889" s="179" t="s">
        <v>916</v>
      </c>
      <c r="H889" s="179" t="s">
        <v>916</v>
      </c>
      <c r="I889" s="179" t="s">
        <v>916</v>
      </c>
      <c r="J889" s="132">
        <v>0.9</v>
      </c>
      <c r="K889" s="133" t="s">
        <v>35</v>
      </c>
      <c r="L889" s="133" t="s">
        <v>35</v>
      </c>
      <c r="M889" s="134" t="s">
        <v>35</v>
      </c>
      <c r="N889" s="133" t="s">
        <v>35</v>
      </c>
      <c r="O889" s="135">
        <v>0.9</v>
      </c>
      <c r="P889" s="133">
        <v>0</v>
      </c>
      <c r="Q889" s="133">
        <v>0</v>
      </c>
      <c r="R889" s="133">
        <v>0</v>
      </c>
      <c r="S889" s="133">
        <v>0</v>
      </c>
      <c r="T889" s="135">
        <v>0.9</v>
      </c>
      <c r="U889" s="133">
        <v>0.953488372093023</v>
      </c>
      <c r="V889" s="133">
        <v>0.973684210526316</v>
      </c>
      <c r="W889" s="133">
        <v>1</v>
      </c>
      <c r="X889" s="133">
        <v>0.97985347985348</v>
      </c>
      <c r="Y889" s="135">
        <v>0.92</v>
      </c>
      <c r="Z889" s="135">
        <v>1</v>
      </c>
      <c r="AA889" s="135">
        <v>1</v>
      </c>
      <c r="AB889" s="135">
        <v>0.5</v>
      </c>
      <c r="AC889" s="135">
        <v>0.8125</v>
      </c>
      <c r="AD889" s="135">
        <v>0.92</v>
      </c>
      <c r="AE889" s="133">
        <v>0.999847816161924</v>
      </c>
      <c r="AF889" s="133">
        <v>0.997859818084537</v>
      </c>
      <c r="AG889" s="133">
        <v>0.999459167117361</v>
      </c>
      <c r="AH889" s="133">
        <v>0.98662767788631</v>
      </c>
      <c r="AI889" s="135">
        <v>0.92</v>
      </c>
      <c r="AJ889" s="133">
        <v>0.96875</v>
      </c>
      <c r="AK889" s="133">
        <v>0.980392156862745</v>
      </c>
      <c r="AL889" s="133">
        <v>0.976190476190476</v>
      </c>
      <c r="AM889" s="133">
        <v>0.986215538847118</v>
      </c>
      <c r="AN889" s="132">
        <v>0.99</v>
      </c>
      <c r="AO889" s="137" t="s">
        <v>35</v>
      </c>
      <c r="AP889" s="137">
        <v>1</v>
      </c>
      <c r="AQ889" s="137">
        <v>1</v>
      </c>
      <c r="AR889" s="137">
        <v>1</v>
      </c>
      <c r="AS889" s="158">
        <v>0.0810595228934205</v>
      </c>
      <c r="AT889" s="141" t="s">
        <v>35</v>
      </c>
      <c r="AU889" s="141" t="s">
        <v>35</v>
      </c>
      <c r="AV889" s="141" t="s">
        <v>35</v>
      </c>
      <c r="AW889" s="141" t="s">
        <v>35</v>
      </c>
      <c r="AX889" s="95"/>
      <c r="AY889" s="93"/>
    </row>
    <row r="890" ht="14.5" spans="1:51">
      <c r="A890" s="91"/>
      <c r="B890" s="95"/>
      <c r="C890" s="152" t="s">
        <v>668</v>
      </c>
      <c r="D890" s="153" t="s">
        <v>25</v>
      </c>
      <c r="E890" s="130" t="s">
        <v>669</v>
      </c>
      <c r="F890" s="179" t="s">
        <v>917</v>
      </c>
      <c r="G890" s="179" t="s">
        <v>917</v>
      </c>
      <c r="H890" s="179" t="s">
        <v>917</v>
      </c>
      <c r="I890" s="179" t="s">
        <v>917</v>
      </c>
      <c r="J890" s="132">
        <v>0.9</v>
      </c>
      <c r="K890" s="133" t="s">
        <v>35</v>
      </c>
      <c r="L890" s="133" t="s">
        <v>35</v>
      </c>
      <c r="M890" s="134" t="s">
        <v>35</v>
      </c>
      <c r="N890" s="133" t="s">
        <v>35</v>
      </c>
      <c r="O890" s="135">
        <v>0.9</v>
      </c>
      <c r="P890" s="133" t="s">
        <v>35</v>
      </c>
      <c r="Q890" s="133" t="s">
        <v>35</v>
      </c>
      <c r="R890" s="133" t="s">
        <v>35</v>
      </c>
      <c r="S890" s="133" t="s">
        <v>35</v>
      </c>
      <c r="T890" s="135">
        <v>0.9</v>
      </c>
      <c r="U890" s="133" t="s">
        <v>35</v>
      </c>
      <c r="V890" s="133" t="s">
        <v>35</v>
      </c>
      <c r="W890" s="133" t="s">
        <v>35</v>
      </c>
      <c r="X890" s="133" t="s">
        <v>35</v>
      </c>
      <c r="Y890" s="135">
        <v>0.92</v>
      </c>
      <c r="Z890" s="135" t="s">
        <v>35</v>
      </c>
      <c r="AA890" s="135" t="s">
        <v>35</v>
      </c>
      <c r="AB890" s="135" t="s">
        <v>35</v>
      </c>
      <c r="AC890" s="135" t="s">
        <v>35</v>
      </c>
      <c r="AD890" s="135">
        <v>0.92</v>
      </c>
      <c r="AE890" s="133" t="s">
        <v>35</v>
      </c>
      <c r="AF890" s="133" t="s">
        <v>35</v>
      </c>
      <c r="AG890" s="133" t="s">
        <v>35</v>
      </c>
      <c r="AH890" s="133" t="s">
        <v>35</v>
      </c>
      <c r="AI890" s="135">
        <v>0.92</v>
      </c>
      <c r="AJ890" s="133" t="s">
        <v>35</v>
      </c>
      <c r="AK890" s="133" t="s">
        <v>35</v>
      </c>
      <c r="AL890" s="133" t="s">
        <v>35</v>
      </c>
      <c r="AM890" s="133" t="s">
        <v>35</v>
      </c>
      <c r="AN890" s="132">
        <v>0.99</v>
      </c>
      <c r="AO890" s="137" t="s">
        <v>35</v>
      </c>
      <c r="AP890" s="137" t="s">
        <v>35</v>
      </c>
      <c r="AQ890" s="137" t="s">
        <v>35</v>
      </c>
      <c r="AR890" s="137" t="s">
        <v>35</v>
      </c>
      <c r="AS890" s="158">
        <v>0.0810595228934205</v>
      </c>
      <c r="AT890" s="141" t="s">
        <v>35</v>
      </c>
      <c r="AU890" s="141" t="s">
        <v>35</v>
      </c>
      <c r="AV890" s="141" t="s">
        <v>35</v>
      </c>
      <c r="AW890" s="141" t="s">
        <v>35</v>
      </c>
      <c r="AX890" s="95"/>
      <c r="AY890" s="93"/>
    </row>
    <row r="891" ht="14.5" spans="1:51">
      <c r="A891" s="91"/>
      <c r="B891" s="95"/>
      <c r="C891" s="152" t="s">
        <v>668</v>
      </c>
      <c r="D891" s="153" t="s">
        <v>25</v>
      </c>
      <c r="E891" s="130" t="s">
        <v>669</v>
      </c>
      <c r="F891" s="179" t="s">
        <v>918</v>
      </c>
      <c r="G891" s="179" t="s">
        <v>918</v>
      </c>
      <c r="H891" s="179" t="s">
        <v>918</v>
      </c>
      <c r="I891" s="179" t="s">
        <v>918</v>
      </c>
      <c r="J891" s="132">
        <v>0.9</v>
      </c>
      <c r="K891" s="133" t="s">
        <v>35</v>
      </c>
      <c r="L891" s="133" t="s">
        <v>35</v>
      </c>
      <c r="M891" s="134" t="s">
        <v>35</v>
      </c>
      <c r="N891" s="133" t="s">
        <v>35</v>
      </c>
      <c r="O891" s="135">
        <v>0.9</v>
      </c>
      <c r="P891" s="133">
        <v>0</v>
      </c>
      <c r="Q891" s="133">
        <v>0</v>
      </c>
      <c r="R891" s="133">
        <v>0</v>
      </c>
      <c r="S891" s="133">
        <v>0</v>
      </c>
      <c r="T891" s="135">
        <v>0.9</v>
      </c>
      <c r="U891" s="133">
        <v>1</v>
      </c>
      <c r="V891" s="133">
        <v>1</v>
      </c>
      <c r="W891" s="133">
        <v>1</v>
      </c>
      <c r="X891" s="133">
        <v>0.983333333333333</v>
      </c>
      <c r="Y891" s="135">
        <v>0.92</v>
      </c>
      <c r="Z891" s="135">
        <v>1</v>
      </c>
      <c r="AA891" s="135">
        <v>1</v>
      </c>
      <c r="AB891" s="135">
        <v>1</v>
      </c>
      <c r="AC891" s="135">
        <v>0.916666666666667</v>
      </c>
      <c r="AD891" s="135">
        <v>0.92</v>
      </c>
      <c r="AE891" s="133">
        <v>1</v>
      </c>
      <c r="AF891" s="133" t="s">
        <v>35</v>
      </c>
      <c r="AG891" s="133">
        <v>1</v>
      </c>
      <c r="AH891" s="133">
        <v>0.998904949627683</v>
      </c>
      <c r="AI891" s="135">
        <v>0.92</v>
      </c>
      <c r="AJ891" s="133">
        <v>1</v>
      </c>
      <c r="AK891" s="133">
        <v>1</v>
      </c>
      <c r="AL891" s="133">
        <v>1</v>
      </c>
      <c r="AM891" s="133">
        <v>0.958333333333333</v>
      </c>
      <c r="AN891" s="132">
        <v>0.99</v>
      </c>
      <c r="AO891" s="137" t="s">
        <v>35</v>
      </c>
      <c r="AP891" s="137" t="s">
        <v>35</v>
      </c>
      <c r="AQ891" s="137" t="s">
        <v>35</v>
      </c>
      <c r="AR891" s="137">
        <v>1</v>
      </c>
      <c r="AS891" s="158">
        <v>0.0810595228934205</v>
      </c>
      <c r="AT891" s="141" t="s">
        <v>35</v>
      </c>
      <c r="AU891" s="141" t="s">
        <v>35</v>
      </c>
      <c r="AV891" s="141" t="s">
        <v>35</v>
      </c>
      <c r="AW891" s="141" t="s">
        <v>35</v>
      </c>
      <c r="AX891" s="95"/>
      <c r="AY891" s="93"/>
    </row>
    <row r="892" ht="14.5" spans="1:51">
      <c r="A892" s="91"/>
      <c r="B892" s="95"/>
      <c r="C892" s="152" t="s">
        <v>668</v>
      </c>
      <c r="D892" s="153" t="s">
        <v>25</v>
      </c>
      <c r="E892" s="130" t="s">
        <v>669</v>
      </c>
      <c r="F892" s="179" t="s">
        <v>919</v>
      </c>
      <c r="G892" s="179" t="s">
        <v>919</v>
      </c>
      <c r="H892" s="179" t="s">
        <v>919</v>
      </c>
      <c r="I892" s="179" t="s">
        <v>919</v>
      </c>
      <c r="J892" s="132">
        <v>0.9</v>
      </c>
      <c r="K892" s="133" t="s">
        <v>35</v>
      </c>
      <c r="L892" s="133" t="s">
        <v>35</v>
      </c>
      <c r="M892" s="134" t="s">
        <v>35</v>
      </c>
      <c r="N892" s="133" t="s">
        <v>35</v>
      </c>
      <c r="O892" s="135">
        <v>0.9</v>
      </c>
      <c r="P892" s="133" t="s">
        <v>35</v>
      </c>
      <c r="Q892" s="133" t="s">
        <v>35</v>
      </c>
      <c r="R892" s="133">
        <v>0</v>
      </c>
      <c r="S892" s="133">
        <v>0</v>
      </c>
      <c r="T892" s="135">
        <v>0.9</v>
      </c>
      <c r="U892" s="133" t="s">
        <v>35</v>
      </c>
      <c r="V892" s="133" t="s">
        <v>35</v>
      </c>
      <c r="W892" s="133">
        <v>1</v>
      </c>
      <c r="X892" s="133">
        <v>1</v>
      </c>
      <c r="Y892" s="135">
        <v>0.92</v>
      </c>
      <c r="Z892" s="135" t="s">
        <v>35</v>
      </c>
      <c r="AA892" s="135" t="s">
        <v>35</v>
      </c>
      <c r="AB892" s="135" t="s">
        <v>35</v>
      </c>
      <c r="AC892" s="135" t="s">
        <v>35</v>
      </c>
      <c r="AD892" s="135">
        <v>0.92</v>
      </c>
      <c r="AE892" s="133">
        <v>0.994652406417112</v>
      </c>
      <c r="AF892" s="133" t="s">
        <v>35</v>
      </c>
      <c r="AG892" s="133">
        <v>1</v>
      </c>
      <c r="AH892" s="133">
        <v>0.999243761028485</v>
      </c>
      <c r="AI892" s="135">
        <v>0.92</v>
      </c>
      <c r="AJ892" s="133" t="s">
        <v>35</v>
      </c>
      <c r="AK892" s="133" t="s">
        <v>35</v>
      </c>
      <c r="AL892" s="133">
        <v>1</v>
      </c>
      <c r="AM892" s="133">
        <v>1</v>
      </c>
      <c r="AN892" s="132">
        <v>0.99</v>
      </c>
      <c r="AO892" s="137" t="s">
        <v>35</v>
      </c>
      <c r="AP892" s="137" t="s">
        <v>35</v>
      </c>
      <c r="AQ892" s="137">
        <v>1</v>
      </c>
      <c r="AR892" s="137">
        <v>1</v>
      </c>
      <c r="AS892" s="158">
        <v>0.0810595228934205</v>
      </c>
      <c r="AT892" s="141" t="s">
        <v>35</v>
      </c>
      <c r="AU892" s="141" t="s">
        <v>35</v>
      </c>
      <c r="AV892" s="141" t="s">
        <v>35</v>
      </c>
      <c r="AW892" s="141" t="s">
        <v>35</v>
      </c>
      <c r="AX892" s="95"/>
      <c r="AY892" s="93"/>
    </row>
    <row r="893" ht="14.5" spans="1:51">
      <c r="A893" s="91"/>
      <c r="B893" s="95"/>
      <c r="C893" s="152" t="s">
        <v>668</v>
      </c>
      <c r="D893" s="153" t="s">
        <v>25</v>
      </c>
      <c r="E893" s="130" t="s">
        <v>669</v>
      </c>
      <c r="F893" s="179" t="s">
        <v>920</v>
      </c>
      <c r="G893" s="179" t="s">
        <v>920</v>
      </c>
      <c r="H893" s="179" t="s">
        <v>920</v>
      </c>
      <c r="I893" s="179" t="s">
        <v>920</v>
      </c>
      <c r="J893" s="132">
        <v>0.9</v>
      </c>
      <c r="K893" s="133" t="s">
        <v>35</v>
      </c>
      <c r="L893" s="133" t="s">
        <v>35</v>
      </c>
      <c r="M893" s="134" t="s">
        <v>35</v>
      </c>
      <c r="N893" s="133" t="s">
        <v>35</v>
      </c>
      <c r="O893" s="135">
        <v>0.9</v>
      </c>
      <c r="P893" s="133" t="s">
        <v>35</v>
      </c>
      <c r="Q893" s="133" t="s">
        <v>35</v>
      </c>
      <c r="R893" s="133" t="s">
        <v>35</v>
      </c>
      <c r="S893" s="133" t="s">
        <v>35</v>
      </c>
      <c r="T893" s="135">
        <v>0.9</v>
      </c>
      <c r="U893" s="133" t="s">
        <v>35</v>
      </c>
      <c r="V893" s="133" t="s">
        <v>35</v>
      </c>
      <c r="W893" s="133" t="s">
        <v>35</v>
      </c>
      <c r="X893" s="133" t="s">
        <v>35</v>
      </c>
      <c r="Y893" s="135">
        <v>0.92</v>
      </c>
      <c r="Z893" s="135" t="s">
        <v>35</v>
      </c>
      <c r="AA893" s="135" t="s">
        <v>35</v>
      </c>
      <c r="AB893" s="135" t="s">
        <v>35</v>
      </c>
      <c r="AC893" s="135" t="s">
        <v>35</v>
      </c>
      <c r="AD893" s="135">
        <v>0.92</v>
      </c>
      <c r="AE893" s="133">
        <v>1</v>
      </c>
      <c r="AF893" s="133" t="s">
        <v>35</v>
      </c>
      <c r="AG893" s="133">
        <v>1</v>
      </c>
      <c r="AH893" s="133">
        <v>0.998729121278141</v>
      </c>
      <c r="AI893" s="135">
        <v>0.92</v>
      </c>
      <c r="AJ893" s="133" t="s">
        <v>35</v>
      </c>
      <c r="AK893" s="133" t="s">
        <v>35</v>
      </c>
      <c r="AL893" s="133" t="s">
        <v>35</v>
      </c>
      <c r="AM893" s="133" t="s">
        <v>35</v>
      </c>
      <c r="AN893" s="132">
        <v>0.99</v>
      </c>
      <c r="AO893" s="137" t="s">
        <v>35</v>
      </c>
      <c r="AP893" s="137">
        <v>1</v>
      </c>
      <c r="AQ893" s="137" t="s">
        <v>35</v>
      </c>
      <c r="AR893" s="137">
        <v>1</v>
      </c>
      <c r="AS893" s="158">
        <v>0.0810595228934205</v>
      </c>
      <c r="AT893" s="141" t="s">
        <v>35</v>
      </c>
      <c r="AU893" s="141" t="s">
        <v>35</v>
      </c>
      <c r="AV893" s="141" t="s">
        <v>35</v>
      </c>
      <c r="AW893" s="141" t="s">
        <v>35</v>
      </c>
      <c r="AX893" s="95"/>
      <c r="AY893" s="93"/>
    </row>
    <row r="894" ht="14.5" spans="1:51">
      <c r="A894" s="91"/>
      <c r="B894" s="95"/>
      <c r="C894" s="152" t="s">
        <v>668</v>
      </c>
      <c r="D894" s="153" t="s">
        <v>25</v>
      </c>
      <c r="E894" s="130" t="s">
        <v>669</v>
      </c>
      <c r="F894" s="179" t="s">
        <v>921</v>
      </c>
      <c r="G894" s="179" t="s">
        <v>921</v>
      </c>
      <c r="H894" s="179" t="s">
        <v>921</v>
      </c>
      <c r="I894" s="179" t="s">
        <v>921</v>
      </c>
      <c r="J894" s="132">
        <v>0.9</v>
      </c>
      <c r="K894" s="133" t="s">
        <v>35</v>
      </c>
      <c r="L894" s="133" t="s">
        <v>35</v>
      </c>
      <c r="M894" s="134" t="s">
        <v>35</v>
      </c>
      <c r="N894" s="133" t="s">
        <v>35</v>
      </c>
      <c r="O894" s="135">
        <v>0.9</v>
      </c>
      <c r="P894" s="133">
        <v>0</v>
      </c>
      <c r="Q894" s="133">
        <v>0</v>
      </c>
      <c r="R894" s="133">
        <v>0</v>
      </c>
      <c r="S894" s="133">
        <v>0</v>
      </c>
      <c r="T894" s="135">
        <v>0.9</v>
      </c>
      <c r="U894" s="133">
        <v>1</v>
      </c>
      <c r="V894" s="133">
        <v>1</v>
      </c>
      <c r="W894" s="133">
        <v>1</v>
      </c>
      <c r="X894" s="133">
        <v>1</v>
      </c>
      <c r="Y894" s="135">
        <v>0.92</v>
      </c>
      <c r="Z894" s="135">
        <v>1</v>
      </c>
      <c r="AA894" s="135">
        <v>1</v>
      </c>
      <c r="AB894" s="135">
        <v>1</v>
      </c>
      <c r="AC894" s="135">
        <v>1</v>
      </c>
      <c r="AD894" s="135">
        <v>0.92</v>
      </c>
      <c r="AE894" s="133">
        <v>1</v>
      </c>
      <c r="AF894" s="133" t="s">
        <v>35</v>
      </c>
      <c r="AG894" s="133">
        <v>1</v>
      </c>
      <c r="AH894" s="133">
        <v>1</v>
      </c>
      <c r="AI894" s="135">
        <v>0.92</v>
      </c>
      <c r="AJ894" s="133">
        <v>1</v>
      </c>
      <c r="AK894" s="133">
        <v>1</v>
      </c>
      <c r="AL894" s="133">
        <v>1</v>
      </c>
      <c r="AM894" s="133">
        <v>1</v>
      </c>
      <c r="AN894" s="132">
        <v>0.99</v>
      </c>
      <c r="AO894" s="137" t="s">
        <v>35</v>
      </c>
      <c r="AP894" s="137" t="s">
        <v>35</v>
      </c>
      <c r="AQ894" s="137" t="s">
        <v>35</v>
      </c>
      <c r="AR894" s="137">
        <v>1</v>
      </c>
      <c r="AS894" s="158">
        <v>0.0810595228934205</v>
      </c>
      <c r="AT894" s="141" t="s">
        <v>35</v>
      </c>
      <c r="AU894" s="141" t="s">
        <v>35</v>
      </c>
      <c r="AV894" s="141" t="s">
        <v>35</v>
      </c>
      <c r="AW894" s="141" t="s">
        <v>35</v>
      </c>
      <c r="AX894" s="95"/>
      <c r="AY894" s="93"/>
    </row>
    <row r="895" ht="14.5" spans="1:51">
      <c r="A895" s="91"/>
      <c r="B895" s="95"/>
      <c r="C895" s="152" t="s">
        <v>668</v>
      </c>
      <c r="D895" s="153" t="s">
        <v>922</v>
      </c>
      <c r="E895" s="130" t="s">
        <v>669</v>
      </c>
      <c r="F895" s="179" t="s">
        <v>923</v>
      </c>
      <c r="G895" s="179" t="s">
        <v>923</v>
      </c>
      <c r="H895" s="179" t="s">
        <v>923</v>
      </c>
      <c r="I895" s="179" t="s">
        <v>923</v>
      </c>
      <c r="J895" s="132">
        <v>0.9</v>
      </c>
      <c r="K895" s="133" t="s">
        <v>35</v>
      </c>
      <c r="L895" s="133" t="s">
        <v>35</v>
      </c>
      <c r="M895" s="134" t="s">
        <v>35</v>
      </c>
      <c r="N895" s="133" t="s">
        <v>35</v>
      </c>
      <c r="O895" s="135">
        <v>0.9</v>
      </c>
      <c r="P895" s="133" t="s">
        <v>35</v>
      </c>
      <c r="Q895" s="133" t="s">
        <v>35</v>
      </c>
      <c r="R895" s="133" t="s">
        <v>35</v>
      </c>
      <c r="S895" s="133" t="s">
        <v>35</v>
      </c>
      <c r="T895" s="135">
        <v>0.9</v>
      </c>
      <c r="U895" s="133" t="s">
        <v>35</v>
      </c>
      <c r="V895" s="133" t="s">
        <v>35</v>
      </c>
      <c r="W895" s="133" t="s">
        <v>35</v>
      </c>
      <c r="X895" s="133" t="s">
        <v>35</v>
      </c>
      <c r="Y895" s="135">
        <v>0.92</v>
      </c>
      <c r="Z895" s="135" t="s">
        <v>35</v>
      </c>
      <c r="AA895" s="135" t="s">
        <v>35</v>
      </c>
      <c r="AB895" s="135" t="s">
        <v>35</v>
      </c>
      <c r="AC895" s="135" t="s">
        <v>35</v>
      </c>
      <c r="AD895" s="135">
        <v>0.92</v>
      </c>
      <c r="AE895" s="133" t="s">
        <v>35</v>
      </c>
      <c r="AF895" s="133" t="s">
        <v>35</v>
      </c>
      <c r="AG895" s="133" t="s">
        <v>35</v>
      </c>
      <c r="AH895" s="133" t="s">
        <v>35</v>
      </c>
      <c r="AI895" s="135">
        <v>0.92</v>
      </c>
      <c r="AJ895" s="133" t="s">
        <v>35</v>
      </c>
      <c r="AK895" s="133" t="s">
        <v>35</v>
      </c>
      <c r="AL895" s="133" t="s">
        <v>35</v>
      </c>
      <c r="AM895" s="133" t="s">
        <v>35</v>
      </c>
      <c r="AN895" s="132">
        <v>0.99</v>
      </c>
      <c r="AO895" s="137" t="s">
        <v>35</v>
      </c>
      <c r="AP895" s="137" t="s">
        <v>35</v>
      </c>
      <c r="AQ895" s="137" t="s">
        <v>35</v>
      </c>
      <c r="AR895" s="137" t="s">
        <v>35</v>
      </c>
      <c r="AS895" s="158">
        <v>0.0810595228934205</v>
      </c>
      <c r="AT895" s="141" t="s">
        <v>35</v>
      </c>
      <c r="AU895" s="141" t="s">
        <v>35</v>
      </c>
      <c r="AV895" s="141" t="s">
        <v>35</v>
      </c>
      <c r="AW895" s="141" t="s">
        <v>35</v>
      </c>
      <c r="AX895" s="95"/>
      <c r="AY895" s="93"/>
    </row>
    <row r="896" ht="14.5" spans="1:51">
      <c r="A896" s="91"/>
      <c r="B896" s="95"/>
      <c r="C896" s="152" t="s">
        <v>668</v>
      </c>
      <c r="D896" s="153" t="s">
        <v>922</v>
      </c>
      <c r="E896" s="130" t="s">
        <v>669</v>
      </c>
      <c r="F896" s="179" t="s">
        <v>924</v>
      </c>
      <c r="G896" s="179" t="s">
        <v>924</v>
      </c>
      <c r="H896" s="179" t="s">
        <v>924</v>
      </c>
      <c r="I896" s="179" t="s">
        <v>924</v>
      </c>
      <c r="J896" s="132">
        <v>0.9</v>
      </c>
      <c r="K896" s="133" t="s">
        <v>35</v>
      </c>
      <c r="L896" s="133" t="s">
        <v>35</v>
      </c>
      <c r="M896" s="134" t="s">
        <v>35</v>
      </c>
      <c r="N896" s="133" t="s">
        <v>35</v>
      </c>
      <c r="O896" s="135">
        <v>0.9</v>
      </c>
      <c r="P896" s="133" t="s">
        <v>35</v>
      </c>
      <c r="Q896" s="133" t="s">
        <v>35</v>
      </c>
      <c r="R896" s="133" t="s">
        <v>35</v>
      </c>
      <c r="S896" s="133" t="s">
        <v>35</v>
      </c>
      <c r="T896" s="135">
        <v>0.9</v>
      </c>
      <c r="U896" s="133" t="s">
        <v>35</v>
      </c>
      <c r="V896" s="133" t="s">
        <v>35</v>
      </c>
      <c r="W896" s="133" t="s">
        <v>35</v>
      </c>
      <c r="X896" s="133" t="s">
        <v>35</v>
      </c>
      <c r="Y896" s="135">
        <v>0.92</v>
      </c>
      <c r="Z896" s="135" t="s">
        <v>35</v>
      </c>
      <c r="AA896" s="135" t="s">
        <v>35</v>
      </c>
      <c r="AB896" s="135" t="s">
        <v>35</v>
      </c>
      <c r="AC896" s="135" t="s">
        <v>35</v>
      </c>
      <c r="AD896" s="135">
        <v>0.92</v>
      </c>
      <c r="AE896" s="133" t="s">
        <v>35</v>
      </c>
      <c r="AF896" s="133" t="s">
        <v>35</v>
      </c>
      <c r="AG896" s="133" t="s">
        <v>35</v>
      </c>
      <c r="AH896" s="133" t="s">
        <v>35</v>
      </c>
      <c r="AI896" s="135">
        <v>0.92</v>
      </c>
      <c r="AJ896" s="133" t="s">
        <v>35</v>
      </c>
      <c r="AK896" s="133" t="s">
        <v>35</v>
      </c>
      <c r="AL896" s="133" t="s">
        <v>35</v>
      </c>
      <c r="AM896" s="133" t="s">
        <v>35</v>
      </c>
      <c r="AN896" s="132">
        <v>0.99</v>
      </c>
      <c r="AO896" s="137" t="s">
        <v>35</v>
      </c>
      <c r="AP896" s="137" t="s">
        <v>35</v>
      </c>
      <c r="AQ896" s="137" t="s">
        <v>35</v>
      </c>
      <c r="AR896" s="137" t="s">
        <v>35</v>
      </c>
      <c r="AS896" s="158">
        <v>0.0810595228934205</v>
      </c>
      <c r="AT896" s="141" t="s">
        <v>35</v>
      </c>
      <c r="AU896" s="141" t="s">
        <v>35</v>
      </c>
      <c r="AV896" s="141" t="s">
        <v>35</v>
      </c>
      <c r="AW896" s="141" t="s">
        <v>35</v>
      </c>
      <c r="AX896" s="95"/>
      <c r="AY896" s="93"/>
    </row>
    <row r="897" ht="14.5" spans="1:51">
      <c r="A897" s="91"/>
      <c r="B897" s="95"/>
      <c r="C897" s="152" t="s">
        <v>668</v>
      </c>
      <c r="D897" s="153" t="s">
        <v>922</v>
      </c>
      <c r="E897" s="130" t="s">
        <v>669</v>
      </c>
      <c r="F897" s="179" t="s">
        <v>925</v>
      </c>
      <c r="G897" s="179" t="s">
        <v>925</v>
      </c>
      <c r="H897" s="179" t="s">
        <v>925</v>
      </c>
      <c r="I897" s="179" t="s">
        <v>925</v>
      </c>
      <c r="J897" s="132">
        <v>0.9</v>
      </c>
      <c r="K897" s="133" t="s">
        <v>35</v>
      </c>
      <c r="L897" s="133" t="s">
        <v>35</v>
      </c>
      <c r="M897" s="134" t="s">
        <v>35</v>
      </c>
      <c r="N897" s="133" t="s">
        <v>35</v>
      </c>
      <c r="O897" s="135">
        <v>0.9</v>
      </c>
      <c r="P897" s="133" t="s">
        <v>35</v>
      </c>
      <c r="Q897" s="133" t="s">
        <v>35</v>
      </c>
      <c r="R897" s="133" t="s">
        <v>35</v>
      </c>
      <c r="S897" s="133" t="s">
        <v>35</v>
      </c>
      <c r="T897" s="135">
        <v>0.9</v>
      </c>
      <c r="U897" s="133" t="s">
        <v>35</v>
      </c>
      <c r="V897" s="133" t="s">
        <v>35</v>
      </c>
      <c r="W897" s="133" t="s">
        <v>35</v>
      </c>
      <c r="X897" s="133" t="s">
        <v>35</v>
      </c>
      <c r="Y897" s="135">
        <v>0.92</v>
      </c>
      <c r="Z897" s="135" t="s">
        <v>35</v>
      </c>
      <c r="AA897" s="135" t="s">
        <v>35</v>
      </c>
      <c r="AB897" s="135" t="s">
        <v>35</v>
      </c>
      <c r="AC897" s="135" t="s">
        <v>35</v>
      </c>
      <c r="AD897" s="135">
        <v>0.92</v>
      </c>
      <c r="AE897" s="133" t="s">
        <v>35</v>
      </c>
      <c r="AF897" s="133" t="s">
        <v>35</v>
      </c>
      <c r="AG897" s="133" t="s">
        <v>35</v>
      </c>
      <c r="AH897" s="133" t="s">
        <v>35</v>
      </c>
      <c r="AI897" s="135">
        <v>0.92</v>
      </c>
      <c r="AJ897" s="133" t="s">
        <v>35</v>
      </c>
      <c r="AK897" s="133" t="s">
        <v>35</v>
      </c>
      <c r="AL897" s="133" t="s">
        <v>35</v>
      </c>
      <c r="AM897" s="133" t="s">
        <v>35</v>
      </c>
      <c r="AN897" s="132">
        <v>0.99</v>
      </c>
      <c r="AO897" s="137" t="s">
        <v>35</v>
      </c>
      <c r="AP897" s="137" t="s">
        <v>35</v>
      </c>
      <c r="AQ897" s="137" t="s">
        <v>35</v>
      </c>
      <c r="AR897" s="137" t="s">
        <v>35</v>
      </c>
      <c r="AS897" s="158">
        <v>0.0810595228934205</v>
      </c>
      <c r="AT897" s="141" t="s">
        <v>35</v>
      </c>
      <c r="AU897" s="141" t="s">
        <v>35</v>
      </c>
      <c r="AV897" s="141" t="s">
        <v>35</v>
      </c>
      <c r="AW897" s="141" t="s">
        <v>35</v>
      </c>
      <c r="AX897" s="95"/>
      <c r="AY897" s="93"/>
    </row>
    <row r="898" ht="14.5" spans="1:51">
      <c r="A898" s="91"/>
      <c r="B898" s="95"/>
      <c r="C898" s="152" t="s">
        <v>668</v>
      </c>
      <c r="D898" s="153" t="s">
        <v>25</v>
      </c>
      <c r="E898" s="130" t="s">
        <v>669</v>
      </c>
      <c r="F898" s="179" t="s">
        <v>926</v>
      </c>
      <c r="G898" s="179" t="s">
        <v>926</v>
      </c>
      <c r="H898" s="179" t="s">
        <v>926</v>
      </c>
      <c r="I898" s="179" t="s">
        <v>926</v>
      </c>
      <c r="J898" s="132">
        <v>0.9</v>
      </c>
      <c r="K898" s="133" t="s">
        <v>35</v>
      </c>
      <c r="L898" s="133" t="s">
        <v>35</v>
      </c>
      <c r="M898" s="134" t="s">
        <v>35</v>
      </c>
      <c r="N898" s="133" t="s">
        <v>35</v>
      </c>
      <c r="O898" s="135">
        <v>0.9</v>
      </c>
      <c r="P898" s="133" t="s">
        <v>35</v>
      </c>
      <c r="Q898" s="133" t="s">
        <v>35</v>
      </c>
      <c r="R898" s="133" t="s">
        <v>35</v>
      </c>
      <c r="S898" s="133" t="s">
        <v>35</v>
      </c>
      <c r="T898" s="135">
        <v>0.9</v>
      </c>
      <c r="U898" s="133" t="s">
        <v>35</v>
      </c>
      <c r="V898" s="133" t="s">
        <v>35</v>
      </c>
      <c r="W898" s="133" t="s">
        <v>35</v>
      </c>
      <c r="X898" s="133" t="s">
        <v>35</v>
      </c>
      <c r="Y898" s="135">
        <v>0.92</v>
      </c>
      <c r="Z898" s="135" t="s">
        <v>35</v>
      </c>
      <c r="AA898" s="135" t="s">
        <v>35</v>
      </c>
      <c r="AB898" s="135" t="s">
        <v>35</v>
      </c>
      <c r="AC898" s="135" t="s">
        <v>35</v>
      </c>
      <c r="AD898" s="135">
        <v>0.92</v>
      </c>
      <c r="AE898" s="133">
        <v>1</v>
      </c>
      <c r="AF898" s="133">
        <v>1</v>
      </c>
      <c r="AG898" s="133">
        <v>1</v>
      </c>
      <c r="AH898" s="133">
        <v>1</v>
      </c>
      <c r="AI898" s="135">
        <v>0.92</v>
      </c>
      <c r="AJ898" s="133" t="s">
        <v>35</v>
      </c>
      <c r="AK898" s="133" t="s">
        <v>35</v>
      </c>
      <c r="AL898" s="133" t="s">
        <v>35</v>
      </c>
      <c r="AM898" s="133" t="s">
        <v>35</v>
      </c>
      <c r="AN898" s="132">
        <v>0.99</v>
      </c>
      <c r="AO898" s="137" t="s">
        <v>35</v>
      </c>
      <c r="AP898" s="137">
        <v>1</v>
      </c>
      <c r="AQ898" s="137">
        <v>1</v>
      </c>
      <c r="AR898" s="137">
        <v>1</v>
      </c>
      <c r="AS898" s="158">
        <v>0.0810595228934205</v>
      </c>
      <c r="AT898" s="141" t="s">
        <v>35</v>
      </c>
      <c r="AU898" s="141" t="s">
        <v>35</v>
      </c>
      <c r="AV898" s="141" t="s">
        <v>35</v>
      </c>
      <c r="AW898" s="141" t="s">
        <v>35</v>
      </c>
      <c r="AX898" s="95"/>
      <c r="AY898" s="93"/>
    </row>
    <row r="899" ht="14.5" spans="1:51">
      <c r="A899" s="91"/>
      <c r="B899" s="95"/>
      <c r="C899" s="155"/>
      <c r="D899" s="153"/>
      <c r="E899" s="156"/>
      <c r="F899" s="156"/>
      <c r="G899" s="156"/>
      <c r="H899" s="156"/>
      <c r="I899" s="156"/>
      <c r="J899" s="146"/>
      <c r="K899" s="147"/>
      <c r="L899" s="147"/>
      <c r="M899" s="134"/>
      <c r="N899" s="147"/>
      <c r="O899" s="150"/>
      <c r="P899" s="147"/>
      <c r="Q899" s="147"/>
      <c r="R899" s="133"/>
      <c r="S899" s="147"/>
      <c r="T899" s="150"/>
      <c r="U899" s="147"/>
      <c r="V899" s="147"/>
      <c r="W899" s="133"/>
      <c r="X899" s="147"/>
      <c r="Y899" s="150"/>
      <c r="Z899" s="150"/>
      <c r="AA899" s="150"/>
      <c r="AB899" s="135"/>
      <c r="AC899" s="150"/>
      <c r="AD899" s="147"/>
      <c r="AE899" s="147"/>
      <c r="AF899" s="147"/>
      <c r="AG899" s="133"/>
      <c r="AH899" s="147"/>
      <c r="AI899" s="147"/>
      <c r="AJ899" s="147"/>
      <c r="AK899" s="147"/>
      <c r="AL899" s="133"/>
      <c r="AM899" s="147"/>
      <c r="AN899" s="146"/>
      <c r="AO899" s="146"/>
      <c r="AP899" s="146"/>
      <c r="AQ899" s="137"/>
      <c r="AR899" s="146"/>
      <c r="AS899" s="147"/>
      <c r="AT899" s="146"/>
      <c r="AU899" s="146"/>
      <c r="AV899" s="141"/>
      <c r="AW899" s="146"/>
      <c r="AX899" s="95"/>
      <c r="AY899" s="93"/>
    </row>
    <row r="900" ht="14.5" spans="1:51">
      <c r="A900" s="91"/>
      <c r="B900" s="95"/>
      <c r="C900" s="180" t="s">
        <v>927</v>
      </c>
      <c r="D900" s="181" t="s">
        <v>25</v>
      </c>
      <c r="E900" s="130" t="s">
        <v>928</v>
      </c>
      <c r="F900" s="182" t="s">
        <v>929</v>
      </c>
      <c r="G900" s="183" t="s">
        <v>929</v>
      </c>
      <c r="H900" s="183" t="s">
        <v>929</v>
      </c>
      <c r="I900" s="183" t="s">
        <v>929</v>
      </c>
      <c r="J900" s="132">
        <v>0.9</v>
      </c>
      <c r="K900" s="133">
        <v>0.866666666666667</v>
      </c>
      <c r="L900" s="133">
        <v>0.933333333333333</v>
      </c>
      <c r="M900" s="134">
        <v>0.928571428571429</v>
      </c>
      <c r="N900" s="133">
        <v>0.892307692307692</v>
      </c>
      <c r="O900" s="135">
        <v>0.9</v>
      </c>
      <c r="P900" s="133">
        <v>0.886699507389163</v>
      </c>
      <c r="Q900" s="133">
        <v>0.91970802919708</v>
      </c>
      <c r="R900" s="133">
        <v>0.90316742081448</v>
      </c>
      <c r="S900" s="133">
        <v>0.901969109919856</v>
      </c>
      <c r="T900" s="135">
        <v>0.9</v>
      </c>
      <c r="U900" s="133">
        <v>0.92200328407225</v>
      </c>
      <c r="V900" s="133">
        <v>0.896897810218978</v>
      </c>
      <c r="W900" s="133">
        <v>0.853393665158371</v>
      </c>
      <c r="X900" s="133">
        <v>0.906533623480707</v>
      </c>
      <c r="Y900" s="135">
        <v>0.92</v>
      </c>
      <c r="Z900" s="135">
        <v>0.860606060606061</v>
      </c>
      <c r="AA900" s="135">
        <v>0.972111553784861</v>
      </c>
      <c r="AB900" s="135">
        <v>0.977064220183486</v>
      </c>
      <c r="AC900" s="135">
        <v>0.941253836036826</v>
      </c>
      <c r="AD900" s="135">
        <v>0.92</v>
      </c>
      <c r="AE900" s="133">
        <v>0.925714285714286</v>
      </c>
      <c r="AF900" s="133">
        <v>0.982019363762102</v>
      </c>
      <c r="AG900" s="133">
        <v>0.962953629032258</v>
      </c>
      <c r="AH900" s="133">
        <v>0.98315002820079</v>
      </c>
      <c r="AI900" s="135">
        <v>0.92</v>
      </c>
      <c r="AJ900" s="133">
        <v>0.950902527075812</v>
      </c>
      <c r="AK900" s="133">
        <v>0.956941351150705</v>
      </c>
      <c r="AL900" s="133">
        <v>0.972033257747543</v>
      </c>
      <c r="AM900" s="133">
        <v>0.964851590860559</v>
      </c>
      <c r="AN900" s="132">
        <v>0.99</v>
      </c>
      <c r="AO900" s="137">
        <v>1</v>
      </c>
      <c r="AP900" s="137">
        <v>1</v>
      </c>
      <c r="AQ900" s="137">
        <v>1</v>
      </c>
      <c r="AR900" s="137">
        <v>1</v>
      </c>
      <c r="AS900" s="158">
        <v>0.0656418488929858</v>
      </c>
      <c r="AT900" s="141">
        <v>0.0625</v>
      </c>
      <c r="AU900" s="141">
        <v>0.0555555555555556</v>
      </c>
      <c r="AV900" s="141">
        <v>0.133333333333333</v>
      </c>
      <c r="AW900" s="141">
        <v>0.072289156626506</v>
      </c>
      <c r="AX900" s="95"/>
      <c r="AY900" s="93"/>
    </row>
    <row r="901" ht="14.5" spans="1:51">
      <c r="A901" s="91"/>
      <c r="B901" s="95"/>
      <c r="C901" s="180" t="s">
        <v>927</v>
      </c>
      <c r="D901" s="181" t="s">
        <v>25</v>
      </c>
      <c r="E901" s="130" t="s">
        <v>928</v>
      </c>
      <c r="F901" s="184" t="s">
        <v>930</v>
      </c>
      <c r="G901" s="185" t="s">
        <v>930</v>
      </c>
      <c r="H901" s="185" t="s">
        <v>930</v>
      </c>
      <c r="I901" s="185" t="s">
        <v>930</v>
      </c>
      <c r="J901" s="132">
        <v>0.9</v>
      </c>
      <c r="K901" s="133">
        <v>0.928571428571429</v>
      </c>
      <c r="L901" s="133">
        <v>0.972972972972973</v>
      </c>
      <c r="M901" s="134">
        <v>0.96</v>
      </c>
      <c r="N901" s="133">
        <v>0.898587933247754</v>
      </c>
      <c r="O901" s="135">
        <v>0.9</v>
      </c>
      <c r="P901" s="133">
        <v>0.818181818181818</v>
      </c>
      <c r="Q901" s="133">
        <v>0.887968180311568</v>
      </c>
      <c r="R901" s="133">
        <v>0.923467767545253</v>
      </c>
      <c r="S901" s="133">
        <v>0.873681909150536</v>
      </c>
      <c r="T901" s="135">
        <v>0.9</v>
      </c>
      <c r="U901" s="133">
        <v>0.831742842792566</v>
      </c>
      <c r="V901" s="133">
        <v>0.870732515744117</v>
      </c>
      <c r="W901" s="133">
        <v>0.907907272149889</v>
      </c>
      <c r="X901" s="133">
        <v>0.877667714972839</v>
      </c>
      <c r="Y901" s="135">
        <v>0.92</v>
      </c>
      <c r="Z901" s="135">
        <v>0.85812356979405</v>
      </c>
      <c r="AA901" s="135">
        <v>0.772468714448237</v>
      </c>
      <c r="AB901" s="135">
        <v>0.930167597765363</v>
      </c>
      <c r="AC901" s="135">
        <v>0.902135948414831</v>
      </c>
      <c r="AD901" s="135">
        <v>0.92</v>
      </c>
      <c r="AE901" s="133">
        <v>0.985537190082645</v>
      </c>
      <c r="AF901" s="133">
        <v>0.991951710261569</v>
      </c>
      <c r="AG901" s="133">
        <v>0.953814574067739</v>
      </c>
      <c r="AH901" s="133">
        <v>0.97731843575419</v>
      </c>
      <c r="AI901" s="135">
        <v>0.92</v>
      </c>
      <c r="AJ901" s="133">
        <v>0.890925548766689</v>
      </c>
      <c r="AK901" s="133">
        <v>0.873973305954825</v>
      </c>
      <c r="AL901" s="133">
        <v>0.9503234152652</v>
      </c>
      <c r="AM901" s="133">
        <v>0.931104506515687</v>
      </c>
      <c r="AN901" s="132">
        <v>0.99</v>
      </c>
      <c r="AO901" s="137">
        <v>1</v>
      </c>
      <c r="AP901" s="137">
        <v>1</v>
      </c>
      <c r="AQ901" s="137">
        <v>1</v>
      </c>
      <c r="AR901" s="137">
        <v>1</v>
      </c>
      <c r="AS901" s="158">
        <v>0.0656418488929858</v>
      </c>
      <c r="AT901" s="141">
        <v>0</v>
      </c>
      <c r="AU901" s="141">
        <v>0.0571428571428571</v>
      </c>
      <c r="AV901" s="141">
        <v>0.133333333333333</v>
      </c>
      <c r="AW901" s="141">
        <v>0.0360824742268041</v>
      </c>
      <c r="AX901" s="95"/>
      <c r="AY901" s="93"/>
    </row>
    <row r="902" ht="14.5" spans="1:51">
      <c r="A902" s="91"/>
      <c r="B902" s="95"/>
      <c r="C902" s="180" t="s">
        <v>927</v>
      </c>
      <c r="D902" s="181" t="s">
        <v>25</v>
      </c>
      <c r="E902" s="130" t="s">
        <v>928</v>
      </c>
      <c r="F902" s="184" t="s">
        <v>931</v>
      </c>
      <c r="G902" s="185" t="s">
        <v>931</v>
      </c>
      <c r="H902" s="185" t="s">
        <v>931</v>
      </c>
      <c r="I902" s="185" t="s">
        <v>931</v>
      </c>
      <c r="J902" s="132">
        <v>0.9</v>
      </c>
      <c r="K902" s="133">
        <v>0.96969696969697</v>
      </c>
      <c r="L902" s="133">
        <v>0.833333333333333</v>
      </c>
      <c r="M902" s="134">
        <v>0.939393939393939</v>
      </c>
      <c r="N902" s="133">
        <v>0.965337954939341</v>
      </c>
      <c r="O902" s="135">
        <v>0.9</v>
      </c>
      <c r="P902" s="133">
        <v>0.564070351758794</v>
      </c>
      <c r="Q902" s="133">
        <v>0.670559806685461</v>
      </c>
      <c r="R902" s="133">
        <v>0.955128205128205</v>
      </c>
      <c r="S902" s="133">
        <v>0.874685832708673</v>
      </c>
      <c r="T902" s="135">
        <v>0.9</v>
      </c>
      <c r="U902" s="133">
        <v>0.832600502512563</v>
      </c>
      <c r="V902" s="133">
        <v>0.882400322190898</v>
      </c>
      <c r="W902" s="133">
        <v>0.910657051282051</v>
      </c>
      <c r="X902" s="133">
        <v>0.869659156047445</v>
      </c>
      <c r="Y902" s="135">
        <v>0.92</v>
      </c>
      <c r="Z902" s="135">
        <v>0.685082872928177</v>
      </c>
      <c r="AA902" s="135">
        <v>0.772102161100196</v>
      </c>
      <c r="AB902" s="135">
        <v>0.926078028747433</v>
      </c>
      <c r="AC902" s="135">
        <v>0.906109261797533</v>
      </c>
      <c r="AD902" s="135">
        <v>0.92</v>
      </c>
      <c r="AE902" s="133">
        <v>0.984962406015038</v>
      </c>
      <c r="AF902" s="133">
        <v>0.964586846543002</v>
      </c>
      <c r="AG902" s="133">
        <v>0.921438082556591</v>
      </c>
      <c r="AH902" s="133">
        <v>0.913523901032909</v>
      </c>
      <c r="AI902" s="135">
        <v>0.92</v>
      </c>
      <c r="AJ902" s="133">
        <v>0.897067117879301</v>
      </c>
      <c r="AK902" s="133">
        <v>0.911764705882353</v>
      </c>
      <c r="AL902" s="133">
        <v>0.959436808581964</v>
      </c>
      <c r="AM902" s="133">
        <v>0.941829500881644</v>
      </c>
      <c r="AN902" s="132">
        <v>0.99</v>
      </c>
      <c r="AO902" s="137">
        <v>1</v>
      </c>
      <c r="AP902" s="137">
        <v>1</v>
      </c>
      <c r="AQ902" s="137">
        <v>1</v>
      </c>
      <c r="AR902" s="137">
        <v>1</v>
      </c>
      <c r="AS902" s="158">
        <v>0.0656418488929858</v>
      </c>
      <c r="AT902" s="141">
        <v>0.0333333333333333</v>
      </c>
      <c r="AU902" s="141">
        <v>0.0689655172413793</v>
      </c>
      <c r="AV902" s="141">
        <v>0.0857142857142857</v>
      </c>
      <c r="AW902" s="141">
        <v>0.0432525951557093</v>
      </c>
      <c r="AX902" s="95"/>
      <c r="AY902" s="93"/>
    </row>
    <row r="903" ht="14.5" spans="1:51">
      <c r="A903" s="91"/>
      <c r="B903" s="95"/>
      <c r="C903" s="180" t="s">
        <v>927</v>
      </c>
      <c r="D903" s="181" t="s">
        <v>25</v>
      </c>
      <c r="E903" s="130" t="s">
        <v>928</v>
      </c>
      <c r="F903" s="184" t="s">
        <v>932</v>
      </c>
      <c r="G903" s="185" t="s">
        <v>932</v>
      </c>
      <c r="H903" s="185" t="s">
        <v>932</v>
      </c>
      <c r="I903" s="185" t="s">
        <v>932</v>
      </c>
      <c r="J903" s="132">
        <v>0.9</v>
      </c>
      <c r="K903" s="133">
        <v>0.939393939393939</v>
      </c>
      <c r="L903" s="133">
        <v>0.90625</v>
      </c>
      <c r="M903" s="134">
        <v>0.935483870967742</v>
      </c>
      <c r="N903" s="133">
        <v>0.942342342342342</v>
      </c>
      <c r="O903" s="135">
        <v>0.9</v>
      </c>
      <c r="P903" s="133">
        <v>0.920478536242083</v>
      </c>
      <c r="Q903" s="133">
        <v>0.953338391502276</v>
      </c>
      <c r="R903" s="133">
        <v>0.92734693877551</v>
      </c>
      <c r="S903" s="133">
        <v>0.94167007777323</v>
      </c>
      <c r="T903" s="135">
        <v>0.9</v>
      </c>
      <c r="U903" s="133">
        <v>0.908163265306122</v>
      </c>
      <c r="V903" s="133">
        <v>0.91350531107739</v>
      </c>
      <c r="W903" s="133">
        <v>0.906530612244898</v>
      </c>
      <c r="X903" s="133">
        <v>0.92317335243553</v>
      </c>
      <c r="Y903" s="135">
        <v>0.92</v>
      </c>
      <c r="Z903" s="135">
        <v>0.939102564102564</v>
      </c>
      <c r="AA903" s="135">
        <v>0.896838602329451</v>
      </c>
      <c r="AB903" s="135">
        <v>0.943025540275049</v>
      </c>
      <c r="AC903" s="135">
        <v>0.935811160575629</v>
      </c>
      <c r="AD903" s="135">
        <v>0.92</v>
      </c>
      <c r="AE903" s="133">
        <v>0.867768595041322</v>
      </c>
      <c r="AF903" s="133">
        <v>0.977952755905512</v>
      </c>
      <c r="AG903" s="133">
        <v>0.973611111111111</v>
      </c>
      <c r="AH903" s="133">
        <v>0.979811434093343</v>
      </c>
      <c r="AI903" s="135">
        <v>0.92</v>
      </c>
      <c r="AJ903" s="133">
        <v>0.95434369055168</v>
      </c>
      <c r="AK903" s="133">
        <v>0.952116156935434</v>
      </c>
      <c r="AL903" s="133">
        <v>0.961811422777965</v>
      </c>
      <c r="AM903" s="133">
        <v>0.963119461765671</v>
      </c>
      <c r="AN903" s="132">
        <v>0.99</v>
      </c>
      <c r="AO903" s="137">
        <v>1</v>
      </c>
      <c r="AP903" s="137">
        <v>1</v>
      </c>
      <c r="AQ903" s="137">
        <v>1</v>
      </c>
      <c r="AR903" s="137">
        <v>1</v>
      </c>
      <c r="AS903" s="158">
        <v>0.0656418488929858</v>
      </c>
      <c r="AT903" s="141">
        <v>0.0273972602739726</v>
      </c>
      <c r="AU903" s="141">
        <v>0.0493827160493827</v>
      </c>
      <c r="AV903" s="141">
        <v>0.0147058823529412</v>
      </c>
      <c r="AW903" s="141">
        <v>0.0577956989247312</v>
      </c>
      <c r="AX903" s="95"/>
      <c r="AY903" s="93"/>
    </row>
    <row r="904" ht="14.5" spans="1:51">
      <c r="A904" s="91"/>
      <c r="B904" s="95"/>
      <c r="C904" s="180" t="s">
        <v>927</v>
      </c>
      <c r="D904" s="181" t="s">
        <v>25</v>
      </c>
      <c r="E904" s="130" t="s">
        <v>928</v>
      </c>
      <c r="F904" s="184" t="s">
        <v>933</v>
      </c>
      <c r="G904" s="185" t="s">
        <v>933</v>
      </c>
      <c r="H904" s="185" t="s">
        <v>933</v>
      </c>
      <c r="I904" s="185" t="s">
        <v>933</v>
      </c>
      <c r="J904" s="132">
        <v>0.9</v>
      </c>
      <c r="K904" s="133">
        <v>1</v>
      </c>
      <c r="L904" s="133">
        <v>0.931034482758621</v>
      </c>
      <c r="M904" s="134">
        <v>1</v>
      </c>
      <c r="N904" s="133">
        <v>0.969924812030075</v>
      </c>
      <c r="O904" s="135">
        <v>0.9</v>
      </c>
      <c r="P904" s="133">
        <v>0.93531789783168</v>
      </c>
      <c r="Q904" s="133">
        <v>0.970198675496689</v>
      </c>
      <c r="R904" s="133">
        <v>0.949661590524535</v>
      </c>
      <c r="S904" s="133">
        <v>0.960756489614171</v>
      </c>
      <c r="T904" s="135">
        <v>0.9</v>
      </c>
      <c r="U904" s="133">
        <v>0.910694597574421</v>
      </c>
      <c r="V904" s="133">
        <v>0.932119205298013</v>
      </c>
      <c r="W904" s="133">
        <v>0.939509306260575</v>
      </c>
      <c r="X904" s="133">
        <v>0.933917255890196</v>
      </c>
      <c r="Y904" s="135">
        <v>0.92</v>
      </c>
      <c r="Z904" s="135">
        <v>0.811501597444089</v>
      </c>
      <c r="AA904" s="135">
        <v>0.928689883913765</v>
      </c>
      <c r="AB904" s="135">
        <v>0.912114014251782</v>
      </c>
      <c r="AC904" s="135">
        <v>0.914391575663027</v>
      </c>
      <c r="AD904" s="135">
        <v>0.92</v>
      </c>
      <c r="AE904" s="133">
        <v>0.989316239316239</v>
      </c>
      <c r="AF904" s="133">
        <v>0.992412746585736</v>
      </c>
      <c r="AG904" s="133">
        <v>0.95478443743428</v>
      </c>
      <c r="AH904" s="133">
        <v>0.927411382573083</v>
      </c>
      <c r="AI904" s="135">
        <v>0.92</v>
      </c>
      <c r="AJ904" s="133">
        <v>0.934739617666447</v>
      </c>
      <c r="AK904" s="133">
        <v>0.969205298013245</v>
      </c>
      <c r="AL904" s="133">
        <v>0.961938958707361</v>
      </c>
      <c r="AM904" s="133">
        <v>0.966499784878946</v>
      </c>
      <c r="AN904" s="132">
        <v>0.99</v>
      </c>
      <c r="AO904" s="137">
        <v>1</v>
      </c>
      <c r="AP904" s="137">
        <v>1</v>
      </c>
      <c r="AQ904" s="137">
        <v>1</v>
      </c>
      <c r="AR904" s="137">
        <v>1</v>
      </c>
      <c r="AS904" s="158">
        <v>0.0656418488929858</v>
      </c>
      <c r="AT904" s="141">
        <v>0.12</v>
      </c>
      <c r="AU904" s="141">
        <v>0</v>
      </c>
      <c r="AV904" s="141">
        <v>0.0769230769230769</v>
      </c>
      <c r="AW904" s="141">
        <v>0.051975051975052</v>
      </c>
      <c r="AX904" s="95"/>
      <c r="AY904" s="93"/>
    </row>
    <row r="905" ht="14.5" spans="1:51">
      <c r="A905" s="91"/>
      <c r="B905" s="95"/>
      <c r="C905" s="180" t="s">
        <v>927</v>
      </c>
      <c r="D905" s="181" t="s">
        <v>125</v>
      </c>
      <c r="E905" s="130" t="s">
        <v>928</v>
      </c>
      <c r="F905" s="184" t="s">
        <v>934</v>
      </c>
      <c r="G905" s="185" t="s">
        <v>934</v>
      </c>
      <c r="H905" s="185" t="s">
        <v>934</v>
      </c>
      <c r="I905" s="185" t="s">
        <v>934</v>
      </c>
      <c r="J905" s="132">
        <v>0.9</v>
      </c>
      <c r="K905" s="133" t="s">
        <v>35</v>
      </c>
      <c r="L905" s="133" t="s">
        <v>35</v>
      </c>
      <c r="M905" s="134" t="s">
        <v>35</v>
      </c>
      <c r="N905" s="133" t="s">
        <v>35</v>
      </c>
      <c r="O905" s="135">
        <v>0.9</v>
      </c>
      <c r="P905" s="133" t="s">
        <v>35</v>
      </c>
      <c r="Q905" s="133" t="s">
        <v>35</v>
      </c>
      <c r="R905" s="133" t="s">
        <v>35</v>
      </c>
      <c r="S905" s="133">
        <v>0</v>
      </c>
      <c r="T905" s="135">
        <v>0.9</v>
      </c>
      <c r="U905" s="133" t="s">
        <v>35</v>
      </c>
      <c r="V905" s="133" t="s">
        <v>35</v>
      </c>
      <c r="W905" s="133" t="s">
        <v>35</v>
      </c>
      <c r="X905" s="133">
        <v>1</v>
      </c>
      <c r="Y905" s="135">
        <v>0.92</v>
      </c>
      <c r="Z905" s="135" t="s">
        <v>35</v>
      </c>
      <c r="AA905" s="135" t="s">
        <v>35</v>
      </c>
      <c r="AB905" s="135" t="s">
        <v>35</v>
      </c>
      <c r="AC905" s="135" t="s">
        <v>35</v>
      </c>
      <c r="AD905" s="135">
        <v>0.92</v>
      </c>
      <c r="AE905" s="133">
        <v>1</v>
      </c>
      <c r="AF905" s="133">
        <v>0.972222222222222</v>
      </c>
      <c r="AG905" s="133">
        <v>0.850467289719626</v>
      </c>
      <c r="AH905" s="133">
        <v>0.939226519337017</v>
      </c>
      <c r="AI905" s="135">
        <v>0.92</v>
      </c>
      <c r="AJ905" s="133" t="s">
        <v>35</v>
      </c>
      <c r="AK905" s="133" t="s">
        <v>35</v>
      </c>
      <c r="AL905" s="133" t="s">
        <v>35</v>
      </c>
      <c r="AM905" s="133">
        <v>1</v>
      </c>
      <c r="AN905" s="132">
        <v>0.99</v>
      </c>
      <c r="AO905" s="137">
        <v>1</v>
      </c>
      <c r="AP905" s="137">
        <v>1</v>
      </c>
      <c r="AQ905" s="137">
        <v>1</v>
      </c>
      <c r="AR905" s="137">
        <v>1</v>
      </c>
      <c r="AS905" s="158">
        <v>0.0656418488929858</v>
      </c>
      <c r="AT905" s="141" t="s">
        <v>35</v>
      </c>
      <c r="AU905" s="141" t="s">
        <v>35</v>
      </c>
      <c r="AV905" s="141" t="s">
        <v>35</v>
      </c>
      <c r="AW905" s="141" t="s">
        <v>35</v>
      </c>
      <c r="AX905" s="95"/>
      <c r="AY905" s="93"/>
    </row>
    <row r="906" ht="14.5" spans="1:51">
      <c r="A906" s="91"/>
      <c r="B906" s="95"/>
      <c r="C906" s="180" t="s">
        <v>927</v>
      </c>
      <c r="D906" s="181" t="s">
        <v>25</v>
      </c>
      <c r="E906" s="130" t="s">
        <v>928</v>
      </c>
      <c r="F906" s="186" t="s">
        <v>935</v>
      </c>
      <c r="G906" s="187" t="s">
        <v>935</v>
      </c>
      <c r="H906" s="187" t="s">
        <v>935</v>
      </c>
      <c r="I906" s="187" t="s">
        <v>935</v>
      </c>
      <c r="J906" s="132">
        <v>0.9</v>
      </c>
      <c r="K906" s="133">
        <v>0.923076923076923</v>
      </c>
      <c r="L906" s="133">
        <v>0.857142857142857</v>
      </c>
      <c r="M906" s="134">
        <v>0.897435897435897</v>
      </c>
      <c r="N906" s="133">
        <v>0.893939393939394</v>
      </c>
      <c r="O906" s="135">
        <v>0.9</v>
      </c>
      <c r="P906" s="133">
        <v>0.802725118483412</v>
      </c>
      <c r="Q906" s="133">
        <v>0.879073419709462</v>
      </c>
      <c r="R906" s="133">
        <v>0.887975334018499</v>
      </c>
      <c r="S906" s="133">
        <v>0.863821721899948</v>
      </c>
      <c r="T906" s="135">
        <v>0.9</v>
      </c>
      <c r="U906" s="133">
        <v>0.883590047393365</v>
      </c>
      <c r="V906" s="133">
        <v>0.895563407930899</v>
      </c>
      <c r="W906" s="133">
        <v>0.884892086330935</v>
      </c>
      <c r="X906" s="133">
        <v>0.903298680910535</v>
      </c>
      <c r="Y906" s="135">
        <v>0.92</v>
      </c>
      <c r="Z906" s="135">
        <v>0.94413407821229</v>
      </c>
      <c r="AA906" s="135">
        <v>0.932038834951456</v>
      </c>
      <c r="AB906" s="135">
        <v>0.934306569343066</v>
      </c>
      <c r="AC906" s="135">
        <v>0.936285191318748</v>
      </c>
      <c r="AD906" s="135">
        <v>0.92</v>
      </c>
      <c r="AE906" s="133">
        <v>0.860959920831272</v>
      </c>
      <c r="AF906" s="133">
        <v>0.88150289017341</v>
      </c>
      <c r="AG906" s="133">
        <v>0.902283105022831</v>
      </c>
      <c r="AH906" s="133">
        <v>0.939278627290767</v>
      </c>
      <c r="AI906" s="135">
        <v>0.92</v>
      </c>
      <c r="AJ906" s="133">
        <v>0.901178361006963</v>
      </c>
      <c r="AK906" s="133">
        <v>0.906976744186046</v>
      </c>
      <c r="AL906" s="133">
        <v>0.908042663591813</v>
      </c>
      <c r="AM906" s="133">
        <v>0.924071690887975</v>
      </c>
      <c r="AN906" s="132">
        <v>0.99</v>
      </c>
      <c r="AO906" s="137">
        <v>1</v>
      </c>
      <c r="AP906" s="137">
        <v>1</v>
      </c>
      <c r="AQ906" s="137">
        <v>1</v>
      </c>
      <c r="AR906" s="137">
        <v>1</v>
      </c>
      <c r="AS906" s="158">
        <v>0.0656418488929858</v>
      </c>
      <c r="AT906" s="141">
        <v>0.04</v>
      </c>
      <c r="AU906" s="141">
        <v>0</v>
      </c>
      <c r="AV906" s="141">
        <v>0.0192307692307692</v>
      </c>
      <c r="AW906" s="141">
        <v>0.0523489932885906</v>
      </c>
      <c r="AX906" s="95"/>
      <c r="AY906" s="93"/>
    </row>
    <row r="907" ht="14.5" spans="1:51">
      <c r="A907" s="91"/>
      <c r="B907" s="95"/>
      <c r="C907" s="180" t="s">
        <v>927</v>
      </c>
      <c r="D907" s="181" t="s">
        <v>125</v>
      </c>
      <c r="E907" s="130" t="s">
        <v>928</v>
      </c>
      <c r="F907" s="186" t="s">
        <v>936</v>
      </c>
      <c r="G907" s="187" t="s">
        <v>936</v>
      </c>
      <c r="H907" s="187" t="s">
        <v>936</v>
      </c>
      <c r="I907" s="187" t="s">
        <v>936</v>
      </c>
      <c r="J907" s="132">
        <v>0.9</v>
      </c>
      <c r="K907" s="133" t="s">
        <v>35</v>
      </c>
      <c r="L907" s="133" t="s">
        <v>35</v>
      </c>
      <c r="M907" s="134" t="s">
        <v>35</v>
      </c>
      <c r="N907" s="133" t="s">
        <v>35</v>
      </c>
      <c r="O907" s="135">
        <v>0.9</v>
      </c>
      <c r="P907" s="133" t="s">
        <v>35</v>
      </c>
      <c r="Q907" s="133" t="s">
        <v>35</v>
      </c>
      <c r="R907" s="133" t="s">
        <v>35</v>
      </c>
      <c r="S907" s="133" t="s">
        <v>35</v>
      </c>
      <c r="T907" s="135">
        <v>0.9</v>
      </c>
      <c r="U907" s="133" t="s">
        <v>35</v>
      </c>
      <c r="V907" s="133" t="s">
        <v>35</v>
      </c>
      <c r="W907" s="133" t="s">
        <v>35</v>
      </c>
      <c r="X907" s="133" t="s">
        <v>35</v>
      </c>
      <c r="Y907" s="135">
        <v>0.92</v>
      </c>
      <c r="Z907" s="135" t="s">
        <v>35</v>
      </c>
      <c r="AA907" s="135" t="s">
        <v>35</v>
      </c>
      <c r="AB907" s="135" t="s">
        <v>35</v>
      </c>
      <c r="AC907" s="135" t="s">
        <v>35</v>
      </c>
      <c r="AD907" s="135">
        <v>0.92</v>
      </c>
      <c r="AE907" s="133">
        <v>1</v>
      </c>
      <c r="AF907" s="133">
        <v>0.955172413793103</v>
      </c>
      <c r="AG907" s="133">
        <v>0.743467933491686</v>
      </c>
      <c r="AH907" s="133">
        <v>0.941468716037882</v>
      </c>
      <c r="AI907" s="135">
        <v>0.92</v>
      </c>
      <c r="AJ907" s="133" t="s">
        <v>35</v>
      </c>
      <c r="AK907" s="133" t="s">
        <v>35</v>
      </c>
      <c r="AL907" s="133" t="s">
        <v>35</v>
      </c>
      <c r="AM907" s="133" t="s">
        <v>35</v>
      </c>
      <c r="AN907" s="132">
        <v>0.99</v>
      </c>
      <c r="AO907" s="137">
        <v>1</v>
      </c>
      <c r="AP907" s="137" t="s">
        <v>35</v>
      </c>
      <c r="AQ907" s="137">
        <v>1</v>
      </c>
      <c r="AR907" s="137">
        <v>1</v>
      </c>
      <c r="AS907" s="158">
        <v>0.0656418488929858</v>
      </c>
      <c r="AT907" s="141" t="s">
        <v>35</v>
      </c>
      <c r="AU907" s="141" t="s">
        <v>35</v>
      </c>
      <c r="AV907" s="141" t="s">
        <v>35</v>
      </c>
      <c r="AW907" s="141" t="s">
        <v>35</v>
      </c>
      <c r="AX907" s="95"/>
      <c r="AY907" s="93"/>
    </row>
    <row r="908" ht="14.5" spans="1:51">
      <c r="A908" s="91"/>
      <c r="B908" s="95"/>
      <c r="C908" s="180" t="s">
        <v>927</v>
      </c>
      <c r="D908" s="181" t="s">
        <v>25</v>
      </c>
      <c r="E908" s="130" t="s">
        <v>928</v>
      </c>
      <c r="F908" s="186" t="s">
        <v>937</v>
      </c>
      <c r="G908" s="187" t="s">
        <v>937</v>
      </c>
      <c r="H908" s="187" t="s">
        <v>937</v>
      </c>
      <c r="I908" s="187" t="s">
        <v>937</v>
      </c>
      <c r="J908" s="132">
        <v>0.9</v>
      </c>
      <c r="K908" s="133">
        <v>0.941176470588235</v>
      </c>
      <c r="L908" s="133">
        <v>0.894736842105263</v>
      </c>
      <c r="M908" s="134">
        <v>1</v>
      </c>
      <c r="N908" s="133">
        <v>0.871165644171779</v>
      </c>
      <c r="O908" s="135">
        <v>0.9</v>
      </c>
      <c r="P908" s="133">
        <v>0.898095728255275</v>
      </c>
      <c r="Q908" s="133">
        <v>0.904497843499692</v>
      </c>
      <c r="R908" s="133">
        <v>0.904288377874456</v>
      </c>
      <c r="S908" s="133">
        <v>0.863364407958815</v>
      </c>
      <c r="T908" s="135">
        <v>0.9</v>
      </c>
      <c r="U908" s="133">
        <v>0.896037056098816</v>
      </c>
      <c r="V908" s="133">
        <v>0.923598274799754</v>
      </c>
      <c r="W908" s="133">
        <v>0.944064636420137</v>
      </c>
      <c r="X908" s="133">
        <v>0.919333518853485</v>
      </c>
      <c r="Y908" s="135">
        <v>0.92</v>
      </c>
      <c r="Z908" s="135">
        <v>0.939577039274924</v>
      </c>
      <c r="AA908" s="135">
        <v>0.941729323308271</v>
      </c>
      <c r="AB908" s="135">
        <v>0.97008547008547</v>
      </c>
      <c r="AC908" s="135">
        <v>0.925667675305881</v>
      </c>
      <c r="AD908" s="135">
        <v>0.92</v>
      </c>
      <c r="AE908" s="133">
        <v>0.92841163310962</v>
      </c>
      <c r="AF908" s="133">
        <v>0.899525316455696</v>
      </c>
      <c r="AG908" s="133">
        <v>0.886303191489362</v>
      </c>
      <c r="AH908" s="133">
        <v>0.890585858585859</v>
      </c>
      <c r="AI908" s="135">
        <v>0.92</v>
      </c>
      <c r="AJ908" s="133">
        <v>0.921284080914688</v>
      </c>
      <c r="AK908" s="133">
        <v>0.936426914153132</v>
      </c>
      <c r="AL908" s="133">
        <v>0.961482908040443</v>
      </c>
      <c r="AM908" s="133">
        <v>0.943750687644405</v>
      </c>
      <c r="AN908" s="132">
        <v>0.99</v>
      </c>
      <c r="AO908" s="137">
        <v>1</v>
      </c>
      <c r="AP908" s="137" t="s">
        <v>35</v>
      </c>
      <c r="AQ908" s="137" t="s">
        <v>35</v>
      </c>
      <c r="AR908" s="137">
        <v>1</v>
      </c>
      <c r="AS908" s="158">
        <v>0.0656418488929858</v>
      </c>
      <c r="AT908" s="141">
        <v>0</v>
      </c>
      <c r="AU908" s="141">
        <v>0</v>
      </c>
      <c r="AV908" s="141">
        <v>0.0454545454545455</v>
      </c>
      <c r="AW908" s="141">
        <v>0.0294117647058824</v>
      </c>
      <c r="AX908" s="95"/>
      <c r="AY908" s="93"/>
    </row>
    <row r="909" ht="14.5" spans="1:51">
      <c r="A909" s="91"/>
      <c r="B909" s="95"/>
      <c r="C909" s="180" t="s">
        <v>927</v>
      </c>
      <c r="D909" s="181" t="s">
        <v>125</v>
      </c>
      <c r="E909" s="130" t="s">
        <v>928</v>
      </c>
      <c r="F909" s="184" t="s">
        <v>938</v>
      </c>
      <c r="G909" s="185" t="s">
        <v>938</v>
      </c>
      <c r="H909" s="185" t="s">
        <v>938</v>
      </c>
      <c r="I909" s="185" t="s">
        <v>938</v>
      </c>
      <c r="J909" s="132">
        <v>0.9</v>
      </c>
      <c r="K909" s="133" t="s">
        <v>35</v>
      </c>
      <c r="L909" s="133" t="s">
        <v>35</v>
      </c>
      <c r="M909" s="134" t="s">
        <v>35</v>
      </c>
      <c r="N909" s="133" t="s">
        <v>35</v>
      </c>
      <c r="O909" s="135">
        <v>0.9</v>
      </c>
      <c r="P909" s="133" t="s">
        <v>35</v>
      </c>
      <c r="Q909" s="133" t="s">
        <v>35</v>
      </c>
      <c r="R909" s="133" t="s">
        <v>35</v>
      </c>
      <c r="S909" s="133" t="s">
        <v>35</v>
      </c>
      <c r="T909" s="135">
        <v>0.9</v>
      </c>
      <c r="U909" s="133" t="s">
        <v>35</v>
      </c>
      <c r="V909" s="133" t="s">
        <v>35</v>
      </c>
      <c r="W909" s="133" t="s">
        <v>35</v>
      </c>
      <c r="X909" s="133" t="s">
        <v>35</v>
      </c>
      <c r="Y909" s="135">
        <v>0.92</v>
      </c>
      <c r="Z909" s="135" t="s">
        <v>35</v>
      </c>
      <c r="AA909" s="135" t="s">
        <v>35</v>
      </c>
      <c r="AB909" s="135" t="s">
        <v>35</v>
      </c>
      <c r="AC909" s="135" t="s">
        <v>35</v>
      </c>
      <c r="AD909" s="135">
        <v>0.92</v>
      </c>
      <c r="AE909" s="133">
        <v>0</v>
      </c>
      <c r="AF909" s="133">
        <v>1</v>
      </c>
      <c r="AG909" s="133">
        <v>0.993055555555556</v>
      </c>
      <c r="AH909" s="133">
        <v>0.874602453430259</v>
      </c>
      <c r="AI909" s="135">
        <v>0.92</v>
      </c>
      <c r="AJ909" s="133" t="s">
        <v>35</v>
      </c>
      <c r="AK909" s="133" t="s">
        <v>35</v>
      </c>
      <c r="AL909" s="133" t="s">
        <v>35</v>
      </c>
      <c r="AM909" s="133" t="s">
        <v>35</v>
      </c>
      <c r="AN909" s="132">
        <v>0.99</v>
      </c>
      <c r="AO909" s="137">
        <v>1</v>
      </c>
      <c r="AP909" s="137">
        <v>1</v>
      </c>
      <c r="AQ909" s="137">
        <v>1</v>
      </c>
      <c r="AR909" s="137">
        <v>1</v>
      </c>
      <c r="AS909" s="158">
        <v>0.0656418488929858</v>
      </c>
      <c r="AT909" s="141" t="s">
        <v>35</v>
      </c>
      <c r="AU909" s="141" t="s">
        <v>35</v>
      </c>
      <c r="AV909" s="141" t="s">
        <v>35</v>
      </c>
      <c r="AW909" s="141" t="s">
        <v>35</v>
      </c>
      <c r="AX909" s="95"/>
      <c r="AY909" s="93"/>
    </row>
    <row r="910" ht="14.5" spans="1:51">
      <c r="A910" s="91"/>
      <c r="B910" s="95"/>
      <c r="C910" s="180" t="s">
        <v>927</v>
      </c>
      <c r="D910" s="181" t="s">
        <v>25</v>
      </c>
      <c r="E910" s="130" t="s">
        <v>928</v>
      </c>
      <c r="F910" s="184" t="s">
        <v>939</v>
      </c>
      <c r="G910" s="185" t="s">
        <v>939</v>
      </c>
      <c r="H910" s="185" t="s">
        <v>939</v>
      </c>
      <c r="I910" s="185" t="s">
        <v>939</v>
      </c>
      <c r="J910" s="132">
        <v>0.9</v>
      </c>
      <c r="K910" s="133">
        <v>0.75</v>
      </c>
      <c r="L910" s="133">
        <v>0.736842105263158</v>
      </c>
      <c r="M910" s="134">
        <v>0.894736842105263</v>
      </c>
      <c r="N910" s="133">
        <v>0.779874213836478</v>
      </c>
      <c r="O910" s="135">
        <v>0.9</v>
      </c>
      <c r="P910" s="133">
        <v>0.815698178664354</v>
      </c>
      <c r="Q910" s="133">
        <v>0.908453608247423</v>
      </c>
      <c r="R910" s="133">
        <v>0.920554854981084</v>
      </c>
      <c r="S910" s="133">
        <v>0.819988078680707</v>
      </c>
      <c r="T910" s="135">
        <v>0.9</v>
      </c>
      <c r="U910" s="133">
        <v>0.84908933217693</v>
      </c>
      <c r="V910" s="133">
        <v>0.776494845360825</v>
      </c>
      <c r="W910" s="133">
        <v>0.903741067675494</v>
      </c>
      <c r="X910" s="133">
        <v>0.787932975693755</v>
      </c>
      <c r="Y910" s="135">
        <v>0.92</v>
      </c>
      <c r="Z910" s="135">
        <v>1</v>
      </c>
      <c r="AA910" s="135" t="s">
        <v>35</v>
      </c>
      <c r="AB910" s="135">
        <v>0</v>
      </c>
      <c r="AC910" s="135">
        <v>0.5</v>
      </c>
      <c r="AD910" s="135">
        <v>0.92</v>
      </c>
      <c r="AE910" s="133">
        <v>0.99037037037037</v>
      </c>
      <c r="AF910" s="133">
        <v>0.997116770783277</v>
      </c>
      <c r="AG910" s="133">
        <v>0.995790629575403</v>
      </c>
      <c r="AH910" s="133">
        <v>0.936284272866857</v>
      </c>
      <c r="AI910" s="135">
        <v>0.92</v>
      </c>
      <c r="AJ910" s="133">
        <v>0.952813852813853</v>
      </c>
      <c r="AK910" s="133">
        <v>0.901071723000824</v>
      </c>
      <c r="AL910" s="133">
        <v>0.957160856782864</v>
      </c>
      <c r="AM910" s="133">
        <v>0.945314913713201</v>
      </c>
      <c r="AN910" s="132">
        <v>0.99</v>
      </c>
      <c r="AO910" s="137">
        <v>1</v>
      </c>
      <c r="AP910" s="137">
        <v>1</v>
      </c>
      <c r="AQ910" s="137">
        <v>1</v>
      </c>
      <c r="AR910" s="137">
        <v>1</v>
      </c>
      <c r="AS910" s="158">
        <v>0.0656418488929858</v>
      </c>
      <c r="AT910" s="141">
        <v>0.142857142857143</v>
      </c>
      <c r="AU910" s="141">
        <v>0.166666666666667</v>
      </c>
      <c r="AV910" s="141">
        <v>0</v>
      </c>
      <c r="AW910" s="141">
        <v>0.0546623794212219</v>
      </c>
      <c r="AX910" s="95"/>
      <c r="AY910" s="93"/>
    </row>
    <row r="911" ht="14.5" spans="1:51">
      <c r="A911" s="91"/>
      <c r="B911" s="95"/>
      <c r="C911" s="180" t="s">
        <v>927</v>
      </c>
      <c r="D911" s="181" t="s">
        <v>25</v>
      </c>
      <c r="E911" s="130" t="s">
        <v>928</v>
      </c>
      <c r="F911" s="184" t="s">
        <v>940</v>
      </c>
      <c r="G911" s="185" t="s">
        <v>940</v>
      </c>
      <c r="H911" s="185" t="s">
        <v>940</v>
      </c>
      <c r="I911" s="185" t="s">
        <v>940</v>
      </c>
      <c r="J911" s="132">
        <v>0.9</v>
      </c>
      <c r="K911" s="133">
        <v>0.851851851851852</v>
      </c>
      <c r="L911" s="133">
        <v>0.931034482758621</v>
      </c>
      <c r="M911" s="134">
        <v>0.741935483870968</v>
      </c>
      <c r="N911" s="133">
        <v>0.872420262664165</v>
      </c>
      <c r="O911" s="135">
        <v>0.9</v>
      </c>
      <c r="P911" s="133">
        <v>0.948168624740843</v>
      </c>
      <c r="Q911" s="133">
        <v>0.973562458691342</v>
      </c>
      <c r="R911" s="133">
        <v>0.974562272877436</v>
      </c>
      <c r="S911" s="133">
        <v>0.972975113346136</v>
      </c>
      <c r="T911" s="135">
        <v>0.9</v>
      </c>
      <c r="U911" s="133">
        <v>0.87767795438839</v>
      </c>
      <c r="V911" s="133">
        <v>0.933906146728354</v>
      </c>
      <c r="W911" s="133">
        <v>0.956722827882392</v>
      </c>
      <c r="X911" s="133">
        <v>0.918252192678533</v>
      </c>
      <c r="Y911" s="135">
        <v>0.92</v>
      </c>
      <c r="Z911" s="135" t="s">
        <v>35</v>
      </c>
      <c r="AA911" s="135">
        <v>1</v>
      </c>
      <c r="AB911" s="135" t="s">
        <v>35</v>
      </c>
      <c r="AC911" s="135">
        <v>1</v>
      </c>
      <c r="AD911" s="135">
        <v>0.92</v>
      </c>
      <c r="AE911" s="133">
        <v>0.99786552828175</v>
      </c>
      <c r="AF911" s="133">
        <v>0.999245852187029</v>
      </c>
      <c r="AG911" s="133">
        <v>1</v>
      </c>
      <c r="AH911" s="133">
        <v>0.998713671262612</v>
      </c>
      <c r="AI911" s="135">
        <v>0.92</v>
      </c>
      <c r="AJ911" s="133">
        <v>0.922625215889465</v>
      </c>
      <c r="AK911" s="133">
        <v>0.948497854077253</v>
      </c>
      <c r="AL911" s="133">
        <v>0.96963696369637</v>
      </c>
      <c r="AM911" s="133">
        <v>0.952181141635658</v>
      </c>
      <c r="AN911" s="132">
        <v>0.99</v>
      </c>
      <c r="AO911" s="137">
        <v>1</v>
      </c>
      <c r="AP911" s="137">
        <v>1</v>
      </c>
      <c r="AQ911" s="137">
        <v>1</v>
      </c>
      <c r="AR911" s="137">
        <v>1</v>
      </c>
      <c r="AS911" s="158">
        <v>0.0656418488929858</v>
      </c>
      <c r="AT911" s="141">
        <v>0</v>
      </c>
      <c r="AU911" s="141">
        <v>0</v>
      </c>
      <c r="AV911" s="141">
        <v>0.0384615384615385</v>
      </c>
      <c r="AW911" s="141">
        <v>0.0823529411764706</v>
      </c>
      <c r="AX911" s="95"/>
      <c r="AY911" s="93"/>
    </row>
    <row r="912" ht="14.5" spans="1:51">
      <c r="A912" s="91"/>
      <c r="B912" s="95"/>
      <c r="C912" s="180" t="s">
        <v>927</v>
      </c>
      <c r="D912" s="181" t="s">
        <v>25</v>
      </c>
      <c r="E912" s="130" t="s">
        <v>928</v>
      </c>
      <c r="F912" s="188" t="s">
        <v>941</v>
      </c>
      <c r="G912" s="189" t="s">
        <v>941</v>
      </c>
      <c r="H912" s="189" t="s">
        <v>941</v>
      </c>
      <c r="I912" s="189" t="s">
        <v>941</v>
      </c>
      <c r="J912" s="132">
        <v>0.9</v>
      </c>
      <c r="K912" s="133">
        <v>1</v>
      </c>
      <c r="L912" s="133">
        <v>0.823529411764706</v>
      </c>
      <c r="M912" s="134">
        <v>0.944444444444444</v>
      </c>
      <c r="N912" s="133">
        <v>0.907590759075908</v>
      </c>
      <c r="O912" s="135">
        <v>0.9</v>
      </c>
      <c r="P912" s="133">
        <v>0.815176151761518</v>
      </c>
      <c r="Q912" s="133">
        <v>0.833679833679834</v>
      </c>
      <c r="R912" s="133">
        <v>0.913653534808419</v>
      </c>
      <c r="S912" s="133">
        <v>0.869002168534865</v>
      </c>
      <c r="T912" s="135">
        <v>0.9</v>
      </c>
      <c r="U912" s="133">
        <v>0.625474254742547</v>
      </c>
      <c r="V912" s="133">
        <v>0.812370062370062</v>
      </c>
      <c r="W912" s="133">
        <v>0.895844576362655</v>
      </c>
      <c r="X912" s="133">
        <v>0.847194648911151</v>
      </c>
      <c r="Y912" s="135">
        <v>0.92</v>
      </c>
      <c r="Z912" s="135" t="s">
        <v>35</v>
      </c>
      <c r="AA912" s="135" t="s">
        <v>35</v>
      </c>
      <c r="AB912" s="135" t="s">
        <v>35</v>
      </c>
      <c r="AC912" s="135" t="s">
        <v>35</v>
      </c>
      <c r="AD912" s="135">
        <v>0.92</v>
      </c>
      <c r="AE912" s="133">
        <v>0.998305084745763</v>
      </c>
      <c r="AF912" s="133">
        <v>0.993963782696177</v>
      </c>
      <c r="AG912" s="133">
        <v>0.999333555481506</v>
      </c>
      <c r="AH912" s="133">
        <v>0.988085216602992</v>
      </c>
      <c r="AI912" s="135">
        <v>0.92</v>
      </c>
      <c r="AJ912" s="133">
        <v>0.702922077922078</v>
      </c>
      <c r="AK912" s="133">
        <v>0.910649350649351</v>
      </c>
      <c r="AL912" s="133">
        <v>0.95048439181916</v>
      </c>
      <c r="AM912" s="133">
        <v>0.926232007806782</v>
      </c>
      <c r="AN912" s="132">
        <v>0.99</v>
      </c>
      <c r="AO912" s="137">
        <v>1</v>
      </c>
      <c r="AP912" s="137">
        <v>1</v>
      </c>
      <c r="AQ912" s="137">
        <v>1</v>
      </c>
      <c r="AR912" s="137">
        <v>1</v>
      </c>
      <c r="AS912" s="158">
        <v>0.0656418488929858</v>
      </c>
      <c r="AT912" s="141">
        <v>0</v>
      </c>
      <c r="AU912" s="141">
        <v>0</v>
      </c>
      <c r="AV912" s="141">
        <v>0</v>
      </c>
      <c r="AW912" s="141">
        <v>0.0775193798449612</v>
      </c>
      <c r="AX912" s="95"/>
      <c r="AY912" s="93"/>
    </row>
    <row r="913" ht="14.5" spans="1:51">
      <c r="A913" s="91"/>
      <c r="B913" s="95"/>
      <c r="C913" s="180" t="s">
        <v>927</v>
      </c>
      <c r="D913" s="181" t="s">
        <v>25</v>
      </c>
      <c r="E913" s="130" t="s">
        <v>928</v>
      </c>
      <c r="F913" s="184" t="s">
        <v>942</v>
      </c>
      <c r="G913" s="185" t="s">
        <v>942</v>
      </c>
      <c r="H913" s="185" t="s">
        <v>942</v>
      </c>
      <c r="I913" s="185" t="s">
        <v>942</v>
      </c>
      <c r="J913" s="132">
        <v>0.9</v>
      </c>
      <c r="K913" s="133">
        <v>0.925</v>
      </c>
      <c r="L913" s="133">
        <v>0.95</v>
      </c>
      <c r="M913" s="134">
        <v>0.902439024390244</v>
      </c>
      <c r="N913" s="133">
        <v>0.89069423929099</v>
      </c>
      <c r="O913" s="135">
        <v>0.9</v>
      </c>
      <c r="P913" s="133">
        <v>0.896048109965636</v>
      </c>
      <c r="Q913" s="133">
        <v>0.902673796791444</v>
      </c>
      <c r="R913" s="133">
        <v>0.929243937232525</v>
      </c>
      <c r="S913" s="133">
        <v>0.929269191779559</v>
      </c>
      <c r="T913" s="135">
        <v>0.9</v>
      </c>
      <c r="U913" s="133">
        <v>0.945017182130584</v>
      </c>
      <c r="V913" s="133">
        <v>0.929946524064171</v>
      </c>
      <c r="W913" s="133">
        <v>0.966619115549215</v>
      </c>
      <c r="X913" s="133">
        <v>0.927395324547661</v>
      </c>
      <c r="Y913" s="135">
        <v>0.92</v>
      </c>
      <c r="Z913" s="135" t="s">
        <v>35</v>
      </c>
      <c r="AA913" s="135" t="s">
        <v>35</v>
      </c>
      <c r="AB913" s="135">
        <v>1</v>
      </c>
      <c r="AC913" s="135">
        <v>1</v>
      </c>
      <c r="AD913" s="135">
        <v>0.92</v>
      </c>
      <c r="AE913" s="133">
        <v>0.99009900990099</v>
      </c>
      <c r="AF913" s="133">
        <v>0.985304408677397</v>
      </c>
      <c r="AG913" s="133">
        <v>0.993495378295104</v>
      </c>
      <c r="AH913" s="133">
        <v>0.994281188331476</v>
      </c>
      <c r="AI913" s="135">
        <v>0.92</v>
      </c>
      <c r="AJ913" s="133">
        <v>0.949899799599198</v>
      </c>
      <c r="AK913" s="133">
        <v>0.936647955092221</v>
      </c>
      <c r="AL913" s="133">
        <v>0.972047917855106</v>
      </c>
      <c r="AM913" s="133">
        <v>0.961097203237548</v>
      </c>
      <c r="AN913" s="132">
        <v>0.99</v>
      </c>
      <c r="AO913" s="137">
        <v>1</v>
      </c>
      <c r="AP913" s="137">
        <v>1</v>
      </c>
      <c r="AQ913" s="137">
        <v>1</v>
      </c>
      <c r="AR913" s="137">
        <v>1</v>
      </c>
      <c r="AS913" s="158">
        <v>0.0656418488929858</v>
      </c>
      <c r="AT913" s="141">
        <v>0</v>
      </c>
      <c r="AU913" s="141">
        <v>0</v>
      </c>
      <c r="AV913" s="141">
        <v>0</v>
      </c>
      <c r="AW913" s="141">
        <v>0.05</v>
      </c>
      <c r="AX913" s="95"/>
      <c r="AY913" s="93"/>
    </row>
    <row r="914" ht="14.5" spans="1:51">
      <c r="A914" s="91"/>
      <c r="B914" s="95"/>
      <c r="C914" s="180" t="s">
        <v>927</v>
      </c>
      <c r="D914" s="181" t="s">
        <v>25</v>
      </c>
      <c r="E914" s="130" t="s">
        <v>928</v>
      </c>
      <c r="F914" s="188" t="s">
        <v>943</v>
      </c>
      <c r="G914" s="189" t="s">
        <v>943</v>
      </c>
      <c r="H914" s="189" t="s">
        <v>943</v>
      </c>
      <c r="I914" s="189" t="s">
        <v>943</v>
      </c>
      <c r="J914" s="132">
        <v>0.9</v>
      </c>
      <c r="K914" s="133">
        <v>0.818181818181818</v>
      </c>
      <c r="L914" s="133">
        <v>0.818181818181818</v>
      </c>
      <c r="M914" s="134">
        <v>0.923076923076923</v>
      </c>
      <c r="N914" s="133">
        <v>0.917073170731707</v>
      </c>
      <c r="O914" s="135">
        <v>0.9</v>
      </c>
      <c r="P914" s="133">
        <v>0.897250361794501</v>
      </c>
      <c r="Q914" s="133">
        <v>0.959237343852729</v>
      </c>
      <c r="R914" s="133">
        <v>0.953998584571833</v>
      </c>
      <c r="S914" s="133">
        <v>0.924483336436418</v>
      </c>
      <c r="T914" s="135">
        <v>0.9</v>
      </c>
      <c r="U914" s="133">
        <v>0.835021707670043</v>
      </c>
      <c r="V914" s="133">
        <v>0.808678500986193</v>
      </c>
      <c r="W914" s="133">
        <v>0.922859164897382</v>
      </c>
      <c r="X914" s="133">
        <v>0.882144851982871</v>
      </c>
      <c r="Y914" s="135">
        <v>0.92</v>
      </c>
      <c r="Z914" s="135" t="s">
        <v>35</v>
      </c>
      <c r="AA914" s="135" t="s">
        <v>35</v>
      </c>
      <c r="AB914" s="135" t="s">
        <v>35</v>
      </c>
      <c r="AC914" s="135" t="s">
        <v>35</v>
      </c>
      <c r="AD914" s="135">
        <v>0.92</v>
      </c>
      <c r="AE914" s="133">
        <v>1</v>
      </c>
      <c r="AF914" s="133">
        <v>0.997183098591549</v>
      </c>
      <c r="AG914" s="133">
        <v>0.998211091234347</v>
      </c>
      <c r="AH914" s="133">
        <v>0.996025935996653</v>
      </c>
      <c r="AI914" s="135">
        <v>0.92</v>
      </c>
      <c r="AJ914" s="133">
        <v>0.859623733719247</v>
      </c>
      <c r="AK914" s="133">
        <v>0.839579224194609</v>
      </c>
      <c r="AL914" s="133">
        <v>0.941259731068648</v>
      </c>
      <c r="AM914" s="133">
        <v>0.930664680692608</v>
      </c>
      <c r="AN914" s="132">
        <v>0.99</v>
      </c>
      <c r="AO914" s="137">
        <v>1</v>
      </c>
      <c r="AP914" s="137">
        <v>1</v>
      </c>
      <c r="AQ914" s="137">
        <v>1</v>
      </c>
      <c r="AR914" s="137">
        <v>1</v>
      </c>
      <c r="AS914" s="158">
        <v>0.0656418488929858</v>
      </c>
      <c r="AT914" s="141">
        <v>0</v>
      </c>
      <c r="AU914" s="141">
        <v>0</v>
      </c>
      <c r="AV914" s="141">
        <v>0</v>
      </c>
      <c r="AW914" s="141">
        <v>0.0275862068965517</v>
      </c>
      <c r="AX914" s="95"/>
      <c r="AY914" s="93"/>
    </row>
    <row r="915" ht="14.5" spans="1:51">
      <c r="A915" s="91"/>
      <c r="B915" s="95"/>
      <c r="C915" s="180" t="s">
        <v>927</v>
      </c>
      <c r="D915" s="181" t="s">
        <v>25</v>
      </c>
      <c r="E915" s="130" t="s">
        <v>928</v>
      </c>
      <c r="F915" s="184" t="s">
        <v>944</v>
      </c>
      <c r="G915" s="185" t="s">
        <v>944</v>
      </c>
      <c r="H915" s="185" t="s">
        <v>944</v>
      </c>
      <c r="I915" s="185" t="s">
        <v>944</v>
      </c>
      <c r="J915" s="132">
        <v>0.9</v>
      </c>
      <c r="K915" s="133">
        <v>0.75</v>
      </c>
      <c r="L915" s="133">
        <v>0.85</v>
      </c>
      <c r="M915" s="134">
        <v>0.857142857142857</v>
      </c>
      <c r="N915" s="133">
        <v>0.786743515850144</v>
      </c>
      <c r="O915" s="135">
        <v>0.9</v>
      </c>
      <c r="P915" s="133">
        <v>0.941935483870968</v>
      </c>
      <c r="Q915" s="133">
        <v>0.932313398238294</v>
      </c>
      <c r="R915" s="133">
        <v>0.966232513265798</v>
      </c>
      <c r="S915" s="133">
        <v>0.939138750896581</v>
      </c>
      <c r="T915" s="135">
        <v>0.9</v>
      </c>
      <c r="U915" s="133">
        <v>0.84863523573201</v>
      </c>
      <c r="V915" s="133">
        <v>0.849791376912378</v>
      </c>
      <c r="W915" s="133">
        <v>0.891461649782923</v>
      </c>
      <c r="X915" s="133">
        <v>0.864463512472438</v>
      </c>
      <c r="Y915" s="135">
        <v>0.92</v>
      </c>
      <c r="Z915" s="135" t="s">
        <v>35</v>
      </c>
      <c r="AA915" s="135" t="s">
        <v>35</v>
      </c>
      <c r="AB915" s="135" t="s">
        <v>35</v>
      </c>
      <c r="AC915" s="135" t="s">
        <v>35</v>
      </c>
      <c r="AD915" s="135">
        <v>0.92</v>
      </c>
      <c r="AE915" s="133">
        <v>0.995440729483283</v>
      </c>
      <c r="AF915" s="133">
        <v>0.970209339774557</v>
      </c>
      <c r="AG915" s="133">
        <v>0.998662505572893</v>
      </c>
      <c r="AH915" s="133">
        <v>0.994182942250948</v>
      </c>
      <c r="AI915" s="135">
        <v>0.92</v>
      </c>
      <c r="AJ915" s="133">
        <v>0.907783837382251</v>
      </c>
      <c r="AK915" s="133">
        <v>0.901715345387112</v>
      </c>
      <c r="AL915" s="133">
        <v>0.947901591895803</v>
      </c>
      <c r="AM915" s="133">
        <v>0.942624910351422</v>
      </c>
      <c r="AN915" s="132">
        <v>0.99</v>
      </c>
      <c r="AO915" s="137">
        <v>1</v>
      </c>
      <c r="AP915" s="137">
        <v>1</v>
      </c>
      <c r="AQ915" s="137">
        <v>1</v>
      </c>
      <c r="AR915" s="137">
        <v>1</v>
      </c>
      <c r="AS915" s="158">
        <v>0.0656418488929858</v>
      </c>
      <c r="AT915" s="141">
        <v>0.0384615384615385</v>
      </c>
      <c r="AU915" s="141">
        <v>0</v>
      </c>
      <c r="AV915" s="141">
        <v>0.0666666666666667</v>
      </c>
      <c r="AW915" s="141">
        <v>0.033096926713948</v>
      </c>
      <c r="AX915" s="95"/>
      <c r="AY915" s="93"/>
    </row>
    <row r="916" ht="14.5" spans="1:51">
      <c r="A916" s="91"/>
      <c r="B916" s="95"/>
      <c r="C916" s="180" t="s">
        <v>927</v>
      </c>
      <c r="D916" s="181" t="s">
        <v>25</v>
      </c>
      <c r="E916" s="130" t="s">
        <v>928</v>
      </c>
      <c r="F916" s="184" t="s">
        <v>945</v>
      </c>
      <c r="G916" s="185" t="s">
        <v>945</v>
      </c>
      <c r="H916" s="185" t="s">
        <v>945</v>
      </c>
      <c r="I916" s="185" t="s">
        <v>945</v>
      </c>
      <c r="J916" s="132">
        <v>0.9</v>
      </c>
      <c r="K916" s="133">
        <v>0.870967741935484</v>
      </c>
      <c r="L916" s="133">
        <v>1</v>
      </c>
      <c r="M916" s="134">
        <v>0.90625</v>
      </c>
      <c r="N916" s="133">
        <v>0.879406307977737</v>
      </c>
      <c r="O916" s="135">
        <v>0.9</v>
      </c>
      <c r="P916" s="133">
        <v>0.928094660194175</v>
      </c>
      <c r="Q916" s="133">
        <v>0.875843850895216</v>
      </c>
      <c r="R916" s="133">
        <v>0.946950354609929</v>
      </c>
      <c r="S916" s="133">
        <v>0.913654277103779</v>
      </c>
      <c r="T916" s="135">
        <v>0.9</v>
      </c>
      <c r="U916" s="133">
        <v>0.870752427184466</v>
      </c>
      <c r="V916" s="133">
        <v>0.835339007924861</v>
      </c>
      <c r="W916" s="133">
        <v>0.913758865248227</v>
      </c>
      <c r="X916" s="133">
        <v>0.903624140329186</v>
      </c>
      <c r="Y916" s="135">
        <v>0.92</v>
      </c>
      <c r="Z916" s="135" t="s">
        <v>35</v>
      </c>
      <c r="AA916" s="135">
        <v>1</v>
      </c>
      <c r="AB916" s="135" t="s">
        <v>35</v>
      </c>
      <c r="AC916" s="135">
        <v>1</v>
      </c>
      <c r="AD916" s="135">
        <v>0.92</v>
      </c>
      <c r="AE916" s="133">
        <v>0.998508204873197</v>
      </c>
      <c r="AF916" s="133">
        <v>0.998240675580577</v>
      </c>
      <c r="AG916" s="133">
        <v>0.999212133149498</v>
      </c>
      <c r="AH916" s="133">
        <v>0.994809020232749</v>
      </c>
      <c r="AI916" s="135">
        <v>0.92</v>
      </c>
      <c r="AJ916" s="133">
        <v>0.911434637549287</v>
      </c>
      <c r="AK916" s="133">
        <v>0.865903755868545</v>
      </c>
      <c r="AL916" s="133">
        <v>0.963141480011341</v>
      </c>
      <c r="AM916" s="133">
        <v>0.947971876690103</v>
      </c>
      <c r="AN916" s="132">
        <v>0.99</v>
      </c>
      <c r="AO916" s="137">
        <v>1</v>
      </c>
      <c r="AP916" s="137">
        <v>1</v>
      </c>
      <c r="AQ916" s="137">
        <v>1</v>
      </c>
      <c r="AR916" s="137">
        <v>1</v>
      </c>
      <c r="AS916" s="158">
        <v>0.0656418488929858</v>
      </c>
      <c r="AT916" s="141">
        <v>0.0416666666666667</v>
      </c>
      <c r="AU916" s="141">
        <v>0.1</v>
      </c>
      <c r="AV916" s="141">
        <v>0.0277777777777778</v>
      </c>
      <c r="AW916" s="141">
        <v>0.0428571428571429</v>
      </c>
      <c r="AX916" s="95"/>
      <c r="AY916" s="93"/>
    </row>
    <row r="917" ht="14.5" spans="1:51">
      <c r="A917" s="91"/>
      <c r="B917" s="95"/>
      <c r="C917" s="180" t="s">
        <v>927</v>
      </c>
      <c r="D917" s="181" t="s">
        <v>25</v>
      </c>
      <c r="E917" s="130" t="s">
        <v>928</v>
      </c>
      <c r="F917" s="184" t="s">
        <v>946</v>
      </c>
      <c r="G917" s="185" t="s">
        <v>946</v>
      </c>
      <c r="H917" s="185" t="s">
        <v>946</v>
      </c>
      <c r="I917" s="185" t="s">
        <v>946</v>
      </c>
      <c r="J917" s="132">
        <v>0.9</v>
      </c>
      <c r="K917" s="133">
        <v>0.942857142857143</v>
      </c>
      <c r="L917" s="133">
        <v>0.972972972972973</v>
      </c>
      <c r="M917" s="134">
        <v>0.972972972972973</v>
      </c>
      <c r="N917" s="133">
        <v>0.958677685950413</v>
      </c>
      <c r="O917" s="135">
        <v>0.9</v>
      </c>
      <c r="P917" s="133">
        <v>0.896464646464647</v>
      </c>
      <c r="Q917" s="133">
        <v>0.927486829872947</v>
      </c>
      <c r="R917" s="133">
        <v>0.937713894592745</v>
      </c>
      <c r="S917" s="133">
        <v>0.940676151735145</v>
      </c>
      <c r="T917" s="135">
        <v>0.9</v>
      </c>
      <c r="U917" s="133">
        <v>0.818181818181818</v>
      </c>
      <c r="V917" s="133">
        <v>0.850325379609544</v>
      </c>
      <c r="W917" s="133">
        <v>0.893223819301848</v>
      </c>
      <c r="X917" s="133">
        <v>0.883395939975476</v>
      </c>
      <c r="Y917" s="135">
        <v>0.92</v>
      </c>
      <c r="Z917" s="135">
        <v>0.598039215686274</v>
      </c>
      <c r="AA917" s="135">
        <v>0.863636363636364</v>
      </c>
      <c r="AB917" s="135">
        <v>0.965973534971645</v>
      </c>
      <c r="AC917" s="135">
        <v>0.871689631584091</v>
      </c>
      <c r="AD917" s="135">
        <v>0.92</v>
      </c>
      <c r="AE917" s="133">
        <v>0.915730337078652</v>
      </c>
      <c r="AF917" s="133">
        <v>0.973615236763935</v>
      </c>
      <c r="AG917" s="133">
        <v>0.816246315099902</v>
      </c>
      <c r="AH917" s="133">
        <v>0.946151793033764</v>
      </c>
      <c r="AI917" s="135">
        <v>0.92</v>
      </c>
      <c r="AJ917" s="133">
        <v>0.881168831168831</v>
      </c>
      <c r="AK917" s="133">
        <v>0.946745562130177</v>
      </c>
      <c r="AL917" s="133">
        <v>0.961471610660487</v>
      </c>
      <c r="AM917" s="133">
        <v>0.943514101191056</v>
      </c>
      <c r="AN917" s="132">
        <v>0.99</v>
      </c>
      <c r="AO917" s="137">
        <v>1</v>
      </c>
      <c r="AP917" s="137">
        <v>1</v>
      </c>
      <c r="AQ917" s="137">
        <v>1</v>
      </c>
      <c r="AR917" s="137">
        <v>1</v>
      </c>
      <c r="AS917" s="158">
        <v>0.0656418488929858</v>
      </c>
      <c r="AT917" s="141">
        <v>0.1</v>
      </c>
      <c r="AU917" s="141">
        <v>0</v>
      </c>
      <c r="AV917" s="141">
        <v>0</v>
      </c>
      <c r="AW917" s="141">
        <v>0.0625</v>
      </c>
      <c r="AX917" s="95"/>
      <c r="AY917" s="93"/>
    </row>
    <row r="918" ht="14.5" spans="1:51">
      <c r="A918" s="91"/>
      <c r="B918" s="95"/>
      <c r="C918" s="180" t="s">
        <v>927</v>
      </c>
      <c r="D918" s="181" t="s">
        <v>25</v>
      </c>
      <c r="E918" s="130" t="s">
        <v>928</v>
      </c>
      <c r="F918" s="184" t="s">
        <v>947</v>
      </c>
      <c r="G918" s="185" t="s">
        <v>947</v>
      </c>
      <c r="H918" s="185" t="s">
        <v>947</v>
      </c>
      <c r="I918" s="185" t="s">
        <v>947</v>
      </c>
      <c r="J918" s="132">
        <v>0.9</v>
      </c>
      <c r="K918" s="133">
        <v>1</v>
      </c>
      <c r="L918" s="133">
        <v>1</v>
      </c>
      <c r="M918" s="134">
        <v>1</v>
      </c>
      <c r="N918" s="133">
        <v>0.909090909090909</v>
      </c>
      <c r="O918" s="135">
        <v>0.9</v>
      </c>
      <c r="P918" s="133">
        <v>0.96085409252669</v>
      </c>
      <c r="Q918" s="133">
        <v>0.982547993019197</v>
      </c>
      <c r="R918" s="133">
        <v>0.981067125645439</v>
      </c>
      <c r="S918" s="133">
        <v>0.949180327868852</v>
      </c>
      <c r="T918" s="135">
        <v>0.9</v>
      </c>
      <c r="U918" s="133">
        <v>0.838078291814947</v>
      </c>
      <c r="V918" s="133">
        <v>0.830715532286213</v>
      </c>
      <c r="W918" s="133">
        <v>0.912220309810671</v>
      </c>
      <c r="X918" s="133">
        <v>0.873315118397086</v>
      </c>
      <c r="Y918" s="135">
        <v>0.92</v>
      </c>
      <c r="Z918" s="135" t="s">
        <v>35</v>
      </c>
      <c r="AA918" s="135" t="s">
        <v>35</v>
      </c>
      <c r="AB918" s="135" t="s">
        <v>35</v>
      </c>
      <c r="AC918" s="135">
        <v>0</v>
      </c>
      <c r="AD918" s="135">
        <v>0.92</v>
      </c>
      <c r="AE918" s="133">
        <v>0.998247151621385</v>
      </c>
      <c r="AF918" s="133">
        <v>0.944</v>
      </c>
      <c r="AG918" s="133">
        <v>1</v>
      </c>
      <c r="AH918" s="133">
        <v>0.996639016018307</v>
      </c>
      <c r="AI918" s="135">
        <v>0.92</v>
      </c>
      <c r="AJ918" s="133">
        <v>0.911032028469751</v>
      </c>
      <c r="AK918" s="133">
        <v>0.930191972076789</v>
      </c>
      <c r="AL918" s="133">
        <v>0.972461273666093</v>
      </c>
      <c r="AM918" s="133">
        <v>0.958944014565316</v>
      </c>
      <c r="AN918" s="132">
        <v>0.99</v>
      </c>
      <c r="AO918" s="137">
        <v>1</v>
      </c>
      <c r="AP918" s="137">
        <v>1</v>
      </c>
      <c r="AQ918" s="137">
        <v>1</v>
      </c>
      <c r="AR918" s="137">
        <v>1</v>
      </c>
      <c r="AS918" s="158">
        <v>0.0656418488929858</v>
      </c>
      <c r="AT918" s="141">
        <v>0.25</v>
      </c>
      <c r="AU918" s="141">
        <v>0</v>
      </c>
      <c r="AV918" s="141">
        <v>0</v>
      </c>
      <c r="AW918" s="141">
        <v>0.0119047619047619</v>
      </c>
      <c r="AX918" s="95"/>
      <c r="AY918" s="93"/>
    </row>
    <row r="919" ht="14.5" spans="1:51">
      <c r="A919" s="91"/>
      <c r="B919" s="95"/>
      <c r="C919" s="180" t="s">
        <v>927</v>
      </c>
      <c r="D919" s="181" t="s">
        <v>25</v>
      </c>
      <c r="E919" s="130" t="s">
        <v>928</v>
      </c>
      <c r="F919" s="184" t="s">
        <v>948</v>
      </c>
      <c r="G919" s="185" t="s">
        <v>948</v>
      </c>
      <c r="H919" s="185" t="s">
        <v>948</v>
      </c>
      <c r="I919" s="185" t="s">
        <v>948</v>
      </c>
      <c r="J919" s="132">
        <v>0.9</v>
      </c>
      <c r="K919" s="133">
        <v>0.848484848484849</v>
      </c>
      <c r="L919" s="133">
        <v>0.885714285714286</v>
      </c>
      <c r="M919" s="134">
        <v>0.941176470588235</v>
      </c>
      <c r="N919" s="133">
        <v>0.921140939597315</v>
      </c>
      <c r="O919" s="135">
        <v>0.9</v>
      </c>
      <c r="P919" s="133">
        <v>0.945382680560546</v>
      </c>
      <c r="Q919" s="133">
        <v>0.957120980091884</v>
      </c>
      <c r="R919" s="133">
        <v>0.962784286698828</v>
      </c>
      <c r="S919" s="133">
        <v>0.953078854105139</v>
      </c>
      <c r="T919" s="135">
        <v>0.9</v>
      </c>
      <c r="U919" s="133">
        <v>0.889328063241107</v>
      </c>
      <c r="V919" s="133">
        <v>0.900765696784073</v>
      </c>
      <c r="W919" s="133">
        <v>0.923845623707788</v>
      </c>
      <c r="X919" s="133">
        <v>0.906729917306556</v>
      </c>
      <c r="Y919" s="135">
        <v>0.92</v>
      </c>
      <c r="Z919" s="135" t="s">
        <v>35</v>
      </c>
      <c r="AA919" s="135">
        <v>0</v>
      </c>
      <c r="AB919" s="135" t="s">
        <v>35</v>
      </c>
      <c r="AC919" s="135">
        <v>0</v>
      </c>
      <c r="AD919" s="135">
        <v>0.92</v>
      </c>
      <c r="AE919" s="133">
        <v>0.995827538247566</v>
      </c>
      <c r="AF919" s="133">
        <v>0.991166077738516</v>
      </c>
      <c r="AG919" s="133">
        <v>0.999211563731932</v>
      </c>
      <c r="AH919" s="133">
        <v>0.995204025473701</v>
      </c>
      <c r="AI919" s="135">
        <v>0.92</v>
      </c>
      <c r="AJ919" s="133">
        <v>0.927775781530722</v>
      </c>
      <c r="AK919" s="133">
        <v>0.944886711573791</v>
      </c>
      <c r="AL919" s="133">
        <v>0.944176430048243</v>
      </c>
      <c r="AM919" s="133">
        <v>0.940898519694341</v>
      </c>
      <c r="AN919" s="132">
        <v>0.99</v>
      </c>
      <c r="AO919" s="137">
        <v>1</v>
      </c>
      <c r="AP919" s="137">
        <v>1</v>
      </c>
      <c r="AQ919" s="137">
        <v>1</v>
      </c>
      <c r="AR919" s="137">
        <v>1</v>
      </c>
      <c r="AS919" s="158">
        <v>0.0656418488929858</v>
      </c>
      <c r="AT919" s="141">
        <v>0.111111111111111</v>
      </c>
      <c r="AU919" s="141">
        <v>0</v>
      </c>
      <c r="AV919" s="141">
        <v>0</v>
      </c>
      <c r="AW919" s="141">
        <v>0.0376344086021505</v>
      </c>
      <c r="AX919" s="95"/>
      <c r="AY919" s="93"/>
    </row>
    <row r="920" ht="14.5" spans="1:51">
      <c r="A920" s="91"/>
      <c r="B920" s="95"/>
      <c r="C920" s="180" t="s">
        <v>927</v>
      </c>
      <c r="D920" s="181" t="s">
        <v>25</v>
      </c>
      <c r="E920" s="130" t="s">
        <v>928</v>
      </c>
      <c r="F920" s="188" t="s">
        <v>949</v>
      </c>
      <c r="G920" s="189" t="s">
        <v>949</v>
      </c>
      <c r="H920" s="189" t="s">
        <v>949</v>
      </c>
      <c r="I920" s="189" t="s">
        <v>949</v>
      </c>
      <c r="J920" s="132">
        <v>0.9</v>
      </c>
      <c r="K920" s="133">
        <v>0.8125</v>
      </c>
      <c r="L920" s="133">
        <v>0.736842105263158</v>
      </c>
      <c r="M920" s="134">
        <v>0.8</v>
      </c>
      <c r="N920" s="133">
        <v>0.854368932038835</v>
      </c>
      <c r="O920" s="135">
        <v>0.9</v>
      </c>
      <c r="P920" s="133">
        <v>0.92146017699115</v>
      </c>
      <c r="Q920" s="133">
        <v>0.941582580987785</v>
      </c>
      <c r="R920" s="133">
        <v>0.953579418344519</v>
      </c>
      <c r="S920" s="133">
        <v>0.935910570085573</v>
      </c>
      <c r="T920" s="135">
        <v>0.9</v>
      </c>
      <c r="U920" s="133">
        <v>0.886615044247788</v>
      </c>
      <c r="V920" s="133">
        <v>0.812002124269782</v>
      </c>
      <c r="W920" s="133">
        <v>0.891498881431767</v>
      </c>
      <c r="X920" s="133">
        <v>0.835332047728094</v>
      </c>
      <c r="Y920" s="135">
        <v>0.92</v>
      </c>
      <c r="Z920" s="135" t="s">
        <v>35</v>
      </c>
      <c r="AA920" s="135" t="s">
        <v>35</v>
      </c>
      <c r="AB920" s="135" t="s">
        <v>35</v>
      </c>
      <c r="AC920" s="135" t="s">
        <v>35</v>
      </c>
      <c r="AD920" s="135">
        <v>0.92</v>
      </c>
      <c r="AE920" s="133">
        <v>0.995296331138288</v>
      </c>
      <c r="AF920" s="133">
        <v>0.997446808510638</v>
      </c>
      <c r="AG920" s="133">
        <v>0.992433795712484</v>
      </c>
      <c r="AH920" s="133">
        <v>0.981945969690314</v>
      </c>
      <c r="AI920" s="135">
        <v>0.92</v>
      </c>
      <c r="AJ920" s="133">
        <v>0.928097345132743</v>
      </c>
      <c r="AK920" s="133">
        <v>0.915029208709506</v>
      </c>
      <c r="AL920" s="133">
        <v>0.945190156599553</v>
      </c>
      <c r="AM920" s="133">
        <v>0.934950286230792</v>
      </c>
      <c r="AN920" s="132">
        <v>0.99</v>
      </c>
      <c r="AO920" s="137">
        <v>1</v>
      </c>
      <c r="AP920" s="137">
        <v>1</v>
      </c>
      <c r="AQ920" s="137">
        <v>1</v>
      </c>
      <c r="AR920" s="137">
        <v>1</v>
      </c>
      <c r="AS920" s="158">
        <v>0.0656418488929858</v>
      </c>
      <c r="AT920" s="141">
        <v>0.0588235294117647</v>
      </c>
      <c r="AU920" s="141">
        <v>0</v>
      </c>
      <c r="AV920" s="141">
        <v>0.0769230769230769</v>
      </c>
      <c r="AW920" s="141">
        <v>0.0384615384615385</v>
      </c>
      <c r="AX920" s="95"/>
      <c r="AY920" s="93"/>
    </row>
    <row r="921" ht="14.5" spans="1:51">
      <c r="A921" s="91"/>
      <c r="B921" s="95"/>
      <c r="C921" s="180" t="s">
        <v>927</v>
      </c>
      <c r="D921" s="181" t="s">
        <v>25</v>
      </c>
      <c r="E921" s="130" t="s">
        <v>928</v>
      </c>
      <c r="F921" s="184" t="s">
        <v>950</v>
      </c>
      <c r="G921" s="185" t="s">
        <v>950</v>
      </c>
      <c r="H921" s="185" t="s">
        <v>950</v>
      </c>
      <c r="I921" s="185" t="s">
        <v>950</v>
      </c>
      <c r="J921" s="132">
        <v>0.9</v>
      </c>
      <c r="K921" s="133">
        <v>0.919354838709677</v>
      </c>
      <c r="L921" s="133">
        <v>0.875</v>
      </c>
      <c r="M921" s="134">
        <v>0.983606557377049</v>
      </c>
      <c r="N921" s="133">
        <v>0.903353057199211</v>
      </c>
      <c r="O921" s="135">
        <v>0.9</v>
      </c>
      <c r="P921" s="133">
        <v>0.937466210127951</v>
      </c>
      <c r="Q921" s="133">
        <v>0.910670978172999</v>
      </c>
      <c r="R921" s="133">
        <v>0.917792032410533</v>
      </c>
      <c r="S921" s="133">
        <v>0.90191172999764</v>
      </c>
      <c r="T921" s="135">
        <v>0.9</v>
      </c>
      <c r="U921" s="133">
        <v>0.883943052802307</v>
      </c>
      <c r="V921" s="133">
        <v>0.846200485044462</v>
      </c>
      <c r="W921" s="133">
        <v>0.866475354490209</v>
      </c>
      <c r="X921" s="133">
        <v>0.849676658012745</v>
      </c>
      <c r="Y921" s="135">
        <v>0.92</v>
      </c>
      <c r="Z921" s="135" t="s">
        <v>35</v>
      </c>
      <c r="AA921" s="135" t="s">
        <v>35</v>
      </c>
      <c r="AB921" s="135">
        <v>0</v>
      </c>
      <c r="AC921" s="135">
        <v>0</v>
      </c>
      <c r="AD921" s="135">
        <v>0.92</v>
      </c>
      <c r="AE921" s="133">
        <v>0.987012987012987</v>
      </c>
      <c r="AF921" s="133">
        <v>0.862250262881178</v>
      </c>
      <c r="AG921" s="133">
        <v>0.987613542526837</v>
      </c>
      <c r="AH921" s="133">
        <v>0.978254179915889</v>
      </c>
      <c r="AI921" s="135">
        <v>0.92</v>
      </c>
      <c r="AJ921" s="133">
        <v>0.920706433591638</v>
      </c>
      <c r="AK921" s="133">
        <v>0.900970088924818</v>
      </c>
      <c r="AL921" s="133">
        <v>0.941940928270042</v>
      </c>
      <c r="AM921" s="133">
        <v>0.934577586451046</v>
      </c>
      <c r="AN921" s="132">
        <v>0.99</v>
      </c>
      <c r="AO921" s="137">
        <v>1</v>
      </c>
      <c r="AP921" s="137">
        <v>1</v>
      </c>
      <c r="AQ921" s="137">
        <v>1</v>
      </c>
      <c r="AR921" s="137">
        <v>1</v>
      </c>
      <c r="AS921" s="158">
        <v>0.0656418488929858</v>
      </c>
      <c r="AT921" s="141">
        <v>0.0638297872340425</v>
      </c>
      <c r="AU921" s="141">
        <v>0.0697674418604651</v>
      </c>
      <c r="AV921" s="141">
        <v>0.0227272727272727</v>
      </c>
      <c r="AW921" s="141">
        <v>0.0391236306729265</v>
      </c>
      <c r="AX921" s="95"/>
      <c r="AY921" s="93"/>
    </row>
    <row r="922" ht="14.5" spans="1:51">
      <c r="A922" s="91"/>
      <c r="B922" s="95"/>
      <c r="C922" s="180" t="s">
        <v>927</v>
      </c>
      <c r="D922" s="181" t="s">
        <v>25</v>
      </c>
      <c r="E922" s="130" t="s">
        <v>928</v>
      </c>
      <c r="F922" s="184" t="s">
        <v>951</v>
      </c>
      <c r="G922" s="185" t="s">
        <v>951</v>
      </c>
      <c r="H922" s="185" t="s">
        <v>951</v>
      </c>
      <c r="I922" s="185" t="s">
        <v>951</v>
      </c>
      <c r="J922" s="132">
        <v>0.9</v>
      </c>
      <c r="K922" s="133">
        <v>1</v>
      </c>
      <c r="L922" s="133">
        <v>1</v>
      </c>
      <c r="M922" s="134">
        <v>1</v>
      </c>
      <c r="N922" s="133">
        <v>0.997267759562842</v>
      </c>
      <c r="O922" s="135">
        <v>0.9</v>
      </c>
      <c r="P922" s="133">
        <v>0.971359223300971</v>
      </c>
      <c r="Q922" s="133">
        <v>0.976968796433878</v>
      </c>
      <c r="R922" s="133">
        <v>0.984529546030941</v>
      </c>
      <c r="S922" s="133">
        <v>0.979237821319432</v>
      </c>
      <c r="T922" s="135">
        <v>0.9</v>
      </c>
      <c r="U922" s="133">
        <v>0.92621359223301</v>
      </c>
      <c r="V922" s="133">
        <v>0.933135215453195</v>
      </c>
      <c r="W922" s="133">
        <v>0.942429622115141</v>
      </c>
      <c r="X922" s="133">
        <v>0.937379625587427</v>
      </c>
      <c r="Y922" s="135">
        <v>0.92</v>
      </c>
      <c r="Z922" s="135" t="s">
        <v>35</v>
      </c>
      <c r="AA922" s="135" t="s">
        <v>35</v>
      </c>
      <c r="AB922" s="135" t="s">
        <v>35</v>
      </c>
      <c r="AC922" s="135">
        <v>1</v>
      </c>
      <c r="AD922" s="135">
        <v>0.92</v>
      </c>
      <c r="AE922" s="133">
        <v>0.995169082125604</v>
      </c>
      <c r="AF922" s="133">
        <v>0.988040478380865</v>
      </c>
      <c r="AG922" s="133">
        <v>0.994666666666667</v>
      </c>
      <c r="AH922" s="133">
        <v>0.99150505784385</v>
      </c>
      <c r="AI922" s="135">
        <v>0.92</v>
      </c>
      <c r="AJ922" s="133">
        <v>0.968932038834951</v>
      </c>
      <c r="AK922" s="133">
        <v>0.968301139177811</v>
      </c>
      <c r="AL922" s="133">
        <v>0.980471722039057</v>
      </c>
      <c r="AM922" s="133">
        <v>0.976503518052488</v>
      </c>
      <c r="AN922" s="132">
        <v>0.99</v>
      </c>
      <c r="AO922" s="137">
        <v>1</v>
      </c>
      <c r="AP922" s="137">
        <v>1</v>
      </c>
      <c r="AQ922" s="137">
        <v>1</v>
      </c>
      <c r="AR922" s="137">
        <v>1</v>
      </c>
      <c r="AS922" s="158">
        <v>0.0656418488929858</v>
      </c>
      <c r="AT922" s="141">
        <v>0</v>
      </c>
      <c r="AU922" s="141">
        <v>0</v>
      </c>
      <c r="AV922" s="141">
        <v>0</v>
      </c>
      <c r="AW922" s="141">
        <v>0.0491803278688525</v>
      </c>
      <c r="AX922" s="95"/>
      <c r="AY922" s="93"/>
    </row>
    <row r="923" ht="14.5" spans="1:51">
      <c r="A923" s="91"/>
      <c r="B923" s="95"/>
      <c r="C923" s="180" t="s">
        <v>927</v>
      </c>
      <c r="D923" s="181" t="s">
        <v>25</v>
      </c>
      <c r="E923" s="130" t="s">
        <v>928</v>
      </c>
      <c r="F923" s="184" t="s">
        <v>952</v>
      </c>
      <c r="G923" s="185" t="s">
        <v>952</v>
      </c>
      <c r="H923" s="185" t="s">
        <v>952</v>
      </c>
      <c r="I923" s="185" t="s">
        <v>952</v>
      </c>
      <c r="J923" s="132">
        <v>0.9</v>
      </c>
      <c r="K923" s="133">
        <v>0.885714285714286</v>
      </c>
      <c r="L923" s="133">
        <v>0.911764705882353</v>
      </c>
      <c r="M923" s="134">
        <v>0.942857142857143</v>
      </c>
      <c r="N923" s="133">
        <v>0.951342281879195</v>
      </c>
      <c r="O923" s="135">
        <v>0.9</v>
      </c>
      <c r="P923" s="133">
        <v>0.936897458369851</v>
      </c>
      <c r="Q923" s="133">
        <v>0.944536150544734</v>
      </c>
      <c r="R923" s="133">
        <v>0.930635838150289</v>
      </c>
      <c r="S923" s="133">
        <v>0.948599746456148</v>
      </c>
      <c r="T923" s="135">
        <v>0.9</v>
      </c>
      <c r="U923" s="133">
        <v>0.918784691790827</v>
      </c>
      <c r="V923" s="133">
        <v>0.915483657972928</v>
      </c>
      <c r="W923" s="133">
        <v>0.923638576209309</v>
      </c>
      <c r="X923" s="133">
        <v>0.911737104660926</v>
      </c>
      <c r="Y923" s="135">
        <v>0.92</v>
      </c>
      <c r="Z923" s="135" t="s">
        <v>35</v>
      </c>
      <c r="AA923" s="135" t="s">
        <v>35</v>
      </c>
      <c r="AB923" s="135" t="s">
        <v>35</v>
      </c>
      <c r="AC923" s="135" t="s">
        <v>35</v>
      </c>
      <c r="AD923" s="135">
        <v>0.92</v>
      </c>
      <c r="AE923" s="133">
        <v>0.994939665239393</v>
      </c>
      <c r="AF923" s="133">
        <v>0.851000741289844</v>
      </c>
      <c r="AG923" s="133">
        <v>0.96754662145798</v>
      </c>
      <c r="AH923" s="133">
        <v>0.975161987041037</v>
      </c>
      <c r="AI923" s="135">
        <v>0.92</v>
      </c>
      <c r="AJ923" s="133">
        <v>0.955594507741747</v>
      </c>
      <c r="AK923" s="133">
        <v>0.94618686034995</v>
      </c>
      <c r="AL923" s="133">
        <v>0.951323395193185</v>
      </c>
      <c r="AM923" s="133">
        <v>0.958727754638395</v>
      </c>
      <c r="AN923" s="132">
        <v>0.99</v>
      </c>
      <c r="AO923" s="137">
        <v>1</v>
      </c>
      <c r="AP923" s="137">
        <v>1</v>
      </c>
      <c r="AQ923" s="137">
        <v>1</v>
      </c>
      <c r="AR923" s="137">
        <v>1</v>
      </c>
      <c r="AS923" s="158">
        <v>0.0656418488929858</v>
      </c>
      <c r="AT923" s="141">
        <v>0</v>
      </c>
      <c r="AU923" s="141">
        <v>0</v>
      </c>
      <c r="AV923" s="141">
        <v>0.0714285714285714</v>
      </c>
      <c r="AW923" s="141">
        <v>0.0432692307692308</v>
      </c>
      <c r="AX923" s="95"/>
      <c r="AY923" s="93"/>
    </row>
    <row r="924" ht="14.5" spans="1:51">
      <c r="A924" s="91"/>
      <c r="B924" s="95"/>
      <c r="C924" s="180" t="s">
        <v>927</v>
      </c>
      <c r="D924" s="181" t="s">
        <v>25</v>
      </c>
      <c r="E924" s="130" t="s">
        <v>928</v>
      </c>
      <c r="F924" s="188" t="s">
        <v>953</v>
      </c>
      <c r="G924" s="189" t="s">
        <v>953</v>
      </c>
      <c r="H924" s="189" t="s">
        <v>953</v>
      </c>
      <c r="I924" s="189" t="s">
        <v>953</v>
      </c>
      <c r="J924" s="132">
        <v>0.9</v>
      </c>
      <c r="K924" s="133">
        <v>0.977272727272727</v>
      </c>
      <c r="L924" s="133">
        <v>0.925</v>
      </c>
      <c r="M924" s="134">
        <v>0.951219512195122</v>
      </c>
      <c r="N924" s="133">
        <v>0.936572199730094</v>
      </c>
      <c r="O924" s="135">
        <v>0.9</v>
      </c>
      <c r="P924" s="133">
        <v>0.916985575507801</v>
      </c>
      <c r="Q924" s="133">
        <v>0.919058368268301</v>
      </c>
      <c r="R924" s="133">
        <v>0.940141843971631</v>
      </c>
      <c r="S924" s="133">
        <v>0.943599405664568</v>
      </c>
      <c r="T924" s="135">
        <v>0.9</v>
      </c>
      <c r="U924" s="133">
        <v>0.913747424197822</v>
      </c>
      <c r="V924" s="133">
        <v>0.886165752982909</v>
      </c>
      <c r="W924" s="133">
        <v>0.931914893617021</v>
      </c>
      <c r="X924" s="133">
        <v>0.912289570025887</v>
      </c>
      <c r="Y924" s="135">
        <v>0.92</v>
      </c>
      <c r="Z924" s="135" t="s">
        <v>35</v>
      </c>
      <c r="AA924" s="135" t="s">
        <v>35</v>
      </c>
      <c r="AB924" s="135" t="s">
        <v>35</v>
      </c>
      <c r="AC924" s="135">
        <v>0</v>
      </c>
      <c r="AD924" s="135">
        <v>0.92</v>
      </c>
      <c r="AE924" s="133">
        <v>1</v>
      </c>
      <c r="AF924" s="133">
        <v>0.999205718824464</v>
      </c>
      <c r="AG924" s="133">
        <v>0.7534516765286</v>
      </c>
      <c r="AH924" s="133">
        <v>0.913114103165722</v>
      </c>
      <c r="AI924" s="135">
        <v>0.92</v>
      </c>
      <c r="AJ924" s="133">
        <v>0.949072711215779</v>
      </c>
      <c r="AK924" s="133">
        <v>0.938406965495002</v>
      </c>
      <c r="AL924" s="133">
        <v>0.967943262411348</v>
      </c>
      <c r="AM924" s="133">
        <v>0.968874456222045</v>
      </c>
      <c r="AN924" s="132">
        <v>0.99</v>
      </c>
      <c r="AO924" s="137">
        <v>1</v>
      </c>
      <c r="AP924" s="137">
        <v>1</v>
      </c>
      <c r="AQ924" s="137">
        <v>1</v>
      </c>
      <c r="AR924" s="137">
        <v>1</v>
      </c>
      <c r="AS924" s="158">
        <v>0.0656418488929858</v>
      </c>
      <c r="AT924" s="141">
        <v>0.1</v>
      </c>
      <c r="AU924" s="141">
        <v>0.0625</v>
      </c>
      <c r="AV924" s="141">
        <v>0.03125</v>
      </c>
      <c r="AW924" s="141">
        <v>0.0381471389645777</v>
      </c>
      <c r="AX924" s="95"/>
      <c r="AY924" s="93"/>
    </row>
    <row r="925" ht="14.5" spans="1:51">
      <c r="A925" s="91"/>
      <c r="B925" s="95"/>
      <c r="C925" s="180" t="s">
        <v>927</v>
      </c>
      <c r="D925" s="181" t="s">
        <v>25</v>
      </c>
      <c r="E925" s="130" t="s">
        <v>928</v>
      </c>
      <c r="F925" s="184" t="s">
        <v>954</v>
      </c>
      <c r="G925" s="185" t="s">
        <v>954</v>
      </c>
      <c r="H925" s="185" t="s">
        <v>954</v>
      </c>
      <c r="I925" s="185" t="s">
        <v>954</v>
      </c>
      <c r="J925" s="132">
        <v>0.9</v>
      </c>
      <c r="K925" s="133">
        <v>1</v>
      </c>
      <c r="L925" s="133">
        <v>0.984615384615385</v>
      </c>
      <c r="M925" s="134">
        <v>0.971014492753623</v>
      </c>
      <c r="N925" s="133">
        <v>0.981943250214961</v>
      </c>
      <c r="O925" s="135">
        <v>0.9</v>
      </c>
      <c r="P925" s="133">
        <v>0.977439839572192</v>
      </c>
      <c r="Q925" s="133">
        <v>0.981989708404803</v>
      </c>
      <c r="R925" s="133">
        <v>0.988822913028292</v>
      </c>
      <c r="S925" s="133">
        <v>0.981039113498515</v>
      </c>
      <c r="T925" s="135">
        <v>0.9</v>
      </c>
      <c r="U925" s="133">
        <v>0.952205882352941</v>
      </c>
      <c r="V925" s="133">
        <v>0.952487135506003</v>
      </c>
      <c r="W925" s="133">
        <v>0.960530911631156</v>
      </c>
      <c r="X925" s="133">
        <v>0.953140285658384</v>
      </c>
      <c r="Y925" s="135">
        <v>0.92</v>
      </c>
      <c r="Z925" s="135" t="s">
        <v>35</v>
      </c>
      <c r="AA925" s="135" t="s">
        <v>35</v>
      </c>
      <c r="AB925" s="135" t="s">
        <v>35</v>
      </c>
      <c r="AC925" s="135">
        <v>1</v>
      </c>
      <c r="AD925" s="135">
        <v>0.92</v>
      </c>
      <c r="AE925" s="133">
        <v>0.99130907115698</v>
      </c>
      <c r="AF925" s="133">
        <v>0.975162866449511</v>
      </c>
      <c r="AG925" s="133">
        <v>0.990504561534165</v>
      </c>
      <c r="AH925" s="133">
        <v>0.983479126072717</v>
      </c>
      <c r="AI925" s="135">
        <v>0.92</v>
      </c>
      <c r="AJ925" s="133">
        <v>0.980782085561497</v>
      </c>
      <c r="AK925" s="133">
        <v>0.982161234991424</v>
      </c>
      <c r="AL925" s="133">
        <v>0.9869041382923</v>
      </c>
      <c r="AM925" s="133">
        <v>0.986590072385153</v>
      </c>
      <c r="AN925" s="132">
        <v>0.99</v>
      </c>
      <c r="AO925" s="137">
        <v>1</v>
      </c>
      <c r="AP925" s="137">
        <v>1</v>
      </c>
      <c r="AQ925" s="137">
        <v>1</v>
      </c>
      <c r="AR925" s="137">
        <v>1</v>
      </c>
      <c r="AS925" s="158">
        <v>0.0656418488929858</v>
      </c>
      <c r="AT925" s="141">
        <v>0</v>
      </c>
      <c r="AU925" s="141">
        <v>0.04</v>
      </c>
      <c r="AV925" s="141">
        <v>0</v>
      </c>
      <c r="AW925" s="141">
        <v>0.0367170626349892</v>
      </c>
      <c r="AX925" s="95"/>
      <c r="AY925" s="93"/>
    </row>
    <row r="926" ht="14.5" spans="1:51">
      <c r="A926" s="91"/>
      <c r="B926" s="95"/>
      <c r="C926" s="180" t="s">
        <v>927</v>
      </c>
      <c r="D926" s="181" t="s">
        <v>25</v>
      </c>
      <c r="E926" s="130" t="s">
        <v>928</v>
      </c>
      <c r="F926" s="184" t="s">
        <v>955</v>
      </c>
      <c r="G926" s="185" t="s">
        <v>955</v>
      </c>
      <c r="H926" s="185" t="s">
        <v>955</v>
      </c>
      <c r="I926" s="185" t="s">
        <v>955</v>
      </c>
      <c r="J926" s="132">
        <v>0.9</v>
      </c>
      <c r="K926" s="133">
        <v>0.980769230769231</v>
      </c>
      <c r="L926" s="133">
        <v>0.94</v>
      </c>
      <c r="M926" s="134">
        <v>0.979591836734694</v>
      </c>
      <c r="N926" s="133">
        <v>0.978622327790974</v>
      </c>
      <c r="O926" s="135">
        <v>0.9</v>
      </c>
      <c r="P926" s="133">
        <v>0.959304703476483</v>
      </c>
      <c r="Q926" s="133">
        <v>0.973214285714286</v>
      </c>
      <c r="R926" s="133">
        <v>0.9850293344123</v>
      </c>
      <c r="S926" s="133">
        <v>0.963162664250113</v>
      </c>
      <c r="T926" s="135">
        <v>0.9</v>
      </c>
      <c r="U926" s="133">
        <v>0.939059304703476</v>
      </c>
      <c r="V926" s="133">
        <v>0.930357142857143</v>
      </c>
      <c r="W926" s="133">
        <v>0.946793445276148</v>
      </c>
      <c r="X926" s="133">
        <v>0.925079293158133</v>
      </c>
      <c r="Y926" s="135">
        <v>0.92</v>
      </c>
      <c r="Z926" s="135" t="s">
        <v>35</v>
      </c>
      <c r="AA926" s="135">
        <v>1</v>
      </c>
      <c r="AB926" s="135" t="s">
        <v>35</v>
      </c>
      <c r="AC926" s="135">
        <v>1</v>
      </c>
      <c r="AD926" s="135">
        <v>0.92</v>
      </c>
      <c r="AE926" s="133">
        <v>0.531652360515021</v>
      </c>
      <c r="AF926" s="133">
        <v>0.42619926199262</v>
      </c>
      <c r="AG926" s="133">
        <v>0.844254622045401</v>
      </c>
      <c r="AH926" s="133">
        <v>0.652325401096345</v>
      </c>
      <c r="AI926" s="135">
        <v>0.92</v>
      </c>
      <c r="AJ926" s="133">
        <v>0.976282968718054</v>
      </c>
      <c r="AK926" s="133">
        <v>0.982166740971913</v>
      </c>
      <c r="AL926" s="133">
        <v>0.982831751161382</v>
      </c>
      <c r="AM926" s="133">
        <v>0.977138910276733</v>
      </c>
      <c r="AN926" s="132">
        <v>0.99</v>
      </c>
      <c r="AO926" s="137">
        <v>1</v>
      </c>
      <c r="AP926" s="137">
        <v>1</v>
      </c>
      <c r="AQ926" s="137">
        <v>1</v>
      </c>
      <c r="AR926" s="137">
        <v>1</v>
      </c>
      <c r="AS926" s="158">
        <v>0.0656418488929858</v>
      </c>
      <c r="AT926" s="141">
        <v>0.0714285714285714</v>
      </c>
      <c r="AU926" s="141">
        <v>0.0476190476190476</v>
      </c>
      <c r="AV926" s="141">
        <v>0</v>
      </c>
      <c r="AW926" s="141">
        <v>0.044392523364486</v>
      </c>
      <c r="AX926" s="95"/>
      <c r="AY926" s="93"/>
    </row>
    <row r="927" ht="14.5" spans="1:51">
      <c r="A927" s="91"/>
      <c r="B927" s="95"/>
      <c r="C927" s="180" t="s">
        <v>927</v>
      </c>
      <c r="D927" s="181" t="s">
        <v>25</v>
      </c>
      <c r="E927" s="130" t="s">
        <v>928</v>
      </c>
      <c r="F927" s="184" t="s">
        <v>956</v>
      </c>
      <c r="G927" s="185" t="s">
        <v>956</v>
      </c>
      <c r="H927" s="185" t="s">
        <v>956</v>
      </c>
      <c r="I927" s="185" t="s">
        <v>956</v>
      </c>
      <c r="J927" s="132">
        <v>0.9</v>
      </c>
      <c r="K927" s="133">
        <v>1</v>
      </c>
      <c r="L927" s="133">
        <v>1</v>
      </c>
      <c r="M927" s="134">
        <v>1</v>
      </c>
      <c r="N927" s="133">
        <v>0.994075829383886</v>
      </c>
      <c r="O927" s="135">
        <v>0.9</v>
      </c>
      <c r="P927" s="133">
        <v>0.988396874260005</v>
      </c>
      <c r="Q927" s="133">
        <v>0.991435768261965</v>
      </c>
      <c r="R927" s="133">
        <v>0.990807453416149</v>
      </c>
      <c r="S927" s="133">
        <v>0.986425280304909</v>
      </c>
      <c r="T927" s="135">
        <v>0.9</v>
      </c>
      <c r="U927" s="133">
        <v>0.963296234904097</v>
      </c>
      <c r="V927" s="133">
        <v>0.946851385390428</v>
      </c>
      <c r="W927" s="133">
        <v>0.964223602484472</v>
      </c>
      <c r="X927" s="133">
        <v>0.955085951470377</v>
      </c>
      <c r="Y927" s="135">
        <v>0.92</v>
      </c>
      <c r="Z927" s="135" t="s">
        <v>35</v>
      </c>
      <c r="AA927" s="135">
        <v>1</v>
      </c>
      <c r="AB927" s="135" t="s">
        <v>35</v>
      </c>
      <c r="AC927" s="135">
        <v>0.888888888888889</v>
      </c>
      <c r="AD927" s="135">
        <v>0.92</v>
      </c>
      <c r="AE927" s="133">
        <v>0.975524475524476</v>
      </c>
      <c r="AF927" s="133">
        <v>0.979227053140097</v>
      </c>
      <c r="AG927" s="133">
        <v>0.990995047276002</v>
      </c>
      <c r="AH927" s="133">
        <v>0.988901601830664</v>
      </c>
      <c r="AI927" s="135">
        <v>0.92</v>
      </c>
      <c r="AJ927" s="133">
        <v>0.986739284868577</v>
      </c>
      <c r="AK927" s="133">
        <v>0.981113069755729</v>
      </c>
      <c r="AL927" s="133">
        <v>0.989068322981366</v>
      </c>
      <c r="AM927" s="133">
        <v>0.988149772261593</v>
      </c>
      <c r="AN927" s="132">
        <v>0.99</v>
      </c>
      <c r="AO927" s="137">
        <v>1</v>
      </c>
      <c r="AP927" s="137">
        <v>1</v>
      </c>
      <c r="AQ927" s="137">
        <v>1</v>
      </c>
      <c r="AR927" s="137">
        <v>1</v>
      </c>
      <c r="AS927" s="158">
        <v>0.0656418488929858</v>
      </c>
      <c r="AT927" s="141">
        <v>0</v>
      </c>
      <c r="AU927" s="141">
        <v>0.111111111111111</v>
      </c>
      <c r="AV927" s="141">
        <v>0.0416666666666667</v>
      </c>
      <c r="AW927" s="141">
        <v>0.0341614906832298</v>
      </c>
      <c r="AX927" s="95"/>
      <c r="AY927" s="93"/>
    </row>
    <row r="928" ht="14.5" spans="1:51">
      <c r="A928" s="91"/>
      <c r="B928" s="95"/>
      <c r="C928" s="180" t="s">
        <v>927</v>
      </c>
      <c r="D928" s="181" t="s">
        <v>25</v>
      </c>
      <c r="E928" s="130" t="s">
        <v>928</v>
      </c>
      <c r="F928" s="184" t="s">
        <v>957</v>
      </c>
      <c r="G928" s="185" t="s">
        <v>957</v>
      </c>
      <c r="H928" s="185" t="s">
        <v>957</v>
      </c>
      <c r="I928" s="185" t="s">
        <v>957</v>
      </c>
      <c r="J928" s="132">
        <v>0.9</v>
      </c>
      <c r="K928" s="133">
        <v>1</v>
      </c>
      <c r="L928" s="133">
        <v>0.977272727272727</v>
      </c>
      <c r="M928" s="134">
        <v>0.978723404255319</v>
      </c>
      <c r="N928" s="133">
        <v>0.987179487179487</v>
      </c>
      <c r="O928" s="135">
        <v>0.9</v>
      </c>
      <c r="P928" s="133">
        <v>0.933577258654658</v>
      </c>
      <c r="Q928" s="133">
        <v>0.938709677419355</v>
      </c>
      <c r="R928" s="133">
        <v>0.976245654692932</v>
      </c>
      <c r="S928" s="133">
        <v>0.939271255060729</v>
      </c>
      <c r="T928" s="135">
        <v>0.9</v>
      </c>
      <c r="U928" s="133">
        <v>0.891359414579229</v>
      </c>
      <c r="V928" s="133">
        <v>0.929325513196481</v>
      </c>
      <c r="W928" s="133">
        <v>0.943800695249131</v>
      </c>
      <c r="X928" s="133">
        <v>0.922800221361372</v>
      </c>
      <c r="Y928" s="135">
        <v>0.92</v>
      </c>
      <c r="Z928" s="135" t="s">
        <v>35</v>
      </c>
      <c r="AA928" s="135" t="s">
        <v>35</v>
      </c>
      <c r="AB928" s="135" t="s">
        <v>35</v>
      </c>
      <c r="AC928" s="135" t="s">
        <v>35</v>
      </c>
      <c r="AD928" s="135">
        <v>0.92</v>
      </c>
      <c r="AE928" s="133">
        <v>0.937007874015748</v>
      </c>
      <c r="AF928" s="133">
        <v>0.987106017191977</v>
      </c>
      <c r="AG928" s="133">
        <v>0.960817717206133</v>
      </c>
      <c r="AH928" s="133">
        <v>0.979508850263116</v>
      </c>
      <c r="AI928" s="135">
        <v>0.92</v>
      </c>
      <c r="AJ928" s="133">
        <v>0.923466516601013</v>
      </c>
      <c r="AK928" s="133">
        <v>0.963343108504399</v>
      </c>
      <c r="AL928" s="133">
        <v>0.969293163383546</v>
      </c>
      <c r="AM928" s="133">
        <v>0.957085857409133</v>
      </c>
      <c r="AN928" s="132">
        <v>0.99</v>
      </c>
      <c r="AO928" s="137">
        <v>1</v>
      </c>
      <c r="AP928" s="137">
        <v>1</v>
      </c>
      <c r="AQ928" s="137">
        <v>1</v>
      </c>
      <c r="AR928" s="137">
        <v>1</v>
      </c>
      <c r="AS928" s="158">
        <v>0.0656418488929858</v>
      </c>
      <c r="AT928" s="141">
        <v>0</v>
      </c>
      <c r="AU928" s="141">
        <v>0</v>
      </c>
      <c r="AV928" s="141">
        <v>0</v>
      </c>
      <c r="AW928" s="141">
        <v>0.0588235294117647</v>
      </c>
      <c r="AX928" s="95"/>
      <c r="AY928" s="93"/>
    </row>
    <row r="929" ht="14.5" spans="1:51">
      <c r="A929" s="91"/>
      <c r="B929" s="95"/>
      <c r="C929" s="180" t="s">
        <v>927</v>
      </c>
      <c r="D929" s="181" t="s">
        <v>25</v>
      </c>
      <c r="E929" s="130" t="s">
        <v>928</v>
      </c>
      <c r="F929" s="184" t="s">
        <v>958</v>
      </c>
      <c r="G929" s="185" t="s">
        <v>958</v>
      </c>
      <c r="H929" s="185" t="s">
        <v>958</v>
      </c>
      <c r="I929" s="185" t="s">
        <v>958</v>
      </c>
      <c r="J929" s="132">
        <v>0.9</v>
      </c>
      <c r="K929" s="133">
        <v>0.853658536585366</v>
      </c>
      <c r="L929" s="133">
        <v>0.923076923076923</v>
      </c>
      <c r="M929" s="134">
        <v>0.925</v>
      </c>
      <c r="N929" s="133">
        <v>0.941775836972344</v>
      </c>
      <c r="O929" s="135">
        <v>0.9</v>
      </c>
      <c r="P929" s="133">
        <v>0.925985953538628</v>
      </c>
      <c r="Q929" s="133">
        <v>0.959847036328872</v>
      </c>
      <c r="R929" s="133">
        <v>0.971625563511005</v>
      </c>
      <c r="S929" s="133">
        <v>0.953033787369538</v>
      </c>
      <c r="T929" s="135">
        <v>0.9</v>
      </c>
      <c r="U929" s="133">
        <v>0.860075634792004</v>
      </c>
      <c r="V929" s="133">
        <v>0.925430210325048</v>
      </c>
      <c r="W929" s="133">
        <v>0.937151949085123</v>
      </c>
      <c r="X929" s="133">
        <v>0.916696149537119</v>
      </c>
      <c r="Y929" s="135">
        <v>0.92</v>
      </c>
      <c r="Z929" s="135" t="s">
        <v>35</v>
      </c>
      <c r="AA929" s="135">
        <v>1</v>
      </c>
      <c r="AB929" s="135" t="s">
        <v>35</v>
      </c>
      <c r="AC929" s="135">
        <v>0.833333333333333</v>
      </c>
      <c r="AD929" s="135">
        <v>0.92</v>
      </c>
      <c r="AE929" s="133">
        <v>0.995095367847411</v>
      </c>
      <c r="AF929" s="133">
        <v>0.996163069544365</v>
      </c>
      <c r="AG929" s="133">
        <v>0.962827861733542</v>
      </c>
      <c r="AH929" s="133">
        <v>0.949392097264438</v>
      </c>
      <c r="AI929" s="135">
        <v>0.92</v>
      </c>
      <c r="AJ929" s="133">
        <v>0.922204213938412</v>
      </c>
      <c r="AK929" s="133">
        <v>0.959872611464968</v>
      </c>
      <c r="AL929" s="133">
        <v>0.973767885532591</v>
      </c>
      <c r="AM929" s="133">
        <v>0.970539253975506</v>
      </c>
      <c r="AN929" s="132">
        <v>0.99</v>
      </c>
      <c r="AO929" s="137">
        <v>1</v>
      </c>
      <c r="AP929" s="137">
        <v>1</v>
      </c>
      <c r="AQ929" s="137">
        <v>1</v>
      </c>
      <c r="AR929" s="137">
        <v>1</v>
      </c>
      <c r="AS929" s="158">
        <v>0.0656418488929858</v>
      </c>
      <c r="AT929" s="141">
        <v>0</v>
      </c>
      <c r="AU929" s="141">
        <v>0.0714285714285714</v>
      </c>
      <c r="AV929" s="141">
        <v>0.0476190476190476</v>
      </c>
      <c r="AW929" s="141">
        <v>0.0433673469387755</v>
      </c>
      <c r="AX929" s="95"/>
      <c r="AY929" s="93"/>
    </row>
    <row r="930" ht="14.5" spans="1:51">
      <c r="A930" s="91"/>
      <c r="B930" s="95"/>
      <c r="C930" s="180" t="s">
        <v>927</v>
      </c>
      <c r="D930" s="181" t="s">
        <v>25</v>
      </c>
      <c r="E930" s="130" t="s">
        <v>928</v>
      </c>
      <c r="F930" s="184" t="s">
        <v>959</v>
      </c>
      <c r="G930" s="185" t="s">
        <v>959</v>
      </c>
      <c r="H930" s="185" t="s">
        <v>959</v>
      </c>
      <c r="I930" s="185" t="s">
        <v>959</v>
      </c>
      <c r="J930" s="132">
        <v>0.9</v>
      </c>
      <c r="K930" s="133">
        <v>0.956521739130435</v>
      </c>
      <c r="L930" s="133">
        <v>0.92</v>
      </c>
      <c r="M930" s="134">
        <v>1</v>
      </c>
      <c r="N930" s="133">
        <v>0.987437185929648</v>
      </c>
      <c r="O930" s="135">
        <v>0.9</v>
      </c>
      <c r="P930" s="133">
        <v>0.96048632218845</v>
      </c>
      <c r="Q930" s="133">
        <v>0.962457337883959</v>
      </c>
      <c r="R930" s="133">
        <v>0.953902566788895</v>
      </c>
      <c r="S930" s="133">
        <v>0.969373872876262</v>
      </c>
      <c r="T930" s="135">
        <v>0.9</v>
      </c>
      <c r="U930" s="133">
        <v>0.911246200607903</v>
      </c>
      <c r="V930" s="133">
        <v>0.916951080773606</v>
      </c>
      <c r="W930" s="133">
        <v>0.930330015715034</v>
      </c>
      <c r="X930" s="133">
        <v>0.925681020027209</v>
      </c>
      <c r="Y930" s="135">
        <v>0.92</v>
      </c>
      <c r="Z930" s="135">
        <v>0.885989010989011</v>
      </c>
      <c r="AA930" s="135">
        <v>0.927914110429448</v>
      </c>
      <c r="AB930" s="135">
        <v>0.92722371967655</v>
      </c>
      <c r="AC930" s="135">
        <v>0.918470055359839</v>
      </c>
      <c r="AD930" s="135">
        <v>0.92</v>
      </c>
      <c r="AE930" s="133">
        <v>0.99504132231405</v>
      </c>
      <c r="AF930" s="133">
        <v>0.996838777660696</v>
      </c>
      <c r="AG930" s="133">
        <v>0.994341147938561</v>
      </c>
      <c r="AH930" s="133">
        <v>0.993617982604767</v>
      </c>
      <c r="AI930" s="135">
        <v>0.92</v>
      </c>
      <c r="AJ930" s="133">
        <v>0.936367467340919</v>
      </c>
      <c r="AK930" s="133">
        <v>0.944813278008299</v>
      </c>
      <c r="AL930" s="133">
        <v>0.959649122807018</v>
      </c>
      <c r="AM930" s="133">
        <v>0.954678060322054</v>
      </c>
      <c r="AN930" s="132">
        <v>0.99</v>
      </c>
      <c r="AO930" s="137">
        <v>1</v>
      </c>
      <c r="AP930" s="137">
        <v>1</v>
      </c>
      <c r="AQ930" s="137">
        <v>1</v>
      </c>
      <c r="AR930" s="137">
        <v>1</v>
      </c>
      <c r="AS930" s="158">
        <v>0.0656418488929858</v>
      </c>
      <c r="AT930" s="141">
        <v>0</v>
      </c>
      <c r="AU930" s="141">
        <v>0</v>
      </c>
      <c r="AV930" s="141">
        <v>0</v>
      </c>
      <c r="AW930" s="141">
        <v>0.0476190476190476</v>
      </c>
      <c r="AX930" s="95"/>
      <c r="AY930" s="93"/>
    </row>
    <row r="931" ht="14.5" spans="1:51">
      <c r="A931" s="91"/>
      <c r="B931" s="95"/>
      <c r="C931" s="180" t="s">
        <v>927</v>
      </c>
      <c r="D931" s="181" t="s">
        <v>25</v>
      </c>
      <c r="E931" s="130" t="s">
        <v>928</v>
      </c>
      <c r="F931" s="184" t="s">
        <v>960</v>
      </c>
      <c r="G931" s="185" t="s">
        <v>960</v>
      </c>
      <c r="H931" s="185" t="s">
        <v>960</v>
      </c>
      <c r="I931" s="185" t="s">
        <v>960</v>
      </c>
      <c r="J931" s="132">
        <v>0.9</v>
      </c>
      <c r="K931" s="133">
        <v>0.944444444444444</v>
      </c>
      <c r="L931" s="133">
        <v>0.971428571428571</v>
      </c>
      <c r="M931" s="134">
        <v>0.945945945945946</v>
      </c>
      <c r="N931" s="133">
        <v>0.954828660436137</v>
      </c>
      <c r="O931" s="135">
        <v>0.9</v>
      </c>
      <c r="P931" s="133">
        <v>0.920932358318099</v>
      </c>
      <c r="Q931" s="133">
        <v>0.929038751887267</v>
      </c>
      <c r="R931" s="133">
        <v>0.959797840569722</v>
      </c>
      <c r="S931" s="133">
        <v>0.96006349626298</v>
      </c>
      <c r="T931" s="135">
        <v>0.9</v>
      </c>
      <c r="U931" s="133">
        <v>0.90973491773309</v>
      </c>
      <c r="V931" s="133">
        <v>0.863865123301459</v>
      </c>
      <c r="W931" s="133">
        <v>0.911325522628073</v>
      </c>
      <c r="X931" s="133">
        <v>0.911898935114756</v>
      </c>
      <c r="Y931" s="135">
        <v>0.92</v>
      </c>
      <c r="Z931" s="135" t="s">
        <v>35</v>
      </c>
      <c r="AA931" s="135" t="s">
        <v>35</v>
      </c>
      <c r="AB931" s="135" t="s">
        <v>35</v>
      </c>
      <c r="AC931" s="135">
        <v>1</v>
      </c>
      <c r="AD931" s="135">
        <v>0.92</v>
      </c>
      <c r="AE931" s="133">
        <v>0.990689013035382</v>
      </c>
      <c r="AF931" s="133">
        <v>0.994164937759336</v>
      </c>
      <c r="AG931" s="133">
        <v>0.997838071559831</v>
      </c>
      <c r="AH931" s="133">
        <v>0.994791621754465</v>
      </c>
      <c r="AI931" s="135">
        <v>0.92</v>
      </c>
      <c r="AJ931" s="133">
        <v>0.954753199268739</v>
      </c>
      <c r="AK931" s="133">
        <v>0.956729559748428</v>
      </c>
      <c r="AL931" s="133">
        <v>0.969676085458305</v>
      </c>
      <c r="AM931" s="133">
        <v>0.966468253968254</v>
      </c>
      <c r="AN931" s="132">
        <v>0.99</v>
      </c>
      <c r="AO931" s="137">
        <v>1</v>
      </c>
      <c r="AP931" s="137">
        <v>1</v>
      </c>
      <c r="AQ931" s="137">
        <v>1</v>
      </c>
      <c r="AR931" s="137">
        <v>1</v>
      </c>
      <c r="AS931" s="158">
        <v>0.0656418488929858</v>
      </c>
      <c r="AT931" s="141">
        <v>0</v>
      </c>
      <c r="AU931" s="141">
        <v>0.166666666666667</v>
      </c>
      <c r="AV931" s="141">
        <v>0</v>
      </c>
      <c r="AW931" s="141">
        <v>0.0497737556561086</v>
      </c>
      <c r="AX931" s="95"/>
      <c r="AY931" s="93"/>
    </row>
    <row r="932" ht="14.5" spans="1:51">
      <c r="A932" s="91"/>
      <c r="B932" s="95"/>
      <c r="C932" s="180" t="s">
        <v>927</v>
      </c>
      <c r="D932" s="181" t="s">
        <v>25</v>
      </c>
      <c r="E932" s="130" t="s">
        <v>928</v>
      </c>
      <c r="F932" s="188" t="s">
        <v>961</v>
      </c>
      <c r="G932" s="189" t="s">
        <v>961</v>
      </c>
      <c r="H932" s="189" t="s">
        <v>961</v>
      </c>
      <c r="I932" s="189" t="s">
        <v>961</v>
      </c>
      <c r="J932" s="132">
        <v>0.9</v>
      </c>
      <c r="K932" s="133">
        <v>1</v>
      </c>
      <c r="L932" s="133">
        <v>1</v>
      </c>
      <c r="M932" s="134">
        <v>1</v>
      </c>
      <c r="N932" s="133">
        <v>0.997647058823529</v>
      </c>
      <c r="O932" s="135">
        <v>0.9</v>
      </c>
      <c r="P932" s="133">
        <v>0.991502920870951</v>
      </c>
      <c r="Q932" s="133">
        <v>0.994734070563454</v>
      </c>
      <c r="R932" s="133">
        <v>0.994444444444444</v>
      </c>
      <c r="S932" s="133">
        <v>0.984911333203419</v>
      </c>
      <c r="T932" s="135">
        <v>0.9</v>
      </c>
      <c r="U932" s="133">
        <v>0.945300053106745</v>
      </c>
      <c r="V932" s="133">
        <v>0.957872564507636</v>
      </c>
      <c r="W932" s="133">
        <v>0.963636363636364</v>
      </c>
      <c r="X932" s="133">
        <v>0.944294423874614</v>
      </c>
      <c r="Y932" s="135">
        <v>0.92</v>
      </c>
      <c r="Z932" s="135">
        <v>0.951149425287356</v>
      </c>
      <c r="AA932" s="135">
        <v>0.930970149253731</v>
      </c>
      <c r="AB932" s="135">
        <v>0.950617283950617</v>
      </c>
      <c r="AC932" s="135">
        <v>0.94294555652258</v>
      </c>
      <c r="AD932" s="135">
        <v>0.92</v>
      </c>
      <c r="AE932" s="133">
        <v>0.991886409736308</v>
      </c>
      <c r="AF932" s="133">
        <v>0.989235127478754</v>
      </c>
      <c r="AG932" s="133">
        <v>0.99484052532833</v>
      </c>
      <c r="AH932" s="133">
        <v>0.992080861602258</v>
      </c>
      <c r="AI932" s="135">
        <v>0.92</v>
      </c>
      <c r="AJ932" s="133">
        <v>0.973245443970531</v>
      </c>
      <c r="AK932" s="133">
        <v>0.9782340862423</v>
      </c>
      <c r="AL932" s="133">
        <v>0.986545138888889</v>
      </c>
      <c r="AM932" s="133">
        <v>0.980156928863238</v>
      </c>
      <c r="AN932" s="132">
        <v>0.99</v>
      </c>
      <c r="AO932" s="137">
        <v>1</v>
      </c>
      <c r="AP932" s="137">
        <v>1</v>
      </c>
      <c r="AQ932" s="137">
        <v>1</v>
      </c>
      <c r="AR932" s="137">
        <v>1</v>
      </c>
      <c r="AS932" s="158">
        <v>0.0656418488929858</v>
      </c>
      <c r="AT932" s="141">
        <v>0</v>
      </c>
      <c r="AU932" s="141">
        <v>0.25</v>
      </c>
      <c r="AV932" s="141">
        <v>0</v>
      </c>
      <c r="AW932" s="141">
        <v>0.0533980582524272</v>
      </c>
      <c r="AX932" s="95"/>
      <c r="AY932" s="93"/>
    </row>
    <row r="933" ht="14.5" spans="1:51">
      <c r="A933" s="91"/>
      <c r="B933" s="95"/>
      <c r="C933" s="180" t="s">
        <v>927</v>
      </c>
      <c r="D933" s="181" t="s">
        <v>25</v>
      </c>
      <c r="E933" s="130" t="s">
        <v>928</v>
      </c>
      <c r="F933" s="184" t="s">
        <v>962</v>
      </c>
      <c r="G933" s="185" t="s">
        <v>962</v>
      </c>
      <c r="H933" s="185" t="s">
        <v>962</v>
      </c>
      <c r="I933" s="185" t="s">
        <v>962</v>
      </c>
      <c r="J933" s="132">
        <v>0.9</v>
      </c>
      <c r="K933" s="133">
        <v>0.975</v>
      </c>
      <c r="L933" s="133">
        <v>0.952380952380952</v>
      </c>
      <c r="M933" s="134">
        <v>0.978260869565217</v>
      </c>
      <c r="N933" s="133">
        <v>0.955102040816327</v>
      </c>
      <c r="O933" s="135">
        <v>0.9</v>
      </c>
      <c r="P933" s="133">
        <v>0.931304542403222</v>
      </c>
      <c r="Q933" s="133">
        <v>0.938780487804878</v>
      </c>
      <c r="R933" s="133">
        <v>0.978205778003041</v>
      </c>
      <c r="S933" s="133">
        <v>0.957088083690933</v>
      </c>
      <c r="T933" s="135">
        <v>0.9</v>
      </c>
      <c r="U933" s="133">
        <v>0.865965540389349</v>
      </c>
      <c r="V933" s="133">
        <v>0.928780487804878</v>
      </c>
      <c r="W933" s="133">
        <v>0.944500760263558</v>
      </c>
      <c r="X933" s="133">
        <v>0.92857324226189</v>
      </c>
      <c r="Y933" s="135">
        <v>0.92</v>
      </c>
      <c r="Z933" s="135" t="s">
        <v>35</v>
      </c>
      <c r="AA933" s="135" t="s">
        <v>35</v>
      </c>
      <c r="AB933" s="135" t="s">
        <v>35</v>
      </c>
      <c r="AC933" s="135">
        <v>0</v>
      </c>
      <c r="AD933" s="135">
        <v>0.92</v>
      </c>
      <c r="AE933" s="133">
        <v>0.993174061433447</v>
      </c>
      <c r="AF933" s="133">
        <v>0.978576893649579</v>
      </c>
      <c r="AG933" s="133">
        <v>0.980582524271845</v>
      </c>
      <c r="AH933" s="133">
        <v>0.983235004916421</v>
      </c>
      <c r="AI933" s="135">
        <v>0.92</v>
      </c>
      <c r="AJ933" s="133">
        <v>0.899977623629447</v>
      </c>
      <c r="AK933" s="133">
        <v>0.960975609756098</v>
      </c>
      <c r="AL933" s="133">
        <v>0.967815509376584</v>
      </c>
      <c r="AM933" s="133">
        <v>0.956190572912038</v>
      </c>
      <c r="AN933" s="132">
        <v>0.99</v>
      </c>
      <c r="AO933" s="137">
        <v>1</v>
      </c>
      <c r="AP933" s="137">
        <v>1</v>
      </c>
      <c r="AQ933" s="137">
        <v>1</v>
      </c>
      <c r="AR933" s="137">
        <v>1</v>
      </c>
      <c r="AS933" s="158">
        <v>0.0656418488929858</v>
      </c>
      <c r="AT933" s="141">
        <v>0</v>
      </c>
      <c r="AU933" s="141">
        <v>0.0769230769230769</v>
      </c>
      <c r="AV933" s="141">
        <v>0</v>
      </c>
      <c r="AW933" s="141">
        <v>0.0568181818181818</v>
      </c>
      <c r="AX933" s="95"/>
      <c r="AY933" s="93"/>
    </row>
    <row r="934" ht="14.5" spans="1:51">
      <c r="A934" s="91"/>
      <c r="B934" s="95"/>
      <c r="C934" s="180" t="s">
        <v>927</v>
      </c>
      <c r="D934" s="181" t="s">
        <v>25</v>
      </c>
      <c r="E934" s="130" t="s">
        <v>928</v>
      </c>
      <c r="F934" s="184" t="s">
        <v>963</v>
      </c>
      <c r="G934" s="185" t="s">
        <v>963</v>
      </c>
      <c r="H934" s="185" t="s">
        <v>963</v>
      </c>
      <c r="I934" s="185" t="s">
        <v>963</v>
      </c>
      <c r="J934" s="132">
        <v>0.9</v>
      </c>
      <c r="K934" s="133">
        <v>0.846153846153846</v>
      </c>
      <c r="L934" s="133">
        <v>0.837837837837838</v>
      </c>
      <c r="M934" s="134">
        <v>0.871794871794872</v>
      </c>
      <c r="N934" s="133">
        <v>0.834658187599364</v>
      </c>
      <c r="O934" s="135">
        <v>0.9</v>
      </c>
      <c r="P934" s="133">
        <v>0.895996698307883</v>
      </c>
      <c r="Q934" s="133">
        <v>0.881915388191539</v>
      </c>
      <c r="R934" s="133">
        <v>0.955788514129444</v>
      </c>
      <c r="S934" s="133">
        <v>0.911363805645902</v>
      </c>
      <c r="T934" s="135">
        <v>0.9</v>
      </c>
      <c r="U934" s="133">
        <v>0.86215435410648</v>
      </c>
      <c r="V934" s="133">
        <v>0.832635983263598</v>
      </c>
      <c r="W934" s="133">
        <v>0.928441203281677</v>
      </c>
      <c r="X934" s="133">
        <v>0.891402040866996</v>
      </c>
      <c r="Y934" s="135">
        <v>0.92</v>
      </c>
      <c r="Z934" s="135">
        <v>0.718475073313783</v>
      </c>
      <c r="AA934" s="135">
        <v>0.777943368107303</v>
      </c>
      <c r="AB934" s="135">
        <v>0.861915367483296</v>
      </c>
      <c r="AC934" s="135">
        <v>0.863854458216713</v>
      </c>
      <c r="AD934" s="135">
        <v>0.92</v>
      </c>
      <c r="AE934" s="133">
        <v>0.998800799467022</v>
      </c>
      <c r="AF934" s="133">
        <v>0.992445054945055</v>
      </c>
      <c r="AG934" s="133">
        <v>0.997513983840895</v>
      </c>
      <c r="AH934" s="133">
        <v>0.975263799352128</v>
      </c>
      <c r="AI934" s="135">
        <v>0.92</v>
      </c>
      <c r="AJ934" s="133">
        <v>0.875632682574114</v>
      </c>
      <c r="AK934" s="133">
        <v>0.888062345023025</v>
      </c>
      <c r="AL934" s="133">
        <v>0.948921679909194</v>
      </c>
      <c r="AM934" s="133">
        <v>0.935118905591347</v>
      </c>
      <c r="AN934" s="132">
        <v>0.99</v>
      </c>
      <c r="AO934" s="137">
        <v>1</v>
      </c>
      <c r="AP934" s="137">
        <v>1</v>
      </c>
      <c r="AQ934" s="137">
        <v>1</v>
      </c>
      <c r="AR934" s="137">
        <v>1</v>
      </c>
      <c r="AS934" s="158">
        <v>0.0656418488929858</v>
      </c>
      <c r="AT934" s="141">
        <v>0.113636363636364</v>
      </c>
      <c r="AU934" s="141">
        <v>0.0256410256410256</v>
      </c>
      <c r="AV934" s="141">
        <v>0.0882352941176471</v>
      </c>
      <c r="AW934" s="141">
        <v>0.06</v>
      </c>
      <c r="AX934" s="95"/>
      <c r="AY934" s="93"/>
    </row>
    <row r="935" ht="14.5" spans="1:51">
      <c r="A935" s="91"/>
      <c r="B935" s="95"/>
      <c r="C935" s="180" t="s">
        <v>927</v>
      </c>
      <c r="D935" s="181" t="s">
        <v>25</v>
      </c>
      <c r="E935" s="130" t="s">
        <v>928</v>
      </c>
      <c r="F935" s="184" t="s">
        <v>964</v>
      </c>
      <c r="G935" s="185" t="s">
        <v>964</v>
      </c>
      <c r="H935" s="185" t="s">
        <v>964</v>
      </c>
      <c r="I935" s="185" t="s">
        <v>964</v>
      </c>
      <c r="J935" s="132">
        <v>0.9</v>
      </c>
      <c r="K935" s="133">
        <v>0.961538461538462</v>
      </c>
      <c r="L935" s="133">
        <v>0.961538461538462</v>
      </c>
      <c r="M935" s="134">
        <v>0.928571428571429</v>
      </c>
      <c r="N935" s="133">
        <v>0.949308755760369</v>
      </c>
      <c r="O935" s="135">
        <v>0.9</v>
      </c>
      <c r="P935" s="133">
        <v>0.876062322946176</v>
      </c>
      <c r="Q935" s="133">
        <v>0.894995898277276</v>
      </c>
      <c r="R935" s="133">
        <v>0.896907216494845</v>
      </c>
      <c r="S935" s="133">
        <v>0.896282051282051</v>
      </c>
      <c r="T935" s="135">
        <v>0.9</v>
      </c>
      <c r="U935" s="133">
        <v>0.844192634560907</v>
      </c>
      <c r="V935" s="133">
        <v>0.849056603773585</v>
      </c>
      <c r="W935" s="133">
        <v>0.909425625920471</v>
      </c>
      <c r="X935" s="133">
        <v>0.857863247863248</v>
      </c>
      <c r="Y935" s="135">
        <v>0.92</v>
      </c>
      <c r="Z935" s="135">
        <v>0.88</v>
      </c>
      <c r="AA935" s="135">
        <v>0.878947368421053</v>
      </c>
      <c r="AB935" s="135">
        <v>0.924698795180723</v>
      </c>
      <c r="AC935" s="135">
        <v>0.913243509694381</v>
      </c>
      <c r="AD935" s="135">
        <v>0.92</v>
      </c>
      <c r="AE935" s="133">
        <v>0.991902834008097</v>
      </c>
      <c r="AF935" s="133">
        <v>0.982558139534884</v>
      </c>
      <c r="AG935" s="133">
        <v>0.99548969072165</v>
      </c>
      <c r="AH935" s="133">
        <v>0.972924969675966</v>
      </c>
      <c r="AI935" s="135">
        <v>0.92</v>
      </c>
      <c r="AJ935" s="133">
        <v>0.910049627791563</v>
      </c>
      <c r="AK935" s="133">
        <v>0.89375</v>
      </c>
      <c r="AL935" s="133">
        <v>0.953873447664104</v>
      </c>
      <c r="AM935" s="133">
        <v>0.942084025634939</v>
      </c>
      <c r="AN935" s="132">
        <v>0.99</v>
      </c>
      <c r="AO935" s="137">
        <v>1</v>
      </c>
      <c r="AP935" s="137">
        <v>1</v>
      </c>
      <c r="AQ935" s="137">
        <v>1</v>
      </c>
      <c r="AR935" s="137">
        <v>1</v>
      </c>
      <c r="AS935" s="158">
        <v>0.0656418488929858</v>
      </c>
      <c r="AT935" s="141">
        <v>0.1</v>
      </c>
      <c r="AU935" s="141">
        <v>0</v>
      </c>
      <c r="AV935" s="141">
        <v>0.105263157894737</v>
      </c>
      <c r="AW935" s="141">
        <v>0.0775</v>
      </c>
      <c r="AX935" s="95"/>
      <c r="AY935" s="93"/>
    </row>
    <row r="936" ht="14.5" spans="1:51">
      <c r="A936" s="91"/>
      <c r="B936" s="95"/>
      <c r="C936" s="180" t="s">
        <v>927</v>
      </c>
      <c r="D936" s="181" t="s">
        <v>125</v>
      </c>
      <c r="E936" s="130" t="s">
        <v>928</v>
      </c>
      <c r="F936" s="184" t="s">
        <v>965</v>
      </c>
      <c r="G936" s="185" t="s">
        <v>965</v>
      </c>
      <c r="H936" s="185" t="s">
        <v>965</v>
      </c>
      <c r="I936" s="185" t="s">
        <v>965</v>
      </c>
      <c r="J936" s="132">
        <v>0.9</v>
      </c>
      <c r="K936" s="133" t="s">
        <v>35</v>
      </c>
      <c r="L936" s="133" t="s">
        <v>35</v>
      </c>
      <c r="M936" s="134" t="s">
        <v>35</v>
      </c>
      <c r="N936" s="133" t="s">
        <v>35</v>
      </c>
      <c r="O936" s="135">
        <v>0.9</v>
      </c>
      <c r="P936" s="133" t="s">
        <v>35</v>
      </c>
      <c r="Q936" s="133" t="s">
        <v>35</v>
      </c>
      <c r="R936" s="133" t="s">
        <v>35</v>
      </c>
      <c r="S936" s="133">
        <v>0</v>
      </c>
      <c r="T936" s="135">
        <v>0.9</v>
      </c>
      <c r="U936" s="133" t="s">
        <v>35</v>
      </c>
      <c r="V936" s="133" t="s">
        <v>35</v>
      </c>
      <c r="W936" s="133" t="s">
        <v>35</v>
      </c>
      <c r="X936" s="133">
        <v>1</v>
      </c>
      <c r="Y936" s="135">
        <v>0.92</v>
      </c>
      <c r="Z936" s="135" t="s">
        <v>35</v>
      </c>
      <c r="AA936" s="135" t="s">
        <v>35</v>
      </c>
      <c r="AB936" s="135" t="s">
        <v>35</v>
      </c>
      <c r="AC936" s="135" t="s">
        <v>35</v>
      </c>
      <c r="AD936" s="135">
        <v>0.92</v>
      </c>
      <c r="AE936" s="133">
        <v>1</v>
      </c>
      <c r="AF936" s="133">
        <v>1</v>
      </c>
      <c r="AG936" s="133">
        <v>1</v>
      </c>
      <c r="AH936" s="133">
        <v>0.999055266887104</v>
      </c>
      <c r="AI936" s="135">
        <v>0.92</v>
      </c>
      <c r="AJ936" s="133" t="s">
        <v>35</v>
      </c>
      <c r="AK936" s="133" t="s">
        <v>35</v>
      </c>
      <c r="AL936" s="133" t="s">
        <v>35</v>
      </c>
      <c r="AM936" s="133">
        <v>1</v>
      </c>
      <c r="AN936" s="132">
        <v>0.99</v>
      </c>
      <c r="AO936" s="137" t="s">
        <v>35</v>
      </c>
      <c r="AP936" s="137">
        <v>1</v>
      </c>
      <c r="AQ936" s="137">
        <v>1</v>
      </c>
      <c r="AR936" s="137">
        <v>1</v>
      </c>
      <c r="AS936" s="158">
        <v>0.0656418488929858</v>
      </c>
      <c r="AT936" s="141" t="s">
        <v>35</v>
      </c>
      <c r="AU936" s="141" t="s">
        <v>35</v>
      </c>
      <c r="AV936" s="141" t="s">
        <v>35</v>
      </c>
      <c r="AW936" s="141" t="s">
        <v>35</v>
      </c>
      <c r="AX936" s="95"/>
      <c r="AY936" s="93"/>
    </row>
    <row r="937" ht="14.5" spans="1:51">
      <c r="A937" s="91"/>
      <c r="B937" s="95"/>
      <c r="C937" s="180" t="s">
        <v>927</v>
      </c>
      <c r="D937" s="181" t="s">
        <v>25</v>
      </c>
      <c r="E937" s="130" t="s">
        <v>928</v>
      </c>
      <c r="F937" s="188" t="s">
        <v>966</v>
      </c>
      <c r="G937" s="189" t="s">
        <v>966</v>
      </c>
      <c r="H937" s="189" t="s">
        <v>966</v>
      </c>
      <c r="I937" s="189" t="s">
        <v>966</v>
      </c>
      <c r="J937" s="132">
        <v>0.9</v>
      </c>
      <c r="K937" s="133">
        <v>0.827586206896552</v>
      </c>
      <c r="L937" s="133">
        <v>0.833333333333333</v>
      </c>
      <c r="M937" s="134">
        <v>0.827586206896552</v>
      </c>
      <c r="N937" s="133">
        <v>0.795180722891566</v>
      </c>
      <c r="O937" s="135">
        <v>0.9</v>
      </c>
      <c r="P937" s="133">
        <v>0.830523917995444</v>
      </c>
      <c r="Q937" s="133">
        <v>0.858259510161542</v>
      </c>
      <c r="R937" s="133">
        <v>0.880466472303207</v>
      </c>
      <c r="S937" s="133">
        <v>0.883690424136423</v>
      </c>
      <c r="T937" s="135">
        <v>0.9</v>
      </c>
      <c r="U937" s="133">
        <v>0.847380410022779</v>
      </c>
      <c r="V937" s="133">
        <v>0.859822824387702</v>
      </c>
      <c r="W937" s="133">
        <v>0.900388726919339</v>
      </c>
      <c r="X937" s="133">
        <v>0.858067337122868</v>
      </c>
      <c r="Y937" s="135">
        <v>0.92</v>
      </c>
      <c r="Z937" s="135">
        <v>0.836879432624113</v>
      </c>
      <c r="AA937" s="135">
        <v>0.885077186963979</v>
      </c>
      <c r="AB937" s="135">
        <v>0.926829268292683</v>
      </c>
      <c r="AC937" s="135">
        <v>0.903715821453611</v>
      </c>
      <c r="AD937" s="135">
        <v>0.92</v>
      </c>
      <c r="AE937" s="133">
        <v>0.99767644496079</v>
      </c>
      <c r="AF937" s="133">
        <v>0.994567730004623</v>
      </c>
      <c r="AG937" s="133">
        <v>0.996596449268697</v>
      </c>
      <c r="AH937" s="133">
        <v>0.992752669090076</v>
      </c>
      <c r="AI937" s="135">
        <v>0.92</v>
      </c>
      <c r="AJ937" s="133">
        <v>0.885576148267526</v>
      </c>
      <c r="AK937" s="133">
        <v>0.908872901678657</v>
      </c>
      <c r="AL937" s="133">
        <v>0.952207371405427</v>
      </c>
      <c r="AM937" s="133">
        <v>0.935696793002915</v>
      </c>
      <c r="AN937" s="132">
        <v>0.99</v>
      </c>
      <c r="AO937" s="137">
        <v>1</v>
      </c>
      <c r="AP937" s="137">
        <v>1</v>
      </c>
      <c r="AQ937" s="137">
        <v>1</v>
      </c>
      <c r="AR937" s="137">
        <v>0.999812909260992</v>
      </c>
      <c r="AS937" s="158">
        <v>0.0656418488929858</v>
      </c>
      <c r="AT937" s="141">
        <v>0.0606060606060606</v>
      </c>
      <c r="AU937" s="141">
        <v>0.121951219512195</v>
      </c>
      <c r="AV937" s="141">
        <v>0.0476190476190476</v>
      </c>
      <c r="AW937" s="141">
        <v>0.0637958532695375</v>
      </c>
      <c r="AX937" s="95"/>
      <c r="AY937" s="93"/>
    </row>
    <row r="938" ht="14.5" spans="1:51">
      <c r="A938" s="91"/>
      <c r="B938" s="95"/>
      <c r="C938" s="180" t="s">
        <v>927</v>
      </c>
      <c r="D938" s="181" t="s">
        <v>25</v>
      </c>
      <c r="E938" s="130" t="s">
        <v>928</v>
      </c>
      <c r="F938" s="188" t="s">
        <v>967</v>
      </c>
      <c r="G938" s="189" t="s">
        <v>967</v>
      </c>
      <c r="H938" s="189" t="s">
        <v>967</v>
      </c>
      <c r="I938" s="189" t="s">
        <v>967</v>
      </c>
      <c r="J938" s="132">
        <v>0.9</v>
      </c>
      <c r="K938" s="133">
        <v>0.952380952380952</v>
      </c>
      <c r="L938" s="133">
        <v>0.863636363636364</v>
      </c>
      <c r="M938" s="134">
        <v>0.909090909090909</v>
      </c>
      <c r="N938" s="133">
        <v>0.94413407821229</v>
      </c>
      <c r="O938" s="135">
        <v>0.9</v>
      </c>
      <c r="P938" s="133">
        <v>0.859323158593232</v>
      </c>
      <c r="Q938" s="133">
        <v>0.907051282051282</v>
      </c>
      <c r="R938" s="133">
        <v>0.973703981968445</v>
      </c>
      <c r="S938" s="133">
        <v>0.929973928629624</v>
      </c>
      <c r="T938" s="135">
        <v>0.9</v>
      </c>
      <c r="U938" s="133">
        <v>0.848042468480425</v>
      </c>
      <c r="V938" s="133">
        <v>0.875801282051282</v>
      </c>
      <c r="W938" s="133">
        <v>0.919609316303531</v>
      </c>
      <c r="X938" s="133">
        <v>0.90288414534789</v>
      </c>
      <c r="Y938" s="135">
        <v>0.92</v>
      </c>
      <c r="Z938" s="135">
        <v>0.870588235294118</v>
      </c>
      <c r="AA938" s="135">
        <v>0.849382716049383</v>
      </c>
      <c r="AB938" s="135">
        <v>0.91304347826087</v>
      </c>
      <c r="AC938" s="135">
        <v>0.885122724995826</v>
      </c>
      <c r="AD938" s="135">
        <v>0.92</v>
      </c>
      <c r="AE938" s="133">
        <v>0.996275605214153</v>
      </c>
      <c r="AF938" s="133">
        <v>0.989516129032258</v>
      </c>
      <c r="AG938" s="133">
        <v>0.987138263665595</v>
      </c>
      <c r="AH938" s="133">
        <v>0.984587826995559</v>
      </c>
      <c r="AI938" s="135">
        <v>0.92</v>
      </c>
      <c r="AJ938" s="133">
        <v>0.887895050685748</v>
      </c>
      <c r="AK938" s="133">
        <v>0.910681955340978</v>
      </c>
      <c r="AL938" s="133">
        <v>0.942238267148014</v>
      </c>
      <c r="AM938" s="133">
        <v>0.942244871292304</v>
      </c>
      <c r="AN938" s="132">
        <v>0.99</v>
      </c>
      <c r="AO938" s="137">
        <v>1</v>
      </c>
      <c r="AP938" s="137">
        <v>1</v>
      </c>
      <c r="AQ938" s="137">
        <v>1</v>
      </c>
      <c r="AR938" s="137">
        <v>1</v>
      </c>
      <c r="AS938" s="158">
        <v>0.0656418488929858</v>
      </c>
      <c r="AT938" s="141">
        <v>0.138888888888889</v>
      </c>
      <c r="AU938" s="141">
        <v>0.0222222222222222</v>
      </c>
      <c r="AV938" s="141">
        <v>0.0217391304347826</v>
      </c>
      <c r="AW938" s="141">
        <v>0.0216216216216216</v>
      </c>
      <c r="AX938" s="95"/>
      <c r="AY938" s="93"/>
    </row>
    <row r="939" ht="14.5" spans="1:51">
      <c r="A939" s="91"/>
      <c r="B939" s="95"/>
      <c r="C939" s="180" t="s">
        <v>927</v>
      </c>
      <c r="D939" s="181" t="s">
        <v>125</v>
      </c>
      <c r="E939" s="130" t="s">
        <v>928</v>
      </c>
      <c r="F939" s="184" t="s">
        <v>968</v>
      </c>
      <c r="G939" s="185" t="s">
        <v>968</v>
      </c>
      <c r="H939" s="185" t="s">
        <v>968</v>
      </c>
      <c r="I939" s="185" t="s">
        <v>968</v>
      </c>
      <c r="J939" s="132">
        <v>0.9</v>
      </c>
      <c r="K939" s="133" t="s">
        <v>35</v>
      </c>
      <c r="L939" s="133" t="s">
        <v>35</v>
      </c>
      <c r="M939" s="134" t="s">
        <v>35</v>
      </c>
      <c r="N939" s="133" t="s">
        <v>35</v>
      </c>
      <c r="O939" s="135">
        <v>0.9</v>
      </c>
      <c r="P939" s="133" t="s">
        <v>35</v>
      </c>
      <c r="Q939" s="133" t="s">
        <v>35</v>
      </c>
      <c r="R939" s="133" t="s">
        <v>35</v>
      </c>
      <c r="S939" s="133">
        <v>0</v>
      </c>
      <c r="T939" s="135">
        <v>0.9</v>
      </c>
      <c r="U939" s="133" t="s">
        <v>35</v>
      </c>
      <c r="V939" s="133" t="s">
        <v>35</v>
      </c>
      <c r="W939" s="133" t="s">
        <v>35</v>
      </c>
      <c r="X939" s="133">
        <v>1</v>
      </c>
      <c r="Y939" s="135">
        <v>0.92</v>
      </c>
      <c r="Z939" s="135" t="s">
        <v>35</v>
      </c>
      <c r="AA939" s="135" t="s">
        <v>35</v>
      </c>
      <c r="AB939" s="135" t="s">
        <v>35</v>
      </c>
      <c r="AC939" s="135" t="s">
        <v>35</v>
      </c>
      <c r="AD939" s="135">
        <v>0.92</v>
      </c>
      <c r="AE939" s="133">
        <v>1</v>
      </c>
      <c r="AF939" s="133">
        <v>1</v>
      </c>
      <c r="AG939" s="133">
        <v>1</v>
      </c>
      <c r="AH939" s="133">
        <v>0.995162708883025</v>
      </c>
      <c r="AI939" s="135">
        <v>0.92</v>
      </c>
      <c r="AJ939" s="133" t="s">
        <v>35</v>
      </c>
      <c r="AK939" s="133" t="s">
        <v>35</v>
      </c>
      <c r="AL939" s="133" t="s">
        <v>35</v>
      </c>
      <c r="AM939" s="133">
        <v>1</v>
      </c>
      <c r="AN939" s="132">
        <v>0.99</v>
      </c>
      <c r="AO939" s="137" t="s">
        <v>35</v>
      </c>
      <c r="AP939" s="137" t="s">
        <v>35</v>
      </c>
      <c r="AQ939" s="137">
        <v>1</v>
      </c>
      <c r="AR939" s="137">
        <v>1</v>
      </c>
      <c r="AS939" s="158">
        <v>0.0656418488929858</v>
      </c>
      <c r="AT939" s="141" t="s">
        <v>35</v>
      </c>
      <c r="AU939" s="141" t="s">
        <v>35</v>
      </c>
      <c r="AV939" s="141" t="s">
        <v>35</v>
      </c>
      <c r="AW939" s="141" t="s">
        <v>35</v>
      </c>
      <c r="AX939" s="95"/>
      <c r="AY939" s="93"/>
    </row>
    <row r="940" ht="14.5" spans="1:51">
      <c r="A940" s="91"/>
      <c r="B940" s="95"/>
      <c r="C940" s="180" t="s">
        <v>927</v>
      </c>
      <c r="D940" s="181" t="s">
        <v>125</v>
      </c>
      <c r="E940" s="130" t="s">
        <v>928</v>
      </c>
      <c r="F940" s="184" t="s">
        <v>969</v>
      </c>
      <c r="G940" s="185" t="s">
        <v>969</v>
      </c>
      <c r="H940" s="185" t="s">
        <v>969</v>
      </c>
      <c r="I940" s="185" t="s">
        <v>969</v>
      </c>
      <c r="J940" s="132">
        <v>0.9</v>
      </c>
      <c r="K940" s="133" t="s">
        <v>35</v>
      </c>
      <c r="L940" s="133" t="s">
        <v>35</v>
      </c>
      <c r="M940" s="134" t="s">
        <v>35</v>
      </c>
      <c r="N940" s="133" t="s">
        <v>35</v>
      </c>
      <c r="O940" s="135">
        <v>0.9</v>
      </c>
      <c r="P940" s="133" t="s">
        <v>35</v>
      </c>
      <c r="Q940" s="133" t="s">
        <v>35</v>
      </c>
      <c r="R940" s="133" t="s">
        <v>35</v>
      </c>
      <c r="S940" s="133" t="s">
        <v>35</v>
      </c>
      <c r="T940" s="135">
        <v>0.9</v>
      </c>
      <c r="U940" s="133" t="s">
        <v>35</v>
      </c>
      <c r="V940" s="133" t="s">
        <v>35</v>
      </c>
      <c r="W940" s="133" t="s">
        <v>35</v>
      </c>
      <c r="X940" s="133" t="s">
        <v>35</v>
      </c>
      <c r="Y940" s="135">
        <v>0.92</v>
      </c>
      <c r="Z940" s="135" t="s">
        <v>35</v>
      </c>
      <c r="AA940" s="135" t="s">
        <v>35</v>
      </c>
      <c r="AB940" s="135" t="s">
        <v>35</v>
      </c>
      <c r="AC940" s="135" t="s">
        <v>35</v>
      </c>
      <c r="AD940" s="135">
        <v>0.92</v>
      </c>
      <c r="AE940" s="133">
        <v>1</v>
      </c>
      <c r="AF940" s="133">
        <v>1</v>
      </c>
      <c r="AG940" s="133">
        <v>1</v>
      </c>
      <c r="AH940" s="133">
        <v>0.999585749792875</v>
      </c>
      <c r="AI940" s="135">
        <v>0.92</v>
      </c>
      <c r="AJ940" s="133" t="s">
        <v>35</v>
      </c>
      <c r="AK940" s="133" t="s">
        <v>35</v>
      </c>
      <c r="AL940" s="133" t="s">
        <v>35</v>
      </c>
      <c r="AM940" s="133" t="s">
        <v>35</v>
      </c>
      <c r="AN940" s="132">
        <v>0.99</v>
      </c>
      <c r="AO940" s="137">
        <v>1</v>
      </c>
      <c r="AP940" s="137">
        <v>1</v>
      </c>
      <c r="AQ940" s="137">
        <v>1</v>
      </c>
      <c r="AR940" s="137">
        <v>1</v>
      </c>
      <c r="AS940" s="158">
        <v>0.0656418488929858</v>
      </c>
      <c r="AT940" s="141" t="s">
        <v>35</v>
      </c>
      <c r="AU940" s="141" t="s">
        <v>35</v>
      </c>
      <c r="AV940" s="141" t="s">
        <v>35</v>
      </c>
      <c r="AW940" s="141" t="s">
        <v>35</v>
      </c>
      <c r="AX940" s="95"/>
      <c r="AY940" s="93"/>
    </row>
    <row r="941" ht="14.5" spans="1:51">
      <c r="A941" s="91"/>
      <c r="B941" s="95"/>
      <c r="C941" s="180" t="s">
        <v>927</v>
      </c>
      <c r="D941" s="181" t="s">
        <v>25</v>
      </c>
      <c r="E941" s="130" t="s">
        <v>928</v>
      </c>
      <c r="F941" s="184" t="s">
        <v>970</v>
      </c>
      <c r="G941" s="185" t="s">
        <v>970</v>
      </c>
      <c r="H941" s="185" t="s">
        <v>970</v>
      </c>
      <c r="I941" s="185" t="s">
        <v>970</v>
      </c>
      <c r="J941" s="132">
        <v>0.9</v>
      </c>
      <c r="K941" s="133">
        <v>0.85</v>
      </c>
      <c r="L941" s="133">
        <v>0.944444444444444</v>
      </c>
      <c r="M941" s="134">
        <v>0.947368421052632</v>
      </c>
      <c r="N941" s="133">
        <v>0.94375</v>
      </c>
      <c r="O941" s="135">
        <v>0.9</v>
      </c>
      <c r="P941" s="133">
        <v>0.965228589826143</v>
      </c>
      <c r="Q941" s="133">
        <v>0.920678336980306</v>
      </c>
      <c r="R941" s="133">
        <v>0.949200913242009</v>
      </c>
      <c r="S941" s="133">
        <v>0.959939003081615</v>
      </c>
      <c r="T941" s="135">
        <v>0.9</v>
      </c>
      <c r="U941" s="133">
        <v>0.943335479716677</v>
      </c>
      <c r="V941" s="133">
        <v>0.899343544857768</v>
      </c>
      <c r="W941" s="133">
        <v>0.938356164383562</v>
      </c>
      <c r="X941" s="133">
        <v>0.927057851764781</v>
      </c>
      <c r="Y941" s="135">
        <v>0.92</v>
      </c>
      <c r="Z941" s="135">
        <v>0.981927710843373</v>
      </c>
      <c r="AA941" s="135">
        <v>0.959016393442623</v>
      </c>
      <c r="AB941" s="135">
        <v>0.951298701298701</v>
      </c>
      <c r="AC941" s="135">
        <v>0.951813053988719</v>
      </c>
      <c r="AD941" s="135">
        <v>0.92</v>
      </c>
      <c r="AE941" s="133">
        <v>1</v>
      </c>
      <c r="AF941" s="133">
        <v>0.999831593129</v>
      </c>
      <c r="AG941" s="133">
        <v>0.99948280320662</v>
      </c>
      <c r="AH941" s="133">
        <v>0.984117187178538</v>
      </c>
      <c r="AI941" s="135">
        <v>0.92</v>
      </c>
      <c r="AJ941" s="133">
        <v>0.974403723094823</v>
      </c>
      <c r="AK941" s="133">
        <v>0.960346399270738</v>
      </c>
      <c r="AL941" s="133">
        <v>0.970388349514563</v>
      </c>
      <c r="AM941" s="133">
        <v>0.972696879643388</v>
      </c>
      <c r="AN941" s="132">
        <v>0.99</v>
      </c>
      <c r="AO941" s="137">
        <v>1</v>
      </c>
      <c r="AP941" s="137">
        <v>1</v>
      </c>
      <c r="AQ941" s="137">
        <v>1</v>
      </c>
      <c r="AR941" s="137">
        <v>1</v>
      </c>
      <c r="AS941" s="158">
        <v>0.0656418488929858</v>
      </c>
      <c r="AT941" s="141">
        <v>0</v>
      </c>
      <c r="AU941" s="141">
        <v>0</v>
      </c>
      <c r="AV941" s="141">
        <v>0</v>
      </c>
      <c r="AW941" s="141">
        <v>0.032</v>
      </c>
      <c r="AX941" s="95"/>
      <c r="AY941" s="93"/>
    </row>
    <row r="942" ht="14.5" spans="1:51">
      <c r="A942" s="91"/>
      <c r="B942" s="95"/>
      <c r="C942" s="180" t="s">
        <v>927</v>
      </c>
      <c r="D942" s="181" t="s">
        <v>25</v>
      </c>
      <c r="E942" s="130" t="s">
        <v>928</v>
      </c>
      <c r="F942" s="184" t="s">
        <v>971</v>
      </c>
      <c r="G942" s="185" t="s">
        <v>971</v>
      </c>
      <c r="H942" s="185" t="s">
        <v>971</v>
      </c>
      <c r="I942" s="185" t="s">
        <v>971</v>
      </c>
      <c r="J942" s="132">
        <v>0.9</v>
      </c>
      <c r="K942" s="133">
        <v>1</v>
      </c>
      <c r="L942" s="133">
        <v>0.892857142857143</v>
      </c>
      <c r="M942" s="134">
        <v>1</v>
      </c>
      <c r="N942" s="133">
        <v>0.975206611570248</v>
      </c>
      <c r="O942" s="135">
        <v>0.9</v>
      </c>
      <c r="P942" s="133">
        <v>0.949502395871729</v>
      </c>
      <c r="Q942" s="133">
        <v>0.965809072444143</v>
      </c>
      <c r="R942" s="133">
        <v>0.972852233676976</v>
      </c>
      <c r="S942" s="133">
        <v>0.940744965387036</v>
      </c>
      <c r="T942" s="135">
        <v>0.9</v>
      </c>
      <c r="U942" s="133">
        <v>0.91374861776631</v>
      </c>
      <c r="V942" s="133">
        <v>0.917061611374408</v>
      </c>
      <c r="W942" s="133">
        <v>0.929209621993127</v>
      </c>
      <c r="X942" s="133">
        <v>0.900763058527376</v>
      </c>
      <c r="Y942" s="135">
        <v>0.92</v>
      </c>
      <c r="Z942" s="135">
        <v>0.956375838926175</v>
      </c>
      <c r="AA942" s="135">
        <v>0.925373134328358</v>
      </c>
      <c r="AB942" s="135">
        <v>0.952890792291221</v>
      </c>
      <c r="AC942" s="135">
        <v>0.94857602898259</v>
      </c>
      <c r="AD942" s="135">
        <v>0.92</v>
      </c>
      <c r="AE942" s="133">
        <v>0.998882681564246</v>
      </c>
      <c r="AF942" s="133">
        <v>0.999623564840956</v>
      </c>
      <c r="AG942" s="133">
        <v>0.999123114696598</v>
      </c>
      <c r="AH942" s="133">
        <v>0.997272906490263</v>
      </c>
      <c r="AI942" s="135">
        <v>0.92</v>
      </c>
      <c r="AJ942" s="133">
        <v>0.970109598140153</v>
      </c>
      <c r="AK942" s="133">
        <v>0.963024282560706</v>
      </c>
      <c r="AL942" s="133">
        <v>0.979271542789458</v>
      </c>
      <c r="AM942" s="133">
        <v>0.972296252426546</v>
      </c>
      <c r="AN942" s="132">
        <v>0.99</v>
      </c>
      <c r="AO942" s="137">
        <v>1</v>
      </c>
      <c r="AP942" s="137">
        <v>1</v>
      </c>
      <c r="AQ942" s="137">
        <v>1</v>
      </c>
      <c r="AR942" s="137">
        <v>1</v>
      </c>
      <c r="AS942" s="158">
        <v>0.0656418488929858</v>
      </c>
      <c r="AT942" s="141">
        <v>0</v>
      </c>
      <c r="AU942" s="141">
        <v>0</v>
      </c>
      <c r="AV942" s="141">
        <v>0.117647058823529</v>
      </c>
      <c r="AW942" s="141">
        <v>0.0483271375464684</v>
      </c>
      <c r="AX942" s="95"/>
      <c r="AY942" s="93"/>
    </row>
    <row r="943" ht="14.5" spans="1:51">
      <c r="A943" s="91"/>
      <c r="B943" s="95"/>
      <c r="C943" s="180" t="s">
        <v>927</v>
      </c>
      <c r="D943" s="181" t="s">
        <v>25</v>
      </c>
      <c r="E943" s="130" t="s">
        <v>928</v>
      </c>
      <c r="F943" s="184" t="s">
        <v>972</v>
      </c>
      <c r="G943" s="185" t="s">
        <v>972</v>
      </c>
      <c r="H943" s="185" t="s">
        <v>972</v>
      </c>
      <c r="I943" s="185" t="s">
        <v>972</v>
      </c>
      <c r="J943" s="132">
        <v>0.9</v>
      </c>
      <c r="K943" s="133">
        <v>0.956521739130435</v>
      </c>
      <c r="L943" s="133">
        <v>1</v>
      </c>
      <c r="M943" s="134">
        <v>0.886363636363636</v>
      </c>
      <c r="N943" s="133">
        <v>0.944228274967575</v>
      </c>
      <c r="O943" s="135">
        <v>0.9</v>
      </c>
      <c r="P943" s="133">
        <v>0.904505076142132</v>
      </c>
      <c r="Q943" s="133">
        <v>0.921683389074693</v>
      </c>
      <c r="R943" s="133">
        <v>0.94188376753507</v>
      </c>
      <c r="S943" s="133">
        <v>0.927816818743837</v>
      </c>
      <c r="T943" s="135">
        <v>0.9</v>
      </c>
      <c r="U943" s="133">
        <v>0.876903553299492</v>
      </c>
      <c r="V943" s="133">
        <v>0.891025641025641</v>
      </c>
      <c r="W943" s="133">
        <v>0.912682507872889</v>
      </c>
      <c r="X943" s="133">
        <v>0.892069553785235</v>
      </c>
      <c r="Y943" s="135">
        <v>0.92</v>
      </c>
      <c r="Z943" s="135">
        <v>0.748538011695906</v>
      </c>
      <c r="AA943" s="135">
        <v>0.755879059350504</v>
      </c>
      <c r="AB943" s="135">
        <v>0.844974446337308</v>
      </c>
      <c r="AC943" s="135">
        <v>0.845338815529375</v>
      </c>
      <c r="AD943" s="135">
        <v>0.92</v>
      </c>
      <c r="AE943" s="133">
        <v>0.998692810457516</v>
      </c>
      <c r="AF943" s="133">
        <v>0.998387096774194</v>
      </c>
      <c r="AG943" s="133">
        <v>0.998672859986729</v>
      </c>
      <c r="AH943" s="133">
        <v>0.9938084439575</v>
      </c>
      <c r="AI943" s="135">
        <v>0.92</v>
      </c>
      <c r="AJ943" s="133">
        <v>0.931330472103004</v>
      </c>
      <c r="AK943" s="133">
        <v>0.918991296585584</v>
      </c>
      <c r="AL943" s="133">
        <v>0.94656862745098</v>
      </c>
      <c r="AM943" s="133">
        <v>0.946730412519267</v>
      </c>
      <c r="AN943" s="132">
        <v>0.99</v>
      </c>
      <c r="AO943" s="137">
        <v>1</v>
      </c>
      <c r="AP943" s="137">
        <v>1</v>
      </c>
      <c r="AQ943" s="137">
        <v>1</v>
      </c>
      <c r="AR943" s="137">
        <v>1</v>
      </c>
      <c r="AS943" s="158">
        <v>0.0656418488929858</v>
      </c>
      <c r="AT943" s="141">
        <v>0</v>
      </c>
      <c r="AU943" s="141">
        <v>0</v>
      </c>
      <c r="AV943" s="141">
        <v>0.266666666666667</v>
      </c>
      <c r="AW943" s="141">
        <v>0.0474452554744526</v>
      </c>
      <c r="AX943" s="95"/>
      <c r="AY943" s="93"/>
    </row>
    <row r="944" ht="14.5" spans="1:51">
      <c r="A944" s="91"/>
      <c r="B944" s="95"/>
      <c r="C944" s="180" t="s">
        <v>927</v>
      </c>
      <c r="D944" s="181" t="s">
        <v>25</v>
      </c>
      <c r="E944" s="130" t="s">
        <v>928</v>
      </c>
      <c r="F944" s="184" t="s">
        <v>973</v>
      </c>
      <c r="G944" s="185" t="s">
        <v>973</v>
      </c>
      <c r="H944" s="185" t="s">
        <v>973</v>
      </c>
      <c r="I944" s="185" t="s">
        <v>973</v>
      </c>
      <c r="J944" s="132">
        <v>0.9</v>
      </c>
      <c r="K944" s="133">
        <v>0.9</v>
      </c>
      <c r="L944" s="133">
        <v>0.842105263157895</v>
      </c>
      <c r="M944" s="134">
        <v>0.909090909090909</v>
      </c>
      <c r="N944" s="133">
        <v>0.935483870967742</v>
      </c>
      <c r="O944" s="135">
        <v>0.9</v>
      </c>
      <c r="P944" s="133">
        <v>0.925343811394892</v>
      </c>
      <c r="Q944" s="133">
        <v>0.937677053824363</v>
      </c>
      <c r="R944" s="133">
        <v>0.967567567567568</v>
      </c>
      <c r="S944" s="133">
        <v>0.948922196573138</v>
      </c>
      <c r="T944" s="135">
        <v>0.9</v>
      </c>
      <c r="U944" s="133">
        <v>0.922069417157826</v>
      </c>
      <c r="V944" s="133">
        <v>0.91614730878187</v>
      </c>
      <c r="W944" s="133">
        <v>0.941141141141141</v>
      </c>
      <c r="X944" s="133">
        <v>0.92600058523263</v>
      </c>
      <c r="Y944" s="135">
        <v>0.92</v>
      </c>
      <c r="Z944" s="135">
        <v>0.712041884816754</v>
      </c>
      <c r="AA944" s="135">
        <v>0.762942779291553</v>
      </c>
      <c r="AB944" s="135">
        <v>0.841463414634146</v>
      </c>
      <c r="AC944" s="135">
        <v>0.759069605971186</v>
      </c>
      <c r="AD944" s="135">
        <v>0.92</v>
      </c>
      <c r="AE944" s="133">
        <v>0.994690265486726</v>
      </c>
      <c r="AF944" s="133">
        <v>1</v>
      </c>
      <c r="AG944" s="133">
        <v>0.998171846435101</v>
      </c>
      <c r="AH944" s="133">
        <v>0.998915033566149</v>
      </c>
      <c r="AI944" s="135">
        <v>0.92</v>
      </c>
      <c r="AJ944" s="133">
        <v>0.926658905704307</v>
      </c>
      <c r="AK944" s="133">
        <v>0.926360225140713</v>
      </c>
      <c r="AL944" s="133">
        <v>0.959183673469388</v>
      </c>
      <c r="AM944" s="133">
        <v>0.939267818515375</v>
      </c>
      <c r="AN944" s="132">
        <v>0.99</v>
      </c>
      <c r="AO944" s="137">
        <v>1</v>
      </c>
      <c r="AP944" s="137">
        <v>1</v>
      </c>
      <c r="AQ944" s="137">
        <v>1</v>
      </c>
      <c r="AR944" s="137">
        <v>1</v>
      </c>
      <c r="AS944" s="158">
        <v>0.0656418488929858</v>
      </c>
      <c r="AT944" s="141">
        <v>0</v>
      </c>
      <c r="AU944" s="141">
        <v>0</v>
      </c>
      <c r="AV944" s="141">
        <v>0</v>
      </c>
      <c r="AW944" s="141">
        <v>0.0143884892086331</v>
      </c>
      <c r="AX944" s="95"/>
      <c r="AY944" s="93"/>
    </row>
    <row r="945" ht="14.5" spans="1:51">
      <c r="A945" s="91"/>
      <c r="B945" s="95"/>
      <c r="C945" s="180" t="s">
        <v>927</v>
      </c>
      <c r="D945" s="181" t="s">
        <v>25</v>
      </c>
      <c r="E945" s="130" t="s">
        <v>928</v>
      </c>
      <c r="F945" s="184" t="s">
        <v>974</v>
      </c>
      <c r="G945" s="185" t="s">
        <v>974</v>
      </c>
      <c r="H945" s="185" t="s">
        <v>974</v>
      </c>
      <c r="I945" s="185" t="s">
        <v>974</v>
      </c>
      <c r="J945" s="132">
        <v>0.9</v>
      </c>
      <c r="K945" s="133">
        <v>0.833333333333333</v>
      </c>
      <c r="L945" s="133">
        <v>0.885714285714286</v>
      </c>
      <c r="M945" s="134">
        <v>0.894736842105263</v>
      </c>
      <c r="N945" s="133">
        <v>0.894736842105263</v>
      </c>
      <c r="O945" s="135">
        <v>0.9</v>
      </c>
      <c r="P945" s="133">
        <v>0.956077630234934</v>
      </c>
      <c r="Q945" s="133">
        <v>0.923834346944686</v>
      </c>
      <c r="R945" s="133">
        <v>0.956215554194734</v>
      </c>
      <c r="S945" s="133">
        <v>0.946015382097856</v>
      </c>
      <c r="T945" s="135">
        <v>0.9</v>
      </c>
      <c r="U945" s="133">
        <v>0.929179434797412</v>
      </c>
      <c r="V945" s="133">
        <v>0.893136403127715</v>
      </c>
      <c r="W945" s="133">
        <v>0.932026944274342</v>
      </c>
      <c r="X945" s="133">
        <v>0.925904107347406</v>
      </c>
      <c r="Y945" s="135">
        <v>0.92</v>
      </c>
      <c r="Z945" s="135">
        <v>0.744755244755245</v>
      </c>
      <c r="AA945" s="135">
        <v>0.81718963165075</v>
      </c>
      <c r="AB945" s="135">
        <v>0.843137254901961</v>
      </c>
      <c r="AC945" s="135">
        <v>0.838996833005221</v>
      </c>
      <c r="AD945" s="135">
        <v>0.92</v>
      </c>
      <c r="AE945" s="133">
        <v>0.999596448748991</v>
      </c>
      <c r="AF945" s="133">
        <v>0.999406528189911</v>
      </c>
      <c r="AG945" s="133">
        <v>0.998991935483871</v>
      </c>
      <c r="AH945" s="133">
        <v>0.998788126034892</v>
      </c>
      <c r="AI945" s="135">
        <v>0.92</v>
      </c>
      <c r="AJ945" s="133">
        <v>0.94106699751861</v>
      </c>
      <c r="AK945" s="133">
        <v>0.923315814620162</v>
      </c>
      <c r="AL945" s="133">
        <v>0.952343129467832</v>
      </c>
      <c r="AM945" s="133">
        <v>0.949880504354037</v>
      </c>
      <c r="AN945" s="132">
        <v>0.99</v>
      </c>
      <c r="AO945" s="137">
        <v>1</v>
      </c>
      <c r="AP945" s="137">
        <v>1</v>
      </c>
      <c r="AQ945" s="137">
        <v>1</v>
      </c>
      <c r="AR945" s="137">
        <v>1</v>
      </c>
      <c r="AS945" s="158">
        <v>0.0656418488929858</v>
      </c>
      <c r="AT945" s="141">
        <v>0.133333333333333</v>
      </c>
      <c r="AU945" s="141">
        <v>0.0666666666666667</v>
      </c>
      <c r="AV945" s="141">
        <v>0</v>
      </c>
      <c r="AW945" s="141">
        <v>0.0632530120481928</v>
      </c>
      <c r="AX945" s="95"/>
      <c r="AY945" s="93"/>
    </row>
    <row r="946" ht="14.5" spans="1:51">
      <c r="A946" s="91"/>
      <c r="B946" s="95"/>
      <c r="C946" s="180" t="s">
        <v>927</v>
      </c>
      <c r="D946" s="181" t="s">
        <v>25</v>
      </c>
      <c r="E946" s="130" t="s">
        <v>928</v>
      </c>
      <c r="F946" s="184" t="s">
        <v>975</v>
      </c>
      <c r="G946" s="185" t="s">
        <v>975</v>
      </c>
      <c r="H946" s="185" t="s">
        <v>975</v>
      </c>
      <c r="I946" s="185" t="s">
        <v>975</v>
      </c>
      <c r="J946" s="132">
        <v>0.9</v>
      </c>
      <c r="K946" s="133">
        <v>1</v>
      </c>
      <c r="L946" s="133">
        <v>1</v>
      </c>
      <c r="M946" s="134">
        <v>1</v>
      </c>
      <c r="N946" s="133">
        <v>0.995271867612293</v>
      </c>
      <c r="O946" s="135">
        <v>0.9</v>
      </c>
      <c r="P946" s="133">
        <v>0.989544123797574</v>
      </c>
      <c r="Q946" s="133">
        <v>0.973221117061974</v>
      </c>
      <c r="R946" s="133">
        <v>0.986705442459493</v>
      </c>
      <c r="S946" s="133">
        <v>0.983454201314306</v>
      </c>
      <c r="T946" s="135">
        <v>0.9</v>
      </c>
      <c r="U946" s="133">
        <v>0.964450020911752</v>
      </c>
      <c r="V946" s="133">
        <v>0.944912012241775</v>
      </c>
      <c r="W946" s="133">
        <v>0.963855421686747</v>
      </c>
      <c r="X946" s="133">
        <v>0.958741838752898</v>
      </c>
      <c r="Y946" s="135">
        <v>0.92</v>
      </c>
      <c r="Z946" s="135">
        <v>0.96309963099631</v>
      </c>
      <c r="AA946" s="135">
        <v>0.96969696969697</v>
      </c>
      <c r="AB946" s="135">
        <v>0.981818181818182</v>
      </c>
      <c r="AC946" s="135">
        <v>0.979653906659675</v>
      </c>
      <c r="AD946" s="135">
        <v>0.92</v>
      </c>
      <c r="AE946" s="133">
        <v>0.99544701986755</v>
      </c>
      <c r="AF946" s="133">
        <v>0.991784914115011</v>
      </c>
      <c r="AG946" s="133">
        <v>0.991587982832618</v>
      </c>
      <c r="AH946" s="133">
        <v>0.988516559582549</v>
      </c>
      <c r="AI946" s="135">
        <v>0.92</v>
      </c>
      <c r="AJ946" s="133">
        <v>0.985354862936538</v>
      </c>
      <c r="AK946" s="133">
        <v>0.981184454040716</v>
      </c>
      <c r="AL946" s="133">
        <v>0.996487530734106</v>
      </c>
      <c r="AM946" s="133">
        <v>0.989606349318579</v>
      </c>
      <c r="AN946" s="132">
        <v>0.99</v>
      </c>
      <c r="AO946" s="137">
        <v>1</v>
      </c>
      <c r="AP946" s="137">
        <v>1</v>
      </c>
      <c r="AQ946" s="137">
        <v>1</v>
      </c>
      <c r="AR946" s="137">
        <v>1</v>
      </c>
      <c r="AS946" s="158">
        <v>0.0656418488929858</v>
      </c>
      <c r="AT946" s="141">
        <v>0</v>
      </c>
      <c r="AU946" s="141">
        <v>0.0625</v>
      </c>
      <c r="AV946" s="141">
        <v>0</v>
      </c>
      <c r="AW946" s="141">
        <v>0.0264900662251656</v>
      </c>
      <c r="AX946" s="95"/>
      <c r="AY946" s="93"/>
    </row>
    <row r="947" ht="14.5" spans="1:51">
      <c r="A947" s="91"/>
      <c r="B947" s="95"/>
      <c r="C947" s="180" t="s">
        <v>927</v>
      </c>
      <c r="D947" s="181" t="s">
        <v>25</v>
      </c>
      <c r="E947" s="130" t="s">
        <v>928</v>
      </c>
      <c r="F947" s="184" t="s">
        <v>976</v>
      </c>
      <c r="G947" s="185" t="s">
        <v>976</v>
      </c>
      <c r="H947" s="185" t="s">
        <v>976</v>
      </c>
      <c r="I947" s="185" t="s">
        <v>976</v>
      </c>
      <c r="J947" s="132">
        <v>0.9</v>
      </c>
      <c r="K947" s="133">
        <v>0.870967741935484</v>
      </c>
      <c r="L947" s="133">
        <v>0.857142857142857</v>
      </c>
      <c r="M947" s="134">
        <v>0.966666666666667</v>
      </c>
      <c r="N947" s="133">
        <v>0.922027290448343</v>
      </c>
      <c r="O947" s="135">
        <v>0.9</v>
      </c>
      <c r="P947" s="133">
        <v>0.950189753320683</v>
      </c>
      <c r="Q947" s="133">
        <v>0.959661153691004</v>
      </c>
      <c r="R947" s="133">
        <v>0.95469387755102</v>
      </c>
      <c r="S947" s="133">
        <v>0.93859872611465</v>
      </c>
      <c r="T947" s="135">
        <v>0.9</v>
      </c>
      <c r="U947" s="133">
        <v>0.933111954459203</v>
      </c>
      <c r="V947" s="133">
        <v>0.90641387656313</v>
      </c>
      <c r="W947" s="133">
        <v>0.948571428571429</v>
      </c>
      <c r="X947" s="133">
        <v>0.917568037058483</v>
      </c>
      <c r="Y947" s="135">
        <v>0.92</v>
      </c>
      <c r="Z947" s="135">
        <v>0.829268292682927</v>
      </c>
      <c r="AA947" s="135">
        <v>0.890681003584229</v>
      </c>
      <c r="AB947" s="135">
        <v>0.845549738219895</v>
      </c>
      <c r="AC947" s="135">
        <v>0.865598885793872</v>
      </c>
      <c r="AD947" s="135">
        <v>0.92</v>
      </c>
      <c r="AE947" s="133">
        <v>1</v>
      </c>
      <c r="AF947" s="133">
        <v>0.999075785582255</v>
      </c>
      <c r="AG947" s="133">
        <v>0.99959100204499</v>
      </c>
      <c r="AH947" s="133">
        <v>0.994376342727158</v>
      </c>
      <c r="AI947" s="135">
        <v>0.92</v>
      </c>
      <c r="AJ947" s="133">
        <v>0.946474086661003</v>
      </c>
      <c r="AK947" s="133">
        <v>0.953243332235759</v>
      </c>
      <c r="AL947" s="133">
        <v>0.962217514124294</v>
      </c>
      <c r="AM947" s="133">
        <v>0.954492798393636</v>
      </c>
      <c r="AN947" s="132">
        <v>0.99</v>
      </c>
      <c r="AO947" s="137">
        <v>1</v>
      </c>
      <c r="AP947" s="137">
        <v>1</v>
      </c>
      <c r="AQ947" s="137">
        <v>1</v>
      </c>
      <c r="AR947" s="137">
        <v>1</v>
      </c>
      <c r="AS947" s="158">
        <v>0.0656418488929858</v>
      </c>
      <c r="AT947" s="141">
        <v>0.2</v>
      </c>
      <c r="AU947" s="141">
        <v>0.2</v>
      </c>
      <c r="AV947" s="141">
        <v>0.0833333333333333</v>
      </c>
      <c r="AW947" s="141">
        <v>0.0578512396694215</v>
      </c>
      <c r="AX947" s="95"/>
      <c r="AY947" s="93"/>
    </row>
    <row r="948" ht="14.5" spans="1:51">
      <c r="A948" s="91"/>
      <c r="B948" s="95"/>
      <c r="C948" s="180" t="s">
        <v>927</v>
      </c>
      <c r="D948" s="181" t="s">
        <v>25</v>
      </c>
      <c r="E948" s="130" t="s">
        <v>928</v>
      </c>
      <c r="F948" s="184" t="s">
        <v>977</v>
      </c>
      <c r="G948" s="185" t="s">
        <v>977</v>
      </c>
      <c r="H948" s="185" t="s">
        <v>977</v>
      </c>
      <c r="I948" s="185" t="s">
        <v>977</v>
      </c>
      <c r="J948" s="132">
        <v>0.9</v>
      </c>
      <c r="K948" s="133">
        <v>0.833333333333333</v>
      </c>
      <c r="L948" s="133">
        <v>0.695652173913043</v>
      </c>
      <c r="M948" s="134">
        <v>1</v>
      </c>
      <c r="N948" s="133">
        <v>0.870044052863436</v>
      </c>
      <c r="O948" s="135">
        <v>0.9</v>
      </c>
      <c r="P948" s="133">
        <v>0.935472619462853</v>
      </c>
      <c r="Q948" s="133">
        <v>0.926229508196721</v>
      </c>
      <c r="R948" s="133">
        <v>0.957511896668933</v>
      </c>
      <c r="S948" s="133">
        <v>0.937849136843623</v>
      </c>
      <c r="T948" s="135">
        <v>0.9</v>
      </c>
      <c r="U948" s="133">
        <v>0.883501918381584</v>
      </c>
      <c r="V948" s="133">
        <v>0.888852459016393</v>
      </c>
      <c r="W948" s="133">
        <v>0.907205982324949</v>
      </c>
      <c r="X948" s="133">
        <v>0.898025011712978</v>
      </c>
      <c r="Y948" s="135">
        <v>0.92</v>
      </c>
      <c r="Z948" s="135">
        <v>0.938888888888889</v>
      </c>
      <c r="AA948" s="135">
        <v>0.87716955941255</v>
      </c>
      <c r="AB948" s="135">
        <v>0.931906614785992</v>
      </c>
      <c r="AC948" s="135">
        <v>0.912625718390805</v>
      </c>
      <c r="AD948" s="135">
        <v>0.92</v>
      </c>
      <c r="AE948" s="133">
        <v>0.99492385786802</v>
      </c>
      <c r="AF948" s="133">
        <v>0.99934668989547</v>
      </c>
      <c r="AG948" s="133">
        <v>0.999136900809985</v>
      </c>
      <c r="AH948" s="133">
        <v>0.994787752430362</v>
      </c>
      <c r="AI948" s="135">
        <v>0.92</v>
      </c>
      <c r="AJ948" s="133">
        <v>0.922862453531598</v>
      </c>
      <c r="AK948" s="133">
        <v>0.9278757567781</v>
      </c>
      <c r="AL948" s="133">
        <v>0.962105872143477</v>
      </c>
      <c r="AM948" s="133">
        <v>0.95336274421536</v>
      </c>
      <c r="AN948" s="132">
        <v>0.99</v>
      </c>
      <c r="AO948" s="137">
        <v>1</v>
      </c>
      <c r="AP948" s="137">
        <v>1</v>
      </c>
      <c r="AQ948" s="137">
        <v>1</v>
      </c>
      <c r="AR948" s="137">
        <v>1</v>
      </c>
      <c r="AS948" s="158">
        <v>0.0656418488929858</v>
      </c>
      <c r="AT948" s="141">
        <v>0.0625</v>
      </c>
      <c r="AU948" s="141">
        <v>0.1</v>
      </c>
      <c r="AV948" s="141">
        <v>0.0526315789473684</v>
      </c>
      <c r="AW948" s="141">
        <v>0.0921052631578947</v>
      </c>
      <c r="AX948" s="95"/>
      <c r="AY948" s="93"/>
    </row>
    <row r="949" ht="14.5" spans="1:51">
      <c r="A949" s="91"/>
      <c r="B949" s="95"/>
      <c r="C949" s="180" t="s">
        <v>927</v>
      </c>
      <c r="D949" s="181" t="s">
        <v>25</v>
      </c>
      <c r="E949" s="130" t="s">
        <v>928</v>
      </c>
      <c r="F949" s="184" t="s">
        <v>978</v>
      </c>
      <c r="G949" s="185" t="s">
        <v>978</v>
      </c>
      <c r="H949" s="185" t="s">
        <v>978</v>
      </c>
      <c r="I949" s="185" t="s">
        <v>978</v>
      </c>
      <c r="J949" s="132">
        <v>0.9</v>
      </c>
      <c r="K949" s="133">
        <v>1</v>
      </c>
      <c r="L949" s="133">
        <v>0.916666666666667</v>
      </c>
      <c r="M949" s="134">
        <v>0.916666666666667</v>
      </c>
      <c r="N949" s="133">
        <v>0.939252336448598</v>
      </c>
      <c r="O949" s="135">
        <v>0.9</v>
      </c>
      <c r="P949" s="133">
        <v>0.940287226001512</v>
      </c>
      <c r="Q949" s="133">
        <v>0.926732673267327</v>
      </c>
      <c r="R949" s="133">
        <v>0.956666666666667</v>
      </c>
      <c r="S949" s="133">
        <v>0.944246328463515</v>
      </c>
      <c r="T949" s="135">
        <v>0.9</v>
      </c>
      <c r="U949" s="133">
        <v>0.934996220710506</v>
      </c>
      <c r="V949" s="133">
        <v>0.918811881188119</v>
      </c>
      <c r="W949" s="133">
        <v>0.944666666666667</v>
      </c>
      <c r="X949" s="133">
        <v>0.921162621266153</v>
      </c>
      <c r="Y949" s="135">
        <v>0.92</v>
      </c>
      <c r="Z949" s="135">
        <v>0.920863309352518</v>
      </c>
      <c r="AA949" s="135">
        <v>0.929618768328446</v>
      </c>
      <c r="AB949" s="135">
        <v>0.862068965517241</v>
      </c>
      <c r="AC949" s="135">
        <v>0.914450178642318</v>
      </c>
      <c r="AD949" s="135">
        <v>0.92</v>
      </c>
      <c r="AE949" s="133">
        <v>0.994535519125683</v>
      </c>
      <c r="AF949" s="133">
        <v>0.98567335243553</v>
      </c>
      <c r="AG949" s="133">
        <v>0.994475138121547</v>
      </c>
      <c r="AH949" s="133">
        <v>0.926732331086919</v>
      </c>
      <c r="AI949" s="135">
        <v>0.92</v>
      </c>
      <c r="AJ949" s="133">
        <v>0.962380300957592</v>
      </c>
      <c r="AK949" s="133">
        <v>0.96551724137931</v>
      </c>
      <c r="AL949" s="133">
        <v>0.964780600461894</v>
      </c>
      <c r="AM949" s="133">
        <v>0.962496384612913</v>
      </c>
      <c r="AN949" s="132">
        <v>0.99</v>
      </c>
      <c r="AO949" s="137">
        <v>1</v>
      </c>
      <c r="AP949" s="137">
        <v>1</v>
      </c>
      <c r="AQ949" s="137">
        <v>1</v>
      </c>
      <c r="AR949" s="137">
        <v>1</v>
      </c>
      <c r="AS949" s="158">
        <v>0.0656418488929858</v>
      </c>
      <c r="AT949" s="141">
        <v>0</v>
      </c>
      <c r="AU949" s="141">
        <v>0</v>
      </c>
      <c r="AV949" s="141">
        <v>0.142857142857143</v>
      </c>
      <c r="AW949" s="141">
        <v>0.0462962962962963</v>
      </c>
      <c r="AX949" s="95"/>
      <c r="AY949" s="93"/>
    </row>
    <row r="950" ht="14.5" spans="1:51">
      <c r="A950" s="91"/>
      <c r="B950" s="95"/>
      <c r="C950" s="180" t="s">
        <v>927</v>
      </c>
      <c r="D950" s="181" t="s">
        <v>25</v>
      </c>
      <c r="E950" s="130" t="s">
        <v>928</v>
      </c>
      <c r="F950" s="184" t="s">
        <v>979</v>
      </c>
      <c r="G950" s="185" t="s">
        <v>979</v>
      </c>
      <c r="H950" s="185" t="s">
        <v>979</v>
      </c>
      <c r="I950" s="185" t="s">
        <v>979</v>
      </c>
      <c r="J950" s="132">
        <v>0.9</v>
      </c>
      <c r="K950" s="133">
        <v>0.944444444444444</v>
      </c>
      <c r="L950" s="133">
        <v>1</v>
      </c>
      <c r="M950" s="134">
        <v>0.9</v>
      </c>
      <c r="N950" s="133">
        <v>0.944954128440367</v>
      </c>
      <c r="O950" s="135">
        <v>0.9</v>
      </c>
      <c r="P950" s="133">
        <v>0.972385428907168</v>
      </c>
      <c r="Q950" s="133">
        <v>0.963002680965147</v>
      </c>
      <c r="R950" s="133">
        <v>0.974832214765101</v>
      </c>
      <c r="S950" s="133">
        <v>0.959583607688207</v>
      </c>
      <c r="T950" s="135">
        <v>0.9</v>
      </c>
      <c r="U950" s="133">
        <v>0.898354876615746</v>
      </c>
      <c r="V950" s="133">
        <v>0.916353887399464</v>
      </c>
      <c r="W950" s="133">
        <v>0.926174496644295</v>
      </c>
      <c r="X950" s="133">
        <v>0.928887216630609</v>
      </c>
      <c r="Y950" s="135">
        <v>0.92</v>
      </c>
      <c r="Z950" s="135">
        <v>0.93452380952381</v>
      </c>
      <c r="AA950" s="135">
        <v>0.951807228915663</v>
      </c>
      <c r="AB950" s="135">
        <v>0.973941368078176</v>
      </c>
      <c r="AC950" s="135">
        <v>0.963840590860132</v>
      </c>
      <c r="AD950" s="135">
        <v>0.92</v>
      </c>
      <c r="AE950" s="133">
        <v>0.998992950654582</v>
      </c>
      <c r="AF950" s="133">
        <v>0.997758852532497</v>
      </c>
      <c r="AG950" s="133">
        <v>0.998931623931624</v>
      </c>
      <c r="AH950" s="133">
        <v>0.998220341828683</v>
      </c>
      <c r="AI950" s="135">
        <v>0.92</v>
      </c>
      <c r="AJ950" s="133">
        <v>0.968983957219251</v>
      </c>
      <c r="AK950" s="133">
        <v>0.975438596491228</v>
      </c>
      <c r="AL950" s="133">
        <v>0.985202863961814</v>
      </c>
      <c r="AM950" s="133">
        <v>0.982211225419977</v>
      </c>
      <c r="AN950" s="132">
        <v>0.99</v>
      </c>
      <c r="AO950" s="137">
        <v>1</v>
      </c>
      <c r="AP950" s="137">
        <v>1</v>
      </c>
      <c r="AQ950" s="137">
        <v>1</v>
      </c>
      <c r="AR950" s="137">
        <v>1</v>
      </c>
      <c r="AS950" s="158">
        <v>0.0656418488929858</v>
      </c>
      <c r="AT950" s="141">
        <v>0.2</v>
      </c>
      <c r="AU950" s="141">
        <v>0.0714285714285714</v>
      </c>
      <c r="AV950" s="141">
        <v>0</v>
      </c>
      <c r="AW950" s="141">
        <v>0.0473372781065089</v>
      </c>
      <c r="AX950" s="95"/>
      <c r="AY950" s="93"/>
    </row>
    <row r="951" ht="14.5" spans="1:51">
      <c r="A951" s="91"/>
      <c r="B951" s="95"/>
      <c r="C951" s="180" t="s">
        <v>927</v>
      </c>
      <c r="D951" s="181" t="s">
        <v>25</v>
      </c>
      <c r="E951" s="130" t="s">
        <v>928</v>
      </c>
      <c r="F951" s="184" t="s">
        <v>980</v>
      </c>
      <c r="G951" s="185" t="s">
        <v>980</v>
      </c>
      <c r="H951" s="185" t="s">
        <v>980</v>
      </c>
      <c r="I951" s="185" t="s">
        <v>980</v>
      </c>
      <c r="J951" s="132">
        <v>0.9</v>
      </c>
      <c r="K951" s="133">
        <v>0.944444444444444</v>
      </c>
      <c r="L951" s="133">
        <v>1</v>
      </c>
      <c r="M951" s="134">
        <v>0.974358974358974</v>
      </c>
      <c r="N951" s="133">
        <v>0.952380952380952</v>
      </c>
      <c r="O951" s="135">
        <v>0.9</v>
      </c>
      <c r="P951" s="133">
        <v>0.887174966945791</v>
      </c>
      <c r="Q951" s="133">
        <v>0.940936863543788</v>
      </c>
      <c r="R951" s="133">
        <v>0.93372145096283</v>
      </c>
      <c r="S951" s="133">
        <v>0.908501715592833</v>
      </c>
      <c r="T951" s="135">
        <v>0.9</v>
      </c>
      <c r="U951" s="133">
        <v>0.896870868223887</v>
      </c>
      <c r="V951" s="133">
        <v>0.89857433808554</v>
      </c>
      <c r="W951" s="133">
        <v>0.919838781907747</v>
      </c>
      <c r="X951" s="133">
        <v>0.904498665650019</v>
      </c>
      <c r="Y951" s="135">
        <v>0.92</v>
      </c>
      <c r="Z951" s="135">
        <v>0.715008431703204</v>
      </c>
      <c r="AA951" s="135">
        <v>0.800693240901213</v>
      </c>
      <c r="AB951" s="135">
        <v>0.814498933901919</v>
      </c>
      <c r="AC951" s="135">
        <v>0.741301514088038</v>
      </c>
      <c r="AD951" s="135">
        <v>0.92</v>
      </c>
      <c r="AE951" s="133">
        <v>0.99097065462754</v>
      </c>
      <c r="AF951" s="133">
        <v>0.894656488549618</v>
      </c>
      <c r="AG951" s="133">
        <v>0.998861047835991</v>
      </c>
      <c r="AH951" s="133">
        <v>0.985467565290649</v>
      </c>
      <c r="AI951" s="135">
        <v>0.92</v>
      </c>
      <c r="AJ951" s="133">
        <v>0.888539482879106</v>
      </c>
      <c r="AK951" s="133">
        <v>0.905672823218997</v>
      </c>
      <c r="AL951" s="133">
        <v>0.927091043671355</v>
      </c>
      <c r="AM951" s="133">
        <v>0.912116895117819</v>
      </c>
      <c r="AN951" s="132">
        <v>0.99</v>
      </c>
      <c r="AO951" s="137">
        <v>1</v>
      </c>
      <c r="AP951" s="137">
        <v>1</v>
      </c>
      <c r="AQ951" s="137">
        <v>1</v>
      </c>
      <c r="AR951" s="137">
        <v>1</v>
      </c>
      <c r="AS951" s="158">
        <v>0.0656418488929858</v>
      </c>
      <c r="AT951" s="141">
        <v>0.285714285714286</v>
      </c>
      <c r="AU951" s="141">
        <v>0.125</v>
      </c>
      <c r="AV951" s="141">
        <v>0</v>
      </c>
      <c r="AW951" s="141">
        <v>0.0333333333333333</v>
      </c>
      <c r="AX951" s="95"/>
      <c r="AY951" s="93"/>
    </row>
    <row r="952" ht="14.5" spans="1:51">
      <c r="A952" s="91"/>
      <c r="B952" s="95"/>
      <c r="C952" s="180" t="s">
        <v>927</v>
      </c>
      <c r="D952" s="181" t="s">
        <v>25</v>
      </c>
      <c r="E952" s="130" t="s">
        <v>928</v>
      </c>
      <c r="F952" s="190" t="s">
        <v>981</v>
      </c>
      <c r="G952" s="191" t="s">
        <v>981</v>
      </c>
      <c r="H952" s="191" t="s">
        <v>981</v>
      </c>
      <c r="I952" s="191" t="s">
        <v>981</v>
      </c>
      <c r="J952" s="132">
        <v>0.9</v>
      </c>
      <c r="K952" s="133">
        <v>0.909090909090909</v>
      </c>
      <c r="L952" s="133">
        <v>1</v>
      </c>
      <c r="M952" s="134">
        <v>0.933333333333333</v>
      </c>
      <c r="N952" s="133">
        <v>0.920863309352518</v>
      </c>
      <c r="O952" s="135">
        <v>0.9</v>
      </c>
      <c r="P952" s="133">
        <v>0.442553191489362</v>
      </c>
      <c r="Q952" s="133">
        <v>0.87344262295082</v>
      </c>
      <c r="R952" s="133">
        <v>0.899408284023669</v>
      </c>
      <c r="S952" s="133">
        <v>0.861613764461584</v>
      </c>
      <c r="T952" s="135">
        <v>0.9</v>
      </c>
      <c r="U952" s="133">
        <v>0.378014184397163</v>
      </c>
      <c r="V952" s="133">
        <v>0.840655737704918</v>
      </c>
      <c r="W952" s="133">
        <v>0.857988165680473</v>
      </c>
      <c r="X952" s="133">
        <v>0.782371699792346</v>
      </c>
      <c r="Y952" s="135">
        <v>0.92</v>
      </c>
      <c r="Z952" s="135" t="s">
        <v>35</v>
      </c>
      <c r="AA952" s="135" t="s">
        <v>35</v>
      </c>
      <c r="AB952" s="135" t="s">
        <v>35</v>
      </c>
      <c r="AC952" s="135">
        <v>0</v>
      </c>
      <c r="AD952" s="135">
        <v>0.92</v>
      </c>
      <c r="AE952" s="133">
        <v>0.958333333333333</v>
      </c>
      <c r="AF952" s="133">
        <v>0.938775510204082</v>
      </c>
      <c r="AG952" s="133">
        <v>0.935897435897436</v>
      </c>
      <c r="AH952" s="133">
        <v>0.969195664575014</v>
      </c>
      <c r="AI952" s="135">
        <v>0.92</v>
      </c>
      <c r="AJ952" s="133">
        <v>0.539007092198582</v>
      </c>
      <c r="AK952" s="133">
        <v>0.879344262295082</v>
      </c>
      <c r="AL952" s="133">
        <v>0.884286653517423</v>
      </c>
      <c r="AM952" s="133">
        <v>0.859699833240689</v>
      </c>
      <c r="AN952" s="132">
        <v>0.99</v>
      </c>
      <c r="AO952" s="137">
        <v>1</v>
      </c>
      <c r="AP952" s="137" t="s">
        <v>35</v>
      </c>
      <c r="AQ952" s="137">
        <v>1</v>
      </c>
      <c r="AR952" s="137">
        <v>1</v>
      </c>
      <c r="AS952" s="158">
        <v>0.0656418488929858</v>
      </c>
      <c r="AT952" s="141">
        <v>0</v>
      </c>
      <c r="AU952" s="141">
        <v>0</v>
      </c>
      <c r="AV952" s="141">
        <v>0.25</v>
      </c>
      <c r="AW952" s="141">
        <v>0.072289156626506</v>
      </c>
      <c r="AX952" s="95"/>
      <c r="AY952" s="93"/>
    </row>
    <row r="953" ht="14.5" spans="1:51">
      <c r="A953" s="91"/>
      <c r="B953" s="95"/>
      <c r="C953" s="180" t="s">
        <v>927</v>
      </c>
      <c r="D953" s="181" t="s">
        <v>25</v>
      </c>
      <c r="E953" s="130" t="s">
        <v>928</v>
      </c>
      <c r="F953" s="184" t="s">
        <v>982</v>
      </c>
      <c r="G953" s="185" t="s">
        <v>982</v>
      </c>
      <c r="H953" s="185" t="s">
        <v>982</v>
      </c>
      <c r="I953" s="185" t="s">
        <v>982</v>
      </c>
      <c r="J953" s="132">
        <v>0.9</v>
      </c>
      <c r="K953" s="133">
        <v>0.925925925925926</v>
      </c>
      <c r="L953" s="133">
        <v>0.869565217391304</v>
      </c>
      <c r="M953" s="134">
        <v>0.916666666666667</v>
      </c>
      <c r="N953" s="133">
        <v>0.946635730858469</v>
      </c>
      <c r="O953" s="135">
        <v>0.9</v>
      </c>
      <c r="P953" s="133">
        <v>0.98478561549101</v>
      </c>
      <c r="Q953" s="133">
        <v>0.918411867364747</v>
      </c>
      <c r="R953" s="133">
        <v>0.980947728382999</v>
      </c>
      <c r="S953" s="133">
        <v>0.976500697999069</v>
      </c>
      <c r="T953" s="135">
        <v>0.9</v>
      </c>
      <c r="U953" s="133">
        <v>0.889810972798525</v>
      </c>
      <c r="V953" s="133">
        <v>0.817626527050611</v>
      </c>
      <c r="W953" s="133">
        <v>0.927699071812408</v>
      </c>
      <c r="X953" s="133">
        <v>0.900522206711132</v>
      </c>
      <c r="Y953" s="135">
        <v>0.92</v>
      </c>
      <c r="Z953" s="135" t="s">
        <v>35</v>
      </c>
      <c r="AA953" s="135">
        <v>0</v>
      </c>
      <c r="AB953" s="135" t="s">
        <v>35</v>
      </c>
      <c r="AC953" s="135">
        <v>0</v>
      </c>
      <c r="AD953" s="135">
        <v>0.92</v>
      </c>
      <c r="AE953" s="133">
        <v>1</v>
      </c>
      <c r="AF953" s="133">
        <v>0.96734693877551</v>
      </c>
      <c r="AG953" s="133">
        <v>0.99079754601227</v>
      </c>
      <c r="AH953" s="133">
        <v>0.98746103221337</v>
      </c>
      <c r="AI953" s="135">
        <v>0.92</v>
      </c>
      <c r="AJ953" s="133">
        <v>0.958045182111572</v>
      </c>
      <c r="AK953" s="133">
        <v>0.946358482337549</v>
      </c>
      <c r="AL953" s="133">
        <v>0.963849535906204</v>
      </c>
      <c r="AM953" s="133">
        <v>0.967922040995683</v>
      </c>
      <c r="AN953" s="132">
        <v>0.99</v>
      </c>
      <c r="AO953" s="137">
        <v>1</v>
      </c>
      <c r="AP953" s="137">
        <v>1</v>
      </c>
      <c r="AQ953" s="137">
        <v>1</v>
      </c>
      <c r="AR953" s="137">
        <v>1</v>
      </c>
      <c r="AS953" s="158">
        <v>0.0656418488929858</v>
      </c>
      <c r="AT953" s="141">
        <v>0</v>
      </c>
      <c r="AU953" s="141">
        <v>0.0909090909090909</v>
      </c>
      <c r="AV953" s="141">
        <v>0</v>
      </c>
      <c r="AW953" s="141">
        <v>0.0682926829268293</v>
      </c>
      <c r="AX953" s="95"/>
      <c r="AY953" s="93"/>
    </row>
    <row r="954" ht="14.5" spans="1:51">
      <c r="A954" s="91"/>
      <c r="B954" s="95"/>
      <c r="C954" s="180" t="s">
        <v>927</v>
      </c>
      <c r="D954" s="181" t="s">
        <v>25</v>
      </c>
      <c r="E954" s="130" t="s">
        <v>928</v>
      </c>
      <c r="F954" s="186" t="s">
        <v>983</v>
      </c>
      <c r="G954" s="187" t="s">
        <v>983</v>
      </c>
      <c r="H954" s="187" t="s">
        <v>983</v>
      </c>
      <c r="I954" s="187" t="s">
        <v>983</v>
      </c>
      <c r="J954" s="132">
        <v>0.9</v>
      </c>
      <c r="K954" s="133">
        <v>0.961538461538462</v>
      </c>
      <c r="L954" s="133">
        <v>0.934782608695652</v>
      </c>
      <c r="M954" s="134">
        <v>0.979591836734694</v>
      </c>
      <c r="N954" s="133">
        <v>0.954597048808173</v>
      </c>
      <c r="O954" s="135">
        <v>0.9</v>
      </c>
      <c r="P954" s="133">
        <v>0.924865831842576</v>
      </c>
      <c r="Q954" s="133">
        <v>0.911271541686074</v>
      </c>
      <c r="R954" s="133">
        <v>0.930178432893716</v>
      </c>
      <c r="S954" s="133">
        <v>0.936756636305395</v>
      </c>
      <c r="T954" s="135">
        <v>0.9</v>
      </c>
      <c r="U954" s="133">
        <v>0.899821109123435</v>
      </c>
      <c r="V954" s="133">
        <v>0.872845831392641</v>
      </c>
      <c r="W954" s="133">
        <v>0.916214119472459</v>
      </c>
      <c r="X954" s="133">
        <v>0.90975181749812</v>
      </c>
      <c r="Y954" s="135">
        <v>0.92</v>
      </c>
      <c r="Z954" s="135">
        <v>0.706881903143585</v>
      </c>
      <c r="AA954" s="135">
        <v>0.71539206195547</v>
      </c>
      <c r="AB954" s="135">
        <v>0.819523269012486</v>
      </c>
      <c r="AC954" s="135">
        <v>0.80836559015541</v>
      </c>
      <c r="AD954" s="135">
        <v>0.92</v>
      </c>
      <c r="AE954" s="133">
        <v>0.996401189172273</v>
      </c>
      <c r="AF954" s="133">
        <v>0.975929507844401</v>
      </c>
      <c r="AG954" s="133">
        <v>0.981763709782467</v>
      </c>
      <c r="AH954" s="133">
        <v>0.970751394297713</v>
      </c>
      <c r="AI954" s="135">
        <v>0.92</v>
      </c>
      <c r="AJ954" s="133">
        <v>0.887819253438114</v>
      </c>
      <c r="AK954" s="133">
        <v>0.887553970339778</v>
      </c>
      <c r="AL954" s="133">
        <v>0.933024431339511</v>
      </c>
      <c r="AM954" s="133">
        <v>0.929382588594385</v>
      </c>
      <c r="AN954" s="132">
        <v>0.99</v>
      </c>
      <c r="AO954" s="137">
        <v>1</v>
      </c>
      <c r="AP954" s="137">
        <v>1</v>
      </c>
      <c r="AQ954" s="137">
        <v>1</v>
      </c>
      <c r="AR954" s="137">
        <v>1</v>
      </c>
      <c r="AS954" s="158">
        <v>0.0656418488929858</v>
      </c>
      <c r="AT954" s="141">
        <v>0.0357142857142857</v>
      </c>
      <c r="AU954" s="141">
        <v>0</v>
      </c>
      <c r="AV954" s="141">
        <v>0</v>
      </c>
      <c r="AW954" s="141">
        <v>0.0344827586206897</v>
      </c>
      <c r="AX954" s="95"/>
      <c r="AY954" s="93"/>
    </row>
    <row r="955" ht="14.5" spans="1:51">
      <c r="A955" s="91"/>
      <c r="B955" s="95"/>
      <c r="C955" s="180" t="s">
        <v>927</v>
      </c>
      <c r="D955" s="181" t="s">
        <v>25</v>
      </c>
      <c r="E955" s="130" t="s">
        <v>928</v>
      </c>
      <c r="F955" s="184" t="s">
        <v>984</v>
      </c>
      <c r="G955" s="185" t="s">
        <v>984</v>
      </c>
      <c r="H955" s="185" t="s">
        <v>984</v>
      </c>
      <c r="I955" s="185" t="s">
        <v>984</v>
      </c>
      <c r="J955" s="132">
        <v>0.9</v>
      </c>
      <c r="K955" s="133">
        <v>0.96969696969697</v>
      </c>
      <c r="L955" s="133">
        <v>0.966666666666667</v>
      </c>
      <c r="M955" s="134">
        <v>1</v>
      </c>
      <c r="N955" s="133">
        <v>0.983870967741935</v>
      </c>
      <c r="O955" s="135">
        <v>0.9</v>
      </c>
      <c r="P955" s="133">
        <v>0.954210322079938</v>
      </c>
      <c r="Q955" s="133">
        <v>0.966752862947913</v>
      </c>
      <c r="R955" s="133">
        <v>0.981153411232567</v>
      </c>
      <c r="S955" s="133">
        <v>0.964960678552312</v>
      </c>
      <c r="T955" s="135">
        <v>0.9</v>
      </c>
      <c r="U955" s="133">
        <v>0.901435778036477</v>
      </c>
      <c r="V955" s="133">
        <v>0.904691540450683</v>
      </c>
      <c r="W955" s="133">
        <v>0.918582736524689</v>
      </c>
      <c r="X955" s="133">
        <v>0.90935479886359</v>
      </c>
      <c r="Y955" s="135">
        <v>0.92</v>
      </c>
      <c r="Z955" s="135" t="s">
        <v>35</v>
      </c>
      <c r="AA955" s="135">
        <v>0</v>
      </c>
      <c r="AB955" s="135">
        <v>0</v>
      </c>
      <c r="AC955" s="135">
        <v>0.0869565217391304</v>
      </c>
      <c r="AD955" s="135">
        <v>0.92</v>
      </c>
      <c r="AE955" s="133">
        <v>1</v>
      </c>
      <c r="AF955" s="133">
        <v>0.948717948717949</v>
      </c>
      <c r="AG955" s="133">
        <v>0.954314720812183</v>
      </c>
      <c r="AH955" s="133">
        <v>0.96972972972973</v>
      </c>
      <c r="AI955" s="135">
        <v>0.92</v>
      </c>
      <c r="AJ955" s="133">
        <v>0.936360108653473</v>
      </c>
      <c r="AK955" s="133">
        <v>0.951255539143279</v>
      </c>
      <c r="AL955" s="133">
        <v>0.973624717407687</v>
      </c>
      <c r="AM955" s="133">
        <v>0.966685871846578</v>
      </c>
      <c r="AN955" s="132">
        <v>0.99</v>
      </c>
      <c r="AO955" s="137">
        <v>1</v>
      </c>
      <c r="AP955" s="137">
        <v>1</v>
      </c>
      <c r="AQ955" s="137">
        <v>1</v>
      </c>
      <c r="AR955" s="137">
        <v>1</v>
      </c>
      <c r="AS955" s="158">
        <v>0.0656418488929858</v>
      </c>
      <c r="AT955" s="141">
        <v>0.25</v>
      </c>
      <c r="AU955" s="141">
        <v>0</v>
      </c>
      <c r="AV955" s="141">
        <v>0</v>
      </c>
      <c r="AW955" s="141">
        <v>0.06</v>
      </c>
      <c r="AX955" s="95"/>
      <c r="AY955" s="93"/>
    </row>
    <row r="956" ht="14.5" spans="1:51">
      <c r="A956" s="91"/>
      <c r="B956" s="95"/>
      <c r="C956" s="180" t="s">
        <v>927</v>
      </c>
      <c r="D956" s="181" t="s">
        <v>25</v>
      </c>
      <c r="E956" s="130" t="s">
        <v>928</v>
      </c>
      <c r="F956" s="184" t="s">
        <v>985</v>
      </c>
      <c r="G956" s="185" t="s">
        <v>985</v>
      </c>
      <c r="H956" s="185" t="s">
        <v>985</v>
      </c>
      <c r="I956" s="185" t="s">
        <v>985</v>
      </c>
      <c r="J956" s="132">
        <v>0.9</v>
      </c>
      <c r="K956" s="133">
        <v>0.948717948717949</v>
      </c>
      <c r="L956" s="133">
        <v>0.951219512195122</v>
      </c>
      <c r="M956" s="134">
        <v>0.911111111111111</v>
      </c>
      <c r="N956" s="133">
        <v>0.948717948717949</v>
      </c>
      <c r="O956" s="135">
        <v>0.9</v>
      </c>
      <c r="P956" s="133">
        <v>0.919441141498216</v>
      </c>
      <c r="Q956" s="133">
        <v>0.883323335332933</v>
      </c>
      <c r="R956" s="133">
        <v>0.930829420970266</v>
      </c>
      <c r="S956" s="133">
        <v>0.925310715485388</v>
      </c>
      <c r="T956" s="135">
        <v>0.9</v>
      </c>
      <c r="U956" s="133">
        <v>0.87217598097503</v>
      </c>
      <c r="V956" s="133">
        <v>0.868626274745051</v>
      </c>
      <c r="W956" s="133">
        <v>0.93302034428795</v>
      </c>
      <c r="X956" s="133">
        <v>0.91353711790393</v>
      </c>
      <c r="Y956" s="135">
        <v>0.92</v>
      </c>
      <c r="Z956" s="135">
        <v>0</v>
      </c>
      <c r="AA956" s="135">
        <v>0</v>
      </c>
      <c r="AB956" s="135">
        <v>0</v>
      </c>
      <c r="AC956" s="135">
        <v>0.0666666666666667</v>
      </c>
      <c r="AD956" s="135">
        <v>0.92</v>
      </c>
      <c r="AE956" s="133">
        <v>0.995391705069124</v>
      </c>
      <c r="AF956" s="133">
        <v>0.993111366245695</v>
      </c>
      <c r="AG956" s="133">
        <v>0.993769470404984</v>
      </c>
      <c r="AH956" s="133">
        <v>0.987346650395016</v>
      </c>
      <c r="AI956" s="135">
        <v>0.92</v>
      </c>
      <c r="AJ956" s="133">
        <v>0.930184194890077</v>
      </c>
      <c r="AK956" s="133">
        <v>0.92743628185907</v>
      </c>
      <c r="AL956" s="133">
        <v>0.955923726164426</v>
      </c>
      <c r="AM956" s="133">
        <v>0.954859828772872</v>
      </c>
      <c r="AN956" s="132">
        <v>0.99</v>
      </c>
      <c r="AO956" s="137">
        <v>1</v>
      </c>
      <c r="AP956" s="137">
        <v>1</v>
      </c>
      <c r="AQ956" s="137">
        <v>1</v>
      </c>
      <c r="AR956" s="137">
        <v>1</v>
      </c>
      <c r="AS956" s="158">
        <v>0.0656418488929858</v>
      </c>
      <c r="AT956" s="141">
        <v>0</v>
      </c>
      <c r="AU956" s="141">
        <v>0</v>
      </c>
      <c r="AV956" s="141">
        <v>0.111111111111111</v>
      </c>
      <c r="AW956" s="141">
        <v>0.0209059233449477</v>
      </c>
      <c r="AX956" s="95"/>
      <c r="AY956" s="93"/>
    </row>
    <row r="957" ht="14.5" spans="1:51">
      <c r="A957" s="91"/>
      <c r="B957" s="95"/>
      <c r="C957" s="180" t="s">
        <v>927</v>
      </c>
      <c r="D957" s="181" t="s">
        <v>25</v>
      </c>
      <c r="E957" s="130" t="s">
        <v>928</v>
      </c>
      <c r="F957" s="184" t="s">
        <v>986</v>
      </c>
      <c r="G957" s="185" t="s">
        <v>986</v>
      </c>
      <c r="H957" s="185" t="s">
        <v>986</v>
      </c>
      <c r="I957" s="185" t="s">
        <v>986</v>
      </c>
      <c r="J957" s="132">
        <v>0.9</v>
      </c>
      <c r="K957" s="133">
        <v>0.91304347826087</v>
      </c>
      <c r="L957" s="133">
        <v>0.911111111111111</v>
      </c>
      <c r="M957" s="134">
        <v>0.959183673469388</v>
      </c>
      <c r="N957" s="133">
        <v>0.926060606060606</v>
      </c>
      <c r="O957" s="135">
        <v>0.9</v>
      </c>
      <c r="P957" s="133">
        <v>0.874375446109921</v>
      </c>
      <c r="Q957" s="133">
        <v>0.933847592332866</v>
      </c>
      <c r="R957" s="133">
        <v>0.93807450411224</v>
      </c>
      <c r="S957" s="133">
        <v>0.914444815109446</v>
      </c>
      <c r="T957" s="135">
        <v>0.9</v>
      </c>
      <c r="U957" s="133">
        <v>0.866048060908875</v>
      </c>
      <c r="V957" s="133">
        <v>0.906732117812062</v>
      </c>
      <c r="W957" s="133">
        <v>0.926705370101596</v>
      </c>
      <c r="X957" s="133">
        <v>0.900446508763376</v>
      </c>
      <c r="Y957" s="135">
        <v>0.92</v>
      </c>
      <c r="Z957" s="135">
        <v>0</v>
      </c>
      <c r="AA957" s="135">
        <v>0</v>
      </c>
      <c r="AB957" s="135">
        <v>0</v>
      </c>
      <c r="AC957" s="135">
        <v>0</v>
      </c>
      <c r="AD957" s="135">
        <v>0.92</v>
      </c>
      <c r="AE957" s="133">
        <v>0.935331230283912</v>
      </c>
      <c r="AF957" s="133">
        <v>0.926890756302521</v>
      </c>
      <c r="AG957" s="133">
        <v>0.961146737080347</v>
      </c>
      <c r="AH957" s="133">
        <v>0.973095178616038</v>
      </c>
      <c r="AI957" s="135">
        <v>0.92</v>
      </c>
      <c r="AJ957" s="133">
        <v>0.884715949607797</v>
      </c>
      <c r="AK957" s="133">
        <v>0.93386305211498</v>
      </c>
      <c r="AL957" s="133">
        <v>0.950760318609703</v>
      </c>
      <c r="AM957" s="133">
        <v>0.933541949880729</v>
      </c>
      <c r="AN957" s="132">
        <v>0.99</v>
      </c>
      <c r="AO957" s="137">
        <v>1</v>
      </c>
      <c r="AP957" s="137">
        <v>1</v>
      </c>
      <c r="AQ957" s="137">
        <v>1</v>
      </c>
      <c r="AR957" s="137">
        <v>1</v>
      </c>
      <c r="AS957" s="158">
        <v>0.0656418488929858</v>
      </c>
      <c r="AT957" s="141">
        <v>0.0454545454545455</v>
      </c>
      <c r="AU957" s="141">
        <v>0.0526315789473684</v>
      </c>
      <c r="AV957" s="141">
        <v>0.0625</v>
      </c>
      <c r="AW957" s="141">
        <v>0.0625</v>
      </c>
      <c r="AX957" s="95"/>
      <c r="AY957" s="93"/>
    </row>
    <row r="958" ht="14.5" spans="1:51">
      <c r="A958" s="91"/>
      <c r="B958" s="95"/>
      <c r="C958" s="180" t="s">
        <v>927</v>
      </c>
      <c r="D958" s="181" t="s">
        <v>25</v>
      </c>
      <c r="E958" s="130" t="s">
        <v>928</v>
      </c>
      <c r="F958" s="184" t="s">
        <v>987</v>
      </c>
      <c r="G958" s="185" t="s">
        <v>987</v>
      </c>
      <c r="H958" s="185" t="s">
        <v>987</v>
      </c>
      <c r="I958" s="185" t="s">
        <v>987</v>
      </c>
      <c r="J958" s="132">
        <v>0.9</v>
      </c>
      <c r="K958" s="133">
        <v>0.942857142857143</v>
      </c>
      <c r="L958" s="133">
        <v>0.971428571428571</v>
      </c>
      <c r="M958" s="134">
        <v>0.945945945945946</v>
      </c>
      <c r="N958" s="133">
        <v>0.929967426710098</v>
      </c>
      <c r="O958" s="135">
        <v>0.9</v>
      </c>
      <c r="P958" s="133">
        <v>0.910347152005393</v>
      </c>
      <c r="Q958" s="133">
        <v>0.965751102068498</v>
      </c>
      <c r="R958" s="133">
        <v>0.976405274115198</v>
      </c>
      <c r="S958" s="133">
        <v>0.949331997925348</v>
      </c>
      <c r="T958" s="135">
        <v>0.9</v>
      </c>
      <c r="U958" s="133">
        <v>0.889787664307381</v>
      </c>
      <c r="V958" s="133">
        <v>0.9097999321804</v>
      </c>
      <c r="W958" s="133">
        <v>0.926786953504511</v>
      </c>
      <c r="X958" s="133">
        <v>0.918909734766512</v>
      </c>
      <c r="Y958" s="135">
        <v>0.92</v>
      </c>
      <c r="Z958" s="135" t="s">
        <v>35</v>
      </c>
      <c r="AA958" s="135">
        <v>0.5</v>
      </c>
      <c r="AB958" s="135">
        <v>0.2</v>
      </c>
      <c r="AC958" s="135">
        <v>0.130434782608696</v>
      </c>
      <c r="AD958" s="135">
        <v>0.92</v>
      </c>
      <c r="AE958" s="133">
        <v>0.99537750385208</v>
      </c>
      <c r="AF958" s="133">
        <v>1</v>
      </c>
      <c r="AG958" s="133">
        <v>0.963768115942029</v>
      </c>
      <c r="AH958" s="133">
        <v>0.983621071270474</v>
      </c>
      <c r="AI958" s="135">
        <v>0.92</v>
      </c>
      <c r="AJ958" s="133">
        <v>0.940026954177898</v>
      </c>
      <c r="AK958" s="133">
        <v>0.94273127753304</v>
      </c>
      <c r="AL958" s="133">
        <v>0.960512642881884</v>
      </c>
      <c r="AM958" s="133">
        <v>0.957434256395588</v>
      </c>
      <c r="AN958" s="132">
        <v>0.99</v>
      </c>
      <c r="AO958" s="137">
        <v>1</v>
      </c>
      <c r="AP958" s="137">
        <v>1</v>
      </c>
      <c r="AQ958" s="137">
        <v>1</v>
      </c>
      <c r="AR958" s="137">
        <v>1</v>
      </c>
      <c r="AS958" s="158">
        <v>0.0656418488929858</v>
      </c>
      <c r="AT958" s="141">
        <v>0</v>
      </c>
      <c r="AU958" s="141">
        <v>0</v>
      </c>
      <c r="AV958" s="141">
        <v>0</v>
      </c>
      <c r="AW958" s="141">
        <v>0.0347222222222222</v>
      </c>
      <c r="AX958" s="95"/>
      <c r="AY958" s="93"/>
    </row>
    <row r="959" ht="14.5" spans="1:51">
      <c r="A959" s="91"/>
      <c r="B959" s="95"/>
      <c r="C959" s="180" t="s">
        <v>927</v>
      </c>
      <c r="D959" s="181" t="s">
        <v>25</v>
      </c>
      <c r="E959" s="130" t="s">
        <v>928</v>
      </c>
      <c r="F959" s="192" t="s">
        <v>988</v>
      </c>
      <c r="G959" s="193" t="s">
        <v>988</v>
      </c>
      <c r="H959" s="193" t="s">
        <v>988</v>
      </c>
      <c r="I959" s="193" t="s">
        <v>988</v>
      </c>
      <c r="J959" s="132">
        <v>0.9</v>
      </c>
      <c r="K959" s="133">
        <v>0.948717948717949</v>
      </c>
      <c r="L959" s="133">
        <v>0.897435897435897</v>
      </c>
      <c r="M959" s="134">
        <v>0.973684210526316</v>
      </c>
      <c r="N959" s="133">
        <v>0.953662182361734</v>
      </c>
      <c r="O959" s="135">
        <v>0.9</v>
      </c>
      <c r="P959" s="133">
        <v>0.977665932683234</v>
      </c>
      <c r="Q959" s="133">
        <v>0.980246913580247</v>
      </c>
      <c r="R959" s="133">
        <v>0.963929146537842</v>
      </c>
      <c r="S959" s="133">
        <v>0.965167609325424</v>
      </c>
      <c r="T959" s="135">
        <v>0.9</v>
      </c>
      <c r="U959" s="133">
        <v>0.917269581629443</v>
      </c>
      <c r="V959" s="133">
        <v>0.921296296296296</v>
      </c>
      <c r="W959" s="133">
        <v>0.914653784219002</v>
      </c>
      <c r="X959" s="133">
        <v>0.92019588908815</v>
      </c>
      <c r="Y959" s="135">
        <v>0.92</v>
      </c>
      <c r="Z959" s="135">
        <v>0</v>
      </c>
      <c r="AA959" s="135">
        <v>0</v>
      </c>
      <c r="AB959" s="135">
        <v>0</v>
      </c>
      <c r="AC959" s="135">
        <v>0.0333333333333333</v>
      </c>
      <c r="AD959" s="135">
        <v>0.92</v>
      </c>
      <c r="AE959" s="133">
        <v>0.941176470588235</v>
      </c>
      <c r="AF959" s="133">
        <v>0.815165876777251</v>
      </c>
      <c r="AG959" s="133">
        <v>0.90547263681592</v>
      </c>
      <c r="AH959" s="133">
        <v>0.927523970671179</v>
      </c>
      <c r="AI959" s="135">
        <v>0.92</v>
      </c>
      <c r="AJ959" s="133">
        <v>0.947815152467777</v>
      </c>
      <c r="AK959" s="133">
        <v>0.950647748303516</v>
      </c>
      <c r="AL959" s="133">
        <v>0.9539600772698</v>
      </c>
      <c r="AM959" s="133">
        <v>0.961979938643963</v>
      </c>
      <c r="AN959" s="132">
        <v>0.99</v>
      </c>
      <c r="AO959" s="137">
        <v>1</v>
      </c>
      <c r="AP959" s="137">
        <v>1</v>
      </c>
      <c r="AQ959" s="137">
        <v>1</v>
      </c>
      <c r="AR959" s="137">
        <v>1</v>
      </c>
      <c r="AS959" s="158">
        <v>0.0656418488929858</v>
      </c>
      <c r="AT959" s="141">
        <v>0</v>
      </c>
      <c r="AU959" s="141">
        <v>0.0714285714285714</v>
      </c>
      <c r="AV959" s="141">
        <v>0</v>
      </c>
      <c r="AW959" s="141">
        <v>0.0229885057471264</v>
      </c>
      <c r="AX959" s="95"/>
      <c r="AY959" s="93"/>
    </row>
    <row r="960" ht="14.5" spans="1:51">
      <c r="A960" s="91"/>
      <c r="B960" s="95"/>
      <c r="C960" s="180" t="s">
        <v>927</v>
      </c>
      <c r="D960" s="181" t="s">
        <v>25</v>
      </c>
      <c r="E960" s="130" t="s">
        <v>928</v>
      </c>
      <c r="F960" s="182" t="s">
        <v>989</v>
      </c>
      <c r="G960" s="183" t="s">
        <v>989</v>
      </c>
      <c r="H960" s="183" t="s">
        <v>989</v>
      </c>
      <c r="I960" s="183" t="s">
        <v>989</v>
      </c>
      <c r="J960" s="132">
        <v>0.9</v>
      </c>
      <c r="K960" s="133">
        <v>1</v>
      </c>
      <c r="L960" s="133">
        <v>1</v>
      </c>
      <c r="M960" s="134">
        <v>0.888888888888889</v>
      </c>
      <c r="N960" s="133">
        <v>0.966555183946488</v>
      </c>
      <c r="O960" s="135">
        <v>0.9</v>
      </c>
      <c r="P960" s="133">
        <v>0.972972972972973</v>
      </c>
      <c r="Q960" s="133">
        <v>0.971736896197328</v>
      </c>
      <c r="R960" s="133">
        <v>0.938177874186551</v>
      </c>
      <c r="S960" s="133">
        <v>0.968475919972533</v>
      </c>
      <c r="T960" s="135">
        <v>0.9</v>
      </c>
      <c r="U960" s="133">
        <v>0.90492277992278</v>
      </c>
      <c r="V960" s="133">
        <v>0.896711202466598</v>
      </c>
      <c r="W960" s="133">
        <v>0.933297180043384</v>
      </c>
      <c r="X960" s="133">
        <v>0.930272480414495</v>
      </c>
      <c r="Y960" s="135">
        <v>0.92</v>
      </c>
      <c r="Z960" s="135" t="s">
        <v>35</v>
      </c>
      <c r="AA960" s="135" t="s">
        <v>35</v>
      </c>
      <c r="AB960" s="135" t="s">
        <v>35</v>
      </c>
      <c r="AC960" s="135" t="s">
        <v>35</v>
      </c>
      <c r="AD960" s="135">
        <v>0.92</v>
      </c>
      <c r="AE960" s="133">
        <v>0.991379310344828</v>
      </c>
      <c r="AF960" s="133">
        <v>0.997191011235955</v>
      </c>
      <c r="AG960" s="133">
        <v>0.997198879551821</v>
      </c>
      <c r="AH960" s="133">
        <v>0.995733953849137</v>
      </c>
      <c r="AI960" s="135">
        <v>0.92</v>
      </c>
      <c r="AJ960" s="133">
        <v>0.923745173745174</v>
      </c>
      <c r="AK960" s="133">
        <v>0.918807810894142</v>
      </c>
      <c r="AL960" s="133">
        <v>0.960954446854664</v>
      </c>
      <c r="AM960" s="133">
        <v>0.948874808826742</v>
      </c>
      <c r="AN960" s="132">
        <v>0.99</v>
      </c>
      <c r="AO960" s="137">
        <v>1</v>
      </c>
      <c r="AP960" s="137">
        <v>1</v>
      </c>
      <c r="AQ960" s="137">
        <v>1</v>
      </c>
      <c r="AR960" s="137">
        <v>1</v>
      </c>
      <c r="AS960" s="158">
        <v>0.0656418488929858</v>
      </c>
      <c r="AT960" s="141">
        <v>0</v>
      </c>
      <c r="AU960" s="141">
        <v>0</v>
      </c>
      <c r="AV960" s="141">
        <v>0</v>
      </c>
      <c r="AW960" s="141">
        <v>0.0444444444444444</v>
      </c>
      <c r="AX960" s="95"/>
      <c r="AY960" s="93"/>
    </row>
    <row r="961" ht="14.5" spans="1:51">
      <c r="A961" s="91"/>
      <c r="B961" s="95"/>
      <c r="C961" s="180" t="s">
        <v>927</v>
      </c>
      <c r="D961" s="181" t="s">
        <v>25</v>
      </c>
      <c r="E961" s="130" t="s">
        <v>928</v>
      </c>
      <c r="F961" s="182" t="s">
        <v>990</v>
      </c>
      <c r="G961" s="183" t="s">
        <v>990</v>
      </c>
      <c r="H961" s="183" t="s">
        <v>990</v>
      </c>
      <c r="I961" s="183" t="s">
        <v>990</v>
      </c>
      <c r="J961" s="132">
        <v>0.9</v>
      </c>
      <c r="K961" s="133">
        <v>1</v>
      </c>
      <c r="L961" s="133">
        <v>0.823529411764706</v>
      </c>
      <c r="M961" s="134">
        <v>1</v>
      </c>
      <c r="N961" s="133">
        <v>0.956043956043956</v>
      </c>
      <c r="O961" s="135">
        <v>0.9</v>
      </c>
      <c r="P961" s="133">
        <v>0.981828839390387</v>
      </c>
      <c r="Q961" s="133">
        <v>0.985180412371134</v>
      </c>
      <c r="R961" s="133">
        <v>0.994525547445255</v>
      </c>
      <c r="S961" s="133">
        <v>0.979721942083273</v>
      </c>
      <c r="T961" s="135">
        <v>0.9</v>
      </c>
      <c r="U961" s="133">
        <v>0.917936694021102</v>
      </c>
      <c r="V961" s="133">
        <v>0.923969072164949</v>
      </c>
      <c r="W961" s="133">
        <v>0.949513381995134</v>
      </c>
      <c r="X961" s="133">
        <v>0.931638092493877</v>
      </c>
      <c r="Y961" s="135">
        <v>0.92</v>
      </c>
      <c r="Z961" s="135" t="s">
        <v>35</v>
      </c>
      <c r="AA961" s="135" t="s">
        <v>35</v>
      </c>
      <c r="AB961" s="135" t="s">
        <v>35</v>
      </c>
      <c r="AC961" s="135" t="s">
        <v>35</v>
      </c>
      <c r="AD961" s="135">
        <v>0.92</v>
      </c>
      <c r="AE961" s="133">
        <v>1</v>
      </c>
      <c r="AF961" s="133">
        <v>1</v>
      </c>
      <c r="AG961" s="133">
        <v>1</v>
      </c>
      <c r="AH961" s="133">
        <v>0.995174909529554</v>
      </c>
      <c r="AI961" s="135">
        <v>0.92</v>
      </c>
      <c r="AJ961" s="133">
        <v>0.949003516998828</v>
      </c>
      <c r="AK961" s="133">
        <v>0.971649484536082</v>
      </c>
      <c r="AL961" s="133">
        <v>0.984184914841849</v>
      </c>
      <c r="AM961" s="133">
        <v>0.972770494165106</v>
      </c>
      <c r="AN961" s="132">
        <v>0.99</v>
      </c>
      <c r="AO961" s="137">
        <v>1</v>
      </c>
      <c r="AP961" s="137">
        <v>1</v>
      </c>
      <c r="AQ961" s="137">
        <v>1</v>
      </c>
      <c r="AR961" s="137">
        <v>1</v>
      </c>
      <c r="AS961" s="158">
        <v>0.0656418488929858</v>
      </c>
      <c r="AT961" s="141">
        <v>0</v>
      </c>
      <c r="AU961" s="141">
        <v>0</v>
      </c>
      <c r="AV961" s="141">
        <v>0.142857142857143</v>
      </c>
      <c r="AW961" s="141">
        <v>0.0536912751677852</v>
      </c>
      <c r="AX961" s="95"/>
      <c r="AY961" s="93"/>
    </row>
    <row r="962" ht="14.5" spans="1:51">
      <c r="A962" s="91"/>
      <c r="B962" s="95"/>
      <c r="C962" s="180" t="s">
        <v>927</v>
      </c>
      <c r="D962" s="181" t="s">
        <v>25</v>
      </c>
      <c r="E962" s="130" t="s">
        <v>928</v>
      </c>
      <c r="F962" s="182" t="s">
        <v>991</v>
      </c>
      <c r="G962" s="183" t="s">
        <v>991</v>
      </c>
      <c r="H962" s="183" t="s">
        <v>991</v>
      </c>
      <c r="I962" s="183" t="s">
        <v>991</v>
      </c>
      <c r="J962" s="132">
        <v>0.9</v>
      </c>
      <c r="K962" s="133">
        <v>0.904761904761905</v>
      </c>
      <c r="L962" s="133">
        <v>0.902439024390244</v>
      </c>
      <c r="M962" s="134">
        <v>0.886363636363636</v>
      </c>
      <c r="N962" s="133">
        <v>0.929899856938484</v>
      </c>
      <c r="O962" s="135">
        <v>0.9</v>
      </c>
      <c r="P962" s="133">
        <v>0.926274018379282</v>
      </c>
      <c r="Q962" s="133">
        <v>0.933892215568862</v>
      </c>
      <c r="R962" s="133">
        <v>0.93957857324194</v>
      </c>
      <c r="S962" s="133">
        <v>0.928888135784688</v>
      </c>
      <c r="T962" s="135">
        <v>0.9</v>
      </c>
      <c r="U962" s="133">
        <v>0.917919799498747</v>
      </c>
      <c r="V962" s="133">
        <v>0.910898203592814</v>
      </c>
      <c r="W962" s="133">
        <v>0.916222391469916</v>
      </c>
      <c r="X962" s="133">
        <v>0.931726397243639</v>
      </c>
      <c r="Y962" s="135">
        <v>0.92</v>
      </c>
      <c r="Z962" s="135">
        <v>1</v>
      </c>
      <c r="AA962" s="135" t="s">
        <v>35</v>
      </c>
      <c r="AB962" s="135" t="s">
        <v>35</v>
      </c>
      <c r="AC962" s="135">
        <v>1</v>
      </c>
      <c r="AD962" s="135">
        <v>0.92</v>
      </c>
      <c r="AE962" s="133">
        <v>0.985239852398524</v>
      </c>
      <c r="AF962" s="133">
        <v>0.98971482000935</v>
      </c>
      <c r="AG962" s="133">
        <v>0.995850622406639</v>
      </c>
      <c r="AH962" s="133">
        <v>0.99448366536142</v>
      </c>
      <c r="AI962" s="135">
        <v>0.92</v>
      </c>
      <c r="AJ962" s="133">
        <v>0.942367926498225</v>
      </c>
      <c r="AK962" s="133">
        <v>0.938922155688623</v>
      </c>
      <c r="AL962" s="133">
        <v>0.947702462553948</v>
      </c>
      <c r="AM962" s="133">
        <v>0.952120073987264</v>
      </c>
      <c r="AN962" s="132">
        <v>0.99</v>
      </c>
      <c r="AO962" s="137">
        <v>1</v>
      </c>
      <c r="AP962" s="137">
        <v>1</v>
      </c>
      <c r="AQ962" s="137">
        <v>1</v>
      </c>
      <c r="AR962" s="137">
        <v>1</v>
      </c>
      <c r="AS962" s="158">
        <v>0.0656418488929858</v>
      </c>
      <c r="AT962" s="141">
        <v>0.025</v>
      </c>
      <c r="AU962" s="141">
        <v>0.0277777777777778</v>
      </c>
      <c r="AV962" s="141">
        <v>0.0333333333333333</v>
      </c>
      <c r="AW962" s="141">
        <v>0.0335463258785942</v>
      </c>
      <c r="AX962" s="95"/>
      <c r="AY962" s="93"/>
    </row>
    <row r="963" ht="14.5" spans="1:51">
      <c r="A963" s="91"/>
      <c r="B963" s="95"/>
      <c r="C963" s="180" t="s">
        <v>927</v>
      </c>
      <c r="D963" s="181" t="s">
        <v>25</v>
      </c>
      <c r="E963" s="130" t="s">
        <v>928</v>
      </c>
      <c r="F963" s="184" t="s">
        <v>992</v>
      </c>
      <c r="G963" s="185" t="s">
        <v>992</v>
      </c>
      <c r="H963" s="185" t="s">
        <v>992</v>
      </c>
      <c r="I963" s="185" t="s">
        <v>992</v>
      </c>
      <c r="J963" s="132">
        <v>0.9</v>
      </c>
      <c r="K963" s="133">
        <v>0.842105263157895</v>
      </c>
      <c r="L963" s="133">
        <v>0.8</v>
      </c>
      <c r="M963" s="134">
        <v>0.857142857142857</v>
      </c>
      <c r="N963" s="133">
        <v>0.835913312693498</v>
      </c>
      <c r="O963" s="135">
        <v>0.9</v>
      </c>
      <c r="P963" s="133">
        <v>0.988980716253444</v>
      </c>
      <c r="Q963" s="133">
        <v>0.994350282485876</v>
      </c>
      <c r="R963" s="133">
        <v>0.994778067885117</v>
      </c>
      <c r="S963" s="133">
        <v>0.989643688124458</v>
      </c>
      <c r="T963" s="135">
        <v>0.9</v>
      </c>
      <c r="U963" s="133">
        <v>0.858126721763085</v>
      </c>
      <c r="V963" s="133">
        <v>0.924132364810331</v>
      </c>
      <c r="W963" s="133">
        <v>0.932985204525674</v>
      </c>
      <c r="X963" s="133">
        <v>0.898170536977052</v>
      </c>
      <c r="Y963" s="135">
        <v>0.92</v>
      </c>
      <c r="Z963" s="135" t="s">
        <v>35</v>
      </c>
      <c r="AA963" s="135" t="s">
        <v>35</v>
      </c>
      <c r="AB963" s="135" t="s">
        <v>35</v>
      </c>
      <c r="AC963" s="135" t="s">
        <v>35</v>
      </c>
      <c r="AD963" s="135">
        <v>0.92</v>
      </c>
      <c r="AE963" s="133">
        <v>1</v>
      </c>
      <c r="AF963" s="133">
        <v>1</v>
      </c>
      <c r="AG963" s="133">
        <v>0.978723404255319</v>
      </c>
      <c r="AH963" s="133">
        <v>0.987785448751991</v>
      </c>
      <c r="AI963" s="135">
        <v>0.92</v>
      </c>
      <c r="AJ963" s="133">
        <v>0.896005509641873</v>
      </c>
      <c r="AK963" s="133">
        <v>0.954802259887006</v>
      </c>
      <c r="AL963" s="133">
        <v>0.948651000870322</v>
      </c>
      <c r="AM963" s="133">
        <v>0.935991605456453</v>
      </c>
      <c r="AN963" s="132">
        <v>0.99</v>
      </c>
      <c r="AO963" s="137">
        <v>1</v>
      </c>
      <c r="AP963" s="137">
        <v>1</v>
      </c>
      <c r="AQ963" s="137">
        <v>1</v>
      </c>
      <c r="AR963" s="137">
        <v>1</v>
      </c>
      <c r="AS963" s="158">
        <v>0.0656418488929858</v>
      </c>
      <c r="AT963" s="141">
        <v>0</v>
      </c>
      <c r="AU963" s="141">
        <v>0</v>
      </c>
      <c r="AV963" s="141">
        <v>0</v>
      </c>
      <c r="AW963" s="141">
        <v>0.00793650793650794</v>
      </c>
      <c r="AX963" s="95"/>
      <c r="AY963" s="93"/>
    </row>
    <row r="964" ht="14.5" spans="1:51">
      <c r="A964" s="91"/>
      <c r="B964" s="95"/>
      <c r="C964" s="180" t="s">
        <v>927</v>
      </c>
      <c r="D964" s="181" t="s">
        <v>25</v>
      </c>
      <c r="E964" s="130" t="s">
        <v>928</v>
      </c>
      <c r="F964" s="184" t="s">
        <v>993</v>
      </c>
      <c r="G964" s="185" t="s">
        <v>993</v>
      </c>
      <c r="H964" s="185" t="s">
        <v>993</v>
      </c>
      <c r="I964" s="185" t="s">
        <v>993</v>
      </c>
      <c r="J964" s="132">
        <v>0.9</v>
      </c>
      <c r="K964" s="133">
        <v>0.75</v>
      </c>
      <c r="L964" s="133">
        <v>0.736842105263158</v>
      </c>
      <c r="M964" s="134">
        <v>0.769230769230769</v>
      </c>
      <c r="N964" s="133">
        <v>0.765671641791045</v>
      </c>
      <c r="O964" s="135">
        <v>0.9</v>
      </c>
      <c r="P964" s="133">
        <v>0.915464743589744</v>
      </c>
      <c r="Q964" s="133">
        <v>0.842565597667638</v>
      </c>
      <c r="R964" s="133">
        <v>0.952962962962963</v>
      </c>
      <c r="S964" s="133">
        <v>0.919617402801306</v>
      </c>
      <c r="T964" s="135">
        <v>0.9</v>
      </c>
      <c r="U964" s="133">
        <v>0.868189102564103</v>
      </c>
      <c r="V964" s="133">
        <v>0.778790087463557</v>
      </c>
      <c r="W964" s="133">
        <v>0.884444444444444</v>
      </c>
      <c r="X964" s="133">
        <v>0.848035367516424</v>
      </c>
      <c r="Y964" s="135">
        <v>0.92</v>
      </c>
      <c r="Z964" s="135">
        <v>0.934177215189873</v>
      </c>
      <c r="AA964" s="135">
        <v>0.894280762564991</v>
      </c>
      <c r="AB964" s="135">
        <v>0.957746478873239</v>
      </c>
      <c r="AC964" s="135">
        <v>0.92505211294296</v>
      </c>
      <c r="AD964" s="135">
        <v>0.92</v>
      </c>
      <c r="AE964" s="133">
        <v>0.999223602484472</v>
      </c>
      <c r="AF964" s="133">
        <v>0.999237417386884</v>
      </c>
      <c r="AG964" s="133">
        <v>0.997277059223962</v>
      </c>
      <c r="AH964" s="133">
        <v>0.994724055145843</v>
      </c>
      <c r="AI964" s="135">
        <v>0.92</v>
      </c>
      <c r="AJ964" s="133">
        <v>0.95954356846473</v>
      </c>
      <c r="AK964" s="133">
        <v>0.94579945799458</v>
      </c>
      <c r="AL964" s="133">
        <v>0.980294025649046</v>
      </c>
      <c r="AM964" s="133">
        <v>0.959586880575247</v>
      </c>
      <c r="AN964" s="132">
        <v>0.99</v>
      </c>
      <c r="AO964" s="137">
        <v>1</v>
      </c>
      <c r="AP964" s="137">
        <v>1</v>
      </c>
      <c r="AQ964" s="137">
        <v>1</v>
      </c>
      <c r="AR964" s="137">
        <v>1</v>
      </c>
      <c r="AS964" s="158">
        <v>0.0656418488929858</v>
      </c>
      <c r="AT964" s="141">
        <v>0.111111111111111</v>
      </c>
      <c r="AU964" s="141">
        <v>0.0454545454545455</v>
      </c>
      <c r="AV964" s="141">
        <v>0.0869565217391304</v>
      </c>
      <c r="AW964" s="141">
        <v>0.0324189526184539</v>
      </c>
      <c r="AX964" s="95"/>
      <c r="AY964" s="93"/>
    </row>
    <row r="965" ht="14.5" spans="1:51">
      <c r="A965" s="91"/>
      <c r="B965" s="95"/>
      <c r="C965" s="180" t="s">
        <v>927</v>
      </c>
      <c r="D965" s="181" t="s">
        <v>25</v>
      </c>
      <c r="E965" s="130" t="s">
        <v>928</v>
      </c>
      <c r="F965" s="184" t="s">
        <v>994</v>
      </c>
      <c r="G965" s="185" t="s">
        <v>994</v>
      </c>
      <c r="H965" s="185" t="s">
        <v>994</v>
      </c>
      <c r="I965" s="185" t="s">
        <v>994</v>
      </c>
      <c r="J965" s="132">
        <v>0.9</v>
      </c>
      <c r="K965" s="133">
        <v>0.761904761904762</v>
      </c>
      <c r="L965" s="133">
        <v>0.717948717948718</v>
      </c>
      <c r="M965" s="134">
        <v>0.840909090909091</v>
      </c>
      <c r="N965" s="133">
        <v>0.823609226594301</v>
      </c>
      <c r="O965" s="135">
        <v>0.9</v>
      </c>
      <c r="P965" s="133">
        <v>0.991315535541975</v>
      </c>
      <c r="Q965" s="133">
        <v>0.984229794424106</v>
      </c>
      <c r="R965" s="133">
        <v>0.988526570048309</v>
      </c>
      <c r="S965" s="133">
        <v>0.983102296873419</v>
      </c>
      <c r="T965" s="135">
        <v>0.9</v>
      </c>
      <c r="U965" s="133">
        <v>0.8806690254101</v>
      </c>
      <c r="V965" s="133">
        <v>0.814981695297099</v>
      </c>
      <c r="W965" s="133">
        <v>0.890398550724638</v>
      </c>
      <c r="X965" s="133">
        <v>0.852963000438463</v>
      </c>
      <c r="Y965" s="135">
        <v>0.92</v>
      </c>
      <c r="Z965" s="135">
        <v>0.821752265861027</v>
      </c>
      <c r="AA965" s="135">
        <v>0.792263610315186</v>
      </c>
      <c r="AB965" s="135">
        <v>0.884745762711864</v>
      </c>
      <c r="AC965" s="135">
        <v>0.864675010092854</v>
      </c>
      <c r="AD965" s="135">
        <v>0.92</v>
      </c>
      <c r="AE965" s="133">
        <v>0.998397435897436</v>
      </c>
      <c r="AF965" s="133">
        <v>0.984409799554566</v>
      </c>
      <c r="AG965" s="133">
        <v>0.997432605905006</v>
      </c>
      <c r="AH965" s="133">
        <v>0.994305331179322</v>
      </c>
      <c r="AI965" s="135">
        <v>0.92</v>
      </c>
      <c r="AJ965" s="133">
        <v>0.945058139534884</v>
      </c>
      <c r="AK965" s="133">
        <v>0.929630501294422</v>
      </c>
      <c r="AL965" s="133">
        <v>0.952075858534085</v>
      </c>
      <c r="AM965" s="133">
        <v>0.949110692613517</v>
      </c>
      <c r="AN965" s="132">
        <v>0.99</v>
      </c>
      <c r="AO965" s="137">
        <v>1</v>
      </c>
      <c r="AP965" s="137">
        <v>1</v>
      </c>
      <c r="AQ965" s="137">
        <v>1</v>
      </c>
      <c r="AR965" s="137">
        <v>1</v>
      </c>
      <c r="AS965" s="158">
        <v>0.0656418488929858</v>
      </c>
      <c r="AT965" s="141">
        <v>0.0952380952380952</v>
      </c>
      <c r="AU965" s="141">
        <v>0.0294117647058824</v>
      </c>
      <c r="AV965" s="141">
        <v>0.03125</v>
      </c>
      <c r="AW965" s="141">
        <v>0.042713567839196</v>
      </c>
      <c r="AX965" s="95"/>
      <c r="AY965" s="93"/>
    </row>
    <row r="966" ht="14.5" spans="1:51">
      <c r="A966" s="91"/>
      <c r="B966" s="95"/>
      <c r="C966" s="180" t="s">
        <v>927</v>
      </c>
      <c r="D966" s="181" t="s">
        <v>25</v>
      </c>
      <c r="E966" s="130" t="s">
        <v>928</v>
      </c>
      <c r="F966" s="184" t="s">
        <v>995</v>
      </c>
      <c r="G966" s="185" t="s">
        <v>995</v>
      </c>
      <c r="H966" s="185" t="s">
        <v>995</v>
      </c>
      <c r="I966" s="185" t="s">
        <v>995</v>
      </c>
      <c r="J966" s="132">
        <v>0.9</v>
      </c>
      <c r="K966" s="133">
        <v>0.789473684210526</v>
      </c>
      <c r="L966" s="133">
        <v>0.7</v>
      </c>
      <c r="M966" s="134">
        <v>0.863636363636364</v>
      </c>
      <c r="N966" s="133">
        <v>0.833810888252149</v>
      </c>
      <c r="O966" s="135">
        <v>0.9</v>
      </c>
      <c r="P966" s="133">
        <v>0.865168539325843</v>
      </c>
      <c r="Q966" s="133">
        <v>0.895078420767983</v>
      </c>
      <c r="R966" s="133">
        <v>0.887561108093427</v>
      </c>
      <c r="S966" s="133">
        <v>0.897438327173947</v>
      </c>
      <c r="T966" s="135">
        <v>0.9</v>
      </c>
      <c r="U966" s="133">
        <v>0.89237137788291</v>
      </c>
      <c r="V966" s="133">
        <v>0.90427257977285</v>
      </c>
      <c r="W966" s="133">
        <v>0.946224877783813</v>
      </c>
      <c r="X966" s="133">
        <v>0.901892037019489</v>
      </c>
      <c r="Y966" s="135">
        <v>0.92</v>
      </c>
      <c r="Z966" s="135">
        <v>0.852017937219731</v>
      </c>
      <c r="AA966" s="135">
        <v>0.877551020408163</v>
      </c>
      <c r="AB966" s="135">
        <v>0.933035714285714</v>
      </c>
      <c r="AC966" s="135">
        <v>0.893348771388138</v>
      </c>
      <c r="AD966" s="135">
        <v>0.92</v>
      </c>
      <c r="AE966" s="133">
        <v>0.999094840591371</v>
      </c>
      <c r="AF966" s="133">
        <v>0.997996565540927</v>
      </c>
      <c r="AG966" s="133">
        <v>0.994358811377721</v>
      </c>
      <c r="AH966" s="133">
        <v>0.982838826409012</v>
      </c>
      <c r="AI966" s="135">
        <v>0.92</v>
      </c>
      <c r="AJ966" s="133">
        <v>0.935281837160752</v>
      </c>
      <c r="AK966" s="133">
        <v>0.932478632478632</v>
      </c>
      <c r="AL966" s="133">
        <v>0.972949389179756</v>
      </c>
      <c r="AM966" s="133">
        <v>0.952430406038653</v>
      </c>
      <c r="AN966" s="132">
        <v>0.99</v>
      </c>
      <c r="AO966" s="137">
        <v>1</v>
      </c>
      <c r="AP966" s="137">
        <v>1</v>
      </c>
      <c r="AQ966" s="137">
        <v>1</v>
      </c>
      <c r="AR966" s="137">
        <v>1</v>
      </c>
      <c r="AS966" s="158">
        <v>0.0656418488929858</v>
      </c>
      <c r="AT966" s="141">
        <v>0.0588235294117647</v>
      </c>
      <c r="AU966" s="141">
        <v>0.0714285714285714</v>
      </c>
      <c r="AV966" s="141">
        <v>0.142857142857143</v>
      </c>
      <c r="AW966" s="141">
        <v>0.036231884057971</v>
      </c>
      <c r="AX966" s="95"/>
      <c r="AY966" s="93"/>
    </row>
    <row r="967" ht="14.5" spans="1:51">
      <c r="A967" s="91"/>
      <c r="B967" s="95"/>
      <c r="C967" s="180" t="s">
        <v>927</v>
      </c>
      <c r="D967" s="181" t="s">
        <v>25</v>
      </c>
      <c r="E967" s="130" t="s">
        <v>928</v>
      </c>
      <c r="F967" s="184" t="s">
        <v>996</v>
      </c>
      <c r="G967" s="185" t="s">
        <v>996</v>
      </c>
      <c r="H967" s="185" t="s">
        <v>996</v>
      </c>
      <c r="I967" s="185" t="s">
        <v>996</v>
      </c>
      <c r="J967" s="132">
        <v>0.9</v>
      </c>
      <c r="K967" s="133">
        <v>0.78125</v>
      </c>
      <c r="L967" s="133">
        <v>0.806451612903226</v>
      </c>
      <c r="M967" s="134">
        <v>0.878787878787879</v>
      </c>
      <c r="N967" s="133">
        <v>0.855357142857143</v>
      </c>
      <c r="O967" s="135">
        <v>0.9</v>
      </c>
      <c r="P967" s="133">
        <v>0.852739726027397</v>
      </c>
      <c r="Q967" s="133">
        <v>0.851570964247021</v>
      </c>
      <c r="R967" s="133">
        <v>0.929430011632416</v>
      </c>
      <c r="S967" s="133">
        <v>0.88430192079289</v>
      </c>
      <c r="T967" s="135">
        <v>0.9</v>
      </c>
      <c r="U967" s="133">
        <v>0.874809741248097</v>
      </c>
      <c r="V967" s="133">
        <v>0.798844348140123</v>
      </c>
      <c r="W967" s="133">
        <v>0.929817758821249</v>
      </c>
      <c r="X967" s="133">
        <v>0.872609247655322</v>
      </c>
      <c r="Y967" s="135">
        <v>0.92</v>
      </c>
      <c r="Z967" s="135">
        <v>0.710769230769231</v>
      </c>
      <c r="AA967" s="135">
        <v>0.807803468208092</v>
      </c>
      <c r="AB967" s="135">
        <v>0.852272727272727</v>
      </c>
      <c r="AC967" s="135">
        <v>0.877010233918129</v>
      </c>
      <c r="AD967" s="135">
        <v>0.92</v>
      </c>
      <c r="AE967" s="133">
        <v>0.999591447637206</v>
      </c>
      <c r="AF967" s="133">
        <v>0.989851678376269</v>
      </c>
      <c r="AG967" s="133">
        <v>0.999172927148666</v>
      </c>
      <c r="AH967" s="133">
        <v>0.992144437948889</v>
      </c>
      <c r="AI967" s="135">
        <v>0.92</v>
      </c>
      <c r="AJ967" s="133">
        <v>0.917117726657645</v>
      </c>
      <c r="AK967" s="133">
        <v>0.914500288850375</v>
      </c>
      <c r="AL967" s="133">
        <v>0.952702702702703</v>
      </c>
      <c r="AM967" s="133">
        <v>0.948621029920891</v>
      </c>
      <c r="AN967" s="132">
        <v>0.99</v>
      </c>
      <c r="AO967" s="137">
        <v>1</v>
      </c>
      <c r="AP967" s="137">
        <v>1</v>
      </c>
      <c r="AQ967" s="137">
        <v>1</v>
      </c>
      <c r="AR967" s="137">
        <v>1</v>
      </c>
      <c r="AS967" s="158">
        <v>0.0656418488929858</v>
      </c>
      <c r="AT967" s="141">
        <v>0.0555555555555556</v>
      </c>
      <c r="AU967" s="141">
        <v>0.03125</v>
      </c>
      <c r="AV967" s="141">
        <v>0.0344827586206897</v>
      </c>
      <c r="AW967" s="141">
        <v>0.0538461538461538</v>
      </c>
      <c r="AX967" s="95"/>
      <c r="AY967" s="93"/>
    </row>
    <row r="968" ht="14.5" spans="1:51">
      <c r="A968" s="91"/>
      <c r="B968" s="95"/>
      <c r="C968" s="180" t="s">
        <v>927</v>
      </c>
      <c r="D968" s="181" t="s">
        <v>25</v>
      </c>
      <c r="E968" s="130" t="s">
        <v>928</v>
      </c>
      <c r="F968" s="184" t="s">
        <v>997</v>
      </c>
      <c r="G968" s="185" t="s">
        <v>997</v>
      </c>
      <c r="H968" s="185" t="s">
        <v>997</v>
      </c>
      <c r="I968" s="185" t="s">
        <v>997</v>
      </c>
      <c r="J968" s="132">
        <v>0.9</v>
      </c>
      <c r="K968" s="133">
        <v>0.789473684210526</v>
      </c>
      <c r="L968" s="133">
        <v>0.894736842105263</v>
      </c>
      <c r="M968" s="134">
        <v>0.894736842105263</v>
      </c>
      <c r="N968" s="133">
        <v>0.906344410876133</v>
      </c>
      <c r="O968" s="135">
        <v>0.9</v>
      </c>
      <c r="P968" s="133">
        <v>0.950354609929078</v>
      </c>
      <c r="Q968" s="133">
        <v>0.980135440180587</v>
      </c>
      <c r="R968" s="133">
        <v>0.98158287705326</v>
      </c>
      <c r="S968" s="133">
        <v>0.975873388667965</v>
      </c>
      <c r="T968" s="135">
        <v>0.9</v>
      </c>
      <c r="U968" s="133">
        <v>0.930091185410334</v>
      </c>
      <c r="V968" s="133">
        <v>0.813544018058691</v>
      </c>
      <c r="W968" s="133">
        <v>0.929318068690891</v>
      </c>
      <c r="X968" s="133">
        <v>0.899116603058528</v>
      </c>
      <c r="Y968" s="135">
        <v>0.92</v>
      </c>
      <c r="Z968" s="135">
        <v>0.959183673469388</v>
      </c>
      <c r="AA968" s="135">
        <v>0.866171003717472</v>
      </c>
      <c r="AB968" s="135">
        <v>0.964948453608247</v>
      </c>
      <c r="AC968" s="135">
        <v>0.947474071595852</v>
      </c>
      <c r="AD968" s="135">
        <v>0.92</v>
      </c>
      <c r="AE968" s="133">
        <v>0.99917149958575</v>
      </c>
      <c r="AF968" s="133">
        <v>0.990880072959416</v>
      </c>
      <c r="AG968" s="133">
        <v>0.989954531035212</v>
      </c>
      <c r="AH968" s="133">
        <v>0.971519194103077</v>
      </c>
      <c r="AI968" s="135">
        <v>0.92</v>
      </c>
      <c r="AJ968" s="133">
        <v>0.970720720720721</v>
      </c>
      <c r="AK968" s="133">
        <v>0.938249182709771</v>
      </c>
      <c r="AL968" s="133">
        <v>0.980753809141941</v>
      </c>
      <c r="AM968" s="133">
        <v>0.972157023191714</v>
      </c>
      <c r="AN968" s="132">
        <v>0.99</v>
      </c>
      <c r="AO968" s="137">
        <v>1</v>
      </c>
      <c r="AP968" s="137">
        <v>1</v>
      </c>
      <c r="AQ968" s="137">
        <v>1</v>
      </c>
      <c r="AR968" s="137">
        <v>1</v>
      </c>
      <c r="AS968" s="158">
        <v>0.0656418488929858</v>
      </c>
      <c r="AT968" s="141">
        <v>0</v>
      </c>
      <c r="AU968" s="141">
        <v>0.0588235294117647</v>
      </c>
      <c r="AV968" s="141">
        <v>0.0555555555555556</v>
      </c>
      <c r="AW968" s="141">
        <v>0.0208333333333333</v>
      </c>
      <c r="AX968" s="95"/>
      <c r="AY968" s="93"/>
    </row>
    <row r="969" ht="14.5" spans="1:51">
      <c r="A969" s="91"/>
      <c r="B969" s="95"/>
      <c r="C969" s="180" t="s">
        <v>927</v>
      </c>
      <c r="D969" s="181" t="s">
        <v>25</v>
      </c>
      <c r="E969" s="130" t="s">
        <v>928</v>
      </c>
      <c r="F969" s="184" t="s">
        <v>998</v>
      </c>
      <c r="G969" s="185" t="s">
        <v>998</v>
      </c>
      <c r="H969" s="185" t="s">
        <v>998</v>
      </c>
      <c r="I969" s="185" t="s">
        <v>998</v>
      </c>
      <c r="J969" s="132">
        <v>0.9</v>
      </c>
      <c r="K969" s="133" t="s">
        <v>35</v>
      </c>
      <c r="L969" s="133" t="s">
        <v>35</v>
      </c>
      <c r="M969" s="134" t="s">
        <v>35</v>
      </c>
      <c r="N969" s="133" t="s">
        <v>35</v>
      </c>
      <c r="O969" s="135">
        <v>0.9</v>
      </c>
      <c r="P969" s="133" t="s">
        <v>35</v>
      </c>
      <c r="Q969" s="133" t="s">
        <v>35</v>
      </c>
      <c r="R969" s="133" t="s">
        <v>35</v>
      </c>
      <c r="S969" s="133" t="s">
        <v>35</v>
      </c>
      <c r="T969" s="135">
        <v>0.9</v>
      </c>
      <c r="U969" s="133" t="s">
        <v>35</v>
      </c>
      <c r="V969" s="133" t="s">
        <v>35</v>
      </c>
      <c r="W969" s="133" t="s">
        <v>35</v>
      </c>
      <c r="X969" s="133" t="s">
        <v>35</v>
      </c>
      <c r="Y969" s="135">
        <v>0.92</v>
      </c>
      <c r="Z969" s="135" t="s">
        <v>35</v>
      </c>
      <c r="AA969" s="135" t="s">
        <v>35</v>
      </c>
      <c r="AB969" s="135" t="s">
        <v>35</v>
      </c>
      <c r="AC969" s="135" t="s">
        <v>35</v>
      </c>
      <c r="AD969" s="135">
        <v>0.92</v>
      </c>
      <c r="AE969" s="133" t="s">
        <v>35</v>
      </c>
      <c r="AF969" s="133" t="s">
        <v>35</v>
      </c>
      <c r="AG969" s="133" t="s">
        <v>35</v>
      </c>
      <c r="AH969" s="133" t="s">
        <v>35</v>
      </c>
      <c r="AI969" s="135">
        <v>0.92</v>
      </c>
      <c r="AJ969" s="133" t="s">
        <v>35</v>
      </c>
      <c r="AK969" s="133" t="s">
        <v>35</v>
      </c>
      <c r="AL969" s="133" t="s">
        <v>35</v>
      </c>
      <c r="AM969" s="133" t="s">
        <v>35</v>
      </c>
      <c r="AN969" s="132">
        <v>0.99</v>
      </c>
      <c r="AO969" s="137" t="s">
        <v>35</v>
      </c>
      <c r="AP969" s="137" t="s">
        <v>35</v>
      </c>
      <c r="AQ969" s="137" t="s">
        <v>35</v>
      </c>
      <c r="AR969" s="137" t="s">
        <v>35</v>
      </c>
      <c r="AS969" s="158">
        <v>0.0656418488929858</v>
      </c>
      <c r="AT969" s="141" t="s">
        <v>35</v>
      </c>
      <c r="AU969" s="141" t="s">
        <v>35</v>
      </c>
      <c r="AV969" s="141" t="s">
        <v>35</v>
      </c>
      <c r="AW969" s="141" t="s">
        <v>35</v>
      </c>
      <c r="AX969" s="95"/>
      <c r="AY969" s="93"/>
    </row>
    <row r="970" ht="14.5" spans="1:51">
      <c r="A970" s="91"/>
      <c r="B970" s="95"/>
      <c r="C970" s="180" t="s">
        <v>927</v>
      </c>
      <c r="D970" s="181" t="s">
        <v>25</v>
      </c>
      <c r="E970" s="130" t="s">
        <v>928</v>
      </c>
      <c r="F970" s="184" t="s">
        <v>999</v>
      </c>
      <c r="G970" s="185" t="s">
        <v>999</v>
      </c>
      <c r="H970" s="185" t="s">
        <v>999</v>
      </c>
      <c r="I970" s="185" t="s">
        <v>999</v>
      </c>
      <c r="J970" s="132">
        <v>0.9</v>
      </c>
      <c r="K970" s="133">
        <v>0.769230769230769</v>
      </c>
      <c r="L970" s="133">
        <v>0.739130434782609</v>
      </c>
      <c r="M970" s="134">
        <v>0.958333333333333</v>
      </c>
      <c r="N970" s="133">
        <v>0.866369710467706</v>
      </c>
      <c r="O970" s="135">
        <v>0.9</v>
      </c>
      <c r="P970" s="133">
        <v>0.927272727272727</v>
      </c>
      <c r="Q970" s="133">
        <v>0.842900302114804</v>
      </c>
      <c r="R970" s="133">
        <v>0.900733707380233</v>
      </c>
      <c r="S970" s="133">
        <v>0.855143104110642</v>
      </c>
      <c r="T970" s="135">
        <v>0.9</v>
      </c>
      <c r="U970" s="133">
        <v>0.920177383592018</v>
      </c>
      <c r="V970" s="133">
        <v>0.918429003021148</v>
      </c>
      <c r="W970" s="133">
        <v>0.901596892533448</v>
      </c>
      <c r="X970" s="133">
        <v>0.891327314636957</v>
      </c>
      <c r="Y970" s="135">
        <v>0.92</v>
      </c>
      <c r="Z970" s="135">
        <v>0.936666666666667</v>
      </c>
      <c r="AA970" s="135">
        <v>0.909734513274336</v>
      </c>
      <c r="AB970" s="135">
        <v>0.948473282442748</v>
      </c>
      <c r="AC970" s="135">
        <v>0.938424388771506</v>
      </c>
      <c r="AD970" s="135">
        <v>0.92</v>
      </c>
      <c r="AE970" s="133">
        <v>0.999590876546998</v>
      </c>
      <c r="AF970" s="133">
        <v>0.977713874910137</v>
      </c>
      <c r="AG970" s="133">
        <v>0.997549259876483</v>
      </c>
      <c r="AH970" s="133">
        <v>0.769174286087892</v>
      </c>
      <c r="AI970" s="135">
        <v>0.92</v>
      </c>
      <c r="AJ970" s="133">
        <v>0.973776908023483</v>
      </c>
      <c r="AK970" s="133">
        <v>0.96497919556172</v>
      </c>
      <c r="AL970" s="133">
        <v>0.981344596972897</v>
      </c>
      <c r="AM970" s="133">
        <v>0.97469188435005</v>
      </c>
      <c r="AN970" s="132">
        <v>0.99</v>
      </c>
      <c r="AO970" s="137">
        <v>1</v>
      </c>
      <c r="AP970" s="137">
        <v>1</v>
      </c>
      <c r="AQ970" s="137">
        <v>1</v>
      </c>
      <c r="AR970" s="137">
        <v>1</v>
      </c>
      <c r="AS970" s="158">
        <v>0.0656418488929858</v>
      </c>
      <c r="AT970" s="141">
        <v>0</v>
      </c>
      <c r="AU970" s="141">
        <v>0.05</v>
      </c>
      <c r="AV970" s="141">
        <v>0</v>
      </c>
      <c r="AW970" s="141">
        <v>0.0193548387096774</v>
      </c>
      <c r="AX970" s="95"/>
      <c r="AY970" s="93"/>
    </row>
    <row r="971" ht="14.5" spans="1:51">
      <c r="A971" s="91"/>
      <c r="B971" s="95"/>
      <c r="C971" s="180" t="s">
        <v>927</v>
      </c>
      <c r="D971" s="181" t="s">
        <v>125</v>
      </c>
      <c r="E971" s="130" t="s">
        <v>928</v>
      </c>
      <c r="F971" s="184" t="s">
        <v>1000</v>
      </c>
      <c r="G971" s="185" t="s">
        <v>1000</v>
      </c>
      <c r="H971" s="185" t="s">
        <v>1000</v>
      </c>
      <c r="I971" s="185" t="s">
        <v>1000</v>
      </c>
      <c r="J971" s="132">
        <v>0.9</v>
      </c>
      <c r="K971" s="133" t="s">
        <v>35</v>
      </c>
      <c r="L971" s="133" t="s">
        <v>35</v>
      </c>
      <c r="M971" s="134" t="s">
        <v>35</v>
      </c>
      <c r="N971" s="133" t="s">
        <v>35</v>
      </c>
      <c r="O971" s="135">
        <v>0.9</v>
      </c>
      <c r="P971" s="133" t="s">
        <v>35</v>
      </c>
      <c r="Q971" s="133" t="s">
        <v>35</v>
      </c>
      <c r="R971" s="133" t="s">
        <v>35</v>
      </c>
      <c r="S971" s="133" t="s">
        <v>35</v>
      </c>
      <c r="T971" s="135">
        <v>0.9</v>
      </c>
      <c r="U971" s="133" t="s">
        <v>35</v>
      </c>
      <c r="V971" s="133" t="s">
        <v>35</v>
      </c>
      <c r="W971" s="133" t="s">
        <v>35</v>
      </c>
      <c r="X971" s="133" t="s">
        <v>35</v>
      </c>
      <c r="Y971" s="135">
        <v>0.92</v>
      </c>
      <c r="Z971" s="135" t="s">
        <v>35</v>
      </c>
      <c r="AA971" s="135" t="s">
        <v>35</v>
      </c>
      <c r="AB971" s="135" t="s">
        <v>35</v>
      </c>
      <c r="AC971" s="135" t="s">
        <v>35</v>
      </c>
      <c r="AD971" s="135">
        <v>0.92</v>
      </c>
      <c r="AE971" s="133" t="s">
        <v>35</v>
      </c>
      <c r="AF971" s="133" t="s">
        <v>35</v>
      </c>
      <c r="AG971" s="133" t="s">
        <v>35</v>
      </c>
      <c r="AH971" s="133" t="s">
        <v>35</v>
      </c>
      <c r="AI971" s="135">
        <v>0.92</v>
      </c>
      <c r="AJ971" s="133" t="s">
        <v>35</v>
      </c>
      <c r="AK971" s="133" t="s">
        <v>35</v>
      </c>
      <c r="AL971" s="133" t="s">
        <v>35</v>
      </c>
      <c r="AM971" s="133" t="s">
        <v>35</v>
      </c>
      <c r="AN971" s="132">
        <v>0.99</v>
      </c>
      <c r="AO971" s="137" t="s">
        <v>35</v>
      </c>
      <c r="AP971" s="137" t="s">
        <v>35</v>
      </c>
      <c r="AQ971" s="137" t="s">
        <v>35</v>
      </c>
      <c r="AR971" s="137" t="s">
        <v>35</v>
      </c>
      <c r="AS971" s="158">
        <v>0.0656418488929858</v>
      </c>
      <c r="AT971" s="141" t="s">
        <v>35</v>
      </c>
      <c r="AU971" s="141" t="s">
        <v>35</v>
      </c>
      <c r="AV971" s="141" t="s">
        <v>35</v>
      </c>
      <c r="AW971" s="141" t="s">
        <v>35</v>
      </c>
      <c r="AX971" s="95"/>
      <c r="AY971" s="93"/>
    </row>
    <row r="972" ht="14.5" spans="1:51">
      <c r="A972" s="91"/>
      <c r="B972" s="95"/>
      <c r="C972" s="180" t="s">
        <v>927</v>
      </c>
      <c r="D972" s="181" t="s">
        <v>25</v>
      </c>
      <c r="E972" s="130" t="s">
        <v>928</v>
      </c>
      <c r="F972" s="184" t="s">
        <v>1001</v>
      </c>
      <c r="G972" s="185" t="s">
        <v>1001</v>
      </c>
      <c r="H972" s="185" t="s">
        <v>1001</v>
      </c>
      <c r="I972" s="185" t="s">
        <v>1001</v>
      </c>
      <c r="J972" s="132">
        <v>0.9</v>
      </c>
      <c r="K972" s="133">
        <v>0.842105263157895</v>
      </c>
      <c r="L972" s="133">
        <v>0.80952380952381</v>
      </c>
      <c r="M972" s="134">
        <v>0.772727272727273</v>
      </c>
      <c r="N972" s="133">
        <v>0.861788617886179</v>
      </c>
      <c r="O972" s="135">
        <v>0.9</v>
      </c>
      <c r="P972" s="133">
        <v>0.96285140562249</v>
      </c>
      <c r="Q972" s="133">
        <v>0.935964912280702</v>
      </c>
      <c r="R972" s="133">
        <v>0.983583489681051</v>
      </c>
      <c r="S972" s="133">
        <v>0.895751685217119</v>
      </c>
      <c r="T972" s="135">
        <v>0.9</v>
      </c>
      <c r="U972" s="133">
        <v>0.828313253012048</v>
      </c>
      <c r="V972" s="133">
        <v>0.78640350877193</v>
      </c>
      <c r="W972" s="133">
        <v>0.840994371482176</v>
      </c>
      <c r="X972" s="133">
        <v>0.830746721011653</v>
      </c>
      <c r="Y972" s="135">
        <v>0.92</v>
      </c>
      <c r="Z972" s="135">
        <v>0.822878228782288</v>
      </c>
      <c r="AA972" s="135">
        <v>0.880503144654088</v>
      </c>
      <c r="AB972" s="135">
        <v>0.824634655532359</v>
      </c>
      <c r="AC972" s="135">
        <v>0.874611398963731</v>
      </c>
      <c r="AD972" s="135">
        <v>0.92</v>
      </c>
      <c r="AE972" s="133">
        <v>0.999472434713796</v>
      </c>
      <c r="AF972" s="133">
        <v>0.99825</v>
      </c>
      <c r="AG972" s="133">
        <v>0.993929655418675</v>
      </c>
      <c r="AH972" s="133">
        <v>0.987448315044136</v>
      </c>
      <c r="AI972" s="135">
        <v>0.92</v>
      </c>
      <c r="AJ972" s="133">
        <v>0.924878479893946</v>
      </c>
      <c r="AK972" s="133">
        <v>0.932172651432717</v>
      </c>
      <c r="AL972" s="133">
        <v>0.935273841440061</v>
      </c>
      <c r="AM972" s="133">
        <v>0.946412603789653</v>
      </c>
      <c r="AN972" s="132">
        <v>0.99</v>
      </c>
      <c r="AO972" s="137">
        <v>1</v>
      </c>
      <c r="AP972" s="137">
        <v>1</v>
      </c>
      <c r="AQ972" s="137">
        <v>1</v>
      </c>
      <c r="AR972" s="137">
        <v>1</v>
      </c>
      <c r="AS972" s="158">
        <v>0.0656418488929858</v>
      </c>
      <c r="AT972" s="141">
        <v>0.111111111111111</v>
      </c>
      <c r="AU972" s="141">
        <v>0.0714285714285714</v>
      </c>
      <c r="AV972" s="141">
        <v>0.0869565217391304</v>
      </c>
      <c r="AW972" s="141">
        <v>0.0510204081632653</v>
      </c>
      <c r="AX972" s="95"/>
      <c r="AY972" s="93"/>
    </row>
    <row r="973" ht="14.5" spans="1:51">
      <c r="A973" s="91"/>
      <c r="B973" s="95"/>
      <c r="C973" s="180" t="s">
        <v>927</v>
      </c>
      <c r="D973" s="181" t="s">
        <v>25</v>
      </c>
      <c r="E973" s="130" t="s">
        <v>928</v>
      </c>
      <c r="F973" s="184" t="s">
        <v>1002</v>
      </c>
      <c r="G973" s="185" t="s">
        <v>1002</v>
      </c>
      <c r="H973" s="185" t="s">
        <v>1002</v>
      </c>
      <c r="I973" s="185" t="s">
        <v>1002</v>
      </c>
      <c r="J973" s="132">
        <v>0.9</v>
      </c>
      <c r="K973" s="133">
        <v>0.95</v>
      </c>
      <c r="L973" s="133">
        <v>0.857142857142857</v>
      </c>
      <c r="M973" s="134">
        <v>0.952380952380952</v>
      </c>
      <c r="N973" s="133">
        <v>0.89367816091954</v>
      </c>
      <c r="O973" s="135">
        <v>0.9</v>
      </c>
      <c r="P973" s="133">
        <v>0.938716654650324</v>
      </c>
      <c r="Q973" s="133">
        <v>0.918275418275418</v>
      </c>
      <c r="R973" s="133">
        <v>0.977483443708609</v>
      </c>
      <c r="S973" s="133">
        <v>0.930337927128563</v>
      </c>
      <c r="T973" s="135">
        <v>0.9</v>
      </c>
      <c r="U973" s="133">
        <v>0.886806056236482</v>
      </c>
      <c r="V973" s="133">
        <v>0.890604890604891</v>
      </c>
      <c r="W973" s="133">
        <v>0.911258278145695</v>
      </c>
      <c r="X973" s="133">
        <v>0.874985841042099</v>
      </c>
      <c r="Y973" s="135">
        <v>0.92</v>
      </c>
      <c r="Z973" s="135">
        <v>0.922535211267606</v>
      </c>
      <c r="AA973" s="135">
        <v>0.904191616766467</v>
      </c>
      <c r="AB973" s="135">
        <v>0.93452380952381</v>
      </c>
      <c r="AC973" s="135">
        <v>0.914130954277521</v>
      </c>
      <c r="AD973" s="135">
        <v>0.92</v>
      </c>
      <c r="AE973" s="133">
        <v>0.99904912836767</v>
      </c>
      <c r="AF973" s="133">
        <v>0.998529411764706</v>
      </c>
      <c r="AG973" s="133">
        <v>0.998426023084995</v>
      </c>
      <c r="AH973" s="133">
        <v>0.98931229246522</v>
      </c>
      <c r="AI973" s="135">
        <v>0.92</v>
      </c>
      <c r="AJ973" s="133">
        <v>0.962720732504905</v>
      </c>
      <c r="AK973" s="133">
        <v>0.960275423728814</v>
      </c>
      <c r="AL973" s="133">
        <v>0.971830985915493</v>
      </c>
      <c r="AM973" s="133">
        <v>0.964109137520601</v>
      </c>
      <c r="AN973" s="132">
        <v>0.99</v>
      </c>
      <c r="AO973" s="137">
        <v>1</v>
      </c>
      <c r="AP973" s="137">
        <v>1</v>
      </c>
      <c r="AQ973" s="137">
        <v>1</v>
      </c>
      <c r="AR973" s="137">
        <v>1</v>
      </c>
      <c r="AS973" s="158">
        <v>0.0656418488929858</v>
      </c>
      <c r="AT973" s="141">
        <v>0.181818181818182</v>
      </c>
      <c r="AU973" s="141">
        <v>0</v>
      </c>
      <c r="AV973" s="141">
        <v>0.05</v>
      </c>
      <c r="AW973" s="141">
        <v>0.0597609561752988</v>
      </c>
      <c r="AX973" s="95"/>
      <c r="AY973" s="93"/>
    </row>
    <row r="974" ht="14.5" spans="1:51">
      <c r="A974" s="91"/>
      <c r="B974" s="95"/>
      <c r="C974" s="180" t="s">
        <v>927</v>
      </c>
      <c r="D974" s="181" t="s">
        <v>25</v>
      </c>
      <c r="E974" s="130" t="s">
        <v>928</v>
      </c>
      <c r="F974" s="186" t="s">
        <v>1003</v>
      </c>
      <c r="G974" s="187" t="s">
        <v>1003</v>
      </c>
      <c r="H974" s="187" t="s">
        <v>1003</v>
      </c>
      <c r="I974" s="187" t="s">
        <v>1003</v>
      </c>
      <c r="J974" s="132">
        <v>0.9</v>
      </c>
      <c r="K974" s="133">
        <v>1</v>
      </c>
      <c r="L974" s="133">
        <v>0.785714285714286</v>
      </c>
      <c r="M974" s="134">
        <v>1</v>
      </c>
      <c r="N974" s="133">
        <v>0.88663967611336</v>
      </c>
      <c r="O974" s="135">
        <v>0.9</v>
      </c>
      <c r="P974" s="133">
        <v>0.950639853747715</v>
      </c>
      <c r="Q974" s="133">
        <v>0.915241057542768</v>
      </c>
      <c r="R974" s="133">
        <v>0.875438596491228</v>
      </c>
      <c r="S974" s="133">
        <v>0.910372518402855</v>
      </c>
      <c r="T974" s="135">
        <v>0.9</v>
      </c>
      <c r="U974" s="133">
        <v>0.919561243144424</v>
      </c>
      <c r="V974" s="133">
        <v>0.900466562986003</v>
      </c>
      <c r="W974" s="133">
        <v>0.916666666666667</v>
      </c>
      <c r="X974" s="133">
        <v>0.922864153468659</v>
      </c>
      <c r="Y974" s="135">
        <v>0.92</v>
      </c>
      <c r="Z974" s="135">
        <v>0.902439024390244</v>
      </c>
      <c r="AA974" s="135">
        <v>0.932270916334661</v>
      </c>
      <c r="AB974" s="135">
        <v>0.940928270042194</v>
      </c>
      <c r="AC974" s="135">
        <v>0.936815824851162</v>
      </c>
      <c r="AD974" s="135">
        <v>0.92</v>
      </c>
      <c r="AE974" s="133">
        <v>0.998450813323005</v>
      </c>
      <c r="AF974" s="133">
        <v>0.999260355029586</v>
      </c>
      <c r="AG974" s="133">
        <v>1</v>
      </c>
      <c r="AH974" s="133">
        <v>0.999718626899268</v>
      </c>
      <c r="AI974" s="135">
        <v>0.92</v>
      </c>
      <c r="AJ974" s="133">
        <v>0.961380443714051</v>
      </c>
      <c r="AK974" s="133">
        <v>0.969420949902407</v>
      </c>
      <c r="AL974" s="133">
        <v>0.968046477850399</v>
      </c>
      <c r="AM974" s="133">
        <v>0.972962212248444</v>
      </c>
      <c r="AN974" s="132">
        <v>0.99</v>
      </c>
      <c r="AO974" s="137">
        <v>1</v>
      </c>
      <c r="AP974" s="137">
        <v>1</v>
      </c>
      <c r="AQ974" s="137">
        <v>1</v>
      </c>
      <c r="AR974" s="137">
        <v>1</v>
      </c>
      <c r="AS974" s="158">
        <v>0.0656418488929858</v>
      </c>
      <c r="AT974" s="141">
        <v>0.25</v>
      </c>
      <c r="AU974" s="141">
        <v>0</v>
      </c>
      <c r="AV974" s="141">
        <v>0</v>
      </c>
      <c r="AW974" s="141">
        <v>0.0406976744186047</v>
      </c>
      <c r="AX974" s="95"/>
      <c r="AY974" s="93"/>
    </row>
    <row r="975" ht="14.5" spans="1:51">
      <c r="A975" s="91"/>
      <c r="B975" s="95"/>
      <c r="C975" s="180" t="s">
        <v>927</v>
      </c>
      <c r="D975" s="181" t="s">
        <v>25</v>
      </c>
      <c r="E975" s="130" t="s">
        <v>928</v>
      </c>
      <c r="F975" s="192" t="s">
        <v>1004</v>
      </c>
      <c r="G975" s="193" t="s">
        <v>1004</v>
      </c>
      <c r="H975" s="193" t="s">
        <v>1004</v>
      </c>
      <c r="I975" s="193" t="s">
        <v>1004</v>
      </c>
      <c r="J975" s="132">
        <v>0.9</v>
      </c>
      <c r="K975" s="133">
        <v>1</v>
      </c>
      <c r="L975" s="133">
        <v>0.769230769230769</v>
      </c>
      <c r="M975" s="134">
        <v>0.916666666666667</v>
      </c>
      <c r="N975" s="133">
        <v>0.899082568807339</v>
      </c>
      <c r="O975" s="135">
        <v>0.9</v>
      </c>
      <c r="P975" s="133">
        <v>0.905714285714286</v>
      </c>
      <c r="Q975" s="133">
        <v>0.952145214521452</v>
      </c>
      <c r="R975" s="133">
        <v>0.958798283261803</v>
      </c>
      <c r="S975" s="133">
        <v>0.965804638757918</v>
      </c>
      <c r="T975" s="135">
        <v>0.9</v>
      </c>
      <c r="U975" s="133">
        <v>0.838095238095238</v>
      </c>
      <c r="V975" s="133">
        <v>0.825907590759076</v>
      </c>
      <c r="W975" s="133">
        <v>0.909012875536481</v>
      </c>
      <c r="X975" s="133">
        <v>0.851407343906272</v>
      </c>
      <c r="Y975" s="135">
        <v>0.92</v>
      </c>
      <c r="Z975" s="135">
        <v>0.826666666666667</v>
      </c>
      <c r="AA975" s="135">
        <v>0.857142857142857</v>
      </c>
      <c r="AB975" s="135">
        <v>0.777777777777778</v>
      </c>
      <c r="AC975" s="135">
        <v>0.861863592699328</v>
      </c>
      <c r="AD975" s="135">
        <v>0.92</v>
      </c>
      <c r="AE975" s="133">
        <v>1</v>
      </c>
      <c r="AF975" s="133">
        <v>0.999424294761082</v>
      </c>
      <c r="AG975" s="133">
        <v>0.998614958448753</v>
      </c>
      <c r="AH975" s="133">
        <v>0.998972279317816</v>
      </c>
      <c r="AI975" s="135">
        <v>0.92</v>
      </c>
      <c r="AJ975" s="133">
        <v>0.925</v>
      </c>
      <c r="AK975" s="133">
        <v>0.934316353887399</v>
      </c>
      <c r="AL975" s="133">
        <v>0.936530324400564</v>
      </c>
      <c r="AM975" s="133">
        <v>0.948714034953827</v>
      </c>
      <c r="AN975" s="132">
        <v>0.99</v>
      </c>
      <c r="AO975" s="137">
        <v>1</v>
      </c>
      <c r="AP975" s="137">
        <v>1</v>
      </c>
      <c r="AQ975" s="137">
        <v>1</v>
      </c>
      <c r="AR975" s="137">
        <v>1</v>
      </c>
      <c r="AS975" s="158">
        <v>0.0656418488929858</v>
      </c>
      <c r="AT975" s="141">
        <v>0</v>
      </c>
      <c r="AU975" s="141">
        <v>0</v>
      </c>
      <c r="AV975" s="141">
        <v>0.0909090909090909</v>
      </c>
      <c r="AW975" s="141">
        <v>0.0352941176470588</v>
      </c>
      <c r="AX975" s="95"/>
      <c r="AY975" s="93"/>
    </row>
    <row r="976" ht="14.5" spans="1:51">
      <c r="A976" s="91"/>
      <c r="B976" s="95"/>
      <c r="C976" s="180" t="s">
        <v>927</v>
      </c>
      <c r="D976" s="181" t="s">
        <v>25</v>
      </c>
      <c r="E976" s="130" t="s">
        <v>928</v>
      </c>
      <c r="F976" s="182" t="s">
        <v>1005</v>
      </c>
      <c r="G976" s="183" t="s">
        <v>1005</v>
      </c>
      <c r="H976" s="183" t="s">
        <v>1005</v>
      </c>
      <c r="I976" s="183" t="s">
        <v>1005</v>
      </c>
      <c r="J976" s="132">
        <v>0.9</v>
      </c>
      <c r="K976" s="133">
        <v>0.888888888888889</v>
      </c>
      <c r="L976" s="133">
        <v>0.875</v>
      </c>
      <c r="M976" s="134">
        <v>0.918918918918919</v>
      </c>
      <c r="N976" s="133">
        <v>0.911433172302738</v>
      </c>
      <c r="O976" s="135">
        <v>0.9</v>
      </c>
      <c r="P976" s="133">
        <v>0.886223277909739</v>
      </c>
      <c r="Q976" s="133">
        <v>0.905169867060561</v>
      </c>
      <c r="R976" s="133">
        <v>0.946423482473639</v>
      </c>
      <c r="S976" s="133">
        <v>0.91732732644882</v>
      </c>
      <c r="T976" s="135">
        <v>0.9</v>
      </c>
      <c r="U976" s="133">
        <v>0.845368171021378</v>
      </c>
      <c r="V976" s="133">
        <v>0.790841949778434</v>
      </c>
      <c r="W976" s="133">
        <v>0.898546594471359</v>
      </c>
      <c r="X976" s="133">
        <v>0.870505806980078</v>
      </c>
      <c r="Y976" s="135">
        <v>0.92</v>
      </c>
      <c r="Z976" s="135" t="s">
        <v>35</v>
      </c>
      <c r="AA976" s="135" t="s">
        <v>35</v>
      </c>
      <c r="AB976" s="135" t="s">
        <v>35</v>
      </c>
      <c r="AC976" s="135" t="s">
        <v>35</v>
      </c>
      <c r="AD976" s="135">
        <v>0.92</v>
      </c>
      <c r="AE976" s="133">
        <v>0.989628349178911</v>
      </c>
      <c r="AF976" s="133">
        <v>0.995260663507109</v>
      </c>
      <c r="AG976" s="133">
        <v>0.994967649173257</v>
      </c>
      <c r="AH976" s="133">
        <v>0.982754015796101</v>
      </c>
      <c r="AI976" s="135">
        <v>0.92</v>
      </c>
      <c r="AJ976" s="133">
        <v>0.890261282660333</v>
      </c>
      <c r="AK976" s="133">
        <v>0.849926144756278</v>
      </c>
      <c r="AL976" s="133">
        <v>0.926189797663152</v>
      </c>
      <c r="AM976" s="133">
        <v>0.921586122162415</v>
      </c>
      <c r="AN976" s="132">
        <v>0.99</v>
      </c>
      <c r="AO976" s="137">
        <v>1</v>
      </c>
      <c r="AP976" s="137">
        <v>1</v>
      </c>
      <c r="AQ976" s="137">
        <v>1</v>
      </c>
      <c r="AR976" s="137">
        <v>1</v>
      </c>
      <c r="AS976" s="158">
        <v>0.0656418488929858</v>
      </c>
      <c r="AT976" s="141">
        <v>0</v>
      </c>
      <c r="AU976" s="141">
        <v>0.12</v>
      </c>
      <c r="AV976" s="141">
        <v>0.0487804878048781</v>
      </c>
      <c r="AW976" s="141">
        <v>0.0369565217391304</v>
      </c>
      <c r="AX976" s="95"/>
      <c r="AY976" s="93"/>
    </row>
    <row r="977" ht="14.5" spans="1:51">
      <c r="A977" s="91"/>
      <c r="B977" s="95"/>
      <c r="C977" s="180" t="s">
        <v>927</v>
      </c>
      <c r="D977" s="181" t="s">
        <v>25</v>
      </c>
      <c r="E977" s="130" t="s">
        <v>928</v>
      </c>
      <c r="F977" s="182" t="s">
        <v>1006</v>
      </c>
      <c r="G977" s="183" t="s">
        <v>1006</v>
      </c>
      <c r="H977" s="183" t="s">
        <v>1006</v>
      </c>
      <c r="I977" s="183" t="s">
        <v>1006</v>
      </c>
      <c r="J977" s="132">
        <v>0.9</v>
      </c>
      <c r="K977" s="133">
        <v>0.923076923076923</v>
      </c>
      <c r="L977" s="133">
        <v>0.951219512195122</v>
      </c>
      <c r="M977" s="134">
        <v>0.904761904761905</v>
      </c>
      <c r="N977" s="133">
        <v>0.951048951048951</v>
      </c>
      <c r="O977" s="135">
        <v>0.9</v>
      </c>
      <c r="P977" s="133">
        <v>0.908291755761463</v>
      </c>
      <c r="Q977" s="133">
        <v>0.949345950459226</v>
      </c>
      <c r="R977" s="133">
        <v>0.974527761877504</v>
      </c>
      <c r="S977" s="133">
        <v>0.950239277516914</v>
      </c>
      <c r="T977" s="135">
        <v>0.9</v>
      </c>
      <c r="U977" s="133">
        <v>0.882632454264671</v>
      </c>
      <c r="V977" s="133">
        <v>0.862510436960757</v>
      </c>
      <c r="W977" s="133">
        <v>0.912421293646251</v>
      </c>
      <c r="X977" s="133">
        <v>0.906284222685609</v>
      </c>
      <c r="Y977" s="135">
        <v>0.92</v>
      </c>
      <c r="Z977" s="135" t="s">
        <v>35</v>
      </c>
      <c r="AA977" s="135" t="s">
        <v>35</v>
      </c>
      <c r="AB977" s="135" t="s">
        <v>35</v>
      </c>
      <c r="AC977" s="135" t="s">
        <v>35</v>
      </c>
      <c r="AD977" s="135">
        <v>0.92</v>
      </c>
      <c r="AE977" s="133">
        <v>0.982646420824295</v>
      </c>
      <c r="AF977" s="133">
        <v>0.979381443298969</v>
      </c>
      <c r="AG977" s="133">
        <v>0.983372131692717</v>
      </c>
      <c r="AH977" s="133">
        <v>0.989837326652317</v>
      </c>
      <c r="AI977" s="135">
        <v>0.92</v>
      </c>
      <c r="AJ977" s="133">
        <v>0.917557614635305</v>
      </c>
      <c r="AK977" s="133">
        <v>0.915669357083217</v>
      </c>
      <c r="AL977" s="133">
        <v>0.940183171150544</v>
      </c>
      <c r="AM977" s="133">
        <v>0.94447861504073</v>
      </c>
      <c r="AN977" s="132">
        <v>0.99</v>
      </c>
      <c r="AO977" s="137">
        <v>1</v>
      </c>
      <c r="AP977" s="137">
        <v>1</v>
      </c>
      <c r="AQ977" s="137">
        <v>1</v>
      </c>
      <c r="AR977" s="137">
        <v>1</v>
      </c>
      <c r="AS977" s="158">
        <v>0.0656418488929858</v>
      </c>
      <c r="AT977" s="141">
        <v>0.0555555555555556</v>
      </c>
      <c r="AU977" s="141">
        <v>0</v>
      </c>
      <c r="AV977" s="141">
        <v>0</v>
      </c>
      <c r="AW977" s="141">
        <v>0.0501672240802676</v>
      </c>
      <c r="AX977" s="95"/>
      <c r="AY977" s="93"/>
    </row>
    <row r="978" ht="14.5" spans="1:51">
      <c r="A978" s="91"/>
      <c r="B978" s="95"/>
      <c r="C978" s="180" t="s">
        <v>927</v>
      </c>
      <c r="D978" s="181" t="s">
        <v>25</v>
      </c>
      <c r="E978" s="130" t="s">
        <v>928</v>
      </c>
      <c r="F978" s="184" t="s">
        <v>1007</v>
      </c>
      <c r="G978" s="185" t="s">
        <v>1007</v>
      </c>
      <c r="H978" s="185" t="s">
        <v>1007</v>
      </c>
      <c r="I978" s="185" t="s">
        <v>1007</v>
      </c>
      <c r="J978" s="132">
        <v>0.9</v>
      </c>
      <c r="K978" s="133">
        <v>0.961538461538462</v>
      </c>
      <c r="L978" s="133">
        <v>0.872340425531915</v>
      </c>
      <c r="M978" s="134">
        <v>0.912280701754386</v>
      </c>
      <c r="N978" s="133">
        <v>0.947368421052632</v>
      </c>
      <c r="O978" s="135">
        <v>0.9</v>
      </c>
      <c r="P978" s="133">
        <v>0.847121969276328</v>
      </c>
      <c r="Q978" s="133">
        <v>0.913374913374913</v>
      </c>
      <c r="R978" s="133">
        <v>0.937022458902524</v>
      </c>
      <c r="S978" s="133">
        <v>0.917456368226556</v>
      </c>
      <c r="T978" s="135">
        <v>0.9</v>
      </c>
      <c r="U978" s="133">
        <v>0.853044604849158</v>
      </c>
      <c r="V978" s="133">
        <v>0.874566874566875</v>
      </c>
      <c r="W978" s="133">
        <v>0.918268117619819</v>
      </c>
      <c r="X978" s="133">
        <v>0.895893551888576</v>
      </c>
      <c r="Y978" s="135">
        <v>0.92</v>
      </c>
      <c r="Z978" s="135" t="s">
        <v>35</v>
      </c>
      <c r="AA978" s="135" t="s">
        <v>35</v>
      </c>
      <c r="AB978" s="135" t="s">
        <v>35</v>
      </c>
      <c r="AC978" s="135">
        <v>1</v>
      </c>
      <c r="AD978" s="135">
        <v>0.92</v>
      </c>
      <c r="AE978" s="133">
        <v>0.989708404802744</v>
      </c>
      <c r="AF978" s="133">
        <v>0.9553264604811</v>
      </c>
      <c r="AG978" s="133">
        <v>0.990403071017274</v>
      </c>
      <c r="AH978" s="133">
        <v>0.965666975451598</v>
      </c>
      <c r="AI978" s="135">
        <v>0.92</v>
      </c>
      <c r="AJ978" s="133">
        <v>0.922450490468258</v>
      </c>
      <c r="AK978" s="133">
        <v>0.910602910602911</v>
      </c>
      <c r="AL978" s="133">
        <v>0.948599212780736</v>
      </c>
      <c r="AM978" s="133">
        <v>0.940106834479731</v>
      </c>
      <c r="AN978" s="132">
        <v>0.99</v>
      </c>
      <c r="AO978" s="137">
        <v>1</v>
      </c>
      <c r="AP978" s="137">
        <v>1</v>
      </c>
      <c r="AQ978" s="137">
        <v>1</v>
      </c>
      <c r="AR978" s="137">
        <v>1</v>
      </c>
      <c r="AS978" s="158">
        <v>0.0656418488929858</v>
      </c>
      <c r="AT978" s="141">
        <v>0.0666666666666667</v>
      </c>
      <c r="AU978" s="141">
        <v>0.117647058823529</v>
      </c>
      <c r="AV978" s="141">
        <v>0</v>
      </c>
      <c r="AW978" s="141">
        <v>0.0569306930693069</v>
      </c>
      <c r="AX978" s="95"/>
      <c r="AY978" s="93"/>
    </row>
    <row r="979" ht="14.5" spans="1:51">
      <c r="A979" s="91"/>
      <c r="B979" s="95"/>
      <c r="C979" s="180" t="s">
        <v>927</v>
      </c>
      <c r="D979" s="181" t="s">
        <v>25</v>
      </c>
      <c r="E979" s="130" t="s">
        <v>928</v>
      </c>
      <c r="F979" s="184" t="s">
        <v>1008</v>
      </c>
      <c r="G979" s="185" t="s">
        <v>1008</v>
      </c>
      <c r="H979" s="185" t="s">
        <v>1008</v>
      </c>
      <c r="I979" s="185" t="s">
        <v>1008</v>
      </c>
      <c r="J979" s="132">
        <v>0.9</v>
      </c>
      <c r="K979" s="133">
        <v>0.75</v>
      </c>
      <c r="L979" s="133">
        <v>0.935483870967742</v>
      </c>
      <c r="M979" s="134">
        <v>0.90625</v>
      </c>
      <c r="N979" s="133">
        <v>0.915094339622642</v>
      </c>
      <c r="O979" s="135">
        <v>0.9</v>
      </c>
      <c r="P979" s="133">
        <v>0.773014959723821</v>
      </c>
      <c r="Q979" s="133">
        <v>0.932656132430399</v>
      </c>
      <c r="R979" s="133">
        <v>0.92957213176827</v>
      </c>
      <c r="S979" s="133">
        <v>0.906269056002518</v>
      </c>
      <c r="T979" s="135">
        <v>0.9</v>
      </c>
      <c r="U979" s="133">
        <v>0.911104718066743</v>
      </c>
      <c r="V979" s="133">
        <v>0.938299473288187</v>
      </c>
      <c r="W979" s="133">
        <v>0.936766376372586</v>
      </c>
      <c r="X979" s="133">
        <v>0.918661604736708</v>
      </c>
      <c r="Y979" s="135">
        <v>0.92</v>
      </c>
      <c r="Z979" s="135" t="s">
        <v>35</v>
      </c>
      <c r="AA979" s="135" t="s">
        <v>35</v>
      </c>
      <c r="AB979" s="135" t="s">
        <v>35</v>
      </c>
      <c r="AC979" s="135" t="s">
        <v>35</v>
      </c>
      <c r="AD979" s="135">
        <v>0.92</v>
      </c>
      <c r="AE979" s="133">
        <v>0.976038338658147</v>
      </c>
      <c r="AF979" s="133">
        <v>0.986404833836858</v>
      </c>
      <c r="AG979" s="133">
        <v>0.960429242119383</v>
      </c>
      <c r="AH979" s="133">
        <v>0.976614238410596</v>
      </c>
      <c r="AI979" s="135">
        <v>0.92</v>
      </c>
      <c r="AJ979" s="133">
        <v>0.958009778544722</v>
      </c>
      <c r="AK979" s="133">
        <v>0.960496613995485</v>
      </c>
      <c r="AL979" s="133">
        <v>0.961756910261265</v>
      </c>
      <c r="AM979" s="133">
        <v>0.957928484323984</v>
      </c>
      <c r="AN979" s="132">
        <v>0.99</v>
      </c>
      <c r="AO979" s="137">
        <v>1</v>
      </c>
      <c r="AP979" s="137">
        <v>1</v>
      </c>
      <c r="AQ979" s="137">
        <v>1</v>
      </c>
      <c r="AR979" s="137">
        <v>1</v>
      </c>
      <c r="AS979" s="158">
        <v>0.0656418488929858</v>
      </c>
      <c r="AT979" s="141">
        <v>0</v>
      </c>
      <c r="AU979" s="141">
        <v>0.0833333333333333</v>
      </c>
      <c r="AV979" s="141">
        <v>0.0909090909090909</v>
      </c>
      <c r="AW979" s="141">
        <v>0.0410958904109589</v>
      </c>
      <c r="AX979" s="95"/>
      <c r="AY979" s="93"/>
    </row>
    <row r="980" ht="14.5" spans="1:51">
      <c r="A980" s="91"/>
      <c r="B980" s="95"/>
      <c r="C980" s="180" t="s">
        <v>927</v>
      </c>
      <c r="D980" s="181" t="s">
        <v>25</v>
      </c>
      <c r="E980" s="130" t="s">
        <v>928</v>
      </c>
      <c r="F980" s="184" t="s">
        <v>1009</v>
      </c>
      <c r="G980" s="185" t="s">
        <v>1009</v>
      </c>
      <c r="H980" s="185" t="s">
        <v>1009</v>
      </c>
      <c r="I980" s="185" t="s">
        <v>1009</v>
      </c>
      <c r="J980" s="132">
        <v>0.9</v>
      </c>
      <c r="K980" s="133">
        <v>0.883720930232558</v>
      </c>
      <c r="L980" s="133">
        <v>0.720930232558139</v>
      </c>
      <c r="M980" s="134">
        <v>0.869565217391304</v>
      </c>
      <c r="N980" s="133">
        <v>0.892030848329049</v>
      </c>
      <c r="O980" s="135">
        <v>0.9</v>
      </c>
      <c r="P980" s="133">
        <v>0.85192360918904</v>
      </c>
      <c r="Q980" s="133">
        <v>0.913380519042804</v>
      </c>
      <c r="R980" s="133">
        <v>0.94645390070922</v>
      </c>
      <c r="S980" s="133">
        <v>0.93409226002846</v>
      </c>
      <c r="T980" s="135">
        <v>0.9</v>
      </c>
      <c r="U980" s="133">
        <v>0.884029892056463</v>
      </c>
      <c r="V980" s="133">
        <v>0.825749915739804</v>
      </c>
      <c r="W980" s="133">
        <v>0.907801418439716</v>
      </c>
      <c r="X980" s="133">
        <v>0.894014446025542</v>
      </c>
      <c r="Y980" s="135">
        <v>0.92</v>
      </c>
      <c r="Z980" s="135" t="s">
        <v>35</v>
      </c>
      <c r="AA980" s="135" t="s">
        <v>35</v>
      </c>
      <c r="AB980" s="135" t="s">
        <v>35</v>
      </c>
      <c r="AC980" s="135">
        <v>1</v>
      </c>
      <c r="AD980" s="135">
        <v>0.92</v>
      </c>
      <c r="AE980" s="133">
        <v>0.995215311004785</v>
      </c>
      <c r="AF980" s="133">
        <v>0.965556831228473</v>
      </c>
      <c r="AG980" s="133">
        <v>0.966974900924703</v>
      </c>
      <c r="AH980" s="133">
        <v>0.973550259264545</v>
      </c>
      <c r="AI980" s="135">
        <v>0.92</v>
      </c>
      <c r="AJ980" s="133">
        <v>0.944921118184334</v>
      </c>
      <c r="AK980" s="133">
        <v>0.92722371967655</v>
      </c>
      <c r="AL980" s="133">
        <v>0.958540042523033</v>
      </c>
      <c r="AM980" s="133">
        <v>0.955431102787582</v>
      </c>
      <c r="AN980" s="132">
        <v>0.99</v>
      </c>
      <c r="AO980" s="137">
        <v>1</v>
      </c>
      <c r="AP980" s="137">
        <v>1</v>
      </c>
      <c r="AQ980" s="137">
        <v>1</v>
      </c>
      <c r="AR980" s="137">
        <v>1</v>
      </c>
      <c r="AS980" s="158">
        <v>0.0656418488929858</v>
      </c>
      <c r="AT980" s="141">
        <v>0.153846153846154</v>
      </c>
      <c r="AU980" s="141">
        <v>0</v>
      </c>
      <c r="AV980" s="141">
        <v>0.0714285714285714</v>
      </c>
      <c r="AW980" s="141">
        <v>0.0355731225296443</v>
      </c>
      <c r="AX980" s="95"/>
      <c r="AY980" s="93"/>
    </row>
    <row r="981" ht="14.5" spans="1:51">
      <c r="A981" s="91"/>
      <c r="B981" s="95"/>
      <c r="C981" s="180" t="s">
        <v>927</v>
      </c>
      <c r="D981" s="181" t="s">
        <v>25</v>
      </c>
      <c r="E981" s="130" t="s">
        <v>928</v>
      </c>
      <c r="F981" s="184" t="s">
        <v>1010</v>
      </c>
      <c r="G981" s="185" t="s">
        <v>1010</v>
      </c>
      <c r="H981" s="185" t="s">
        <v>1010</v>
      </c>
      <c r="I981" s="185" t="s">
        <v>1010</v>
      </c>
      <c r="J981" s="132">
        <v>0.9</v>
      </c>
      <c r="K981" s="133">
        <v>0.966666666666667</v>
      </c>
      <c r="L981" s="133">
        <v>0.931034482758621</v>
      </c>
      <c r="M981" s="134">
        <v>0.967741935483871</v>
      </c>
      <c r="N981" s="133">
        <v>0.953125</v>
      </c>
      <c r="O981" s="135">
        <v>0.9</v>
      </c>
      <c r="P981" s="133">
        <v>0.918238993710692</v>
      </c>
      <c r="Q981" s="133">
        <v>0.965541995692749</v>
      </c>
      <c r="R981" s="133">
        <v>0.942787794729542</v>
      </c>
      <c r="S981" s="133">
        <v>0.930003466078042</v>
      </c>
      <c r="T981" s="135">
        <v>0.9</v>
      </c>
      <c r="U981" s="133">
        <v>0.90251572327044</v>
      </c>
      <c r="V981" s="133">
        <v>0.92067480258435</v>
      </c>
      <c r="W981" s="133">
        <v>0.908460471567268</v>
      </c>
      <c r="X981" s="133">
        <v>0.907692869000493</v>
      </c>
      <c r="Y981" s="135">
        <v>0.92</v>
      </c>
      <c r="Z981" s="135" t="s">
        <v>35</v>
      </c>
      <c r="AA981" s="135" t="s">
        <v>35</v>
      </c>
      <c r="AB981" s="135" t="s">
        <v>35</v>
      </c>
      <c r="AC981" s="135">
        <v>1</v>
      </c>
      <c r="AD981" s="135">
        <v>0.92</v>
      </c>
      <c r="AE981" s="133">
        <v>0.960144927536232</v>
      </c>
      <c r="AF981" s="133">
        <v>0.97554347826087</v>
      </c>
      <c r="AG981" s="133">
        <v>0.96875</v>
      </c>
      <c r="AH981" s="133">
        <v>0.978926062626503</v>
      </c>
      <c r="AI981" s="135">
        <v>0.92</v>
      </c>
      <c r="AJ981" s="133">
        <v>0.934266933409546</v>
      </c>
      <c r="AK981" s="133">
        <v>0.942590599210621</v>
      </c>
      <c r="AL981" s="133">
        <v>0.941054091539528</v>
      </c>
      <c r="AM981" s="133">
        <v>0.950256288648511</v>
      </c>
      <c r="AN981" s="132">
        <v>0.99</v>
      </c>
      <c r="AO981" s="137">
        <v>1</v>
      </c>
      <c r="AP981" s="137">
        <v>1</v>
      </c>
      <c r="AQ981" s="137">
        <v>1</v>
      </c>
      <c r="AR981" s="137">
        <v>1</v>
      </c>
      <c r="AS981" s="158">
        <v>0.0656418488929858</v>
      </c>
      <c r="AT981" s="141">
        <v>0.0666666666666667</v>
      </c>
      <c r="AU981" s="141">
        <v>0.125</v>
      </c>
      <c r="AV981" s="141">
        <v>0</v>
      </c>
      <c r="AW981" s="141">
        <v>0.0474137931034483</v>
      </c>
      <c r="AX981" s="95"/>
      <c r="AY981" s="93"/>
    </row>
    <row r="982" ht="14.5" spans="1:51">
      <c r="A982" s="91"/>
      <c r="B982" s="95"/>
      <c r="C982" s="180" t="s">
        <v>927</v>
      </c>
      <c r="D982" s="181" t="s">
        <v>125</v>
      </c>
      <c r="E982" s="130" t="s">
        <v>928</v>
      </c>
      <c r="F982" s="184" t="s">
        <v>1011</v>
      </c>
      <c r="G982" s="185" t="s">
        <v>1011</v>
      </c>
      <c r="H982" s="185" t="s">
        <v>1011</v>
      </c>
      <c r="I982" s="185" t="s">
        <v>1011</v>
      </c>
      <c r="J982" s="132">
        <v>0.9</v>
      </c>
      <c r="K982" s="133" t="s">
        <v>35</v>
      </c>
      <c r="L982" s="133" t="s">
        <v>35</v>
      </c>
      <c r="M982" s="134" t="s">
        <v>35</v>
      </c>
      <c r="N982" s="133" t="s">
        <v>35</v>
      </c>
      <c r="O982" s="135">
        <v>0.9</v>
      </c>
      <c r="P982" s="133" t="s">
        <v>35</v>
      </c>
      <c r="Q982" s="133" t="s">
        <v>35</v>
      </c>
      <c r="R982" s="133">
        <v>0</v>
      </c>
      <c r="S982" s="133">
        <v>0</v>
      </c>
      <c r="T982" s="135">
        <v>0.9</v>
      </c>
      <c r="U982" s="133" t="s">
        <v>35</v>
      </c>
      <c r="V982" s="133" t="s">
        <v>35</v>
      </c>
      <c r="W982" s="133">
        <v>1</v>
      </c>
      <c r="X982" s="133">
        <v>1</v>
      </c>
      <c r="Y982" s="135">
        <v>0.92</v>
      </c>
      <c r="Z982" s="135" t="s">
        <v>35</v>
      </c>
      <c r="AA982" s="135" t="s">
        <v>35</v>
      </c>
      <c r="AB982" s="135" t="s">
        <v>35</v>
      </c>
      <c r="AC982" s="135" t="s">
        <v>35</v>
      </c>
      <c r="AD982" s="135">
        <v>0.92</v>
      </c>
      <c r="AE982" s="133">
        <v>0.9140625</v>
      </c>
      <c r="AF982" s="133">
        <v>0.917562724014337</v>
      </c>
      <c r="AG982" s="133">
        <v>0.959044368600683</v>
      </c>
      <c r="AH982" s="133">
        <v>0.925584387733219</v>
      </c>
      <c r="AI982" s="135">
        <v>0.92</v>
      </c>
      <c r="AJ982" s="133" t="s">
        <v>35</v>
      </c>
      <c r="AK982" s="133" t="s">
        <v>35</v>
      </c>
      <c r="AL982" s="133">
        <v>1</v>
      </c>
      <c r="AM982" s="133">
        <v>1</v>
      </c>
      <c r="AN982" s="132">
        <v>0.99</v>
      </c>
      <c r="AO982" s="137">
        <v>1</v>
      </c>
      <c r="AP982" s="137">
        <v>1</v>
      </c>
      <c r="AQ982" s="137">
        <v>1</v>
      </c>
      <c r="AR982" s="137">
        <v>1</v>
      </c>
      <c r="AS982" s="158">
        <v>0.0656418488929858</v>
      </c>
      <c r="AT982" s="141" t="s">
        <v>35</v>
      </c>
      <c r="AU982" s="141" t="s">
        <v>35</v>
      </c>
      <c r="AV982" s="141" t="s">
        <v>35</v>
      </c>
      <c r="AW982" s="141" t="s">
        <v>35</v>
      </c>
      <c r="AX982" s="95"/>
      <c r="AY982" s="93"/>
    </row>
    <row r="983" ht="14.5" spans="1:51">
      <c r="A983" s="91"/>
      <c r="B983" s="95"/>
      <c r="C983" s="180" t="s">
        <v>927</v>
      </c>
      <c r="D983" s="181" t="s">
        <v>25</v>
      </c>
      <c r="E983" s="130" t="s">
        <v>928</v>
      </c>
      <c r="F983" s="184" t="s">
        <v>1012</v>
      </c>
      <c r="G983" s="185" t="s">
        <v>1012</v>
      </c>
      <c r="H983" s="185" t="s">
        <v>1012</v>
      </c>
      <c r="I983" s="185" t="s">
        <v>1012</v>
      </c>
      <c r="J983" s="132">
        <v>0.9</v>
      </c>
      <c r="K983" s="133">
        <v>0.88</v>
      </c>
      <c r="L983" s="133">
        <v>1</v>
      </c>
      <c r="M983" s="134">
        <v>0.909090909090909</v>
      </c>
      <c r="N983" s="133">
        <v>0.924764890282132</v>
      </c>
      <c r="O983" s="135">
        <v>0.9</v>
      </c>
      <c r="P983" s="133">
        <v>0.877736707421098</v>
      </c>
      <c r="Q983" s="133">
        <v>0.940383967665881</v>
      </c>
      <c r="R983" s="133">
        <v>0.953585036369934</v>
      </c>
      <c r="S983" s="133">
        <v>0.940862401216343</v>
      </c>
      <c r="T983" s="135">
        <v>0.9</v>
      </c>
      <c r="U983" s="133">
        <v>0.88598237133921</v>
      </c>
      <c r="V983" s="133">
        <v>0.902324014819805</v>
      </c>
      <c r="W983" s="133">
        <v>0.929684793903706</v>
      </c>
      <c r="X983" s="133">
        <v>0.918444919823913</v>
      </c>
      <c r="Y983" s="135">
        <v>0.92</v>
      </c>
      <c r="Z983" s="135" t="s">
        <v>35</v>
      </c>
      <c r="AA983" s="135" t="s">
        <v>35</v>
      </c>
      <c r="AB983" s="135" t="s">
        <v>35</v>
      </c>
      <c r="AC983" s="135" t="s">
        <v>35</v>
      </c>
      <c r="AD983" s="135">
        <v>0.92</v>
      </c>
      <c r="AE983" s="133">
        <v>0.995798319327731</v>
      </c>
      <c r="AF983" s="133">
        <v>0.992356687898089</v>
      </c>
      <c r="AG983" s="133">
        <v>0.991963260619977</v>
      </c>
      <c r="AH983" s="133">
        <v>0.981603250831178</v>
      </c>
      <c r="AI983" s="135">
        <v>0.92</v>
      </c>
      <c r="AJ983" s="133">
        <v>0.919249360250213</v>
      </c>
      <c r="AK983" s="133">
        <v>0.926911417985854</v>
      </c>
      <c r="AL983" s="133">
        <v>0.955678670360111</v>
      </c>
      <c r="AM983" s="133">
        <v>0.955272695129497</v>
      </c>
      <c r="AN983" s="132">
        <v>0.99</v>
      </c>
      <c r="AO983" s="137">
        <v>1</v>
      </c>
      <c r="AP983" s="137">
        <v>1</v>
      </c>
      <c r="AQ983" s="137">
        <v>1</v>
      </c>
      <c r="AR983" s="137">
        <v>1</v>
      </c>
      <c r="AS983" s="158">
        <v>0.0656418488929858</v>
      </c>
      <c r="AT983" s="141">
        <v>0</v>
      </c>
      <c r="AU983" s="141">
        <v>0.117647058823529</v>
      </c>
      <c r="AV983" s="141">
        <v>0.0454545454545455</v>
      </c>
      <c r="AW983" s="141">
        <v>0.0379746835443038</v>
      </c>
      <c r="AX983" s="95"/>
      <c r="AY983" s="93"/>
    </row>
    <row r="984" ht="14.5" spans="1:51">
      <c r="A984" s="91"/>
      <c r="B984" s="95"/>
      <c r="C984" s="180" t="s">
        <v>927</v>
      </c>
      <c r="D984" s="181" t="s">
        <v>25</v>
      </c>
      <c r="E984" s="130" t="s">
        <v>928</v>
      </c>
      <c r="F984" s="184" t="s">
        <v>1013</v>
      </c>
      <c r="G984" s="185" t="s">
        <v>1013</v>
      </c>
      <c r="H984" s="185" t="s">
        <v>1013</v>
      </c>
      <c r="I984" s="185" t="s">
        <v>1013</v>
      </c>
      <c r="J984" s="132">
        <v>0.9</v>
      </c>
      <c r="K984" s="133">
        <v>0.980392156862745</v>
      </c>
      <c r="L984" s="133">
        <v>0.958333333333333</v>
      </c>
      <c r="M984" s="134">
        <v>0.982142857142857</v>
      </c>
      <c r="N984" s="133">
        <v>0.985074626865672</v>
      </c>
      <c r="O984" s="135">
        <v>0.9</v>
      </c>
      <c r="P984" s="133">
        <v>0.933977749407259</v>
      </c>
      <c r="Q984" s="133">
        <v>0.942736446843464</v>
      </c>
      <c r="R984" s="133">
        <v>0.961771058315335</v>
      </c>
      <c r="S984" s="133">
        <v>0.957087946761517</v>
      </c>
      <c r="T984" s="135">
        <v>0.9</v>
      </c>
      <c r="U984" s="133">
        <v>0.904431880357469</v>
      </c>
      <c r="V984" s="133">
        <v>0.915747477118047</v>
      </c>
      <c r="W984" s="133">
        <v>0.944276457883369</v>
      </c>
      <c r="X984" s="133">
        <v>0.923320520911021</v>
      </c>
      <c r="Y984" s="135">
        <v>0.92</v>
      </c>
      <c r="Z984" s="135" t="s">
        <v>35</v>
      </c>
      <c r="AA984" s="135" t="s">
        <v>35</v>
      </c>
      <c r="AB984" s="135" t="s">
        <v>35</v>
      </c>
      <c r="AC984" s="135" t="s">
        <v>35</v>
      </c>
      <c r="AD984" s="135">
        <v>0.92</v>
      </c>
      <c r="AE984" s="133">
        <v>0.993067590987868</v>
      </c>
      <c r="AF984" s="133">
        <v>0.99581881533101</v>
      </c>
      <c r="AG984" s="133">
        <v>0.988574864702345</v>
      </c>
      <c r="AH984" s="133">
        <v>0.990350963268243</v>
      </c>
      <c r="AI984" s="135">
        <v>0.92</v>
      </c>
      <c r="AJ984" s="133">
        <v>0.948385920116724</v>
      </c>
      <c r="AK984" s="133">
        <v>0.949072987561605</v>
      </c>
      <c r="AL984" s="133">
        <v>0.975593952483801</v>
      </c>
      <c r="AM984" s="133">
        <v>0.971465286781326</v>
      </c>
      <c r="AN984" s="132">
        <v>0.99</v>
      </c>
      <c r="AO984" s="137">
        <v>1</v>
      </c>
      <c r="AP984" s="137">
        <v>1</v>
      </c>
      <c r="AQ984" s="137">
        <v>1</v>
      </c>
      <c r="AR984" s="137">
        <v>1</v>
      </c>
      <c r="AS984" s="158">
        <v>0.0656418488929858</v>
      </c>
      <c r="AT984" s="141">
        <v>0.0540540540540541</v>
      </c>
      <c r="AU984" s="141">
        <v>0</v>
      </c>
      <c r="AV984" s="141">
        <v>0.0333333333333333</v>
      </c>
      <c r="AW984" s="141">
        <v>0.0490566037735849</v>
      </c>
      <c r="AX984" s="95"/>
      <c r="AY984" s="93"/>
    </row>
    <row r="985" ht="14.5" spans="1:51">
      <c r="A985" s="91"/>
      <c r="B985" s="95"/>
      <c r="C985" s="180" t="s">
        <v>927</v>
      </c>
      <c r="D985" s="181" t="s">
        <v>25</v>
      </c>
      <c r="E985" s="130" t="s">
        <v>928</v>
      </c>
      <c r="F985" s="184" t="s">
        <v>1014</v>
      </c>
      <c r="G985" s="185" t="s">
        <v>1014</v>
      </c>
      <c r="H985" s="185" t="s">
        <v>1014</v>
      </c>
      <c r="I985" s="185" t="s">
        <v>1014</v>
      </c>
      <c r="J985" s="132">
        <v>0.9</v>
      </c>
      <c r="K985" s="133">
        <v>0.923076923076923</v>
      </c>
      <c r="L985" s="133">
        <v>0.91304347826087</v>
      </c>
      <c r="M985" s="134">
        <v>0.958333333333333</v>
      </c>
      <c r="N985" s="133">
        <v>0.954436450839328</v>
      </c>
      <c r="O985" s="135">
        <v>0.9</v>
      </c>
      <c r="P985" s="133">
        <v>0.960913312693498</v>
      </c>
      <c r="Q985" s="133">
        <v>0.846511627906977</v>
      </c>
      <c r="R985" s="133">
        <v>0.958038661008958</v>
      </c>
      <c r="S985" s="133">
        <v>0.948495213721485</v>
      </c>
      <c r="T985" s="135">
        <v>0.9</v>
      </c>
      <c r="U985" s="133">
        <v>0.914860681114551</v>
      </c>
      <c r="V985" s="133">
        <v>0.911162790697674</v>
      </c>
      <c r="W985" s="133">
        <v>0.938236680810938</v>
      </c>
      <c r="X985" s="133">
        <v>0.918547136845732</v>
      </c>
      <c r="Y985" s="135">
        <v>0.92</v>
      </c>
      <c r="Z985" s="135" t="s">
        <v>35</v>
      </c>
      <c r="AA985" s="135" t="s">
        <v>35</v>
      </c>
      <c r="AB985" s="135">
        <v>1</v>
      </c>
      <c r="AC985" s="135">
        <v>1</v>
      </c>
      <c r="AD985" s="135">
        <v>0.92</v>
      </c>
      <c r="AE985" s="133">
        <v>0.965034965034965</v>
      </c>
      <c r="AF985" s="133">
        <v>0.971563981042654</v>
      </c>
      <c r="AG985" s="133">
        <v>1</v>
      </c>
      <c r="AH985" s="133">
        <v>0.966375252185609</v>
      </c>
      <c r="AI985" s="135">
        <v>0.92</v>
      </c>
      <c r="AJ985" s="133">
        <v>0.9578173374613</v>
      </c>
      <c r="AK985" s="133">
        <v>0.958139534883721</v>
      </c>
      <c r="AL985" s="133">
        <v>0.9688972667295</v>
      </c>
      <c r="AM985" s="133">
        <v>0.968700017224833</v>
      </c>
      <c r="AN985" s="132">
        <v>0.99</v>
      </c>
      <c r="AO985" s="137">
        <v>1</v>
      </c>
      <c r="AP985" s="137">
        <v>1</v>
      </c>
      <c r="AQ985" s="137">
        <v>1</v>
      </c>
      <c r="AR985" s="137">
        <v>1</v>
      </c>
      <c r="AS985" s="158">
        <v>0.0656418488929858</v>
      </c>
      <c r="AT985" s="141">
        <v>0</v>
      </c>
      <c r="AU985" s="141">
        <v>0.05</v>
      </c>
      <c r="AV985" s="141">
        <v>0.0666666666666667</v>
      </c>
      <c r="AW985" s="141">
        <v>0.0497737556561086</v>
      </c>
      <c r="AX985" s="95"/>
      <c r="AY985" s="93"/>
    </row>
    <row r="986" ht="14.5" spans="1:51">
      <c r="A986" s="91"/>
      <c r="B986" s="95"/>
      <c r="C986" s="180" t="s">
        <v>927</v>
      </c>
      <c r="D986" s="181" t="s">
        <v>25</v>
      </c>
      <c r="E986" s="130" t="s">
        <v>928</v>
      </c>
      <c r="F986" s="184" t="s">
        <v>1015</v>
      </c>
      <c r="G986" s="185" t="s">
        <v>1015</v>
      </c>
      <c r="H986" s="185" t="s">
        <v>1015</v>
      </c>
      <c r="I986" s="185" t="s">
        <v>1015</v>
      </c>
      <c r="J986" s="132">
        <v>0.9</v>
      </c>
      <c r="K986" s="133">
        <v>1</v>
      </c>
      <c r="L986" s="133">
        <v>0.9375</v>
      </c>
      <c r="M986" s="134">
        <v>0.942857142857143</v>
      </c>
      <c r="N986" s="133">
        <v>0.944256756756757</v>
      </c>
      <c r="O986" s="135">
        <v>0.9</v>
      </c>
      <c r="P986" s="133">
        <v>0.945106012198664</v>
      </c>
      <c r="Q986" s="133">
        <v>0.902430433251145</v>
      </c>
      <c r="R986" s="133">
        <v>0.962270803949224</v>
      </c>
      <c r="S986" s="133">
        <v>0.942756017841342</v>
      </c>
      <c r="T986" s="135">
        <v>0.9</v>
      </c>
      <c r="U986" s="133">
        <v>0.878884693581179</v>
      </c>
      <c r="V986" s="133">
        <v>0.884466361394857</v>
      </c>
      <c r="W986" s="133">
        <v>0.89950634696756</v>
      </c>
      <c r="X986" s="133">
        <v>0.903949293027791</v>
      </c>
      <c r="Y986" s="135">
        <v>0.92</v>
      </c>
      <c r="Z986" s="135" t="s">
        <v>35</v>
      </c>
      <c r="AA986" s="135" t="s">
        <v>35</v>
      </c>
      <c r="AB986" s="135" t="s">
        <v>35</v>
      </c>
      <c r="AC986" s="135" t="s">
        <v>35</v>
      </c>
      <c r="AD986" s="135">
        <v>0.92</v>
      </c>
      <c r="AE986" s="133">
        <v>0.970350404312669</v>
      </c>
      <c r="AF986" s="133">
        <v>0.984700973574409</v>
      </c>
      <c r="AG986" s="133">
        <v>0.966706302021403</v>
      </c>
      <c r="AH986" s="133">
        <v>0.980787401574803</v>
      </c>
      <c r="AI986" s="135">
        <v>0.92</v>
      </c>
      <c r="AJ986" s="133">
        <v>0.936683125181528</v>
      </c>
      <c r="AK986" s="133">
        <v>0.946107784431138</v>
      </c>
      <c r="AL986" s="133">
        <v>0.93935119887165</v>
      </c>
      <c r="AM986" s="133">
        <v>0.957130216515882</v>
      </c>
      <c r="AN986" s="132">
        <v>0.99</v>
      </c>
      <c r="AO986" s="137">
        <v>1</v>
      </c>
      <c r="AP986" s="137">
        <v>1</v>
      </c>
      <c r="AQ986" s="137">
        <v>1</v>
      </c>
      <c r="AR986" s="137">
        <v>1</v>
      </c>
      <c r="AS986" s="158">
        <v>0.0656418488929858</v>
      </c>
      <c r="AT986" s="141">
        <v>0.0555555555555556</v>
      </c>
      <c r="AU986" s="141">
        <v>0.05</v>
      </c>
      <c r="AV986" s="141">
        <v>0</v>
      </c>
      <c r="AW986" s="141">
        <v>0.0395256916996047</v>
      </c>
      <c r="AX986" s="95"/>
      <c r="AY986" s="93"/>
    </row>
    <row r="987" ht="14.5" spans="1:51">
      <c r="A987" s="91"/>
      <c r="B987" s="95"/>
      <c r="C987" s="180" t="s">
        <v>927</v>
      </c>
      <c r="D987" s="181" t="s">
        <v>25</v>
      </c>
      <c r="E987" s="130" t="s">
        <v>928</v>
      </c>
      <c r="F987" s="184" t="s">
        <v>1016</v>
      </c>
      <c r="G987" s="185" t="s">
        <v>1016</v>
      </c>
      <c r="H987" s="185" t="s">
        <v>1016</v>
      </c>
      <c r="I987" s="185" t="s">
        <v>1016</v>
      </c>
      <c r="J987" s="132">
        <v>0.9</v>
      </c>
      <c r="K987" s="133">
        <v>0.911764705882353</v>
      </c>
      <c r="L987" s="133">
        <v>0.935483870967742</v>
      </c>
      <c r="M987" s="134">
        <v>0.972222222222222</v>
      </c>
      <c r="N987" s="133">
        <v>0.936206896551724</v>
      </c>
      <c r="O987" s="135">
        <v>0.9</v>
      </c>
      <c r="P987" s="133">
        <v>0.944099378881988</v>
      </c>
      <c r="Q987" s="133">
        <v>0.932451751250894</v>
      </c>
      <c r="R987" s="133">
        <v>0.97341211225997</v>
      </c>
      <c r="S987" s="133">
        <v>0.96018855965774</v>
      </c>
      <c r="T987" s="135">
        <v>0.9</v>
      </c>
      <c r="U987" s="133">
        <v>0.895506028498356</v>
      </c>
      <c r="V987" s="133">
        <v>0.835954253037884</v>
      </c>
      <c r="W987" s="133">
        <v>0.923929098966027</v>
      </c>
      <c r="X987" s="133">
        <v>0.896549675170337</v>
      </c>
      <c r="Y987" s="135">
        <v>0.92</v>
      </c>
      <c r="Z987" s="135" t="s">
        <v>35</v>
      </c>
      <c r="AA987" s="135" t="s">
        <v>35</v>
      </c>
      <c r="AB987" s="135" t="s">
        <v>35</v>
      </c>
      <c r="AC987" s="135">
        <v>0</v>
      </c>
      <c r="AD987" s="135">
        <v>0.92</v>
      </c>
      <c r="AE987" s="133">
        <v>0.937759336099585</v>
      </c>
      <c r="AF987" s="133">
        <v>0.99800796812749</v>
      </c>
      <c r="AG987" s="133">
        <v>0.976127320954907</v>
      </c>
      <c r="AH987" s="133">
        <v>0.97316247582205</v>
      </c>
      <c r="AI987" s="135">
        <v>0.92</v>
      </c>
      <c r="AJ987" s="133">
        <v>0.947041636230825</v>
      </c>
      <c r="AK987" s="133">
        <v>0.917441029306648</v>
      </c>
      <c r="AL987" s="133">
        <v>0.964918759231906</v>
      </c>
      <c r="AM987" s="133">
        <v>0.958231006892181</v>
      </c>
      <c r="AN987" s="132">
        <v>0.99</v>
      </c>
      <c r="AO987" s="137">
        <v>1</v>
      </c>
      <c r="AP987" s="137">
        <v>1</v>
      </c>
      <c r="AQ987" s="137">
        <v>1</v>
      </c>
      <c r="AR987" s="137">
        <v>1</v>
      </c>
      <c r="AS987" s="158">
        <v>0.0656418488929858</v>
      </c>
      <c r="AT987" s="141">
        <v>0</v>
      </c>
      <c r="AU987" s="141">
        <v>0</v>
      </c>
      <c r="AV987" s="141">
        <v>0</v>
      </c>
      <c r="AW987" s="141">
        <v>0.0415335463258786</v>
      </c>
      <c r="AX987" s="95"/>
      <c r="AY987" s="93"/>
    </row>
    <row r="988" ht="14.5" spans="1:51">
      <c r="A988" s="91"/>
      <c r="B988" s="95"/>
      <c r="C988" s="180" t="s">
        <v>927</v>
      </c>
      <c r="D988" s="181" t="s">
        <v>25</v>
      </c>
      <c r="E988" s="130" t="s">
        <v>928</v>
      </c>
      <c r="F988" s="184" t="s">
        <v>1017</v>
      </c>
      <c r="G988" s="185" t="s">
        <v>1017</v>
      </c>
      <c r="H988" s="185" t="s">
        <v>1017</v>
      </c>
      <c r="I988" s="185" t="s">
        <v>1017</v>
      </c>
      <c r="J988" s="132">
        <v>0.9</v>
      </c>
      <c r="K988" s="133">
        <v>0.961538461538462</v>
      </c>
      <c r="L988" s="133">
        <v>0.84</v>
      </c>
      <c r="M988" s="134">
        <v>0.896551724137931</v>
      </c>
      <c r="N988" s="133">
        <v>0.91703056768559</v>
      </c>
      <c r="O988" s="135">
        <v>0.9</v>
      </c>
      <c r="P988" s="133">
        <v>0.960646900269542</v>
      </c>
      <c r="Q988" s="133">
        <v>0.902829684997331</v>
      </c>
      <c r="R988" s="133">
        <v>0.979225154407636</v>
      </c>
      <c r="S988" s="133">
        <v>0.966243315508021</v>
      </c>
      <c r="T988" s="135">
        <v>0.9</v>
      </c>
      <c r="U988" s="133">
        <v>0.892183288409704</v>
      </c>
      <c r="V988" s="133">
        <v>0.887346502936466</v>
      </c>
      <c r="W988" s="133">
        <v>0.925884334643459</v>
      </c>
      <c r="X988" s="133">
        <v>0.915684248906174</v>
      </c>
      <c r="Y988" s="135">
        <v>0.92</v>
      </c>
      <c r="Z988" s="135" t="s">
        <v>35</v>
      </c>
      <c r="AA988" s="135" t="s">
        <v>35</v>
      </c>
      <c r="AB988" s="135" t="s">
        <v>35</v>
      </c>
      <c r="AC988" s="135">
        <v>0</v>
      </c>
      <c r="AD988" s="135">
        <v>0.92</v>
      </c>
      <c r="AE988" s="133">
        <v>0.993197278911565</v>
      </c>
      <c r="AF988" s="133">
        <v>0.985507246376812</v>
      </c>
      <c r="AG988" s="133">
        <v>0.991253644314869</v>
      </c>
      <c r="AH988" s="133">
        <v>0.991022208221767</v>
      </c>
      <c r="AI988" s="135">
        <v>0.92</v>
      </c>
      <c r="AJ988" s="133">
        <v>0.933153638814016</v>
      </c>
      <c r="AK988" s="133">
        <v>0.920448478376935</v>
      </c>
      <c r="AL988" s="133">
        <v>0.953958450308815</v>
      </c>
      <c r="AM988" s="133">
        <v>0.953092720865233</v>
      </c>
      <c r="AN988" s="132">
        <v>0.99</v>
      </c>
      <c r="AO988" s="137">
        <v>1</v>
      </c>
      <c r="AP988" s="137">
        <v>1</v>
      </c>
      <c r="AQ988" s="137">
        <v>1</v>
      </c>
      <c r="AR988" s="137">
        <v>1</v>
      </c>
      <c r="AS988" s="158">
        <v>0.0656418488929858</v>
      </c>
      <c r="AT988" s="141">
        <v>0</v>
      </c>
      <c r="AU988" s="141">
        <v>0</v>
      </c>
      <c r="AV988" s="141">
        <v>0</v>
      </c>
      <c r="AW988" s="141">
        <v>0.0492957746478873</v>
      </c>
      <c r="AX988" s="95"/>
      <c r="AY988" s="93"/>
    </row>
    <row r="989" ht="14.5" spans="1:51">
      <c r="A989" s="91"/>
      <c r="B989" s="95"/>
      <c r="C989" s="180" t="s">
        <v>927</v>
      </c>
      <c r="D989" s="181" t="s">
        <v>25</v>
      </c>
      <c r="E989" s="130" t="s">
        <v>928</v>
      </c>
      <c r="F989" s="184" t="s">
        <v>1018</v>
      </c>
      <c r="G989" s="185" t="s">
        <v>1018</v>
      </c>
      <c r="H989" s="185" t="s">
        <v>1018</v>
      </c>
      <c r="I989" s="185" t="s">
        <v>1018</v>
      </c>
      <c r="J989" s="132">
        <v>0.9</v>
      </c>
      <c r="K989" s="133">
        <v>0.970588235294118</v>
      </c>
      <c r="L989" s="133">
        <v>0.870967741935484</v>
      </c>
      <c r="M989" s="134">
        <v>0.903225806451613</v>
      </c>
      <c r="N989" s="133">
        <v>0.930851063829787</v>
      </c>
      <c r="O989" s="135">
        <v>0.9</v>
      </c>
      <c r="P989" s="133">
        <v>0.953297682709447</v>
      </c>
      <c r="Q989" s="133">
        <v>0.920363636363636</v>
      </c>
      <c r="R989" s="133">
        <v>0.963007159904535</v>
      </c>
      <c r="S989" s="133">
        <v>0.955949231023648</v>
      </c>
      <c r="T989" s="135">
        <v>0.9</v>
      </c>
      <c r="U989" s="133">
        <v>0.924420677361854</v>
      </c>
      <c r="V989" s="133">
        <v>0.905090909090909</v>
      </c>
      <c r="W989" s="133">
        <v>0.916865552903739</v>
      </c>
      <c r="X989" s="133">
        <v>0.909872664130974</v>
      </c>
      <c r="Y989" s="135">
        <v>0.92</v>
      </c>
      <c r="Z989" s="135">
        <v>0</v>
      </c>
      <c r="AA989" s="135">
        <v>0</v>
      </c>
      <c r="AB989" s="135">
        <v>0</v>
      </c>
      <c r="AC989" s="135">
        <v>0</v>
      </c>
      <c r="AD989" s="135">
        <v>0.92</v>
      </c>
      <c r="AE989" s="133">
        <v>0.988005997001499</v>
      </c>
      <c r="AF989" s="133">
        <v>0.991293532338308</v>
      </c>
      <c r="AG989" s="133">
        <v>0.994824016563147</v>
      </c>
      <c r="AH989" s="133">
        <v>0.986101578586136</v>
      </c>
      <c r="AI989" s="135">
        <v>0.92</v>
      </c>
      <c r="AJ989" s="133">
        <v>0.946918418240114</v>
      </c>
      <c r="AK989" s="133">
        <v>0.944747364594693</v>
      </c>
      <c r="AL989" s="133">
        <v>0.949105367793241</v>
      </c>
      <c r="AM989" s="133">
        <v>0.952793336502491</v>
      </c>
      <c r="AN989" s="132">
        <v>0.99</v>
      </c>
      <c r="AO989" s="137">
        <v>1</v>
      </c>
      <c r="AP989" s="137">
        <v>1</v>
      </c>
      <c r="AQ989" s="137">
        <v>1</v>
      </c>
      <c r="AR989" s="137">
        <v>1</v>
      </c>
      <c r="AS989" s="158">
        <v>0.0656418488929858</v>
      </c>
      <c r="AT989" s="141">
        <v>0</v>
      </c>
      <c r="AU989" s="141">
        <v>0.0909090909090909</v>
      </c>
      <c r="AV989" s="141">
        <v>0</v>
      </c>
      <c r="AW989" s="141">
        <v>0.0674157303370786</v>
      </c>
      <c r="AX989" s="95"/>
      <c r="AY989" s="93"/>
    </row>
    <row r="990" ht="14.5" spans="1:51">
      <c r="A990" s="91"/>
      <c r="B990" s="95"/>
      <c r="C990" s="180" t="s">
        <v>927</v>
      </c>
      <c r="D990" s="181" t="s">
        <v>25</v>
      </c>
      <c r="E990" s="130" t="s">
        <v>928</v>
      </c>
      <c r="F990" s="188" t="s">
        <v>1019</v>
      </c>
      <c r="G990" s="189" t="s">
        <v>1019</v>
      </c>
      <c r="H990" s="189" t="s">
        <v>1019</v>
      </c>
      <c r="I990" s="189" t="s">
        <v>1019</v>
      </c>
      <c r="J990" s="132">
        <v>0.9</v>
      </c>
      <c r="K990" s="133">
        <v>0.9</v>
      </c>
      <c r="L990" s="133">
        <v>0.96551724137931</v>
      </c>
      <c r="M990" s="134">
        <v>0.931034482758621</v>
      </c>
      <c r="N990" s="133">
        <v>0.96039603960396</v>
      </c>
      <c r="O990" s="135">
        <v>0.9</v>
      </c>
      <c r="P990" s="133">
        <v>0.978249873545776</v>
      </c>
      <c r="Q990" s="133">
        <v>0.957991308546596</v>
      </c>
      <c r="R990" s="133">
        <v>0.964209401709402</v>
      </c>
      <c r="S990" s="133">
        <v>0.962779659054731</v>
      </c>
      <c r="T990" s="135">
        <v>0.9</v>
      </c>
      <c r="U990" s="133">
        <v>0.94436014162873</v>
      </c>
      <c r="V990" s="133">
        <v>0.895702559150169</v>
      </c>
      <c r="W990" s="133">
        <v>0.93482905982906</v>
      </c>
      <c r="X990" s="133">
        <v>0.933634337645799</v>
      </c>
      <c r="Y990" s="135">
        <v>0.92</v>
      </c>
      <c r="Z990" s="135">
        <v>0.862745098039216</v>
      </c>
      <c r="AA990" s="135">
        <v>0.85501066098081</v>
      </c>
      <c r="AB990" s="135">
        <v>0.850282485875706</v>
      </c>
      <c r="AC990" s="135">
        <v>0.898180029513035</v>
      </c>
      <c r="AD990" s="135">
        <v>0.92</v>
      </c>
      <c r="AE990" s="133">
        <v>0.991304347826087</v>
      </c>
      <c r="AF990" s="133">
        <v>1</v>
      </c>
      <c r="AG990" s="133">
        <v>0.991329479768786</v>
      </c>
      <c r="AH990" s="133">
        <v>0.983865371269951</v>
      </c>
      <c r="AI990" s="135">
        <v>0.92</v>
      </c>
      <c r="AJ990" s="133">
        <v>0.956574185765983</v>
      </c>
      <c r="AK990" s="133">
        <v>0.949212598425197</v>
      </c>
      <c r="AL990" s="133">
        <v>0.951482479784367</v>
      </c>
      <c r="AM990" s="133">
        <v>0.966077870964719</v>
      </c>
      <c r="AN990" s="132">
        <v>0.99</v>
      </c>
      <c r="AO990" s="137">
        <v>1</v>
      </c>
      <c r="AP990" s="137">
        <v>1</v>
      </c>
      <c r="AQ990" s="137">
        <v>1</v>
      </c>
      <c r="AR990" s="137">
        <v>1</v>
      </c>
      <c r="AS990" s="158">
        <v>0.0656418488929858</v>
      </c>
      <c r="AT990" s="141">
        <v>0</v>
      </c>
      <c r="AU990" s="141">
        <v>0.222222222222222</v>
      </c>
      <c r="AV990" s="141">
        <v>0</v>
      </c>
      <c r="AW990" s="141">
        <v>0.0462962962962963</v>
      </c>
      <c r="AX990" s="95"/>
      <c r="AY990" s="93"/>
    </row>
    <row r="991" ht="14.5" spans="1:51">
      <c r="A991" s="91"/>
      <c r="B991" s="95"/>
      <c r="C991" s="180" t="s">
        <v>927</v>
      </c>
      <c r="D991" s="181" t="s">
        <v>25</v>
      </c>
      <c r="E991" s="130" t="s">
        <v>928</v>
      </c>
      <c r="F991" s="184" t="s">
        <v>1020</v>
      </c>
      <c r="G991" s="185" t="s">
        <v>1020</v>
      </c>
      <c r="H991" s="185" t="s">
        <v>1020</v>
      </c>
      <c r="I991" s="185" t="s">
        <v>1020</v>
      </c>
      <c r="J991" s="132">
        <v>0.9</v>
      </c>
      <c r="K991" s="133">
        <v>0.857142857142857</v>
      </c>
      <c r="L991" s="133">
        <v>0.870967741935484</v>
      </c>
      <c r="M991" s="134">
        <v>0.875</v>
      </c>
      <c r="N991" s="133">
        <v>0.933913043478261</v>
      </c>
      <c r="O991" s="135">
        <v>0.9</v>
      </c>
      <c r="P991" s="133">
        <v>0.981240981240981</v>
      </c>
      <c r="Q991" s="133">
        <v>0.866978922716628</v>
      </c>
      <c r="R991" s="133">
        <v>0.975055432372506</v>
      </c>
      <c r="S991" s="133">
        <v>0.951306962757344</v>
      </c>
      <c r="T991" s="135">
        <v>0.9</v>
      </c>
      <c r="U991" s="133">
        <v>0.903799903799904</v>
      </c>
      <c r="V991" s="133">
        <v>0.883372365339578</v>
      </c>
      <c r="W991" s="133">
        <v>0.925720620842572</v>
      </c>
      <c r="X991" s="133">
        <v>0.910247513300948</v>
      </c>
      <c r="Y991" s="135">
        <v>0.92</v>
      </c>
      <c r="Z991" s="135">
        <v>0.377952755905512</v>
      </c>
      <c r="AA991" s="135">
        <v>0.256809338521401</v>
      </c>
      <c r="AB991" s="135">
        <v>0.485013623978202</v>
      </c>
      <c r="AC991" s="135">
        <v>0.380382479950648</v>
      </c>
      <c r="AD991" s="135">
        <v>0.92</v>
      </c>
      <c r="AE991" s="133">
        <v>1</v>
      </c>
      <c r="AF991" s="133">
        <v>0.991847826086957</v>
      </c>
      <c r="AG991" s="133">
        <v>0.987234042553191</v>
      </c>
      <c r="AH991" s="133">
        <v>0.982523631567377</v>
      </c>
      <c r="AI991" s="135">
        <v>0.92</v>
      </c>
      <c r="AJ991" s="133">
        <v>0.827986084267491</v>
      </c>
      <c r="AK991" s="133">
        <v>0.800302000755002</v>
      </c>
      <c r="AL991" s="133">
        <v>0.877936434822662</v>
      </c>
      <c r="AM991" s="133">
        <v>0.843752195807472</v>
      </c>
      <c r="AN991" s="132">
        <v>0.99</v>
      </c>
      <c r="AO991" s="137">
        <v>1</v>
      </c>
      <c r="AP991" s="137">
        <v>1</v>
      </c>
      <c r="AQ991" s="137">
        <v>1</v>
      </c>
      <c r="AR991" s="137">
        <v>1</v>
      </c>
      <c r="AS991" s="158">
        <v>0.0656418488929858</v>
      </c>
      <c r="AT991" s="141">
        <v>0</v>
      </c>
      <c r="AU991" s="141">
        <v>0</v>
      </c>
      <c r="AV991" s="141">
        <v>0</v>
      </c>
      <c r="AW991" s="141">
        <v>0.0602409638554217</v>
      </c>
      <c r="AX991" s="95"/>
      <c r="AY991" s="93"/>
    </row>
    <row r="992" ht="14.5" spans="1:51">
      <c r="A992" s="91"/>
      <c r="B992" s="95"/>
      <c r="C992" s="180" t="s">
        <v>927</v>
      </c>
      <c r="D992" s="181" t="s">
        <v>25</v>
      </c>
      <c r="E992" s="130" t="s">
        <v>928</v>
      </c>
      <c r="F992" s="188" t="s">
        <v>1021</v>
      </c>
      <c r="G992" s="189" t="s">
        <v>1021</v>
      </c>
      <c r="H992" s="189" t="s">
        <v>1021</v>
      </c>
      <c r="I992" s="189" t="s">
        <v>1021</v>
      </c>
      <c r="J992" s="132">
        <v>0.9</v>
      </c>
      <c r="K992" s="133">
        <v>0.928571428571429</v>
      </c>
      <c r="L992" s="133">
        <v>0.95</v>
      </c>
      <c r="M992" s="134">
        <v>0.975</v>
      </c>
      <c r="N992" s="133">
        <v>0.958448753462604</v>
      </c>
      <c r="O992" s="135">
        <v>0.9</v>
      </c>
      <c r="P992" s="133">
        <v>0.993276819643379</v>
      </c>
      <c r="Q992" s="133">
        <v>0.977043673012318</v>
      </c>
      <c r="R992" s="133">
        <v>0.985105749180816</v>
      </c>
      <c r="S992" s="133">
        <v>0.984757694826457</v>
      </c>
      <c r="T992" s="135">
        <v>0.9</v>
      </c>
      <c r="U992" s="133">
        <v>0.917860274773458</v>
      </c>
      <c r="V992" s="133">
        <v>0.91013437849944</v>
      </c>
      <c r="W992" s="133">
        <v>0.917783735478105</v>
      </c>
      <c r="X992" s="133">
        <v>0.917829076620825</v>
      </c>
      <c r="Y992" s="135">
        <v>0.92</v>
      </c>
      <c r="Z992" s="135">
        <v>0.858233369683751</v>
      </c>
      <c r="AA992" s="135">
        <v>0.86796785304248</v>
      </c>
      <c r="AB992" s="135">
        <v>0.912850812407681</v>
      </c>
      <c r="AC992" s="135">
        <v>0.90187400594703</v>
      </c>
      <c r="AD992" s="135">
        <v>0.92</v>
      </c>
      <c r="AE992" s="133">
        <v>0.988142292490119</v>
      </c>
      <c r="AF992" s="133">
        <v>0.995085995085995</v>
      </c>
      <c r="AG992" s="133">
        <v>0.998863636363636</v>
      </c>
      <c r="AH992" s="133">
        <v>0.989737010904426</v>
      </c>
      <c r="AI992" s="135">
        <v>0.92</v>
      </c>
      <c r="AJ992" s="133">
        <v>0.937759336099585</v>
      </c>
      <c r="AK992" s="133">
        <v>0.941706054467702</v>
      </c>
      <c r="AL992" s="133">
        <v>0.966038671294001</v>
      </c>
      <c r="AM992" s="133">
        <v>0.960647014441341</v>
      </c>
      <c r="AN992" s="132">
        <v>0.99</v>
      </c>
      <c r="AO992" s="137">
        <v>1</v>
      </c>
      <c r="AP992" s="137">
        <v>1</v>
      </c>
      <c r="AQ992" s="137">
        <v>1</v>
      </c>
      <c r="AR992" s="137">
        <v>1</v>
      </c>
      <c r="AS992" s="158">
        <v>0.0656418488929858</v>
      </c>
      <c r="AT992" s="141">
        <v>0.0526315789473684</v>
      </c>
      <c r="AU992" s="141">
        <v>0.0526315789473684</v>
      </c>
      <c r="AV992" s="141">
        <v>0</v>
      </c>
      <c r="AW992" s="141">
        <v>0.0317460317460317</v>
      </c>
      <c r="AX992" s="95"/>
      <c r="AY992" s="93"/>
    </row>
    <row r="993" ht="14.5" spans="1:51">
      <c r="A993" s="91"/>
      <c r="B993" s="95"/>
      <c r="C993" s="180" t="s">
        <v>927</v>
      </c>
      <c r="D993" s="181" t="s">
        <v>25</v>
      </c>
      <c r="E993" s="130" t="s">
        <v>928</v>
      </c>
      <c r="F993" s="192" t="s">
        <v>1022</v>
      </c>
      <c r="G993" s="193" t="s">
        <v>1022</v>
      </c>
      <c r="H993" s="193" t="s">
        <v>1022</v>
      </c>
      <c r="I993" s="193" t="s">
        <v>1022</v>
      </c>
      <c r="J993" s="132">
        <v>0.9</v>
      </c>
      <c r="K993" s="133">
        <v>1</v>
      </c>
      <c r="L993" s="133">
        <v>0.939393939393939</v>
      </c>
      <c r="M993" s="134">
        <v>0.914285714285714</v>
      </c>
      <c r="N993" s="133">
        <v>0.932231404958678</v>
      </c>
      <c r="O993" s="135">
        <v>0.9</v>
      </c>
      <c r="P993" s="133">
        <v>0.984719260838664</v>
      </c>
      <c r="Q993" s="133">
        <v>0.977698128235763</v>
      </c>
      <c r="R993" s="133">
        <v>0.984732824427481</v>
      </c>
      <c r="S993" s="133">
        <v>0.982238399268055</v>
      </c>
      <c r="T993" s="135">
        <v>0.9</v>
      </c>
      <c r="U993" s="133">
        <v>0.939232409381663</v>
      </c>
      <c r="V993" s="133">
        <v>0.939864595778574</v>
      </c>
      <c r="W993" s="133">
        <v>0.946564885496183</v>
      </c>
      <c r="X993" s="133">
        <v>0.942379219126042</v>
      </c>
      <c r="Y993" s="135">
        <v>0.92</v>
      </c>
      <c r="Z993" s="135">
        <v>0.93006993006993</v>
      </c>
      <c r="AA993" s="135">
        <v>0.948571428571429</v>
      </c>
      <c r="AB993" s="135">
        <v>0.952145214521452</v>
      </c>
      <c r="AC993" s="135">
        <v>0.945255173550994</v>
      </c>
      <c r="AD993" s="135">
        <v>0.92</v>
      </c>
      <c r="AE993" s="133">
        <v>0.986486486486487</v>
      </c>
      <c r="AF993" s="133">
        <v>0.85069008782936</v>
      </c>
      <c r="AG993" s="133">
        <v>0.957362534948742</v>
      </c>
      <c r="AH993" s="133">
        <v>0.946621766855341</v>
      </c>
      <c r="AI993" s="135">
        <v>0.92</v>
      </c>
      <c r="AJ993" s="133">
        <v>0.960530373111317</v>
      </c>
      <c r="AK993" s="133">
        <v>0.968103957471943</v>
      </c>
      <c r="AL993" s="133">
        <v>0.976764968722073</v>
      </c>
      <c r="AM993" s="133">
        <v>0.97204108118501</v>
      </c>
      <c r="AN993" s="132">
        <v>0.99</v>
      </c>
      <c r="AO993" s="137">
        <v>1</v>
      </c>
      <c r="AP993" s="137">
        <v>1</v>
      </c>
      <c r="AQ993" s="137">
        <v>1</v>
      </c>
      <c r="AR993" s="137">
        <v>1</v>
      </c>
      <c r="AS993" s="158">
        <v>0.0656418488929858</v>
      </c>
      <c r="AT993" s="141">
        <v>0.0285714285714286</v>
      </c>
      <c r="AU993" s="141">
        <v>0.0789473684210526</v>
      </c>
      <c r="AV993" s="141">
        <v>0.0731707317073171</v>
      </c>
      <c r="AW993" s="141">
        <v>0.038863976083707</v>
      </c>
      <c r="AX993" s="95"/>
      <c r="AY993" s="93"/>
    </row>
    <row r="994" ht="14.5" spans="1:51">
      <c r="A994" s="91"/>
      <c r="B994" s="95"/>
      <c r="C994" s="180" t="s">
        <v>927</v>
      </c>
      <c r="D994" s="181" t="s">
        <v>25</v>
      </c>
      <c r="E994" s="130" t="s">
        <v>928</v>
      </c>
      <c r="F994" s="182" t="s">
        <v>1023</v>
      </c>
      <c r="G994" s="183" t="s">
        <v>1023</v>
      </c>
      <c r="H994" s="183" t="s">
        <v>1023</v>
      </c>
      <c r="I994" s="183" t="s">
        <v>1023</v>
      </c>
      <c r="J994" s="132">
        <v>0.9</v>
      </c>
      <c r="K994" s="133">
        <v>0.761904761904762</v>
      </c>
      <c r="L994" s="133">
        <v>0.904761904761905</v>
      </c>
      <c r="M994" s="134">
        <v>0.863636363636364</v>
      </c>
      <c r="N994" s="133">
        <v>0.852861035422343</v>
      </c>
      <c r="O994" s="135">
        <v>0.9</v>
      </c>
      <c r="P994" s="133">
        <v>0.970773638968481</v>
      </c>
      <c r="Q994" s="133">
        <v>0.844262295081967</v>
      </c>
      <c r="R994" s="133">
        <v>0.877968337730871</v>
      </c>
      <c r="S994" s="133">
        <v>0.877512674158897</v>
      </c>
      <c r="T994" s="135">
        <v>0.9</v>
      </c>
      <c r="U994" s="133">
        <v>0.893409742120344</v>
      </c>
      <c r="V994" s="133">
        <v>0.897540983606557</v>
      </c>
      <c r="W994" s="133">
        <v>0.895118733509235</v>
      </c>
      <c r="X994" s="133">
        <v>0.900343886269366</v>
      </c>
      <c r="Y994" s="135">
        <v>0.92</v>
      </c>
      <c r="Z994" s="135">
        <v>0.684824902723735</v>
      </c>
      <c r="AA994" s="135">
        <v>0.614173228346457</v>
      </c>
      <c r="AB994" s="135">
        <v>0.764872521246459</v>
      </c>
      <c r="AC994" s="135">
        <v>0.7369813422445</v>
      </c>
      <c r="AD994" s="135">
        <v>0.92</v>
      </c>
      <c r="AE994" s="133">
        <v>0.995515695067265</v>
      </c>
      <c r="AF994" s="133">
        <v>0.989051094890511</v>
      </c>
      <c r="AG994" s="133">
        <v>0.965598123534011</v>
      </c>
      <c r="AH994" s="133">
        <v>0.893149749658625</v>
      </c>
      <c r="AI994" s="135">
        <v>0.92</v>
      </c>
      <c r="AJ994" s="133">
        <v>0.906593406593407</v>
      </c>
      <c r="AK994" s="133">
        <v>0.86815415821501</v>
      </c>
      <c r="AL994" s="133">
        <v>0.933654360620653</v>
      </c>
      <c r="AM994" s="133">
        <v>0.922322690025431</v>
      </c>
      <c r="AN994" s="132">
        <v>0.99</v>
      </c>
      <c r="AO994" s="137">
        <v>1</v>
      </c>
      <c r="AP994" s="137">
        <v>1</v>
      </c>
      <c r="AQ994" s="137">
        <v>1</v>
      </c>
      <c r="AR994" s="137">
        <v>1</v>
      </c>
      <c r="AS994" s="158">
        <v>0.0656418488929858</v>
      </c>
      <c r="AT994" s="141">
        <v>0</v>
      </c>
      <c r="AU994" s="141">
        <v>0.0555555555555556</v>
      </c>
      <c r="AV994" s="141">
        <v>0.0769230769230769</v>
      </c>
      <c r="AW994" s="141">
        <v>0.0425531914893617</v>
      </c>
      <c r="AX994" s="95"/>
      <c r="AY994" s="93"/>
    </row>
    <row r="995" ht="14.5" spans="1:51">
      <c r="A995" s="91"/>
      <c r="B995" s="95"/>
      <c r="C995" s="180" t="s">
        <v>927</v>
      </c>
      <c r="D995" s="181" t="s">
        <v>25</v>
      </c>
      <c r="E995" s="130" t="s">
        <v>928</v>
      </c>
      <c r="F995" s="182" t="s">
        <v>1024</v>
      </c>
      <c r="G995" s="183" t="s">
        <v>1024</v>
      </c>
      <c r="H995" s="183" t="s">
        <v>1024</v>
      </c>
      <c r="I995" s="183" t="s">
        <v>1024</v>
      </c>
      <c r="J995" s="132">
        <v>0.9</v>
      </c>
      <c r="K995" s="133">
        <v>1</v>
      </c>
      <c r="L995" s="133">
        <v>0.777777777777778</v>
      </c>
      <c r="M995" s="134">
        <v>0.894736842105263</v>
      </c>
      <c r="N995" s="133">
        <v>0.914454277286136</v>
      </c>
      <c r="O995" s="135">
        <v>0.9</v>
      </c>
      <c r="P995" s="133">
        <v>0.96514745308311</v>
      </c>
      <c r="Q995" s="133">
        <v>0.979256080114449</v>
      </c>
      <c r="R995" s="133">
        <v>0.96893063583815</v>
      </c>
      <c r="S995" s="133">
        <v>0.944273788442774</v>
      </c>
      <c r="T995" s="135">
        <v>0.9</v>
      </c>
      <c r="U995" s="133">
        <v>0.917560321715818</v>
      </c>
      <c r="V995" s="133">
        <v>0.819742489270386</v>
      </c>
      <c r="W995" s="133">
        <v>0.932080924855491</v>
      </c>
      <c r="X995" s="133">
        <v>0.911206678472047</v>
      </c>
      <c r="Y995" s="135">
        <v>0.92</v>
      </c>
      <c r="Z995" s="135">
        <v>0.862962962962963</v>
      </c>
      <c r="AA995" s="135">
        <v>0.890625</v>
      </c>
      <c r="AB995" s="135">
        <v>0.887820512820513</v>
      </c>
      <c r="AC995" s="135">
        <v>0.918685645063598</v>
      </c>
      <c r="AD995" s="135">
        <v>0.92</v>
      </c>
      <c r="AE995" s="133">
        <v>0.993920972644377</v>
      </c>
      <c r="AF995" s="133">
        <v>0.873255813953488</v>
      </c>
      <c r="AG995" s="133">
        <v>0.732590529247911</v>
      </c>
      <c r="AH995" s="133">
        <v>0.802904351395731</v>
      </c>
      <c r="AI995" s="135">
        <v>0.92</v>
      </c>
      <c r="AJ995" s="133">
        <v>0.941576857629041</v>
      </c>
      <c r="AK995" s="133">
        <v>0.913914455874391</v>
      </c>
      <c r="AL995" s="133">
        <v>0.949911608721273</v>
      </c>
      <c r="AM995" s="133">
        <v>0.957256982914456</v>
      </c>
      <c r="AN995" s="132">
        <v>0.99</v>
      </c>
      <c r="AO995" s="137">
        <v>1</v>
      </c>
      <c r="AP995" s="137">
        <v>1</v>
      </c>
      <c r="AQ995" s="137">
        <v>1</v>
      </c>
      <c r="AR995" s="137">
        <v>1</v>
      </c>
      <c r="AS995" s="158">
        <v>0.0656418488929858</v>
      </c>
      <c r="AT995" s="141">
        <v>0.0434782608695652</v>
      </c>
      <c r="AU995" s="141">
        <v>0</v>
      </c>
      <c r="AV995" s="141">
        <v>0</v>
      </c>
      <c r="AW995" s="141">
        <v>0.0372208436724566</v>
      </c>
      <c r="AX995" s="95"/>
      <c r="AY995" s="93"/>
    </row>
    <row r="996" ht="14.5" spans="1:51">
      <c r="A996" s="91"/>
      <c r="B996" s="95"/>
      <c r="C996" s="180" t="s">
        <v>927</v>
      </c>
      <c r="D996" s="181" t="s">
        <v>25</v>
      </c>
      <c r="E996" s="130" t="s">
        <v>928</v>
      </c>
      <c r="F996" s="192" t="s">
        <v>1025</v>
      </c>
      <c r="G996" s="193" t="s">
        <v>1025</v>
      </c>
      <c r="H996" s="193" t="s">
        <v>1025</v>
      </c>
      <c r="I996" s="193" t="s">
        <v>1025</v>
      </c>
      <c r="J996" s="132">
        <v>0.9</v>
      </c>
      <c r="K996" s="133">
        <v>0.9</v>
      </c>
      <c r="L996" s="133">
        <v>0.7</v>
      </c>
      <c r="M996" s="134">
        <v>0.888888888888889</v>
      </c>
      <c r="N996" s="133">
        <v>0.772727272727273</v>
      </c>
      <c r="O996" s="135">
        <v>0.9</v>
      </c>
      <c r="P996" s="133">
        <v>0.933933933933934</v>
      </c>
      <c r="Q996" s="133">
        <v>0.958530805687204</v>
      </c>
      <c r="R996" s="133">
        <v>0.929608938547486</v>
      </c>
      <c r="S996" s="133">
        <v>0.944382989183874</v>
      </c>
      <c r="T996" s="135">
        <v>0.9</v>
      </c>
      <c r="U996" s="133">
        <v>0.785785785785786</v>
      </c>
      <c r="V996" s="133">
        <v>0.919431279620853</v>
      </c>
      <c r="W996" s="133">
        <v>0.922905027932961</v>
      </c>
      <c r="X996" s="133">
        <v>0.913962635201573</v>
      </c>
      <c r="Y996" s="135">
        <v>0.92</v>
      </c>
      <c r="Z996" s="135">
        <v>0.924812030075188</v>
      </c>
      <c r="AA996" s="135">
        <v>0.926573426573427</v>
      </c>
      <c r="AB996" s="135">
        <v>0.957805907172996</v>
      </c>
      <c r="AC996" s="135">
        <v>0.895238095238095</v>
      </c>
      <c r="AD996" s="135">
        <v>0.92</v>
      </c>
      <c r="AE996" s="133">
        <v>0.931034482758621</v>
      </c>
      <c r="AF996" s="133">
        <v>0.993227990970655</v>
      </c>
      <c r="AG996" s="133">
        <v>0.901442307692308</v>
      </c>
      <c r="AH996" s="133">
        <v>0.874842608914631</v>
      </c>
      <c r="AI996" s="135">
        <v>0.92</v>
      </c>
      <c r="AJ996" s="133">
        <v>0.933745583038869</v>
      </c>
      <c r="AK996" s="133">
        <v>0.954867256637168</v>
      </c>
      <c r="AL996" s="133">
        <v>0.964695498676081</v>
      </c>
      <c r="AM996" s="133">
        <v>0.954597048808173</v>
      </c>
      <c r="AN996" s="132">
        <v>0.99</v>
      </c>
      <c r="AO996" s="137">
        <v>1</v>
      </c>
      <c r="AP996" s="137">
        <v>1</v>
      </c>
      <c r="AQ996" s="137">
        <v>1</v>
      </c>
      <c r="AR996" s="137">
        <v>1</v>
      </c>
      <c r="AS996" s="158">
        <v>0.0656418488929858</v>
      </c>
      <c r="AT996" s="141">
        <v>0</v>
      </c>
      <c r="AU996" s="141">
        <v>0</v>
      </c>
      <c r="AV996" s="141">
        <v>0.05</v>
      </c>
      <c r="AW996" s="141">
        <v>0.0327102803738318</v>
      </c>
      <c r="AX996" s="95"/>
      <c r="AY996" s="93"/>
    </row>
    <row r="997" ht="14.5" spans="1:51">
      <c r="A997" s="91"/>
      <c r="B997" s="95"/>
      <c r="C997" s="180" t="s">
        <v>927</v>
      </c>
      <c r="D997" s="181" t="s">
        <v>125</v>
      </c>
      <c r="E997" s="130" t="s">
        <v>928</v>
      </c>
      <c r="F997" s="182" t="s">
        <v>1026</v>
      </c>
      <c r="G997" s="183" t="s">
        <v>1026</v>
      </c>
      <c r="H997" s="183" t="s">
        <v>1026</v>
      </c>
      <c r="I997" s="183" t="s">
        <v>1026</v>
      </c>
      <c r="J997" s="132">
        <v>0.9</v>
      </c>
      <c r="K997" s="133" t="s">
        <v>35</v>
      </c>
      <c r="L997" s="133" t="s">
        <v>35</v>
      </c>
      <c r="M997" s="134" t="s">
        <v>35</v>
      </c>
      <c r="N997" s="133" t="s">
        <v>35</v>
      </c>
      <c r="O997" s="135">
        <v>0.9</v>
      </c>
      <c r="P997" s="133" t="s">
        <v>35</v>
      </c>
      <c r="Q997" s="133" t="s">
        <v>35</v>
      </c>
      <c r="R997" s="133">
        <v>0</v>
      </c>
      <c r="S997" s="133">
        <v>0</v>
      </c>
      <c r="T997" s="135">
        <v>0.9</v>
      </c>
      <c r="U997" s="133" t="s">
        <v>35</v>
      </c>
      <c r="V997" s="133" t="s">
        <v>35</v>
      </c>
      <c r="W997" s="133">
        <v>0.5</v>
      </c>
      <c r="X997" s="133">
        <v>0.666666666666667</v>
      </c>
      <c r="Y997" s="135">
        <v>0.92</v>
      </c>
      <c r="Z997" s="135" t="s">
        <v>35</v>
      </c>
      <c r="AA997" s="135" t="s">
        <v>35</v>
      </c>
      <c r="AB997" s="135" t="s">
        <v>35</v>
      </c>
      <c r="AC997" s="135" t="s">
        <v>35</v>
      </c>
      <c r="AD997" s="135">
        <v>0.92</v>
      </c>
      <c r="AE997" s="133">
        <v>0.885135135135135</v>
      </c>
      <c r="AF997" s="133">
        <v>0.808411214953271</v>
      </c>
      <c r="AG997" s="133">
        <v>0.840449438202247</v>
      </c>
      <c r="AH997" s="133">
        <v>0.77082102776137</v>
      </c>
      <c r="AI997" s="135">
        <v>0.92</v>
      </c>
      <c r="AJ997" s="133" t="s">
        <v>35</v>
      </c>
      <c r="AK997" s="133" t="s">
        <v>35</v>
      </c>
      <c r="AL997" s="133">
        <v>0.5</v>
      </c>
      <c r="AM997" s="133">
        <v>0.833333333333333</v>
      </c>
      <c r="AN997" s="132">
        <v>0.99</v>
      </c>
      <c r="AO997" s="137">
        <v>1</v>
      </c>
      <c r="AP997" s="137">
        <v>1</v>
      </c>
      <c r="AQ997" s="137">
        <v>1</v>
      </c>
      <c r="AR997" s="137">
        <v>1</v>
      </c>
      <c r="AS997" s="158">
        <v>0.0656418488929858</v>
      </c>
      <c r="AT997" s="141" t="s">
        <v>35</v>
      </c>
      <c r="AU997" s="141" t="s">
        <v>35</v>
      </c>
      <c r="AV997" s="141" t="s">
        <v>35</v>
      </c>
      <c r="AW997" s="141" t="s">
        <v>35</v>
      </c>
      <c r="AX997" s="95"/>
      <c r="AY997" s="93"/>
    </row>
    <row r="998" ht="14.5" spans="1:51">
      <c r="A998" s="91"/>
      <c r="B998" s="95"/>
      <c r="C998" s="180" t="s">
        <v>927</v>
      </c>
      <c r="D998" s="181" t="s">
        <v>25</v>
      </c>
      <c r="E998" s="130" t="s">
        <v>928</v>
      </c>
      <c r="F998" s="182" t="s">
        <v>1027</v>
      </c>
      <c r="G998" s="183" t="s">
        <v>1027</v>
      </c>
      <c r="H998" s="183" t="s">
        <v>1027</v>
      </c>
      <c r="I998" s="183" t="s">
        <v>1027</v>
      </c>
      <c r="J998" s="132">
        <v>0.9</v>
      </c>
      <c r="K998" s="133">
        <v>0.818181818181818</v>
      </c>
      <c r="L998" s="133">
        <v>0.727272727272727</v>
      </c>
      <c r="M998" s="134">
        <v>0.911764705882353</v>
      </c>
      <c r="N998" s="133">
        <v>0.841071428571429</v>
      </c>
      <c r="O998" s="135">
        <v>0.9</v>
      </c>
      <c r="P998" s="133">
        <v>0.937225360954175</v>
      </c>
      <c r="Q998" s="133">
        <v>0.96095988538682</v>
      </c>
      <c r="R998" s="133">
        <v>0.965641952983725</v>
      </c>
      <c r="S998" s="133">
        <v>0.940906980968334</v>
      </c>
      <c r="T998" s="135">
        <v>0.9</v>
      </c>
      <c r="U998" s="133">
        <v>0.84902699309479</v>
      </c>
      <c r="V998" s="133">
        <v>0.872851002865329</v>
      </c>
      <c r="W998" s="133">
        <v>0.877396021699819</v>
      </c>
      <c r="X998" s="133">
        <v>0.870774384952269</v>
      </c>
      <c r="Y998" s="135">
        <v>0.92</v>
      </c>
      <c r="Z998" s="135">
        <v>0.881496881496882</v>
      </c>
      <c r="AA998" s="135">
        <v>0.791708796764409</v>
      </c>
      <c r="AB998" s="135">
        <v>0.915328467153285</v>
      </c>
      <c r="AC998" s="135">
        <v>0.890430541540531</v>
      </c>
      <c r="AD998" s="135">
        <v>0.92</v>
      </c>
      <c r="AE998" s="133">
        <v>0.994975972040192</v>
      </c>
      <c r="AF998" s="133">
        <v>0.899161019683769</v>
      </c>
      <c r="AG998" s="133">
        <v>0.899253731343284</v>
      </c>
      <c r="AH998" s="133">
        <v>0.922734560734229</v>
      </c>
      <c r="AI998" s="135">
        <v>0.92</v>
      </c>
      <c r="AJ998" s="133">
        <v>0.911917098445596</v>
      </c>
      <c r="AK998" s="133">
        <v>0.897171556965371</v>
      </c>
      <c r="AL998" s="133">
        <v>0.949059334298119</v>
      </c>
      <c r="AM998" s="133">
        <v>0.940257502357187</v>
      </c>
      <c r="AN998" s="132">
        <v>0.99</v>
      </c>
      <c r="AO998" s="137">
        <v>1</v>
      </c>
      <c r="AP998" s="137">
        <v>1</v>
      </c>
      <c r="AQ998" s="137">
        <v>1</v>
      </c>
      <c r="AR998" s="137">
        <v>1</v>
      </c>
      <c r="AS998" s="158">
        <v>0.0656418488929858</v>
      </c>
      <c r="AT998" s="141">
        <v>0.0465116279069767</v>
      </c>
      <c r="AU998" s="141">
        <v>0.0588235294117647</v>
      </c>
      <c r="AV998" s="141">
        <v>0.0833333333333333</v>
      </c>
      <c r="AW998" s="141">
        <v>0.0368794326241135</v>
      </c>
      <c r="AX998" s="95"/>
      <c r="AY998" s="93"/>
    </row>
    <row r="999" ht="14.5" spans="1:51">
      <c r="A999" s="91"/>
      <c r="B999" s="95"/>
      <c r="C999" s="180" t="s">
        <v>927</v>
      </c>
      <c r="D999" s="181" t="s">
        <v>125</v>
      </c>
      <c r="E999" s="130" t="s">
        <v>928</v>
      </c>
      <c r="F999" s="182" t="s">
        <v>1028</v>
      </c>
      <c r="G999" s="183" t="s">
        <v>1028</v>
      </c>
      <c r="H999" s="183" t="s">
        <v>1028</v>
      </c>
      <c r="I999" s="183" t="s">
        <v>1028</v>
      </c>
      <c r="J999" s="132">
        <v>0.9</v>
      </c>
      <c r="K999" s="133" t="s">
        <v>35</v>
      </c>
      <c r="L999" s="133" t="s">
        <v>35</v>
      </c>
      <c r="M999" s="134" t="s">
        <v>35</v>
      </c>
      <c r="N999" s="133" t="s">
        <v>35</v>
      </c>
      <c r="O999" s="135">
        <v>0.9</v>
      </c>
      <c r="P999" s="133" t="s">
        <v>35</v>
      </c>
      <c r="Q999" s="133" t="s">
        <v>35</v>
      </c>
      <c r="R999" s="133" t="s">
        <v>35</v>
      </c>
      <c r="S999" s="133">
        <v>0</v>
      </c>
      <c r="T999" s="135">
        <v>0.9</v>
      </c>
      <c r="U999" s="133" t="s">
        <v>35</v>
      </c>
      <c r="V999" s="133" t="s">
        <v>35</v>
      </c>
      <c r="W999" s="133" t="s">
        <v>35</v>
      </c>
      <c r="X999" s="133">
        <v>1</v>
      </c>
      <c r="Y999" s="135">
        <v>0.92</v>
      </c>
      <c r="Z999" s="135" t="s">
        <v>35</v>
      </c>
      <c r="AA999" s="135" t="s">
        <v>35</v>
      </c>
      <c r="AB999" s="135" t="s">
        <v>35</v>
      </c>
      <c r="AC999" s="135" t="s">
        <v>35</v>
      </c>
      <c r="AD999" s="135">
        <v>0.92</v>
      </c>
      <c r="AE999" s="133">
        <v>1</v>
      </c>
      <c r="AF999" s="133">
        <v>0.804597701149425</v>
      </c>
      <c r="AG999" s="133">
        <v>0.907284768211921</v>
      </c>
      <c r="AH999" s="133">
        <v>0.893159108378171</v>
      </c>
      <c r="AI999" s="135">
        <v>0.92</v>
      </c>
      <c r="AJ999" s="133" t="s">
        <v>35</v>
      </c>
      <c r="AK999" s="133" t="s">
        <v>35</v>
      </c>
      <c r="AL999" s="133" t="s">
        <v>35</v>
      </c>
      <c r="AM999" s="133">
        <v>1</v>
      </c>
      <c r="AN999" s="132">
        <v>0.99</v>
      </c>
      <c r="AO999" s="137" t="s">
        <v>35</v>
      </c>
      <c r="AP999" s="137" t="s">
        <v>35</v>
      </c>
      <c r="AQ999" s="137">
        <v>1</v>
      </c>
      <c r="AR999" s="137">
        <v>1</v>
      </c>
      <c r="AS999" s="158">
        <v>0.0656418488929858</v>
      </c>
      <c r="AT999" s="141" t="s">
        <v>35</v>
      </c>
      <c r="AU999" s="141" t="s">
        <v>35</v>
      </c>
      <c r="AV999" s="141" t="s">
        <v>35</v>
      </c>
      <c r="AW999" s="141" t="s">
        <v>35</v>
      </c>
      <c r="AX999" s="95"/>
      <c r="AY999" s="93"/>
    </row>
    <row r="1000" ht="14.5" spans="1:51">
      <c r="A1000" s="91"/>
      <c r="B1000" s="95"/>
      <c r="C1000" s="180" t="s">
        <v>927</v>
      </c>
      <c r="D1000" s="181" t="s">
        <v>25</v>
      </c>
      <c r="E1000" s="130" t="s">
        <v>928</v>
      </c>
      <c r="F1000" s="182" t="s">
        <v>1029</v>
      </c>
      <c r="G1000" s="183" t="s">
        <v>1029</v>
      </c>
      <c r="H1000" s="183" t="s">
        <v>1029</v>
      </c>
      <c r="I1000" s="183" t="s">
        <v>1029</v>
      </c>
      <c r="J1000" s="132">
        <v>0.9</v>
      </c>
      <c r="K1000" s="133" t="s">
        <v>35</v>
      </c>
      <c r="L1000" s="133" t="s">
        <v>35</v>
      </c>
      <c r="M1000" s="134" t="s">
        <v>35</v>
      </c>
      <c r="N1000" s="133">
        <v>1</v>
      </c>
      <c r="O1000" s="135">
        <v>0.9</v>
      </c>
      <c r="P1000" s="133">
        <v>0</v>
      </c>
      <c r="Q1000" s="133">
        <v>0.00460829493087558</v>
      </c>
      <c r="R1000" s="133">
        <v>0</v>
      </c>
      <c r="S1000" s="133">
        <v>0.292164674634794</v>
      </c>
      <c r="T1000" s="135">
        <v>0.9</v>
      </c>
      <c r="U1000" s="133">
        <v>1</v>
      </c>
      <c r="V1000" s="133">
        <v>1</v>
      </c>
      <c r="W1000" s="133">
        <v>1</v>
      </c>
      <c r="X1000" s="133">
        <v>0.963313413014608</v>
      </c>
      <c r="Y1000" s="135">
        <v>0.92</v>
      </c>
      <c r="Z1000" s="135">
        <v>1</v>
      </c>
      <c r="AA1000" s="135">
        <v>1</v>
      </c>
      <c r="AB1000" s="135">
        <v>1</v>
      </c>
      <c r="AC1000" s="135">
        <v>0.961740435108777</v>
      </c>
      <c r="AD1000" s="135">
        <v>0.92</v>
      </c>
      <c r="AE1000" s="133">
        <v>1</v>
      </c>
      <c r="AF1000" s="133">
        <v>0.583333333333333</v>
      </c>
      <c r="AG1000" s="133">
        <v>0.981818181818182</v>
      </c>
      <c r="AH1000" s="133">
        <v>0.953076849763319</v>
      </c>
      <c r="AI1000" s="135">
        <v>0.92</v>
      </c>
      <c r="AJ1000" s="133">
        <v>1</v>
      </c>
      <c r="AK1000" s="133">
        <v>1</v>
      </c>
      <c r="AL1000" s="133">
        <v>1</v>
      </c>
      <c r="AM1000" s="133">
        <v>0.982396750169262</v>
      </c>
      <c r="AN1000" s="132">
        <v>0.99</v>
      </c>
      <c r="AO1000" s="137">
        <v>1</v>
      </c>
      <c r="AP1000" s="137" t="s">
        <v>35</v>
      </c>
      <c r="AQ1000" s="137" t="s">
        <v>35</v>
      </c>
      <c r="AR1000" s="137">
        <v>1</v>
      </c>
      <c r="AS1000" s="158">
        <v>0.0656418488929858</v>
      </c>
      <c r="AT1000" s="141" t="s">
        <v>35</v>
      </c>
      <c r="AU1000" s="141" t="s">
        <v>35</v>
      </c>
      <c r="AV1000" s="141" t="s">
        <v>35</v>
      </c>
      <c r="AW1000" s="141">
        <v>0.0454545454545455</v>
      </c>
      <c r="AX1000" s="95"/>
      <c r="AY1000" s="93"/>
    </row>
    <row r="1001" ht="14.5" spans="1:51">
      <c r="A1001" s="91"/>
      <c r="B1001" s="95"/>
      <c r="C1001" s="180" t="s">
        <v>927</v>
      </c>
      <c r="D1001" s="181" t="s">
        <v>25</v>
      </c>
      <c r="E1001" s="130" t="s">
        <v>928</v>
      </c>
      <c r="F1001" s="182" t="s">
        <v>1030</v>
      </c>
      <c r="G1001" s="183" t="s">
        <v>1030</v>
      </c>
      <c r="H1001" s="183" t="s">
        <v>1030</v>
      </c>
      <c r="I1001" s="183" t="s">
        <v>1030</v>
      </c>
      <c r="J1001" s="132">
        <v>0.9</v>
      </c>
      <c r="K1001" s="133">
        <v>1</v>
      </c>
      <c r="L1001" s="133">
        <v>0.882352941176471</v>
      </c>
      <c r="M1001" s="134">
        <v>0.888888888888889</v>
      </c>
      <c r="N1001" s="133">
        <v>0.946540880503145</v>
      </c>
      <c r="O1001" s="135">
        <v>0.9</v>
      </c>
      <c r="P1001" s="133">
        <v>0.807009952401558</v>
      </c>
      <c r="Q1001" s="133">
        <v>0.84135833755702</v>
      </c>
      <c r="R1001" s="133">
        <v>0.787353629976581</v>
      </c>
      <c r="S1001" s="133">
        <v>0.846071073090684</v>
      </c>
      <c r="T1001" s="135">
        <v>0.9</v>
      </c>
      <c r="U1001" s="133">
        <v>0.89225443530939</v>
      </c>
      <c r="V1001" s="133">
        <v>0.931069437404967</v>
      </c>
      <c r="W1001" s="133">
        <v>0.927868852459016</v>
      </c>
      <c r="X1001" s="133">
        <v>0.921851881742125</v>
      </c>
      <c r="Y1001" s="135">
        <v>0.92</v>
      </c>
      <c r="Z1001" s="135">
        <v>0.924479166666667</v>
      </c>
      <c r="AA1001" s="135">
        <v>0.913312693498452</v>
      </c>
      <c r="AB1001" s="135">
        <v>0.893518518518518</v>
      </c>
      <c r="AC1001" s="135">
        <v>0.929165281010974</v>
      </c>
      <c r="AD1001" s="135">
        <v>0.92</v>
      </c>
      <c r="AE1001" s="133">
        <v>0.988297013720743</v>
      </c>
      <c r="AF1001" s="133">
        <v>0.986000325573824</v>
      </c>
      <c r="AG1001" s="133">
        <v>0.962957881739608</v>
      </c>
      <c r="AH1001" s="133">
        <v>0.972456902449035</v>
      </c>
      <c r="AI1001" s="135">
        <v>0.92</v>
      </c>
      <c r="AJ1001" s="133">
        <v>0.954410674573758</v>
      </c>
      <c r="AK1001" s="133">
        <v>0.955377574370709</v>
      </c>
      <c r="AL1001" s="133">
        <v>0.968859478396263</v>
      </c>
      <c r="AM1001" s="133">
        <v>0.96691248026643</v>
      </c>
      <c r="AN1001" s="132">
        <v>0.99</v>
      </c>
      <c r="AO1001" s="137">
        <v>1</v>
      </c>
      <c r="AP1001" s="137">
        <v>1</v>
      </c>
      <c r="AQ1001" s="137">
        <v>1</v>
      </c>
      <c r="AR1001" s="137">
        <v>1</v>
      </c>
      <c r="AS1001" s="158">
        <v>0.0656418488929858</v>
      </c>
      <c r="AT1001" s="141">
        <v>0.0169491525423729</v>
      </c>
      <c r="AU1001" s="141">
        <v>0.0434782608695652</v>
      </c>
      <c r="AV1001" s="141">
        <v>0.024390243902439</v>
      </c>
      <c r="AW1001" s="141">
        <v>0.0276008492569002</v>
      </c>
      <c r="AX1001" s="95"/>
      <c r="AY1001" s="93"/>
    </row>
    <row r="1002" ht="14.5" spans="1:51">
      <c r="A1002" s="91"/>
      <c r="B1002" s="95"/>
      <c r="C1002" s="180" t="s">
        <v>927</v>
      </c>
      <c r="D1002" s="181" t="s">
        <v>125</v>
      </c>
      <c r="E1002" s="130" t="s">
        <v>928</v>
      </c>
      <c r="F1002" s="192" t="s">
        <v>1031</v>
      </c>
      <c r="G1002" s="193" t="s">
        <v>1031</v>
      </c>
      <c r="H1002" s="193" t="s">
        <v>1031</v>
      </c>
      <c r="I1002" s="193" t="s">
        <v>1031</v>
      </c>
      <c r="J1002" s="132">
        <v>0.9</v>
      </c>
      <c r="K1002" s="133" t="s">
        <v>35</v>
      </c>
      <c r="L1002" s="133" t="s">
        <v>35</v>
      </c>
      <c r="M1002" s="134" t="s">
        <v>35</v>
      </c>
      <c r="N1002" s="133" t="s">
        <v>35</v>
      </c>
      <c r="O1002" s="135">
        <v>0.9</v>
      </c>
      <c r="P1002" s="133" t="s">
        <v>35</v>
      </c>
      <c r="Q1002" s="133" t="s">
        <v>35</v>
      </c>
      <c r="R1002" s="133" t="s">
        <v>35</v>
      </c>
      <c r="S1002" s="133">
        <v>0</v>
      </c>
      <c r="T1002" s="135">
        <v>0.9</v>
      </c>
      <c r="U1002" s="133" t="s">
        <v>35</v>
      </c>
      <c r="V1002" s="133" t="s">
        <v>35</v>
      </c>
      <c r="W1002" s="133" t="s">
        <v>35</v>
      </c>
      <c r="X1002" s="133">
        <v>0.666666666666667</v>
      </c>
      <c r="Y1002" s="135">
        <v>0.92</v>
      </c>
      <c r="Z1002" s="135" t="s">
        <v>35</v>
      </c>
      <c r="AA1002" s="135" t="s">
        <v>35</v>
      </c>
      <c r="AB1002" s="135" t="s">
        <v>35</v>
      </c>
      <c r="AC1002" s="135">
        <v>0</v>
      </c>
      <c r="AD1002" s="135">
        <v>0.92</v>
      </c>
      <c r="AE1002" s="133">
        <v>0.989847715736041</v>
      </c>
      <c r="AF1002" s="133">
        <v>0.990521327014218</v>
      </c>
      <c r="AG1002" s="133">
        <v>0.908536585365854</v>
      </c>
      <c r="AH1002" s="133">
        <v>0.931622569333758</v>
      </c>
      <c r="AI1002" s="135">
        <v>0.92</v>
      </c>
      <c r="AJ1002" s="133" t="s">
        <v>35</v>
      </c>
      <c r="AK1002" s="133" t="s">
        <v>35</v>
      </c>
      <c r="AL1002" s="133" t="s">
        <v>35</v>
      </c>
      <c r="AM1002" s="133">
        <v>0.625</v>
      </c>
      <c r="AN1002" s="132">
        <v>0.99</v>
      </c>
      <c r="AO1002" s="137">
        <v>1</v>
      </c>
      <c r="AP1002" s="137">
        <v>1</v>
      </c>
      <c r="AQ1002" s="137">
        <v>1</v>
      </c>
      <c r="AR1002" s="137">
        <v>1</v>
      </c>
      <c r="AS1002" s="158">
        <v>0.0656418488929858</v>
      </c>
      <c r="AT1002" s="141" t="s">
        <v>35</v>
      </c>
      <c r="AU1002" s="141" t="s">
        <v>35</v>
      </c>
      <c r="AV1002" s="141" t="s">
        <v>35</v>
      </c>
      <c r="AW1002" s="141" t="s">
        <v>35</v>
      </c>
      <c r="AX1002" s="95"/>
      <c r="AY1002" s="93"/>
    </row>
    <row r="1003" ht="14.5" spans="1:51">
      <c r="A1003" s="91"/>
      <c r="B1003" s="95"/>
      <c r="C1003" s="180" t="s">
        <v>927</v>
      </c>
      <c r="D1003" s="181" t="s">
        <v>25</v>
      </c>
      <c r="E1003" s="130" t="s">
        <v>928</v>
      </c>
      <c r="F1003" s="192" t="s">
        <v>1032</v>
      </c>
      <c r="G1003" s="193" t="s">
        <v>1032</v>
      </c>
      <c r="H1003" s="193" t="s">
        <v>1032</v>
      </c>
      <c r="I1003" s="193" t="s">
        <v>1032</v>
      </c>
      <c r="J1003" s="132">
        <v>0.9</v>
      </c>
      <c r="K1003" s="133">
        <v>0.692307692307692</v>
      </c>
      <c r="L1003" s="133">
        <v>0.692307692307692</v>
      </c>
      <c r="M1003" s="134">
        <v>0.75</v>
      </c>
      <c r="N1003" s="133">
        <v>0.748062015503876</v>
      </c>
      <c r="O1003" s="135">
        <v>0.9</v>
      </c>
      <c r="P1003" s="133">
        <v>0.847111111111111</v>
      </c>
      <c r="Q1003" s="133">
        <v>0.890425531914894</v>
      </c>
      <c r="R1003" s="133">
        <v>0.936305732484076</v>
      </c>
      <c r="S1003" s="133">
        <v>0.96111400011556</v>
      </c>
      <c r="T1003" s="135">
        <v>0.9</v>
      </c>
      <c r="U1003" s="133">
        <v>0.765333333333333</v>
      </c>
      <c r="V1003" s="133">
        <v>0.843617021276596</v>
      </c>
      <c r="W1003" s="133">
        <v>0.927813163481953</v>
      </c>
      <c r="X1003" s="133">
        <v>0.872248223262264</v>
      </c>
      <c r="Y1003" s="135">
        <v>0.92</v>
      </c>
      <c r="Z1003" s="135">
        <v>0.529801324503311</v>
      </c>
      <c r="AA1003" s="135">
        <v>0.408163265306122</v>
      </c>
      <c r="AB1003" s="135">
        <v>0.8068669527897</v>
      </c>
      <c r="AC1003" s="135">
        <v>0.694092827004219</v>
      </c>
      <c r="AD1003" s="135">
        <v>0.92</v>
      </c>
      <c r="AE1003" s="133">
        <v>0.992877492877493</v>
      </c>
      <c r="AF1003" s="133">
        <v>0.989036805011746</v>
      </c>
      <c r="AG1003" s="133">
        <v>0.964982491245623</v>
      </c>
      <c r="AH1003" s="133">
        <v>0.891795675746293</v>
      </c>
      <c r="AI1003" s="135">
        <v>0.92</v>
      </c>
      <c r="AJ1003" s="133">
        <v>0.865987460815047</v>
      </c>
      <c r="AK1003" s="133">
        <v>0.774746687451286</v>
      </c>
      <c r="AL1003" s="133">
        <v>0.942978723404255</v>
      </c>
      <c r="AM1003" s="133">
        <v>0.904287369640788</v>
      </c>
      <c r="AN1003" s="132">
        <v>0.99</v>
      </c>
      <c r="AO1003" s="137">
        <v>1</v>
      </c>
      <c r="AP1003" s="137">
        <v>1</v>
      </c>
      <c r="AQ1003" s="137">
        <v>1</v>
      </c>
      <c r="AR1003" s="137">
        <v>1</v>
      </c>
      <c r="AS1003" s="158">
        <v>0.0656418488929858</v>
      </c>
      <c r="AT1003" s="141">
        <v>0.0317460317460317</v>
      </c>
      <c r="AU1003" s="141">
        <v>0.02</v>
      </c>
      <c r="AV1003" s="141">
        <v>0</v>
      </c>
      <c r="AW1003" s="141">
        <v>0.0257879656160458</v>
      </c>
      <c r="AX1003" s="95"/>
      <c r="AY1003" s="93"/>
    </row>
    <row r="1004" ht="14.5" spans="1:51">
      <c r="A1004" s="91"/>
      <c r="B1004" s="95"/>
      <c r="C1004" s="180" t="s">
        <v>927</v>
      </c>
      <c r="D1004" s="181" t="s">
        <v>25</v>
      </c>
      <c r="E1004" s="130" t="s">
        <v>928</v>
      </c>
      <c r="F1004" s="182" t="s">
        <v>1033</v>
      </c>
      <c r="G1004" s="183" t="s">
        <v>1033</v>
      </c>
      <c r="H1004" s="183" t="s">
        <v>1033</v>
      </c>
      <c r="I1004" s="183" t="s">
        <v>1033</v>
      </c>
      <c r="J1004" s="132">
        <v>0.9</v>
      </c>
      <c r="K1004" s="133">
        <v>1</v>
      </c>
      <c r="L1004" s="133">
        <v>0.888888888888889</v>
      </c>
      <c r="M1004" s="134">
        <v>0.851851851851852</v>
      </c>
      <c r="N1004" s="133">
        <v>0.944444444444444</v>
      </c>
      <c r="O1004" s="135">
        <v>0.9</v>
      </c>
      <c r="P1004" s="133">
        <v>0.967837338262477</v>
      </c>
      <c r="Q1004" s="133">
        <v>0.971055849979617</v>
      </c>
      <c r="R1004" s="133">
        <v>0.967675093244923</v>
      </c>
      <c r="S1004" s="133">
        <v>0.970003253443227</v>
      </c>
      <c r="T1004" s="135">
        <v>0.9</v>
      </c>
      <c r="U1004" s="133">
        <v>0.899445471349353</v>
      </c>
      <c r="V1004" s="133">
        <v>0.906644924582144</v>
      </c>
      <c r="W1004" s="133">
        <v>0.937007874015748</v>
      </c>
      <c r="X1004" s="133">
        <v>0.916321440190869</v>
      </c>
      <c r="Y1004" s="135">
        <v>0.92</v>
      </c>
      <c r="Z1004" s="135">
        <v>0.903803131991051</v>
      </c>
      <c r="AA1004" s="135">
        <v>0.867117117117117</v>
      </c>
      <c r="AB1004" s="135">
        <v>0.930434782608696</v>
      </c>
      <c r="AC1004" s="135">
        <v>0.915460438682177</v>
      </c>
      <c r="AD1004" s="135">
        <v>0.92</v>
      </c>
      <c r="AE1004" s="133">
        <v>0.912663755458515</v>
      </c>
      <c r="AF1004" s="133">
        <v>0.865110246433204</v>
      </c>
      <c r="AG1004" s="133">
        <v>0.934905660377358</v>
      </c>
      <c r="AH1004" s="133">
        <v>0.920737760593552</v>
      </c>
      <c r="AI1004" s="135">
        <v>0.92</v>
      </c>
      <c r="AJ1004" s="133">
        <v>0.930520304568528</v>
      </c>
      <c r="AK1004" s="133">
        <v>0.922501496110114</v>
      </c>
      <c r="AL1004" s="133">
        <v>0.964524765729585</v>
      </c>
      <c r="AM1004" s="133">
        <v>0.952827393918271</v>
      </c>
      <c r="AN1004" s="132">
        <v>0.99</v>
      </c>
      <c r="AO1004" s="137">
        <v>1</v>
      </c>
      <c r="AP1004" s="137">
        <v>1</v>
      </c>
      <c r="AQ1004" s="137">
        <v>1</v>
      </c>
      <c r="AR1004" s="137">
        <v>1</v>
      </c>
      <c r="AS1004" s="158">
        <v>0.0656418488929858</v>
      </c>
      <c r="AT1004" s="141">
        <v>0.0256410256410256</v>
      </c>
      <c r="AU1004" s="141">
        <v>0</v>
      </c>
      <c r="AV1004" s="141">
        <v>0.0465116279069767</v>
      </c>
      <c r="AW1004" s="141">
        <v>0.034257748776509</v>
      </c>
      <c r="AX1004" s="95"/>
      <c r="AY1004" s="93"/>
    </row>
    <row r="1005" ht="14.5" spans="1:51">
      <c r="A1005" s="91"/>
      <c r="B1005" s="95"/>
      <c r="C1005" s="180" t="s">
        <v>927</v>
      </c>
      <c r="D1005" s="181" t="s">
        <v>25</v>
      </c>
      <c r="E1005" s="130" t="s">
        <v>928</v>
      </c>
      <c r="F1005" s="182" t="s">
        <v>1034</v>
      </c>
      <c r="G1005" s="183" t="s">
        <v>1034</v>
      </c>
      <c r="H1005" s="183" t="s">
        <v>1034</v>
      </c>
      <c r="I1005" s="183" t="s">
        <v>1034</v>
      </c>
      <c r="J1005" s="132">
        <v>0.9</v>
      </c>
      <c r="K1005" s="133">
        <v>0.75</v>
      </c>
      <c r="L1005" s="133">
        <v>0.625</v>
      </c>
      <c r="M1005" s="134">
        <v>0.823529411764706</v>
      </c>
      <c r="N1005" s="133">
        <v>0.805970149253731</v>
      </c>
      <c r="O1005" s="135">
        <v>0.9</v>
      </c>
      <c r="P1005" s="133">
        <v>0.983761840324763</v>
      </c>
      <c r="Q1005" s="133">
        <v>0.987701767870869</v>
      </c>
      <c r="R1005" s="133">
        <v>0.99009900990099</v>
      </c>
      <c r="S1005" s="133">
        <v>0.956346761939961</v>
      </c>
      <c r="T1005" s="135">
        <v>0.9</v>
      </c>
      <c r="U1005" s="133">
        <v>0.850473612990528</v>
      </c>
      <c r="V1005" s="133">
        <v>0.894696387394312</v>
      </c>
      <c r="W1005" s="133">
        <v>0.910891089108911</v>
      </c>
      <c r="X1005" s="133">
        <v>0.914623629419736</v>
      </c>
      <c r="Y1005" s="135">
        <v>0.92</v>
      </c>
      <c r="Z1005" s="135" t="s">
        <v>35</v>
      </c>
      <c r="AA1005" s="135" t="s">
        <v>35</v>
      </c>
      <c r="AB1005" s="135" t="s">
        <v>35</v>
      </c>
      <c r="AC1005" s="135">
        <v>0</v>
      </c>
      <c r="AD1005" s="135">
        <v>0.92</v>
      </c>
      <c r="AE1005" s="133">
        <v>1</v>
      </c>
      <c r="AF1005" s="133">
        <v>0.889338731443995</v>
      </c>
      <c r="AG1005" s="133">
        <v>0.979522184300341</v>
      </c>
      <c r="AH1005" s="133">
        <v>0.966796332314532</v>
      </c>
      <c r="AI1005" s="135">
        <v>0.92</v>
      </c>
      <c r="AJ1005" s="133">
        <v>0.933017591339648</v>
      </c>
      <c r="AK1005" s="133">
        <v>0.932359723289777</v>
      </c>
      <c r="AL1005" s="133">
        <v>0.966488956587967</v>
      </c>
      <c r="AM1005" s="133">
        <v>0.958861928808967</v>
      </c>
      <c r="AN1005" s="132">
        <v>0.99</v>
      </c>
      <c r="AO1005" s="137">
        <v>1</v>
      </c>
      <c r="AP1005" s="137">
        <v>1</v>
      </c>
      <c r="AQ1005" s="137">
        <v>1</v>
      </c>
      <c r="AR1005" s="137">
        <v>1</v>
      </c>
      <c r="AS1005" s="158">
        <v>0.0656418488929858</v>
      </c>
      <c r="AT1005" s="141">
        <v>0.0526315789473684</v>
      </c>
      <c r="AU1005" s="141">
        <v>0.0769230769230769</v>
      </c>
      <c r="AV1005" s="141">
        <v>0</v>
      </c>
      <c r="AW1005" s="141">
        <v>0.0351437699680511</v>
      </c>
      <c r="AX1005" s="95"/>
      <c r="AY1005" s="93"/>
    </row>
    <row r="1006" ht="14.5" spans="1:51">
      <c r="A1006" s="91"/>
      <c r="B1006" s="95"/>
      <c r="C1006" s="180" t="s">
        <v>927</v>
      </c>
      <c r="D1006" s="181" t="s">
        <v>25</v>
      </c>
      <c r="E1006" s="130" t="s">
        <v>928</v>
      </c>
      <c r="F1006" s="192" t="s">
        <v>1035</v>
      </c>
      <c r="G1006" s="193" t="s">
        <v>1035</v>
      </c>
      <c r="H1006" s="193" t="s">
        <v>1035</v>
      </c>
      <c r="I1006" s="193" t="s">
        <v>1035</v>
      </c>
      <c r="J1006" s="132">
        <v>0.9</v>
      </c>
      <c r="K1006" s="133">
        <v>1</v>
      </c>
      <c r="L1006" s="133">
        <v>0.571428571428571</v>
      </c>
      <c r="M1006" s="134">
        <v>0.952380952380952</v>
      </c>
      <c r="N1006" s="133">
        <v>0.910810810810811</v>
      </c>
      <c r="O1006" s="135">
        <v>0.9</v>
      </c>
      <c r="P1006" s="133">
        <v>0.972356935014549</v>
      </c>
      <c r="Q1006" s="133">
        <v>0.97567424643046</v>
      </c>
      <c r="R1006" s="133">
        <v>0.971304818624797</v>
      </c>
      <c r="S1006" s="133">
        <v>0.973540199103452</v>
      </c>
      <c r="T1006" s="135">
        <v>0.9</v>
      </c>
      <c r="U1006" s="133">
        <v>0.920950533462658</v>
      </c>
      <c r="V1006" s="133">
        <v>0.922263352723427</v>
      </c>
      <c r="W1006" s="133">
        <v>0.939361126150514</v>
      </c>
      <c r="X1006" s="133">
        <v>0.933282878267451</v>
      </c>
      <c r="Y1006" s="135">
        <v>0.92</v>
      </c>
      <c r="Z1006" s="135">
        <v>0.86865671641791</v>
      </c>
      <c r="AA1006" s="135">
        <v>0.86547811993517</v>
      </c>
      <c r="AB1006" s="135">
        <v>0.925252525252525</v>
      </c>
      <c r="AC1006" s="135">
        <v>0.889126052413139</v>
      </c>
      <c r="AD1006" s="135">
        <v>0.92</v>
      </c>
      <c r="AE1006" s="133">
        <v>0.98868778280543</v>
      </c>
      <c r="AF1006" s="133">
        <v>0.989754650849285</v>
      </c>
      <c r="AG1006" s="133">
        <v>0.985918209876543</v>
      </c>
      <c r="AH1006" s="133">
        <v>0.983036525073151</v>
      </c>
      <c r="AI1006" s="135">
        <v>0.92</v>
      </c>
      <c r="AJ1006" s="133">
        <v>0.945788156797331</v>
      </c>
      <c r="AK1006" s="133">
        <v>0.927830940988836</v>
      </c>
      <c r="AL1006" s="133">
        <v>0.959880495091763</v>
      </c>
      <c r="AM1006" s="133">
        <v>0.953671471625821</v>
      </c>
      <c r="AN1006" s="132">
        <v>0.99</v>
      </c>
      <c r="AO1006" s="137">
        <v>1</v>
      </c>
      <c r="AP1006" s="137">
        <v>1</v>
      </c>
      <c r="AQ1006" s="137">
        <v>1</v>
      </c>
      <c r="AR1006" s="137">
        <v>0.999636627906977</v>
      </c>
      <c r="AS1006" s="158">
        <v>0.0656418488929858</v>
      </c>
      <c r="AT1006" s="141">
        <v>0.032258064516129</v>
      </c>
      <c r="AU1006" s="141">
        <v>0</v>
      </c>
      <c r="AV1006" s="141">
        <v>0.0357142857142857</v>
      </c>
      <c r="AW1006" s="141">
        <v>0.0479846449136276</v>
      </c>
      <c r="AX1006" s="95"/>
      <c r="AY1006" s="93"/>
    </row>
    <row r="1007" ht="14.5" spans="1:51">
      <c r="A1007" s="91"/>
      <c r="B1007" s="95"/>
      <c r="C1007" s="180" t="s">
        <v>927</v>
      </c>
      <c r="D1007" s="181" t="s">
        <v>25</v>
      </c>
      <c r="E1007" s="130" t="s">
        <v>928</v>
      </c>
      <c r="F1007" s="182" t="s">
        <v>1036</v>
      </c>
      <c r="G1007" s="183" t="s">
        <v>1036</v>
      </c>
      <c r="H1007" s="183" t="s">
        <v>1036</v>
      </c>
      <c r="I1007" s="183" t="s">
        <v>1036</v>
      </c>
      <c r="J1007" s="132">
        <v>0.9</v>
      </c>
      <c r="K1007" s="133">
        <v>0.782608695652174</v>
      </c>
      <c r="L1007" s="133">
        <v>0.769230769230769</v>
      </c>
      <c r="M1007" s="134">
        <v>0.793103448275862</v>
      </c>
      <c r="N1007" s="133">
        <v>0.781779661016949</v>
      </c>
      <c r="O1007" s="135">
        <v>0.9</v>
      </c>
      <c r="P1007" s="133">
        <v>0.854166666666667</v>
      </c>
      <c r="Q1007" s="133">
        <v>0.839270199826238</v>
      </c>
      <c r="R1007" s="133">
        <v>0.836185819070905</v>
      </c>
      <c r="S1007" s="133">
        <v>0.852659010193257</v>
      </c>
      <c r="T1007" s="135">
        <v>0.9</v>
      </c>
      <c r="U1007" s="133">
        <v>0.727964743589744</v>
      </c>
      <c r="V1007" s="133">
        <v>0.759774109470026</v>
      </c>
      <c r="W1007" s="133">
        <v>0.865118174409128</v>
      </c>
      <c r="X1007" s="133">
        <v>0.834140491674738</v>
      </c>
      <c r="Y1007" s="135">
        <v>0.92</v>
      </c>
      <c r="Z1007" s="135">
        <v>0.610824742268041</v>
      </c>
      <c r="AA1007" s="135">
        <v>0.601010101010101</v>
      </c>
      <c r="AB1007" s="135">
        <v>0.845257903494176</v>
      </c>
      <c r="AC1007" s="135">
        <v>0.767279871405608</v>
      </c>
      <c r="AD1007" s="135">
        <v>0.92</v>
      </c>
      <c r="AE1007" s="133">
        <v>0.997792494481236</v>
      </c>
      <c r="AF1007" s="133">
        <v>0.979318734793187</v>
      </c>
      <c r="AG1007" s="133">
        <v>0.901615271659325</v>
      </c>
      <c r="AH1007" s="133">
        <v>0.828290766208251</v>
      </c>
      <c r="AI1007" s="135">
        <v>0.92</v>
      </c>
      <c r="AJ1007" s="133">
        <v>0.79126213592233</v>
      </c>
      <c r="AK1007" s="133">
        <v>0.780542986425339</v>
      </c>
      <c r="AL1007" s="133">
        <v>0.920458265139116</v>
      </c>
      <c r="AM1007" s="133">
        <v>0.892086067226275</v>
      </c>
      <c r="AN1007" s="132">
        <v>0.99</v>
      </c>
      <c r="AO1007" s="137">
        <v>1</v>
      </c>
      <c r="AP1007" s="137">
        <v>1</v>
      </c>
      <c r="AQ1007" s="137">
        <v>1</v>
      </c>
      <c r="AR1007" s="137">
        <v>1</v>
      </c>
      <c r="AS1007" s="158">
        <v>0.0656418488929858</v>
      </c>
      <c r="AT1007" s="141">
        <v>0</v>
      </c>
      <c r="AU1007" s="141">
        <v>0</v>
      </c>
      <c r="AV1007" s="141">
        <v>0.0178571428571429</v>
      </c>
      <c r="AW1007" s="141">
        <v>0.0327272727272727</v>
      </c>
      <c r="AX1007" s="95"/>
      <c r="AY1007" s="93"/>
    </row>
    <row r="1008" ht="14.5" spans="1:51">
      <c r="A1008" s="91"/>
      <c r="B1008" s="95"/>
      <c r="C1008" s="180" t="s">
        <v>927</v>
      </c>
      <c r="D1008" s="181" t="s">
        <v>25</v>
      </c>
      <c r="E1008" s="130" t="s">
        <v>928</v>
      </c>
      <c r="F1008" s="182" t="s">
        <v>1037</v>
      </c>
      <c r="G1008" s="183" t="s">
        <v>1037</v>
      </c>
      <c r="H1008" s="183" t="s">
        <v>1037</v>
      </c>
      <c r="I1008" s="183" t="s">
        <v>1037</v>
      </c>
      <c r="J1008" s="132">
        <v>0.9</v>
      </c>
      <c r="K1008" s="133">
        <v>0.888888888888889</v>
      </c>
      <c r="L1008" s="133">
        <v>0.952380952380952</v>
      </c>
      <c r="M1008" s="134">
        <v>0.928571428571429</v>
      </c>
      <c r="N1008" s="133">
        <v>0.914096916299559</v>
      </c>
      <c r="O1008" s="135">
        <v>0.9</v>
      </c>
      <c r="P1008" s="133">
        <v>0.968306527909177</v>
      </c>
      <c r="Q1008" s="133">
        <v>0.952085682074408</v>
      </c>
      <c r="R1008" s="133">
        <v>0.964456233421751</v>
      </c>
      <c r="S1008" s="133">
        <v>0.95712465554535</v>
      </c>
      <c r="T1008" s="135">
        <v>0.9</v>
      </c>
      <c r="U1008" s="133">
        <v>0.829706717123936</v>
      </c>
      <c r="V1008" s="133">
        <v>0.657271702367531</v>
      </c>
      <c r="W1008" s="133">
        <v>0.884350132625995</v>
      </c>
      <c r="X1008" s="133">
        <v>0.829298645885804</v>
      </c>
      <c r="Y1008" s="135">
        <v>0.92</v>
      </c>
      <c r="Z1008" s="135">
        <v>0.635179153094462</v>
      </c>
      <c r="AA1008" s="135">
        <v>0.303490136570561</v>
      </c>
      <c r="AB1008" s="135">
        <v>0.804705882352941</v>
      </c>
      <c r="AC1008" s="135">
        <v>0.646924280727098</v>
      </c>
      <c r="AD1008" s="135">
        <v>0.92</v>
      </c>
      <c r="AE1008" s="133">
        <v>0.995271867612293</v>
      </c>
      <c r="AF1008" s="133">
        <v>0.704201101928375</v>
      </c>
      <c r="AG1008" s="133">
        <v>0.668504703211158</v>
      </c>
      <c r="AH1008" s="133">
        <v>0.664002412909063</v>
      </c>
      <c r="AI1008" s="135">
        <v>0.92</v>
      </c>
      <c r="AJ1008" s="133">
        <v>0.865511551155115</v>
      </c>
      <c r="AK1008" s="133">
        <v>0.629675297986026</v>
      </c>
      <c r="AL1008" s="133">
        <v>0.905317769130999</v>
      </c>
      <c r="AM1008" s="133">
        <v>0.860497171918817</v>
      </c>
      <c r="AN1008" s="132">
        <v>0.99</v>
      </c>
      <c r="AO1008" s="137">
        <v>1</v>
      </c>
      <c r="AP1008" s="137">
        <v>1</v>
      </c>
      <c r="AQ1008" s="137">
        <v>1</v>
      </c>
      <c r="AR1008" s="137">
        <v>1</v>
      </c>
      <c r="AS1008" s="158">
        <v>0.0656418488929858</v>
      </c>
      <c r="AT1008" s="141">
        <v>0</v>
      </c>
      <c r="AU1008" s="141">
        <v>0</v>
      </c>
      <c r="AV1008" s="141">
        <v>0.0512820512820513</v>
      </c>
      <c r="AW1008" s="141">
        <v>0.0328125</v>
      </c>
      <c r="AX1008" s="95"/>
      <c r="AY1008" s="93"/>
    </row>
    <row r="1009" ht="14.5" spans="1:51">
      <c r="A1009" s="91"/>
      <c r="B1009" s="95"/>
      <c r="C1009" s="180" t="s">
        <v>927</v>
      </c>
      <c r="D1009" s="181" t="s">
        <v>25</v>
      </c>
      <c r="E1009" s="130" t="s">
        <v>928</v>
      </c>
      <c r="F1009" s="182" t="s">
        <v>1038</v>
      </c>
      <c r="G1009" s="183" t="s">
        <v>1038</v>
      </c>
      <c r="H1009" s="183" t="s">
        <v>1038</v>
      </c>
      <c r="I1009" s="183" t="s">
        <v>1038</v>
      </c>
      <c r="J1009" s="132">
        <v>0.9</v>
      </c>
      <c r="K1009" s="133">
        <v>0.846153846153846</v>
      </c>
      <c r="L1009" s="133">
        <v>0.857142857142857</v>
      </c>
      <c r="M1009" s="134">
        <v>0.857142857142857</v>
      </c>
      <c r="N1009" s="133">
        <v>0.79253112033195</v>
      </c>
      <c r="O1009" s="135">
        <v>0.9</v>
      </c>
      <c r="P1009" s="133">
        <v>0.617507886435331</v>
      </c>
      <c r="Q1009" s="133">
        <v>0.751628664495114</v>
      </c>
      <c r="R1009" s="133">
        <v>0.869635627530364</v>
      </c>
      <c r="S1009" s="133">
        <v>0.796611705019025</v>
      </c>
      <c r="T1009" s="135">
        <v>0.9</v>
      </c>
      <c r="U1009" s="133">
        <v>0.833596214511041</v>
      </c>
      <c r="V1009" s="133">
        <v>0.804560260586319</v>
      </c>
      <c r="W1009" s="133">
        <v>0.919838056680162</v>
      </c>
      <c r="X1009" s="133">
        <v>0.852011233919188</v>
      </c>
      <c r="Y1009" s="135">
        <v>0.92</v>
      </c>
      <c r="Z1009" s="135">
        <v>0.875776397515528</v>
      </c>
      <c r="AA1009" s="135">
        <v>0.522673031026253</v>
      </c>
      <c r="AB1009" s="135">
        <v>0.914893617021277</v>
      </c>
      <c r="AC1009" s="135">
        <v>0.843840057636888</v>
      </c>
      <c r="AD1009" s="135">
        <v>0.92</v>
      </c>
      <c r="AE1009" s="133">
        <v>0.993657505285412</v>
      </c>
      <c r="AF1009" s="133">
        <v>0.986837156825874</v>
      </c>
      <c r="AG1009" s="133">
        <v>0.921148520623816</v>
      </c>
      <c r="AH1009" s="133">
        <v>0.879041820700101</v>
      </c>
      <c r="AI1009" s="135">
        <v>0.92</v>
      </c>
      <c r="AJ1009" s="133">
        <v>0.889433170048985</v>
      </c>
      <c r="AK1009" s="133">
        <v>0.769884638737098</v>
      </c>
      <c r="AL1009" s="133">
        <v>0.940288713910761</v>
      </c>
      <c r="AM1009" s="133">
        <v>0.903759180867615</v>
      </c>
      <c r="AN1009" s="132">
        <v>0.99</v>
      </c>
      <c r="AO1009" s="137">
        <v>1</v>
      </c>
      <c r="AP1009" s="137">
        <v>1</v>
      </c>
      <c r="AQ1009" s="137">
        <v>1</v>
      </c>
      <c r="AR1009" s="137">
        <v>1</v>
      </c>
      <c r="AS1009" s="158">
        <v>0.0656418488929858</v>
      </c>
      <c r="AT1009" s="141">
        <v>0</v>
      </c>
      <c r="AU1009" s="141">
        <v>0</v>
      </c>
      <c r="AV1009" s="141">
        <v>0</v>
      </c>
      <c r="AW1009" s="141">
        <v>0.0279569892473118</v>
      </c>
      <c r="AX1009" s="95"/>
      <c r="AY1009" s="93"/>
    </row>
    <row r="1010" ht="14.5" spans="1:51">
      <c r="A1010" s="91"/>
      <c r="B1010" s="95"/>
      <c r="C1010" s="180" t="s">
        <v>927</v>
      </c>
      <c r="D1010" s="181" t="s">
        <v>25</v>
      </c>
      <c r="E1010" s="130" t="s">
        <v>928</v>
      </c>
      <c r="F1010" s="182" t="s">
        <v>1039</v>
      </c>
      <c r="G1010" s="183" t="s">
        <v>1039</v>
      </c>
      <c r="H1010" s="183" t="s">
        <v>1039</v>
      </c>
      <c r="I1010" s="183" t="s">
        <v>1039</v>
      </c>
      <c r="J1010" s="132">
        <v>0.9</v>
      </c>
      <c r="K1010" s="133">
        <v>0.555555555555556</v>
      </c>
      <c r="L1010" s="133">
        <v>0.428571428571429</v>
      </c>
      <c r="M1010" s="134">
        <v>0.666666666666667</v>
      </c>
      <c r="N1010" s="133">
        <v>0.715277777777778</v>
      </c>
      <c r="O1010" s="135">
        <v>0.9</v>
      </c>
      <c r="P1010" s="133">
        <v>0.359820089955023</v>
      </c>
      <c r="Q1010" s="133">
        <v>0.307272727272727</v>
      </c>
      <c r="R1010" s="133">
        <v>0.559859154929577</v>
      </c>
      <c r="S1010" s="133">
        <v>0.472911963882619</v>
      </c>
      <c r="T1010" s="135">
        <v>0.9</v>
      </c>
      <c r="U1010" s="133">
        <v>0.902548725637181</v>
      </c>
      <c r="V1010" s="133">
        <v>0.807272727272727</v>
      </c>
      <c r="W1010" s="133">
        <v>0.875</v>
      </c>
      <c r="X1010" s="133">
        <v>0.881677953348382</v>
      </c>
      <c r="Y1010" s="135">
        <v>0.92</v>
      </c>
      <c r="Z1010" s="135" t="s">
        <v>35</v>
      </c>
      <c r="AA1010" s="135" t="s">
        <v>35</v>
      </c>
      <c r="AB1010" s="135" t="s">
        <v>35</v>
      </c>
      <c r="AC1010" s="135" t="s">
        <v>35</v>
      </c>
      <c r="AD1010" s="135">
        <v>0.92</v>
      </c>
      <c r="AE1010" s="133">
        <v>1</v>
      </c>
      <c r="AF1010" s="133">
        <v>0.714285714285714</v>
      </c>
      <c r="AG1010" s="133">
        <v>0.727272727272727</v>
      </c>
      <c r="AH1010" s="133">
        <v>0.784791965566714</v>
      </c>
      <c r="AI1010" s="135">
        <v>0.92</v>
      </c>
      <c r="AJ1010" s="133">
        <v>0.946026986506747</v>
      </c>
      <c r="AK1010" s="133">
        <v>0.947272727272727</v>
      </c>
      <c r="AL1010" s="133">
        <v>0.970070422535211</v>
      </c>
      <c r="AM1010" s="133">
        <v>0.958149158280824</v>
      </c>
      <c r="AN1010" s="132">
        <v>0.99</v>
      </c>
      <c r="AO1010" s="137">
        <v>1</v>
      </c>
      <c r="AP1010" s="137" t="s">
        <v>35</v>
      </c>
      <c r="AQ1010" s="137">
        <v>1</v>
      </c>
      <c r="AR1010" s="137">
        <v>1</v>
      </c>
      <c r="AS1010" s="158">
        <v>0.0656418488929858</v>
      </c>
      <c r="AT1010" s="141">
        <v>0</v>
      </c>
      <c r="AU1010" s="141">
        <v>0</v>
      </c>
      <c r="AV1010" s="141">
        <v>0</v>
      </c>
      <c r="AW1010" s="141">
        <v>0.0240963855421687</v>
      </c>
      <c r="AX1010" s="95"/>
      <c r="AY1010" s="93"/>
    </row>
    <row r="1011" ht="14.5" spans="1:51">
      <c r="A1011" s="91"/>
      <c r="B1011" s="95"/>
      <c r="C1011" s="180" t="s">
        <v>927</v>
      </c>
      <c r="D1011" s="181" t="s">
        <v>25</v>
      </c>
      <c r="E1011" s="130" t="s">
        <v>928</v>
      </c>
      <c r="F1011" s="184" t="s">
        <v>1040</v>
      </c>
      <c r="G1011" s="185" t="s">
        <v>1040</v>
      </c>
      <c r="H1011" s="185" t="s">
        <v>1040</v>
      </c>
      <c r="I1011" s="185" t="s">
        <v>1040</v>
      </c>
      <c r="J1011" s="132">
        <v>0.9</v>
      </c>
      <c r="K1011" s="133">
        <v>0.869565217391304</v>
      </c>
      <c r="L1011" s="133">
        <v>0.7</v>
      </c>
      <c r="M1011" s="134">
        <v>0.826086956521739</v>
      </c>
      <c r="N1011" s="133">
        <v>0.820197044334975</v>
      </c>
      <c r="O1011" s="135">
        <v>0.9</v>
      </c>
      <c r="P1011" s="133">
        <v>0.956825657894737</v>
      </c>
      <c r="Q1011" s="133">
        <v>0.990222917481424</v>
      </c>
      <c r="R1011" s="133">
        <v>0.969200779727096</v>
      </c>
      <c r="S1011" s="133">
        <v>0.93905983095592</v>
      </c>
      <c r="T1011" s="135">
        <v>0.9</v>
      </c>
      <c r="U1011" s="133">
        <v>0.859786184210526</v>
      </c>
      <c r="V1011" s="133">
        <v>0.855299178725068</v>
      </c>
      <c r="W1011" s="133">
        <v>0.932553606237817</v>
      </c>
      <c r="X1011" s="133">
        <v>0.888368791179537</v>
      </c>
      <c r="Y1011" s="135">
        <v>0.92</v>
      </c>
      <c r="Z1011" s="135">
        <v>0.885057471264368</v>
      </c>
      <c r="AA1011" s="135">
        <v>0.860262008733624</v>
      </c>
      <c r="AB1011" s="135">
        <v>0.963541666666667</v>
      </c>
      <c r="AC1011" s="135">
        <v>0.939105424972726</v>
      </c>
      <c r="AD1011" s="135">
        <v>0.92</v>
      </c>
      <c r="AE1011" s="133">
        <v>0.998820754716981</v>
      </c>
      <c r="AF1011" s="133">
        <v>0.999472184102185</v>
      </c>
      <c r="AG1011" s="133">
        <v>0.996921156646557</v>
      </c>
      <c r="AH1011" s="133">
        <v>0.996944968213244</v>
      </c>
      <c r="AI1011" s="135">
        <v>0.92</v>
      </c>
      <c r="AJ1011" s="133">
        <v>0.924846625766871</v>
      </c>
      <c r="AK1011" s="133">
        <v>0.912172573189522</v>
      </c>
      <c r="AL1011" s="133">
        <v>0.973265436028008</v>
      </c>
      <c r="AM1011" s="133">
        <v>0.955916179160705</v>
      </c>
      <c r="AN1011" s="132">
        <v>0.99</v>
      </c>
      <c r="AO1011" s="137">
        <v>1</v>
      </c>
      <c r="AP1011" s="137">
        <v>1</v>
      </c>
      <c r="AQ1011" s="137">
        <v>1</v>
      </c>
      <c r="AR1011" s="137">
        <v>1</v>
      </c>
      <c r="AS1011" s="158">
        <v>0.0656418488929858</v>
      </c>
      <c r="AT1011" s="141">
        <v>0.0526315789473684</v>
      </c>
      <c r="AU1011" s="141">
        <v>0.0967741935483871</v>
      </c>
      <c r="AV1011" s="141">
        <v>0.03125</v>
      </c>
      <c r="AW1011" s="141">
        <v>0.0405405405405405</v>
      </c>
      <c r="AX1011" s="95"/>
      <c r="AY1011" s="93"/>
    </row>
    <row r="1012" ht="14.5" spans="1:51">
      <c r="A1012" s="91"/>
      <c r="B1012" s="95"/>
      <c r="C1012" s="180" t="s">
        <v>927</v>
      </c>
      <c r="D1012" s="181" t="s">
        <v>125</v>
      </c>
      <c r="E1012" s="130" t="s">
        <v>928</v>
      </c>
      <c r="F1012" s="184" t="s">
        <v>1041</v>
      </c>
      <c r="G1012" s="185" t="s">
        <v>1041</v>
      </c>
      <c r="H1012" s="185" t="s">
        <v>1041</v>
      </c>
      <c r="I1012" s="185" t="s">
        <v>1041</v>
      </c>
      <c r="J1012" s="132">
        <v>0.9</v>
      </c>
      <c r="K1012" s="133" t="s">
        <v>35</v>
      </c>
      <c r="L1012" s="133" t="s">
        <v>35</v>
      </c>
      <c r="M1012" s="134" t="s">
        <v>35</v>
      </c>
      <c r="N1012" s="133" t="s">
        <v>35</v>
      </c>
      <c r="O1012" s="135">
        <v>0.9</v>
      </c>
      <c r="P1012" s="133" t="s">
        <v>35</v>
      </c>
      <c r="Q1012" s="133" t="s">
        <v>35</v>
      </c>
      <c r="R1012" s="133" t="s">
        <v>35</v>
      </c>
      <c r="S1012" s="133" t="s">
        <v>35</v>
      </c>
      <c r="T1012" s="135">
        <v>0.9</v>
      </c>
      <c r="U1012" s="133" t="s">
        <v>35</v>
      </c>
      <c r="V1012" s="133" t="s">
        <v>35</v>
      </c>
      <c r="W1012" s="133" t="s">
        <v>35</v>
      </c>
      <c r="X1012" s="133" t="s">
        <v>35</v>
      </c>
      <c r="Y1012" s="135">
        <v>0.92</v>
      </c>
      <c r="Z1012" s="135" t="s">
        <v>35</v>
      </c>
      <c r="AA1012" s="135" t="s">
        <v>35</v>
      </c>
      <c r="AB1012" s="135" t="s">
        <v>35</v>
      </c>
      <c r="AC1012" s="135" t="s">
        <v>35</v>
      </c>
      <c r="AD1012" s="135">
        <v>0.92</v>
      </c>
      <c r="AE1012" s="133" t="s">
        <v>35</v>
      </c>
      <c r="AF1012" s="133" t="s">
        <v>35</v>
      </c>
      <c r="AG1012" s="133" t="s">
        <v>35</v>
      </c>
      <c r="AH1012" s="133" t="s">
        <v>35</v>
      </c>
      <c r="AI1012" s="135">
        <v>0.92</v>
      </c>
      <c r="AJ1012" s="133" t="s">
        <v>35</v>
      </c>
      <c r="AK1012" s="133" t="s">
        <v>35</v>
      </c>
      <c r="AL1012" s="133" t="s">
        <v>35</v>
      </c>
      <c r="AM1012" s="133" t="s">
        <v>35</v>
      </c>
      <c r="AN1012" s="132">
        <v>0.99</v>
      </c>
      <c r="AO1012" s="137" t="s">
        <v>35</v>
      </c>
      <c r="AP1012" s="137" t="s">
        <v>35</v>
      </c>
      <c r="AQ1012" s="137" t="s">
        <v>35</v>
      </c>
      <c r="AR1012" s="137" t="s">
        <v>35</v>
      </c>
      <c r="AS1012" s="158">
        <v>0.0656418488929858</v>
      </c>
      <c r="AT1012" s="141" t="s">
        <v>35</v>
      </c>
      <c r="AU1012" s="141" t="s">
        <v>35</v>
      </c>
      <c r="AV1012" s="141" t="s">
        <v>35</v>
      </c>
      <c r="AW1012" s="141" t="s">
        <v>35</v>
      </c>
      <c r="AX1012" s="95"/>
      <c r="AY1012" s="93"/>
    </row>
    <row r="1013" ht="14.5" spans="1:51">
      <c r="A1013" s="91"/>
      <c r="B1013" s="95"/>
      <c r="C1013" s="180" t="s">
        <v>927</v>
      </c>
      <c r="D1013" s="181" t="s">
        <v>125</v>
      </c>
      <c r="E1013" s="130" t="s">
        <v>928</v>
      </c>
      <c r="F1013" s="186" t="s">
        <v>1042</v>
      </c>
      <c r="G1013" s="187" t="s">
        <v>1042</v>
      </c>
      <c r="H1013" s="187" t="s">
        <v>1042</v>
      </c>
      <c r="I1013" s="187" t="s">
        <v>1042</v>
      </c>
      <c r="J1013" s="132">
        <v>0.9</v>
      </c>
      <c r="K1013" s="133" t="s">
        <v>35</v>
      </c>
      <c r="L1013" s="133" t="s">
        <v>35</v>
      </c>
      <c r="M1013" s="134" t="s">
        <v>35</v>
      </c>
      <c r="N1013" s="133" t="s">
        <v>35</v>
      </c>
      <c r="O1013" s="135">
        <v>0.9</v>
      </c>
      <c r="P1013" s="133" t="s">
        <v>35</v>
      </c>
      <c r="Q1013" s="133">
        <v>0</v>
      </c>
      <c r="R1013" s="133" t="s">
        <v>35</v>
      </c>
      <c r="S1013" s="133">
        <v>0</v>
      </c>
      <c r="T1013" s="135">
        <v>0.9</v>
      </c>
      <c r="U1013" s="133" t="s">
        <v>35</v>
      </c>
      <c r="V1013" s="133">
        <v>0</v>
      </c>
      <c r="W1013" s="133" t="s">
        <v>35</v>
      </c>
      <c r="X1013" s="133">
        <v>0.333333333333333</v>
      </c>
      <c r="Y1013" s="135">
        <v>0.92</v>
      </c>
      <c r="Z1013" s="135" t="s">
        <v>35</v>
      </c>
      <c r="AA1013" s="135" t="s">
        <v>35</v>
      </c>
      <c r="AB1013" s="135" t="s">
        <v>35</v>
      </c>
      <c r="AC1013" s="135" t="s">
        <v>35</v>
      </c>
      <c r="AD1013" s="135">
        <v>0.92</v>
      </c>
      <c r="AE1013" s="133">
        <v>0.988023952095808</v>
      </c>
      <c r="AF1013" s="133">
        <v>1</v>
      </c>
      <c r="AG1013" s="133">
        <v>0.992857142857143</v>
      </c>
      <c r="AH1013" s="133">
        <v>0.991617933723197</v>
      </c>
      <c r="AI1013" s="135">
        <v>0.92</v>
      </c>
      <c r="AJ1013" s="133" t="s">
        <v>35</v>
      </c>
      <c r="AK1013" s="133">
        <v>0</v>
      </c>
      <c r="AL1013" s="133" t="s">
        <v>35</v>
      </c>
      <c r="AM1013" s="133">
        <v>0.666666666666667</v>
      </c>
      <c r="AN1013" s="132">
        <v>0.99</v>
      </c>
      <c r="AO1013" s="137" t="s">
        <v>35</v>
      </c>
      <c r="AP1013" s="137" t="s">
        <v>35</v>
      </c>
      <c r="AQ1013" s="137" t="s">
        <v>35</v>
      </c>
      <c r="AR1013" s="137">
        <v>1</v>
      </c>
      <c r="AS1013" s="158">
        <v>0.0656418488929858</v>
      </c>
      <c r="AT1013" s="141" t="s">
        <v>35</v>
      </c>
      <c r="AU1013" s="141" t="s">
        <v>35</v>
      </c>
      <c r="AV1013" s="141" t="s">
        <v>35</v>
      </c>
      <c r="AW1013" s="141" t="s">
        <v>35</v>
      </c>
      <c r="AX1013" s="95"/>
      <c r="AY1013" s="93"/>
    </row>
    <row r="1014" ht="14.5" spans="1:51">
      <c r="A1014" s="91"/>
      <c r="B1014" s="95"/>
      <c r="C1014" s="180" t="s">
        <v>927</v>
      </c>
      <c r="D1014" s="181" t="s">
        <v>125</v>
      </c>
      <c r="E1014" s="130" t="s">
        <v>928</v>
      </c>
      <c r="F1014" s="186" t="s">
        <v>1043</v>
      </c>
      <c r="G1014" s="187" t="s">
        <v>1043</v>
      </c>
      <c r="H1014" s="187" t="s">
        <v>1043</v>
      </c>
      <c r="I1014" s="187" t="s">
        <v>1043</v>
      </c>
      <c r="J1014" s="132">
        <v>0.9</v>
      </c>
      <c r="K1014" s="133" t="s">
        <v>35</v>
      </c>
      <c r="L1014" s="133" t="s">
        <v>35</v>
      </c>
      <c r="M1014" s="134" t="s">
        <v>35</v>
      </c>
      <c r="N1014" s="133" t="s">
        <v>35</v>
      </c>
      <c r="O1014" s="135">
        <v>0.9</v>
      </c>
      <c r="P1014" s="133" t="s">
        <v>35</v>
      </c>
      <c r="Q1014" s="133" t="s">
        <v>35</v>
      </c>
      <c r="R1014" s="133" t="s">
        <v>35</v>
      </c>
      <c r="S1014" s="133">
        <v>0</v>
      </c>
      <c r="T1014" s="135">
        <v>0.9</v>
      </c>
      <c r="U1014" s="133" t="s">
        <v>35</v>
      </c>
      <c r="V1014" s="133" t="s">
        <v>35</v>
      </c>
      <c r="W1014" s="133" t="s">
        <v>35</v>
      </c>
      <c r="X1014" s="133">
        <v>1</v>
      </c>
      <c r="Y1014" s="135">
        <v>0.92</v>
      </c>
      <c r="Z1014" s="135" t="s">
        <v>35</v>
      </c>
      <c r="AA1014" s="135" t="s">
        <v>35</v>
      </c>
      <c r="AB1014" s="135" t="s">
        <v>35</v>
      </c>
      <c r="AC1014" s="135" t="s">
        <v>35</v>
      </c>
      <c r="AD1014" s="135">
        <v>0.92</v>
      </c>
      <c r="AE1014" s="133">
        <v>0.995049504950495</v>
      </c>
      <c r="AF1014" s="133">
        <v>1</v>
      </c>
      <c r="AG1014" s="133">
        <v>1</v>
      </c>
      <c r="AH1014" s="133">
        <v>0.992257398485891</v>
      </c>
      <c r="AI1014" s="135">
        <v>0.92</v>
      </c>
      <c r="AJ1014" s="133" t="s">
        <v>35</v>
      </c>
      <c r="AK1014" s="133" t="s">
        <v>35</v>
      </c>
      <c r="AL1014" s="133" t="s">
        <v>35</v>
      </c>
      <c r="AM1014" s="133">
        <v>1</v>
      </c>
      <c r="AN1014" s="132">
        <v>0.99</v>
      </c>
      <c r="AO1014" s="137">
        <v>1</v>
      </c>
      <c r="AP1014" s="137">
        <v>1</v>
      </c>
      <c r="AQ1014" s="137">
        <v>1</v>
      </c>
      <c r="AR1014" s="137">
        <v>1</v>
      </c>
      <c r="AS1014" s="158">
        <v>0.0656418488929858</v>
      </c>
      <c r="AT1014" s="141" t="s">
        <v>35</v>
      </c>
      <c r="AU1014" s="141" t="s">
        <v>35</v>
      </c>
      <c r="AV1014" s="141" t="s">
        <v>35</v>
      </c>
      <c r="AW1014" s="141" t="s">
        <v>35</v>
      </c>
      <c r="AX1014" s="95"/>
      <c r="AY1014" s="93"/>
    </row>
    <row r="1015" ht="14.5" spans="1:51">
      <c r="A1015" s="91"/>
      <c r="B1015" s="95"/>
      <c r="C1015" s="180" t="s">
        <v>927</v>
      </c>
      <c r="D1015" s="181" t="s">
        <v>25</v>
      </c>
      <c r="E1015" s="130" t="s">
        <v>928</v>
      </c>
      <c r="F1015" s="184" t="s">
        <v>1044</v>
      </c>
      <c r="G1015" s="185" t="s">
        <v>1044</v>
      </c>
      <c r="H1015" s="185" t="s">
        <v>1044</v>
      </c>
      <c r="I1015" s="185" t="s">
        <v>1044</v>
      </c>
      <c r="J1015" s="132">
        <v>0.9</v>
      </c>
      <c r="K1015" s="133">
        <v>0.842105263157895</v>
      </c>
      <c r="L1015" s="133">
        <v>0.870967741935484</v>
      </c>
      <c r="M1015" s="134">
        <v>0.902439024390244</v>
      </c>
      <c r="N1015" s="133">
        <v>0.878923766816143</v>
      </c>
      <c r="O1015" s="135">
        <v>0.9</v>
      </c>
      <c r="P1015" s="133">
        <v>0.926794258373206</v>
      </c>
      <c r="Q1015" s="133">
        <v>0.892897154380462</v>
      </c>
      <c r="R1015" s="133">
        <v>0.947284345047923</v>
      </c>
      <c r="S1015" s="133">
        <v>0.915034965034965</v>
      </c>
      <c r="T1015" s="135">
        <v>0.9</v>
      </c>
      <c r="U1015" s="133">
        <v>0.885167464114832</v>
      </c>
      <c r="V1015" s="133">
        <v>0.828590634102622</v>
      </c>
      <c r="W1015" s="133">
        <v>0.922181652213601</v>
      </c>
      <c r="X1015" s="133">
        <v>0.887218337218337</v>
      </c>
      <c r="Y1015" s="135">
        <v>0.92</v>
      </c>
      <c r="Z1015" s="135">
        <v>0.858766233766234</v>
      </c>
      <c r="AA1015" s="135">
        <v>0.796762589928058</v>
      </c>
      <c r="AB1015" s="135">
        <v>0.926773455377574</v>
      </c>
      <c r="AC1015" s="135">
        <v>0.897699094631221</v>
      </c>
      <c r="AD1015" s="135">
        <v>0.92</v>
      </c>
      <c r="AE1015" s="133">
        <v>0.991482434887947</v>
      </c>
      <c r="AF1015" s="133">
        <v>0.994745351657235</v>
      </c>
      <c r="AG1015" s="133">
        <v>0.996544663424622</v>
      </c>
      <c r="AH1015" s="133">
        <v>0.992191613187814</v>
      </c>
      <c r="AI1015" s="135">
        <v>0.92</v>
      </c>
      <c r="AJ1015" s="133">
        <v>0.91375</v>
      </c>
      <c r="AK1015" s="133">
        <v>0.878809609178917</v>
      </c>
      <c r="AL1015" s="133">
        <v>0.959315589353612</v>
      </c>
      <c r="AM1015" s="133">
        <v>0.943409984359809</v>
      </c>
      <c r="AN1015" s="132">
        <v>0.99</v>
      </c>
      <c r="AO1015" s="137">
        <v>1</v>
      </c>
      <c r="AP1015" s="137">
        <v>1</v>
      </c>
      <c r="AQ1015" s="137">
        <v>1</v>
      </c>
      <c r="AR1015" s="137">
        <v>1</v>
      </c>
      <c r="AS1015" s="158">
        <v>0.0656418488929858</v>
      </c>
      <c r="AT1015" s="141">
        <v>0.117647058823529</v>
      </c>
      <c r="AU1015" s="141">
        <v>0</v>
      </c>
      <c r="AV1015" s="141">
        <v>0.08</v>
      </c>
      <c r="AW1015" s="141">
        <v>0.0660869565217391</v>
      </c>
      <c r="AX1015" s="95"/>
      <c r="AY1015" s="93"/>
    </row>
    <row r="1016" ht="14.5" spans="1:51">
      <c r="A1016" s="91"/>
      <c r="B1016" s="95"/>
      <c r="C1016" s="180" t="s">
        <v>927</v>
      </c>
      <c r="D1016" s="181" t="s">
        <v>125</v>
      </c>
      <c r="E1016" s="130" t="s">
        <v>928</v>
      </c>
      <c r="F1016" s="186" t="s">
        <v>1045</v>
      </c>
      <c r="G1016" s="187" t="s">
        <v>1045</v>
      </c>
      <c r="H1016" s="187" t="s">
        <v>1045</v>
      </c>
      <c r="I1016" s="187" t="s">
        <v>1045</v>
      </c>
      <c r="J1016" s="132">
        <v>0.9</v>
      </c>
      <c r="K1016" s="133" t="s">
        <v>35</v>
      </c>
      <c r="L1016" s="133" t="s">
        <v>35</v>
      </c>
      <c r="M1016" s="134" t="s">
        <v>35</v>
      </c>
      <c r="N1016" s="133" t="s">
        <v>35</v>
      </c>
      <c r="O1016" s="135">
        <v>0.9</v>
      </c>
      <c r="P1016" s="133">
        <v>0</v>
      </c>
      <c r="Q1016" s="133" t="s">
        <v>35</v>
      </c>
      <c r="R1016" s="133">
        <v>0</v>
      </c>
      <c r="S1016" s="133">
        <v>0</v>
      </c>
      <c r="T1016" s="135">
        <v>0.9</v>
      </c>
      <c r="U1016" s="133">
        <v>1</v>
      </c>
      <c r="V1016" s="133" t="s">
        <v>35</v>
      </c>
      <c r="W1016" s="133">
        <v>1</v>
      </c>
      <c r="X1016" s="133">
        <v>1</v>
      </c>
      <c r="Y1016" s="135">
        <v>0.92</v>
      </c>
      <c r="Z1016" s="135">
        <v>0.5</v>
      </c>
      <c r="AA1016" s="135" t="s">
        <v>35</v>
      </c>
      <c r="AB1016" s="135" t="s">
        <v>35</v>
      </c>
      <c r="AC1016" s="135">
        <v>0.5</v>
      </c>
      <c r="AD1016" s="135">
        <v>0.92</v>
      </c>
      <c r="AE1016" s="133">
        <v>1</v>
      </c>
      <c r="AF1016" s="133">
        <v>1</v>
      </c>
      <c r="AG1016" s="133">
        <v>1</v>
      </c>
      <c r="AH1016" s="133">
        <v>0.999817284852914</v>
      </c>
      <c r="AI1016" s="135">
        <v>0.92</v>
      </c>
      <c r="AJ1016" s="133">
        <v>0.666666666666667</v>
      </c>
      <c r="AK1016" s="133" t="s">
        <v>35</v>
      </c>
      <c r="AL1016" s="133">
        <v>1</v>
      </c>
      <c r="AM1016" s="133">
        <v>0.857142857142857</v>
      </c>
      <c r="AN1016" s="132">
        <v>0.99</v>
      </c>
      <c r="AO1016" s="137">
        <v>1</v>
      </c>
      <c r="AP1016" s="137">
        <v>1</v>
      </c>
      <c r="AQ1016" s="137">
        <v>1</v>
      </c>
      <c r="AR1016" s="137">
        <v>1</v>
      </c>
      <c r="AS1016" s="158">
        <v>0.0656418488929858</v>
      </c>
      <c r="AT1016" s="141" t="s">
        <v>35</v>
      </c>
      <c r="AU1016" s="141" t="s">
        <v>35</v>
      </c>
      <c r="AV1016" s="141" t="s">
        <v>35</v>
      </c>
      <c r="AW1016" s="141" t="s">
        <v>35</v>
      </c>
      <c r="AX1016" s="95"/>
      <c r="AY1016" s="93"/>
    </row>
    <row r="1017" ht="14.5" spans="1:51">
      <c r="A1017" s="91"/>
      <c r="B1017" s="95"/>
      <c r="C1017" s="180" t="s">
        <v>927</v>
      </c>
      <c r="D1017" s="181" t="s">
        <v>25</v>
      </c>
      <c r="E1017" s="130" t="s">
        <v>928</v>
      </c>
      <c r="F1017" s="186" t="s">
        <v>1046</v>
      </c>
      <c r="G1017" s="187" t="s">
        <v>1046</v>
      </c>
      <c r="H1017" s="187" t="s">
        <v>1046</v>
      </c>
      <c r="I1017" s="187" t="s">
        <v>1046</v>
      </c>
      <c r="J1017" s="132">
        <v>0.9</v>
      </c>
      <c r="K1017" s="133">
        <v>0.941176470588235</v>
      </c>
      <c r="L1017" s="133">
        <v>0.888888888888889</v>
      </c>
      <c r="M1017" s="134">
        <v>0.787878787878788</v>
      </c>
      <c r="N1017" s="133">
        <v>0.922101449275362</v>
      </c>
      <c r="O1017" s="135">
        <v>0.9</v>
      </c>
      <c r="P1017" s="133">
        <v>0.940871934604905</v>
      </c>
      <c r="Q1017" s="133">
        <v>0.909307875894988</v>
      </c>
      <c r="R1017" s="133">
        <v>0.95393840283456</v>
      </c>
      <c r="S1017" s="133">
        <v>0.929010137149672</v>
      </c>
      <c r="T1017" s="135">
        <v>0.9</v>
      </c>
      <c r="U1017" s="133">
        <v>0.887465940054496</v>
      </c>
      <c r="V1017" s="133">
        <v>0.83001856271546</v>
      </c>
      <c r="W1017" s="133">
        <v>0.934041973289725</v>
      </c>
      <c r="X1017" s="133">
        <v>0.90438282647585</v>
      </c>
      <c r="Y1017" s="135">
        <v>0.92</v>
      </c>
      <c r="Z1017" s="135">
        <v>0.797826086956522</v>
      </c>
      <c r="AA1017" s="135">
        <v>0.682254196642686</v>
      </c>
      <c r="AB1017" s="135">
        <v>0.858407079646018</v>
      </c>
      <c r="AC1017" s="135">
        <v>0.843999458801245</v>
      </c>
      <c r="AD1017" s="135">
        <v>0.92</v>
      </c>
      <c r="AE1017" s="133">
        <v>0.999095431931253</v>
      </c>
      <c r="AF1017" s="133">
        <v>0.999069334574221</v>
      </c>
      <c r="AG1017" s="133">
        <v>0.99832390530065</v>
      </c>
      <c r="AH1017" s="133">
        <v>0.975747966199952</v>
      </c>
      <c r="AI1017" s="135">
        <v>0.92</v>
      </c>
      <c r="AJ1017" s="133">
        <v>0.917331399564902</v>
      </c>
      <c r="AK1017" s="133">
        <v>0.861725184221933</v>
      </c>
      <c r="AL1017" s="133">
        <v>0.942365097588978</v>
      </c>
      <c r="AM1017" s="133">
        <v>0.935754871119565</v>
      </c>
      <c r="AN1017" s="132">
        <v>0.99</v>
      </c>
      <c r="AO1017" s="137">
        <v>1</v>
      </c>
      <c r="AP1017" s="137">
        <v>1</v>
      </c>
      <c r="AQ1017" s="137">
        <v>1</v>
      </c>
      <c r="AR1017" s="137">
        <v>1</v>
      </c>
      <c r="AS1017" s="158">
        <v>0.0656418488929858</v>
      </c>
      <c r="AT1017" s="141">
        <v>0.0882352941176471</v>
      </c>
      <c r="AU1017" s="141">
        <v>0.0416666666666667</v>
      </c>
      <c r="AV1017" s="141">
        <v>0.0285714285714286</v>
      </c>
      <c r="AW1017" s="141">
        <v>0.0680147058823529</v>
      </c>
      <c r="AX1017" s="95"/>
      <c r="AY1017" s="93"/>
    </row>
    <row r="1018" ht="14.5" spans="1:51">
      <c r="A1018" s="91"/>
      <c r="B1018" s="95"/>
      <c r="C1018" s="180" t="s">
        <v>927</v>
      </c>
      <c r="D1018" s="181" t="s">
        <v>125</v>
      </c>
      <c r="E1018" s="130" t="s">
        <v>928</v>
      </c>
      <c r="F1018" s="186" t="s">
        <v>1047</v>
      </c>
      <c r="G1018" s="187" t="s">
        <v>1047</v>
      </c>
      <c r="H1018" s="187" t="s">
        <v>1047</v>
      </c>
      <c r="I1018" s="187" t="s">
        <v>1047</v>
      </c>
      <c r="J1018" s="132">
        <v>0.9</v>
      </c>
      <c r="K1018" s="133" t="s">
        <v>35</v>
      </c>
      <c r="L1018" s="133" t="s">
        <v>35</v>
      </c>
      <c r="M1018" s="134" t="s">
        <v>35</v>
      </c>
      <c r="N1018" s="133" t="s">
        <v>35</v>
      </c>
      <c r="O1018" s="135">
        <v>0.9</v>
      </c>
      <c r="P1018" s="133" t="s">
        <v>35</v>
      </c>
      <c r="Q1018" s="133" t="s">
        <v>35</v>
      </c>
      <c r="R1018" s="133" t="s">
        <v>35</v>
      </c>
      <c r="S1018" s="133">
        <v>0</v>
      </c>
      <c r="T1018" s="135">
        <v>0.9</v>
      </c>
      <c r="U1018" s="133" t="s">
        <v>35</v>
      </c>
      <c r="V1018" s="133" t="s">
        <v>35</v>
      </c>
      <c r="W1018" s="133" t="s">
        <v>35</v>
      </c>
      <c r="X1018" s="133">
        <v>1</v>
      </c>
      <c r="Y1018" s="135">
        <v>0.92</v>
      </c>
      <c r="Z1018" s="135" t="s">
        <v>35</v>
      </c>
      <c r="AA1018" s="135" t="s">
        <v>35</v>
      </c>
      <c r="AB1018" s="135" t="s">
        <v>35</v>
      </c>
      <c r="AC1018" s="135">
        <v>1</v>
      </c>
      <c r="AD1018" s="135">
        <v>0.92</v>
      </c>
      <c r="AE1018" s="133">
        <v>0.995145631067961</v>
      </c>
      <c r="AF1018" s="133">
        <v>1</v>
      </c>
      <c r="AG1018" s="133">
        <v>0.996197718631179</v>
      </c>
      <c r="AH1018" s="133">
        <v>0.998803589232303</v>
      </c>
      <c r="AI1018" s="135">
        <v>0.92</v>
      </c>
      <c r="AJ1018" s="133" t="s">
        <v>35</v>
      </c>
      <c r="AK1018" s="133" t="s">
        <v>35</v>
      </c>
      <c r="AL1018" s="133" t="s">
        <v>35</v>
      </c>
      <c r="AM1018" s="133">
        <v>1</v>
      </c>
      <c r="AN1018" s="132">
        <v>0.99</v>
      </c>
      <c r="AO1018" s="137">
        <v>1</v>
      </c>
      <c r="AP1018" s="137">
        <v>1</v>
      </c>
      <c r="AQ1018" s="137">
        <v>1</v>
      </c>
      <c r="AR1018" s="137">
        <v>1</v>
      </c>
      <c r="AS1018" s="158">
        <v>0.0656418488929858</v>
      </c>
      <c r="AT1018" s="141" t="s">
        <v>35</v>
      </c>
      <c r="AU1018" s="141" t="s">
        <v>35</v>
      </c>
      <c r="AV1018" s="141" t="s">
        <v>35</v>
      </c>
      <c r="AW1018" s="141" t="s">
        <v>35</v>
      </c>
      <c r="AX1018" s="95"/>
      <c r="AY1018" s="93"/>
    </row>
    <row r="1019" ht="14.5" spans="1:51">
      <c r="A1019" s="91"/>
      <c r="B1019" s="95"/>
      <c r="C1019" s="180" t="s">
        <v>927</v>
      </c>
      <c r="D1019" s="181" t="s">
        <v>125</v>
      </c>
      <c r="E1019" s="130" t="s">
        <v>928</v>
      </c>
      <c r="F1019" s="186" t="s">
        <v>1048</v>
      </c>
      <c r="G1019" s="187" t="s">
        <v>1048</v>
      </c>
      <c r="H1019" s="187" t="s">
        <v>1048</v>
      </c>
      <c r="I1019" s="187" t="s">
        <v>1048</v>
      </c>
      <c r="J1019" s="132">
        <v>0.9</v>
      </c>
      <c r="K1019" s="133" t="s">
        <v>35</v>
      </c>
      <c r="L1019" s="133" t="s">
        <v>35</v>
      </c>
      <c r="M1019" s="134" t="s">
        <v>35</v>
      </c>
      <c r="N1019" s="133" t="s">
        <v>35</v>
      </c>
      <c r="O1019" s="135">
        <v>0.9</v>
      </c>
      <c r="P1019" s="133" t="s">
        <v>35</v>
      </c>
      <c r="Q1019" s="133" t="s">
        <v>35</v>
      </c>
      <c r="R1019" s="133" t="s">
        <v>35</v>
      </c>
      <c r="S1019" s="133">
        <v>0</v>
      </c>
      <c r="T1019" s="135">
        <v>0.9</v>
      </c>
      <c r="U1019" s="133" t="s">
        <v>35</v>
      </c>
      <c r="V1019" s="133" t="s">
        <v>35</v>
      </c>
      <c r="W1019" s="133" t="s">
        <v>35</v>
      </c>
      <c r="X1019" s="133">
        <v>1</v>
      </c>
      <c r="Y1019" s="135">
        <v>0.92</v>
      </c>
      <c r="Z1019" s="135" t="s">
        <v>35</v>
      </c>
      <c r="AA1019" s="135" t="s">
        <v>35</v>
      </c>
      <c r="AB1019" s="135" t="s">
        <v>35</v>
      </c>
      <c r="AC1019" s="135" t="s">
        <v>35</v>
      </c>
      <c r="AD1019" s="135">
        <v>0.92</v>
      </c>
      <c r="AE1019" s="133">
        <v>1</v>
      </c>
      <c r="AF1019" s="133">
        <v>1</v>
      </c>
      <c r="AG1019" s="133">
        <v>1</v>
      </c>
      <c r="AH1019" s="133">
        <v>1</v>
      </c>
      <c r="AI1019" s="135">
        <v>0.92</v>
      </c>
      <c r="AJ1019" s="133">
        <v>1</v>
      </c>
      <c r="AK1019" s="133" t="s">
        <v>35</v>
      </c>
      <c r="AL1019" s="133" t="s">
        <v>35</v>
      </c>
      <c r="AM1019" s="133">
        <v>1</v>
      </c>
      <c r="AN1019" s="132">
        <v>0.99</v>
      </c>
      <c r="AO1019" s="137">
        <v>1</v>
      </c>
      <c r="AP1019" s="137">
        <v>1</v>
      </c>
      <c r="AQ1019" s="137">
        <v>1</v>
      </c>
      <c r="AR1019" s="137">
        <v>1</v>
      </c>
      <c r="AS1019" s="158">
        <v>0.0656418488929858</v>
      </c>
      <c r="AT1019" s="141" t="s">
        <v>35</v>
      </c>
      <c r="AU1019" s="141" t="s">
        <v>35</v>
      </c>
      <c r="AV1019" s="141" t="s">
        <v>35</v>
      </c>
      <c r="AW1019" s="141" t="s">
        <v>35</v>
      </c>
      <c r="AX1019" s="95"/>
      <c r="AY1019" s="93"/>
    </row>
    <row r="1020" ht="14.5" spans="1:51">
      <c r="A1020" s="91"/>
      <c r="B1020" s="95"/>
      <c r="C1020" s="180" t="s">
        <v>927</v>
      </c>
      <c r="D1020" s="181" t="s">
        <v>125</v>
      </c>
      <c r="E1020" s="130" t="s">
        <v>928</v>
      </c>
      <c r="F1020" s="186" t="s">
        <v>1049</v>
      </c>
      <c r="G1020" s="187" t="s">
        <v>1049</v>
      </c>
      <c r="H1020" s="187" t="s">
        <v>1049</v>
      </c>
      <c r="I1020" s="187" t="s">
        <v>1049</v>
      </c>
      <c r="J1020" s="132">
        <v>0.9</v>
      </c>
      <c r="K1020" s="133" t="s">
        <v>35</v>
      </c>
      <c r="L1020" s="133" t="s">
        <v>35</v>
      </c>
      <c r="M1020" s="134" t="s">
        <v>35</v>
      </c>
      <c r="N1020" s="133" t="s">
        <v>35</v>
      </c>
      <c r="O1020" s="135">
        <v>0.9</v>
      </c>
      <c r="P1020" s="133" t="s">
        <v>35</v>
      </c>
      <c r="Q1020" s="133" t="s">
        <v>35</v>
      </c>
      <c r="R1020" s="133" t="s">
        <v>35</v>
      </c>
      <c r="S1020" s="133">
        <v>0</v>
      </c>
      <c r="T1020" s="135">
        <v>0.9</v>
      </c>
      <c r="U1020" s="133" t="s">
        <v>35</v>
      </c>
      <c r="V1020" s="133" t="s">
        <v>35</v>
      </c>
      <c r="W1020" s="133" t="s">
        <v>35</v>
      </c>
      <c r="X1020" s="133">
        <v>1</v>
      </c>
      <c r="Y1020" s="135">
        <v>0.92</v>
      </c>
      <c r="Z1020" s="135" t="s">
        <v>35</v>
      </c>
      <c r="AA1020" s="135" t="s">
        <v>35</v>
      </c>
      <c r="AB1020" s="135" t="s">
        <v>35</v>
      </c>
      <c r="AC1020" s="135" t="s">
        <v>35</v>
      </c>
      <c r="AD1020" s="135">
        <v>0.92</v>
      </c>
      <c r="AE1020" s="133" t="s">
        <v>35</v>
      </c>
      <c r="AF1020" s="133" t="s">
        <v>35</v>
      </c>
      <c r="AG1020" s="133">
        <v>1</v>
      </c>
      <c r="AH1020" s="133">
        <v>1</v>
      </c>
      <c r="AI1020" s="135">
        <v>0.92</v>
      </c>
      <c r="AJ1020" s="133" t="s">
        <v>35</v>
      </c>
      <c r="AK1020" s="133" t="s">
        <v>35</v>
      </c>
      <c r="AL1020" s="133" t="s">
        <v>35</v>
      </c>
      <c r="AM1020" s="133">
        <v>1</v>
      </c>
      <c r="AN1020" s="132">
        <v>0.99</v>
      </c>
      <c r="AO1020" s="137" t="s">
        <v>35</v>
      </c>
      <c r="AP1020" s="137" t="s">
        <v>35</v>
      </c>
      <c r="AQ1020" s="137" t="s">
        <v>35</v>
      </c>
      <c r="AR1020" s="137" t="s">
        <v>35</v>
      </c>
      <c r="AS1020" s="158">
        <v>0.0656418488929858</v>
      </c>
      <c r="AT1020" s="141" t="s">
        <v>35</v>
      </c>
      <c r="AU1020" s="141" t="s">
        <v>35</v>
      </c>
      <c r="AV1020" s="141" t="s">
        <v>35</v>
      </c>
      <c r="AW1020" s="141" t="s">
        <v>35</v>
      </c>
      <c r="AX1020" s="95"/>
      <c r="AY1020" s="93"/>
    </row>
    <row r="1021" ht="14.5" spans="1:51">
      <c r="A1021" s="91"/>
      <c r="B1021" s="95"/>
      <c r="C1021" s="180" t="s">
        <v>927</v>
      </c>
      <c r="D1021" s="181" t="s">
        <v>25</v>
      </c>
      <c r="E1021" s="130" t="s">
        <v>928</v>
      </c>
      <c r="F1021" s="186" t="s">
        <v>1050</v>
      </c>
      <c r="G1021" s="187" t="s">
        <v>1050</v>
      </c>
      <c r="H1021" s="187" t="s">
        <v>1050</v>
      </c>
      <c r="I1021" s="187" t="s">
        <v>1050</v>
      </c>
      <c r="J1021" s="132">
        <v>0.9</v>
      </c>
      <c r="K1021" s="133">
        <v>1</v>
      </c>
      <c r="L1021" s="133">
        <v>1</v>
      </c>
      <c r="M1021" s="134">
        <v>1</v>
      </c>
      <c r="N1021" s="133">
        <v>0.950381679389313</v>
      </c>
      <c r="O1021" s="135">
        <v>0.9</v>
      </c>
      <c r="P1021" s="133">
        <v>0.954623287671233</v>
      </c>
      <c r="Q1021" s="133">
        <v>0.882300884955752</v>
      </c>
      <c r="R1021" s="133">
        <v>0.977391304347826</v>
      </c>
      <c r="S1021" s="133">
        <v>0.930909433429096</v>
      </c>
      <c r="T1021" s="135">
        <v>0.9</v>
      </c>
      <c r="U1021" s="133">
        <v>0.815924657534247</v>
      </c>
      <c r="V1021" s="133">
        <v>0.715929203539823</v>
      </c>
      <c r="W1021" s="133">
        <v>0.917391304347826</v>
      </c>
      <c r="X1021" s="133">
        <v>0.845476381104884</v>
      </c>
      <c r="Y1021" s="135">
        <v>0.92</v>
      </c>
      <c r="Z1021" s="135">
        <v>0.73542600896861</v>
      </c>
      <c r="AA1021" s="135">
        <v>0.704819277108434</v>
      </c>
      <c r="AB1021" s="135">
        <v>0.919014084507042</v>
      </c>
      <c r="AC1021" s="135">
        <v>0.850309510410805</v>
      </c>
      <c r="AD1021" s="135">
        <v>0.92</v>
      </c>
      <c r="AE1021" s="133">
        <v>0.997083367090659</v>
      </c>
      <c r="AF1021" s="133">
        <v>0.997087604846225</v>
      </c>
      <c r="AG1021" s="133">
        <v>0.993705787333593</v>
      </c>
      <c r="AH1021" s="133">
        <v>0.987766695482249</v>
      </c>
      <c r="AI1021" s="135">
        <v>0.92</v>
      </c>
      <c r="AJ1021" s="133">
        <v>0.853151862464183</v>
      </c>
      <c r="AK1021" s="133">
        <v>0.82365003417635</v>
      </c>
      <c r="AL1021" s="133">
        <v>0.951219512195122</v>
      </c>
      <c r="AM1021" s="133">
        <v>0.91457777443722</v>
      </c>
      <c r="AN1021" s="132">
        <v>0.99</v>
      </c>
      <c r="AO1021" s="137">
        <v>1</v>
      </c>
      <c r="AP1021" s="137">
        <v>1</v>
      </c>
      <c r="AQ1021" s="137">
        <v>1</v>
      </c>
      <c r="AR1021" s="137">
        <v>1</v>
      </c>
      <c r="AS1021" s="158">
        <v>0.0656418488929858</v>
      </c>
      <c r="AT1021" s="141">
        <v>0.0833333333333333</v>
      </c>
      <c r="AU1021" s="141">
        <v>0</v>
      </c>
      <c r="AV1021" s="141">
        <v>0</v>
      </c>
      <c r="AW1021" s="141">
        <v>0.0394736842105263</v>
      </c>
      <c r="AX1021" s="95"/>
      <c r="AY1021" s="93"/>
    </row>
    <row r="1022" ht="14.5" spans="1:51">
      <c r="A1022" s="91"/>
      <c r="B1022" s="95"/>
      <c r="C1022" s="180" t="s">
        <v>927</v>
      </c>
      <c r="D1022" s="181" t="s">
        <v>125</v>
      </c>
      <c r="E1022" s="130" t="s">
        <v>928</v>
      </c>
      <c r="F1022" s="184" t="s">
        <v>1051</v>
      </c>
      <c r="G1022" s="185" t="s">
        <v>1051</v>
      </c>
      <c r="H1022" s="185" t="s">
        <v>1051</v>
      </c>
      <c r="I1022" s="185" t="s">
        <v>1051</v>
      </c>
      <c r="J1022" s="132">
        <v>0.9</v>
      </c>
      <c r="K1022" s="133" t="s">
        <v>35</v>
      </c>
      <c r="L1022" s="133" t="s">
        <v>35</v>
      </c>
      <c r="M1022" s="134" t="s">
        <v>35</v>
      </c>
      <c r="N1022" s="133" t="s">
        <v>35</v>
      </c>
      <c r="O1022" s="135">
        <v>0.9</v>
      </c>
      <c r="P1022" s="133" t="s">
        <v>35</v>
      </c>
      <c r="Q1022" s="133" t="s">
        <v>35</v>
      </c>
      <c r="R1022" s="133" t="s">
        <v>35</v>
      </c>
      <c r="S1022" s="133">
        <v>0.75</v>
      </c>
      <c r="T1022" s="135">
        <v>0.9</v>
      </c>
      <c r="U1022" s="133" t="s">
        <v>35</v>
      </c>
      <c r="V1022" s="133" t="s">
        <v>35</v>
      </c>
      <c r="W1022" s="133" t="s">
        <v>35</v>
      </c>
      <c r="X1022" s="133">
        <v>1</v>
      </c>
      <c r="Y1022" s="135">
        <v>0.92</v>
      </c>
      <c r="Z1022" s="135" t="s">
        <v>35</v>
      </c>
      <c r="AA1022" s="135" t="s">
        <v>35</v>
      </c>
      <c r="AB1022" s="135" t="s">
        <v>35</v>
      </c>
      <c r="AC1022" s="135">
        <v>0</v>
      </c>
      <c r="AD1022" s="135">
        <v>0.92</v>
      </c>
      <c r="AE1022" s="133">
        <v>0.991103202846975</v>
      </c>
      <c r="AF1022" s="133">
        <v>0.410169491525424</v>
      </c>
      <c r="AG1022" s="133">
        <v>0.994953742640875</v>
      </c>
      <c r="AH1022" s="133">
        <v>0.984731819677526</v>
      </c>
      <c r="AI1022" s="135">
        <v>0.92</v>
      </c>
      <c r="AJ1022" s="133" t="s">
        <v>35</v>
      </c>
      <c r="AK1022" s="133" t="s">
        <v>35</v>
      </c>
      <c r="AL1022" s="133" t="s">
        <v>35</v>
      </c>
      <c r="AM1022" s="133">
        <v>0.8</v>
      </c>
      <c r="AN1022" s="132">
        <v>0.99</v>
      </c>
      <c r="AO1022" s="137">
        <v>1</v>
      </c>
      <c r="AP1022" s="137">
        <v>1</v>
      </c>
      <c r="AQ1022" s="137">
        <v>1</v>
      </c>
      <c r="AR1022" s="137">
        <v>1</v>
      </c>
      <c r="AS1022" s="158">
        <v>0.0656418488929858</v>
      </c>
      <c r="AT1022" s="141" t="s">
        <v>35</v>
      </c>
      <c r="AU1022" s="141">
        <v>0</v>
      </c>
      <c r="AV1022" s="141">
        <v>0</v>
      </c>
      <c r="AW1022" s="141">
        <v>0.032258064516129</v>
      </c>
      <c r="AX1022" s="95"/>
      <c r="AY1022" s="93"/>
    </row>
    <row r="1023" ht="14.5" spans="1:51">
      <c r="A1023" s="91"/>
      <c r="B1023" s="95"/>
      <c r="C1023" s="180" t="s">
        <v>927</v>
      </c>
      <c r="D1023" s="181" t="s">
        <v>125</v>
      </c>
      <c r="E1023" s="130" t="s">
        <v>928</v>
      </c>
      <c r="F1023" s="184" t="s">
        <v>1052</v>
      </c>
      <c r="G1023" s="185" t="s">
        <v>1052</v>
      </c>
      <c r="H1023" s="185" t="s">
        <v>1052</v>
      </c>
      <c r="I1023" s="185" t="s">
        <v>1052</v>
      </c>
      <c r="J1023" s="132">
        <v>0.9</v>
      </c>
      <c r="K1023" s="133" t="s">
        <v>35</v>
      </c>
      <c r="L1023" s="133" t="s">
        <v>35</v>
      </c>
      <c r="M1023" s="134" t="s">
        <v>35</v>
      </c>
      <c r="N1023" s="133" t="s">
        <v>35</v>
      </c>
      <c r="O1023" s="135">
        <v>0.9</v>
      </c>
      <c r="P1023" s="133" t="s">
        <v>35</v>
      </c>
      <c r="Q1023" s="133" t="s">
        <v>35</v>
      </c>
      <c r="R1023" s="133" t="s">
        <v>35</v>
      </c>
      <c r="S1023" s="133">
        <v>0</v>
      </c>
      <c r="T1023" s="135">
        <v>0.9</v>
      </c>
      <c r="U1023" s="133" t="s">
        <v>35</v>
      </c>
      <c r="V1023" s="133" t="s">
        <v>35</v>
      </c>
      <c r="W1023" s="133" t="s">
        <v>35</v>
      </c>
      <c r="X1023" s="133">
        <v>1</v>
      </c>
      <c r="Y1023" s="135">
        <v>0.92</v>
      </c>
      <c r="Z1023" s="135" t="s">
        <v>35</v>
      </c>
      <c r="AA1023" s="135" t="s">
        <v>35</v>
      </c>
      <c r="AB1023" s="135" t="s">
        <v>35</v>
      </c>
      <c r="AC1023" s="135" t="s">
        <v>35</v>
      </c>
      <c r="AD1023" s="135">
        <v>0.92</v>
      </c>
      <c r="AE1023" s="133">
        <v>1</v>
      </c>
      <c r="AF1023" s="133">
        <v>1</v>
      </c>
      <c r="AG1023" s="133">
        <v>1</v>
      </c>
      <c r="AH1023" s="133">
        <v>0.999485013904625</v>
      </c>
      <c r="AI1023" s="135">
        <v>0.92</v>
      </c>
      <c r="AJ1023" s="133" t="s">
        <v>35</v>
      </c>
      <c r="AK1023" s="133" t="s">
        <v>35</v>
      </c>
      <c r="AL1023" s="133" t="s">
        <v>35</v>
      </c>
      <c r="AM1023" s="133">
        <v>1</v>
      </c>
      <c r="AN1023" s="132">
        <v>0.99</v>
      </c>
      <c r="AO1023" s="137" t="s">
        <v>35</v>
      </c>
      <c r="AP1023" s="137" t="s">
        <v>35</v>
      </c>
      <c r="AQ1023" s="137">
        <v>1</v>
      </c>
      <c r="AR1023" s="137">
        <v>1</v>
      </c>
      <c r="AS1023" s="158">
        <v>0.0656418488929858</v>
      </c>
      <c r="AT1023" s="141" t="s">
        <v>35</v>
      </c>
      <c r="AU1023" s="141" t="s">
        <v>35</v>
      </c>
      <c r="AV1023" s="141" t="s">
        <v>35</v>
      </c>
      <c r="AW1023" s="141" t="s">
        <v>35</v>
      </c>
      <c r="AX1023" s="95"/>
      <c r="AY1023" s="93"/>
    </row>
    <row r="1024" ht="14.5" spans="1:51">
      <c r="A1024" s="91"/>
      <c r="B1024" s="95"/>
      <c r="C1024" s="180" t="s">
        <v>927</v>
      </c>
      <c r="D1024" s="181" t="s">
        <v>125</v>
      </c>
      <c r="E1024" s="130" t="s">
        <v>928</v>
      </c>
      <c r="F1024" s="184" t="s">
        <v>1053</v>
      </c>
      <c r="G1024" s="185" t="s">
        <v>1053</v>
      </c>
      <c r="H1024" s="185" t="s">
        <v>1053</v>
      </c>
      <c r="I1024" s="185" t="s">
        <v>1053</v>
      </c>
      <c r="J1024" s="132">
        <v>0.9</v>
      </c>
      <c r="K1024" s="133" t="s">
        <v>35</v>
      </c>
      <c r="L1024" s="133" t="s">
        <v>35</v>
      </c>
      <c r="M1024" s="134" t="s">
        <v>35</v>
      </c>
      <c r="N1024" s="133" t="s">
        <v>35</v>
      </c>
      <c r="O1024" s="135">
        <v>0.9</v>
      </c>
      <c r="P1024" s="133" t="s">
        <v>35</v>
      </c>
      <c r="Q1024" s="133" t="s">
        <v>35</v>
      </c>
      <c r="R1024" s="133" t="s">
        <v>35</v>
      </c>
      <c r="S1024" s="133">
        <v>0</v>
      </c>
      <c r="T1024" s="135">
        <v>0.9</v>
      </c>
      <c r="U1024" s="133" t="s">
        <v>35</v>
      </c>
      <c r="V1024" s="133" t="s">
        <v>35</v>
      </c>
      <c r="W1024" s="133" t="s">
        <v>35</v>
      </c>
      <c r="X1024" s="133">
        <v>1</v>
      </c>
      <c r="Y1024" s="135">
        <v>0.92</v>
      </c>
      <c r="Z1024" s="135" t="s">
        <v>35</v>
      </c>
      <c r="AA1024" s="135" t="s">
        <v>35</v>
      </c>
      <c r="AB1024" s="135" t="s">
        <v>35</v>
      </c>
      <c r="AC1024" s="135" t="s">
        <v>35</v>
      </c>
      <c r="AD1024" s="135">
        <v>0.92</v>
      </c>
      <c r="AE1024" s="133">
        <v>1</v>
      </c>
      <c r="AF1024" s="133">
        <v>1</v>
      </c>
      <c r="AG1024" s="133">
        <v>1</v>
      </c>
      <c r="AH1024" s="133">
        <v>0.999877810361681</v>
      </c>
      <c r="AI1024" s="135">
        <v>0.92</v>
      </c>
      <c r="AJ1024" s="133" t="s">
        <v>35</v>
      </c>
      <c r="AK1024" s="133" t="s">
        <v>35</v>
      </c>
      <c r="AL1024" s="133" t="s">
        <v>35</v>
      </c>
      <c r="AM1024" s="133">
        <v>1</v>
      </c>
      <c r="AN1024" s="132">
        <v>0.99</v>
      </c>
      <c r="AO1024" s="137">
        <v>1</v>
      </c>
      <c r="AP1024" s="137">
        <v>1</v>
      </c>
      <c r="AQ1024" s="137">
        <v>1</v>
      </c>
      <c r="AR1024" s="137">
        <v>1</v>
      </c>
      <c r="AS1024" s="158">
        <v>0.0656418488929858</v>
      </c>
      <c r="AT1024" s="141" t="s">
        <v>35</v>
      </c>
      <c r="AU1024" s="141" t="s">
        <v>35</v>
      </c>
      <c r="AV1024" s="141" t="s">
        <v>35</v>
      </c>
      <c r="AW1024" s="141" t="s">
        <v>35</v>
      </c>
      <c r="AX1024" s="95"/>
      <c r="AY1024" s="93"/>
    </row>
    <row r="1025" ht="14.5" spans="1:51">
      <c r="A1025" s="91"/>
      <c r="B1025" s="95"/>
      <c r="C1025" s="180" t="s">
        <v>927</v>
      </c>
      <c r="D1025" s="181" t="s">
        <v>125</v>
      </c>
      <c r="E1025" s="130" t="s">
        <v>928</v>
      </c>
      <c r="F1025" s="186" t="s">
        <v>1054</v>
      </c>
      <c r="G1025" s="187" t="s">
        <v>1054</v>
      </c>
      <c r="H1025" s="187" t="s">
        <v>1054</v>
      </c>
      <c r="I1025" s="187" t="s">
        <v>1054</v>
      </c>
      <c r="J1025" s="132">
        <v>0.9</v>
      </c>
      <c r="K1025" s="133" t="s">
        <v>35</v>
      </c>
      <c r="L1025" s="133" t="s">
        <v>35</v>
      </c>
      <c r="M1025" s="134" t="s">
        <v>35</v>
      </c>
      <c r="N1025" s="133" t="s">
        <v>35</v>
      </c>
      <c r="O1025" s="135">
        <v>0.9</v>
      </c>
      <c r="P1025" s="133" t="s">
        <v>35</v>
      </c>
      <c r="Q1025" s="133" t="s">
        <v>35</v>
      </c>
      <c r="R1025" s="133" t="s">
        <v>35</v>
      </c>
      <c r="S1025" s="133">
        <v>0</v>
      </c>
      <c r="T1025" s="135">
        <v>0.9</v>
      </c>
      <c r="U1025" s="133" t="s">
        <v>35</v>
      </c>
      <c r="V1025" s="133" t="s">
        <v>35</v>
      </c>
      <c r="W1025" s="133" t="s">
        <v>35</v>
      </c>
      <c r="X1025" s="133">
        <v>1</v>
      </c>
      <c r="Y1025" s="135">
        <v>0.92</v>
      </c>
      <c r="Z1025" s="135" t="s">
        <v>35</v>
      </c>
      <c r="AA1025" s="135" t="s">
        <v>35</v>
      </c>
      <c r="AB1025" s="135" t="s">
        <v>35</v>
      </c>
      <c r="AC1025" s="135" t="s">
        <v>35</v>
      </c>
      <c r="AD1025" s="135">
        <v>0.92</v>
      </c>
      <c r="AE1025" s="133">
        <v>1</v>
      </c>
      <c r="AF1025" s="133">
        <v>1</v>
      </c>
      <c r="AG1025" s="133">
        <v>1</v>
      </c>
      <c r="AH1025" s="133">
        <v>0.999867321215338</v>
      </c>
      <c r="AI1025" s="135">
        <v>0.92</v>
      </c>
      <c r="AJ1025" s="133" t="s">
        <v>35</v>
      </c>
      <c r="AK1025" s="133" t="s">
        <v>35</v>
      </c>
      <c r="AL1025" s="133" t="s">
        <v>35</v>
      </c>
      <c r="AM1025" s="133">
        <v>1</v>
      </c>
      <c r="AN1025" s="132">
        <v>0.99</v>
      </c>
      <c r="AO1025" s="137" t="s">
        <v>35</v>
      </c>
      <c r="AP1025" s="137">
        <v>1</v>
      </c>
      <c r="AQ1025" s="137">
        <v>1</v>
      </c>
      <c r="AR1025" s="137">
        <v>1</v>
      </c>
      <c r="AS1025" s="158">
        <v>0.0656418488929858</v>
      </c>
      <c r="AT1025" s="141" t="s">
        <v>35</v>
      </c>
      <c r="AU1025" s="141" t="s">
        <v>35</v>
      </c>
      <c r="AV1025" s="141" t="s">
        <v>35</v>
      </c>
      <c r="AW1025" s="141" t="s">
        <v>35</v>
      </c>
      <c r="AX1025" s="95"/>
      <c r="AY1025" s="93"/>
    </row>
    <row r="1026" ht="14.5" spans="1:51">
      <c r="A1026" s="91"/>
      <c r="B1026" s="95"/>
      <c r="C1026" s="180" t="s">
        <v>927</v>
      </c>
      <c r="D1026" s="181" t="s">
        <v>25</v>
      </c>
      <c r="E1026" s="130" t="s">
        <v>928</v>
      </c>
      <c r="F1026" s="186" t="s">
        <v>1055</v>
      </c>
      <c r="G1026" s="187" t="s">
        <v>1055</v>
      </c>
      <c r="H1026" s="187" t="s">
        <v>1055</v>
      </c>
      <c r="I1026" s="187" t="s">
        <v>1055</v>
      </c>
      <c r="J1026" s="132">
        <v>0.9</v>
      </c>
      <c r="K1026" s="133">
        <v>0.80952380952381</v>
      </c>
      <c r="L1026" s="133">
        <v>0.647058823529412</v>
      </c>
      <c r="M1026" s="134">
        <v>0.80952380952381</v>
      </c>
      <c r="N1026" s="133">
        <v>0.906060606060606</v>
      </c>
      <c r="O1026" s="135">
        <v>0.9</v>
      </c>
      <c r="P1026" s="133">
        <v>0.977504017139797</v>
      </c>
      <c r="Q1026" s="133">
        <v>0.849952516619183</v>
      </c>
      <c r="R1026" s="133">
        <v>0.971143756558237</v>
      </c>
      <c r="S1026" s="133">
        <v>0.95856946847223</v>
      </c>
      <c r="T1026" s="135">
        <v>0.9</v>
      </c>
      <c r="U1026" s="133">
        <v>0.808248527048741</v>
      </c>
      <c r="V1026" s="133">
        <v>0.745489078822412</v>
      </c>
      <c r="W1026" s="133">
        <v>0.899265477439664</v>
      </c>
      <c r="X1026" s="133">
        <v>0.862882538925013</v>
      </c>
      <c r="Y1026" s="135">
        <v>0.92</v>
      </c>
      <c r="Z1026" s="135">
        <v>0.924528301886792</v>
      </c>
      <c r="AA1026" s="135">
        <v>0.740820734341253</v>
      </c>
      <c r="AB1026" s="135">
        <v>0.93778801843318</v>
      </c>
      <c r="AC1026" s="135">
        <v>0.901697127937337</v>
      </c>
      <c r="AD1026" s="135">
        <v>0.92</v>
      </c>
      <c r="AE1026" s="133">
        <v>0.99405646359584</v>
      </c>
      <c r="AF1026" s="133">
        <v>0.994417006656646</v>
      </c>
      <c r="AG1026" s="133">
        <v>0.981054036024016</v>
      </c>
      <c r="AH1026" s="133">
        <v>0.983089181947876</v>
      </c>
      <c r="AI1026" s="135">
        <v>0.92</v>
      </c>
      <c r="AJ1026" s="133">
        <v>0.874296435272045</v>
      </c>
      <c r="AK1026" s="133">
        <v>0.82348367029549</v>
      </c>
      <c r="AL1026" s="133">
        <v>0.948783610755442</v>
      </c>
      <c r="AM1026" s="133">
        <v>0.927463780425656</v>
      </c>
      <c r="AN1026" s="132">
        <v>0.99</v>
      </c>
      <c r="AO1026" s="137">
        <v>1</v>
      </c>
      <c r="AP1026" s="137">
        <v>1</v>
      </c>
      <c r="AQ1026" s="137">
        <v>1</v>
      </c>
      <c r="AR1026" s="137">
        <v>1</v>
      </c>
      <c r="AS1026" s="158">
        <v>0.0656418488929858</v>
      </c>
      <c r="AT1026" s="141">
        <v>0.0555555555555556</v>
      </c>
      <c r="AU1026" s="141">
        <v>0</v>
      </c>
      <c r="AV1026" s="141">
        <v>0.0476190476190476</v>
      </c>
      <c r="AW1026" s="141">
        <v>0.060126582278481</v>
      </c>
      <c r="AX1026" s="95"/>
      <c r="AY1026" s="93"/>
    </row>
    <row r="1027" ht="14.5" spans="1:51">
      <c r="A1027" s="91"/>
      <c r="B1027" s="95"/>
      <c r="C1027" s="180" t="s">
        <v>927</v>
      </c>
      <c r="D1027" s="181" t="s">
        <v>25</v>
      </c>
      <c r="E1027" s="130" t="s">
        <v>928</v>
      </c>
      <c r="F1027" s="184" t="s">
        <v>1056</v>
      </c>
      <c r="G1027" s="185" t="s">
        <v>1056</v>
      </c>
      <c r="H1027" s="185" t="s">
        <v>1056</v>
      </c>
      <c r="I1027" s="185" t="s">
        <v>1056</v>
      </c>
      <c r="J1027" s="132">
        <v>0.9</v>
      </c>
      <c r="K1027" s="133">
        <v>0.962962962962963</v>
      </c>
      <c r="L1027" s="133">
        <v>1</v>
      </c>
      <c r="M1027" s="134">
        <v>0.964285714285714</v>
      </c>
      <c r="N1027" s="133">
        <v>0.974103585657371</v>
      </c>
      <c r="O1027" s="135">
        <v>0.9</v>
      </c>
      <c r="P1027" s="133">
        <v>0.980052038161318</v>
      </c>
      <c r="Q1027" s="133">
        <v>0.972934973637961</v>
      </c>
      <c r="R1027" s="133">
        <v>0.983633387888707</v>
      </c>
      <c r="S1027" s="133">
        <v>0.979446824757137</v>
      </c>
      <c r="T1027" s="135">
        <v>0.9</v>
      </c>
      <c r="U1027" s="133">
        <v>0.90633130962706</v>
      </c>
      <c r="V1027" s="133">
        <v>0.856239015817223</v>
      </c>
      <c r="W1027" s="133">
        <v>0.940261865793781</v>
      </c>
      <c r="X1027" s="133">
        <v>0.921053747931956</v>
      </c>
      <c r="Y1027" s="135">
        <v>0.92</v>
      </c>
      <c r="Z1027" s="135">
        <v>0.8984375</v>
      </c>
      <c r="AA1027" s="135">
        <v>0.882926829268293</v>
      </c>
      <c r="AB1027" s="135">
        <v>0.945205479452055</v>
      </c>
      <c r="AC1027" s="135">
        <v>0.93036303630363</v>
      </c>
      <c r="AD1027" s="135">
        <v>0.92</v>
      </c>
      <c r="AE1027" s="133">
        <v>1</v>
      </c>
      <c r="AF1027" s="133">
        <v>0.996302521008403</v>
      </c>
      <c r="AG1027" s="133">
        <v>0.998101437483049</v>
      </c>
      <c r="AH1027" s="133">
        <v>0.992796705095728</v>
      </c>
      <c r="AI1027" s="135">
        <v>0.92</v>
      </c>
      <c r="AJ1027" s="133">
        <v>0.938743659773703</v>
      </c>
      <c r="AK1027" s="133">
        <v>0.921698930944814</v>
      </c>
      <c r="AL1027" s="133">
        <v>0.968771686328938</v>
      </c>
      <c r="AM1027" s="133">
        <v>0.96386355960824</v>
      </c>
      <c r="AN1027" s="132">
        <v>0.99</v>
      </c>
      <c r="AO1027" s="137">
        <v>1</v>
      </c>
      <c r="AP1027" s="137">
        <v>1</v>
      </c>
      <c r="AQ1027" s="137">
        <v>1</v>
      </c>
      <c r="AR1027" s="137">
        <v>1</v>
      </c>
      <c r="AS1027" s="158">
        <v>0.0656418488929858</v>
      </c>
      <c r="AT1027" s="141">
        <v>0.0555555555555556</v>
      </c>
      <c r="AU1027" s="141">
        <v>0</v>
      </c>
      <c r="AV1027" s="141">
        <v>0.0384615384615385</v>
      </c>
      <c r="AW1027" s="141">
        <v>0.028169014084507</v>
      </c>
      <c r="AX1027" s="95"/>
      <c r="AY1027" s="93"/>
    </row>
    <row r="1028" ht="14.5" spans="1:51">
      <c r="A1028" s="91"/>
      <c r="B1028" s="95"/>
      <c r="C1028" s="180" t="s">
        <v>927</v>
      </c>
      <c r="D1028" s="181" t="s">
        <v>25</v>
      </c>
      <c r="E1028" s="130" t="s">
        <v>928</v>
      </c>
      <c r="F1028" s="184" t="s">
        <v>1057</v>
      </c>
      <c r="G1028" s="185" t="s">
        <v>1057</v>
      </c>
      <c r="H1028" s="185" t="s">
        <v>1057</v>
      </c>
      <c r="I1028" s="185" t="s">
        <v>1057</v>
      </c>
      <c r="J1028" s="132">
        <v>0.9</v>
      </c>
      <c r="K1028" s="133">
        <v>0.846153846153846</v>
      </c>
      <c r="L1028" s="133">
        <v>0.88</v>
      </c>
      <c r="M1028" s="134">
        <v>0.923076923076923</v>
      </c>
      <c r="N1028" s="133">
        <v>0.82258064516129</v>
      </c>
      <c r="O1028" s="135">
        <v>0.9</v>
      </c>
      <c r="P1028" s="133">
        <v>0.425742574257426</v>
      </c>
      <c r="Q1028" s="133">
        <v>0.450680744651292</v>
      </c>
      <c r="R1028" s="133">
        <v>0.578272810497406</v>
      </c>
      <c r="S1028" s="133">
        <v>0.396681697704038</v>
      </c>
      <c r="T1028" s="135">
        <v>0.9</v>
      </c>
      <c r="U1028" s="133">
        <v>0.548844884488449</v>
      </c>
      <c r="V1028" s="133">
        <v>0.509585996110031</v>
      </c>
      <c r="W1028" s="133">
        <v>0.658223985352457</v>
      </c>
      <c r="X1028" s="133">
        <v>0.536539189700871</v>
      </c>
      <c r="Y1028" s="135">
        <v>0.92</v>
      </c>
      <c r="Z1028" s="135">
        <v>0.679566563467492</v>
      </c>
      <c r="AA1028" s="135">
        <v>0.562883435582822</v>
      </c>
      <c r="AB1028" s="135">
        <v>0.646946564885496</v>
      </c>
      <c r="AC1028" s="135">
        <v>0.609760216143195</v>
      </c>
      <c r="AD1028" s="135">
        <v>0.92</v>
      </c>
      <c r="AE1028" s="133">
        <v>0.999805975941017</v>
      </c>
      <c r="AF1028" s="133">
        <v>0.979441222983658</v>
      </c>
      <c r="AG1028" s="133">
        <v>0.998517145505097</v>
      </c>
      <c r="AH1028" s="133">
        <v>0.980224651402995</v>
      </c>
      <c r="AI1028" s="135">
        <v>0.92</v>
      </c>
      <c r="AJ1028" s="133">
        <v>0.766113679630133</v>
      </c>
      <c r="AK1028" s="133">
        <v>0.712370649106303</v>
      </c>
      <c r="AL1028" s="133">
        <v>0.838243029984219</v>
      </c>
      <c r="AM1028" s="133">
        <v>0.791529687544667</v>
      </c>
      <c r="AN1028" s="132">
        <v>0.99</v>
      </c>
      <c r="AO1028" s="137">
        <v>1</v>
      </c>
      <c r="AP1028" s="137">
        <v>1</v>
      </c>
      <c r="AQ1028" s="137">
        <v>1</v>
      </c>
      <c r="AR1028" s="137">
        <v>1</v>
      </c>
      <c r="AS1028" s="158">
        <v>0.0656418488929858</v>
      </c>
      <c r="AT1028" s="141">
        <v>0.0625</v>
      </c>
      <c r="AU1028" s="141">
        <v>0</v>
      </c>
      <c r="AV1028" s="141">
        <v>0</v>
      </c>
      <c r="AW1028" s="141">
        <v>0.0452830188679245</v>
      </c>
      <c r="AX1028" s="95"/>
      <c r="AY1028" s="93"/>
    </row>
    <row r="1029" ht="14.5" spans="1:51">
      <c r="A1029" s="91"/>
      <c r="B1029" s="95"/>
      <c r="C1029" s="180" t="s">
        <v>927</v>
      </c>
      <c r="D1029" s="181" t="s">
        <v>25</v>
      </c>
      <c r="E1029" s="130" t="s">
        <v>928</v>
      </c>
      <c r="F1029" s="184" t="s">
        <v>1058</v>
      </c>
      <c r="G1029" s="185" t="s">
        <v>1058</v>
      </c>
      <c r="H1029" s="185" t="s">
        <v>1058</v>
      </c>
      <c r="I1029" s="185" t="s">
        <v>1058</v>
      </c>
      <c r="J1029" s="132">
        <v>0.9</v>
      </c>
      <c r="K1029" s="133">
        <v>0.884615384615385</v>
      </c>
      <c r="L1029" s="133">
        <v>0.96</v>
      </c>
      <c r="M1029" s="134">
        <v>0.884615384615385</v>
      </c>
      <c r="N1029" s="133">
        <v>0.929864253393665</v>
      </c>
      <c r="O1029" s="135">
        <v>0.9</v>
      </c>
      <c r="P1029" s="133">
        <v>0.946988973706531</v>
      </c>
      <c r="Q1029" s="133">
        <v>0.936741449062155</v>
      </c>
      <c r="R1029" s="133">
        <v>0.917209658873131</v>
      </c>
      <c r="S1029" s="133">
        <v>0.895654756853093</v>
      </c>
      <c r="T1029" s="135">
        <v>0.9</v>
      </c>
      <c r="U1029" s="133">
        <v>0.892281594571671</v>
      </c>
      <c r="V1029" s="133">
        <v>0.846634792203016</v>
      </c>
      <c r="W1029" s="133">
        <v>0.901878114220008</v>
      </c>
      <c r="X1029" s="133">
        <v>0.856254773826699</v>
      </c>
      <c r="Y1029" s="135">
        <v>0.92</v>
      </c>
      <c r="Z1029" s="135">
        <v>0.673076923076923</v>
      </c>
      <c r="AA1029" s="135">
        <v>0.86986301369863</v>
      </c>
      <c r="AB1029" s="135">
        <v>0.894484412470024</v>
      </c>
      <c r="AC1029" s="135">
        <v>0.86027575724677</v>
      </c>
      <c r="AD1029" s="135">
        <v>0.92</v>
      </c>
      <c r="AE1029" s="133">
        <v>0.997973657548126</v>
      </c>
      <c r="AF1029" s="133">
        <v>0.999321804001356</v>
      </c>
      <c r="AG1029" s="133">
        <v>0.996218090135518</v>
      </c>
      <c r="AH1029" s="133">
        <v>0.996489133869326</v>
      </c>
      <c r="AI1029" s="135">
        <v>0.92</v>
      </c>
      <c r="AJ1029" s="133">
        <v>0.911416571210386</v>
      </c>
      <c r="AK1029" s="133">
        <v>0.946125907990315</v>
      </c>
      <c r="AL1029" s="133">
        <v>0.958030403172505</v>
      </c>
      <c r="AM1029" s="133">
        <v>0.949086069210293</v>
      </c>
      <c r="AN1029" s="132">
        <v>0.99</v>
      </c>
      <c r="AO1029" s="137">
        <v>1</v>
      </c>
      <c r="AP1029" s="137">
        <v>1</v>
      </c>
      <c r="AQ1029" s="137">
        <v>1</v>
      </c>
      <c r="AR1029" s="137">
        <v>1</v>
      </c>
      <c r="AS1029" s="158">
        <v>0.0656418488929858</v>
      </c>
      <c r="AT1029" s="141">
        <v>0</v>
      </c>
      <c r="AU1029" s="141">
        <v>0.111111111111111</v>
      </c>
      <c r="AV1029" s="141">
        <v>0</v>
      </c>
      <c r="AW1029" s="141">
        <v>0.00598802395209581</v>
      </c>
      <c r="AX1029" s="95"/>
      <c r="AY1029" s="93"/>
    </row>
    <row r="1030" ht="14.5" spans="1:51">
      <c r="A1030" s="91"/>
      <c r="B1030" s="95"/>
      <c r="C1030" s="180" t="s">
        <v>927</v>
      </c>
      <c r="D1030" s="181" t="s">
        <v>25</v>
      </c>
      <c r="E1030" s="130" t="s">
        <v>928</v>
      </c>
      <c r="F1030" s="184" t="s">
        <v>1059</v>
      </c>
      <c r="G1030" s="185" t="s">
        <v>1059</v>
      </c>
      <c r="H1030" s="185" t="s">
        <v>1059</v>
      </c>
      <c r="I1030" s="185" t="s">
        <v>1059</v>
      </c>
      <c r="J1030" s="132">
        <v>0.9</v>
      </c>
      <c r="K1030" s="133">
        <v>1</v>
      </c>
      <c r="L1030" s="133">
        <v>0.96875</v>
      </c>
      <c r="M1030" s="134">
        <v>0.914285714285714</v>
      </c>
      <c r="N1030" s="133">
        <v>0.964788732394366</v>
      </c>
      <c r="O1030" s="135">
        <v>0.9</v>
      </c>
      <c r="P1030" s="133">
        <v>0.955192034139403</v>
      </c>
      <c r="Q1030" s="133">
        <v>0.92251968503937</v>
      </c>
      <c r="R1030" s="133">
        <v>0.96392646548734</v>
      </c>
      <c r="S1030" s="133">
        <v>0.941353465725696</v>
      </c>
      <c r="T1030" s="135">
        <v>0.9</v>
      </c>
      <c r="U1030" s="133">
        <v>0.909672830725462</v>
      </c>
      <c r="V1030" s="133">
        <v>0.900472440944882</v>
      </c>
      <c r="W1030" s="133">
        <v>0.950398890045092</v>
      </c>
      <c r="X1030" s="133">
        <v>0.89525320495286</v>
      </c>
      <c r="Y1030" s="135">
        <v>0.92</v>
      </c>
      <c r="Z1030" s="135">
        <v>0.930830039525692</v>
      </c>
      <c r="AA1030" s="135">
        <v>0.915721231766613</v>
      </c>
      <c r="AB1030" s="135">
        <v>0.912871287128713</v>
      </c>
      <c r="AC1030" s="135">
        <v>0.932132459970888</v>
      </c>
      <c r="AD1030" s="135">
        <v>0.92</v>
      </c>
      <c r="AE1030" s="133">
        <v>1</v>
      </c>
      <c r="AF1030" s="133">
        <v>0.997557997557998</v>
      </c>
      <c r="AG1030" s="133">
        <v>0.998810939357907</v>
      </c>
      <c r="AH1030" s="133">
        <v>0.992449727143605</v>
      </c>
      <c r="AI1030" s="135">
        <v>0.92</v>
      </c>
      <c r="AJ1030" s="133">
        <v>0.968354430379747</v>
      </c>
      <c r="AK1030" s="133">
        <v>0.965726337991036</v>
      </c>
      <c r="AL1030" s="133">
        <v>0.975501770956316</v>
      </c>
      <c r="AM1030" s="133">
        <v>0.970683395865296</v>
      </c>
      <c r="AN1030" s="132">
        <v>0.99</v>
      </c>
      <c r="AO1030" s="137">
        <v>1</v>
      </c>
      <c r="AP1030" s="137">
        <v>1</v>
      </c>
      <c r="AQ1030" s="137">
        <v>1</v>
      </c>
      <c r="AR1030" s="137">
        <v>1</v>
      </c>
      <c r="AS1030" s="158">
        <v>0.0656418488929858</v>
      </c>
      <c r="AT1030" s="141">
        <v>0.285714285714286</v>
      </c>
      <c r="AU1030" s="141">
        <v>0.125</v>
      </c>
      <c r="AV1030" s="141">
        <v>0</v>
      </c>
      <c r="AW1030" s="141">
        <v>0.05</v>
      </c>
      <c r="AX1030" s="95"/>
      <c r="AY1030" s="93"/>
    </row>
    <row r="1031" ht="14.5" spans="1:51">
      <c r="A1031" s="91"/>
      <c r="B1031" s="95"/>
      <c r="C1031" s="180" t="s">
        <v>927</v>
      </c>
      <c r="D1031" s="181" t="s">
        <v>25</v>
      </c>
      <c r="E1031" s="130" t="s">
        <v>928</v>
      </c>
      <c r="F1031" s="184" t="s">
        <v>1060</v>
      </c>
      <c r="G1031" s="185" t="s">
        <v>1060</v>
      </c>
      <c r="H1031" s="185" t="s">
        <v>1060</v>
      </c>
      <c r="I1031" s="185" t="s">
        <v>1060</v>
      </c>
      <c r="J1031" s="132">
        <v>0.9</v>
      </c>
      <c r="K1031" s="133">
        <v>0.904761904761905</v>
      </c>
      <c r="L1031" s="133">
        <v>0.902439024390244</v>
      </c>
      <c r="M1031" s="134">
        <v>0.954545454545455</v>
      </c>
      <c r="N1031" s="133">
        <v>0.874145006839945</v>
      </c>
      <c r="O1031" s="135">
        <v>0.9</v>
      </c>
      <c r="P1031" s="133">
        <v>0.967096487327701</v>
      </c>
      <c r="Q1031" s="133">
        <v>0.950909090909091</v>
      </c>
      <c r="R1031" s="133">
        <v>0.98747893089333</v>
      </c>
      <c r="S1031" s="133">
        <v>0.971064253281085</v>
      </c>
      <c r="T1031" s="135">
        <v>0.9</v>
      </c>
      <c r="U1031" s="133">
        <v>0.958425967096487</v>
      </c>
      <c r="V1031" s="133">
        <v>0.928863636363636</v>
      </c>
      <c r="W1031" s="133">
        <v>0.960510474355887</v>
      </c>
      <c r="X1031" s="133">
        <v>0.943509361199229</v>
      </c>
      <c r="Y1031" s="135">
        <v>0.92</v>
      </c>
      <c r="Z1031" s="135" t="s">
        <v>35</v>
      </c>
      <c r="AA1031" s="135" t="s">
        <v>35</v>
      </c>
      <c r="AB1031" s="135" t="s">
        <v>35</v>
      </c>
      <c r="AC1031" s="135">
        <v>0.333333333333333</v>
      </c>
      <c r="AD1031" s="135">
        <v>0.92</v>
      </c>
      <c r="AE1031" s="133">
        <v>1</v>
      </c>
      <c r="AF1031" s="133">
        <v>0.998131714152265</v>
      </c>
      <c r="AG1031" s="133">
        <v>0.983358547655068</v>
      </c>
      <c r="AH1031" s="133">
        <v>0.994664916835468</v>
      </c>
      <c r="AI1031" s="135">
        <v>0.92</v>
      </c>
      <c r="AJ1031" s="133">
        <v>0.98666962897134</v>
      </c>
      <c r="AK1031" s="133">
        <v>0.981607629427793</v>
      </c>
      <c r="AL1031" s="133">
        <v>0.98916445942692</v>
      </c>
      <c r="AM1031" s="133">
        <v>0.986484638243376</v>
      </c>
      <c r="AN1031" s="132">
        <v>0.99</v>
      </c>
      <c r="AO1031" s="137">
        <v>1</v>
      </c>
      <c r="AP1031" s="137">
        <v>1</v>
      </c>
      <c r="AQ1031" s="137">
        <v>1</v>
      </c>
      <c r="AR1031" s="137">
        <v>1</v>
      </c>
      <c r="AS1031" s="158">
        <v>0.0656418488929858</v>
      </c>
      <c r="AT1031" s="141">
        <v>0</v>
      </c>
      <c r="AU1031" s="141">
        <v>0</v>
      </c>
      <c r="AV1031" s="141">
        <v>0.0666666666666667</v>
      </c>
      <c r="AW1031" s="141">
        <v>0.0742049469964664</v>
      </c>
      <c r="AX1031" s="95"/>
      <c r="AY1031" s="93"/>
    </row>
    <row r="1032" ht="14.5" spans="1:51">
      <c r="A1032" s="91"/>
      <c r="B1032" s="95"/>
      <c r="C1032" s="180" t="s">
        <v>927</v>
      </c>
      <c r="D1032" s="181" t="s">
        <v>25</v>
      </c>
      <c r="E1032" s="130" t="s">
        <v>928</v>
      </c>
      <c r="F1032" s="184" t="s">
        <v>1061</v>
      </c>
      <c r="G1032" s="185" t="s">
        <v>1061</v>
      </c>
      <c r="H1032" s="185" t="s">
        <v>1061</v>
      </c>
      <c r="I1032" s="185" t="s">
        <v>1061</v>
      </c>
      <c r="J1032" s="132">
        <v>0.9</v>
      </c>
      <c r="K1032" s="133">
        <v>0.971428571428571</v>
      </c>
      <c r="L1032" s="133">
        <v>0.885714285714286</v>
      </c>
      <c r="M1032" s="134">
        <v>0.914285714285714</v>
      </c>
      <c r="N1032" s="133">
        <v>0.890598290598291</v>
      </c>
      <c r="O1032" s="135">
        <v>0.9</v>
      </c>
      <c r="P1032" s="133">
        <v>0.922808898418655</v>
      </c>
      <c r="Q1032" s="133">
        <v>0.912951727776312</v>
      </c>
      <c r="R1032" s="133">
        <v>0.937948152233867</v>
      </c>
      <c r="S1032" s="133">
        <v>0.90857108821252</v>
      </c>
      <c r="T1032" s="135">
        <v>0.9</v>
      </c>
      <c r="U1032" s="133">
        <v>0.854194585901903</v>
      </c>
      <c r="V1032" s="133">
        <v>0.855183328936956</v>
      </c>
      <c r="W1032" s="133">
        <v>0.892443463872035</v>
      </c>
      <c r="X1032" s="133">
        <v>0.805601882184764</v>
      </c>
      <c r="Y1032" s="135">
        <v>0.92</v>
      </c>
      <c r="Z1032" s="135" t="s">
        <v>35</v>
      </c>
      <c r="AA1032" s="135">
        <v>0</v>
      </c>
      <c r="AB1032" s="135">
        <v>0</v>
      </c>
      <c r="AC1032" s="135">
        <v>0</v>
      </c>
      <c r="AD1032" s="135">
        <v>0.92</v>
      </c>
      <c r="AE1032" s="133">
        <v>0.997876857749469</v>
      </c>
      <c r="AF1032" s="133">
        <v>0.998715203426124</v>
      </c>
      <c r="AG1032" s="133">
        <v>0.999626168224299</v>
      </c>
      <c r="AH1032" s="133">
        <v>0.992967740568935</v>
      </c>
      <c r="AI1032" s="135">
        <v>0.92</v>
      </c>
      <c r="AJ1032" s="133">
        <v>0.952291610828196</v>
      </c>
      <c r="AK1032" s="133">
        <v>0.958344318481413</v>
      </c>
      <c r="AL1032" s="133">
        <v>0.969396195202647</v>
      </c>
      <c r="AM1032" s="133">
        <v>0.958655907575036</v>
      </c>
      <c r="AN1032" s="132">
        <v>0.99</v>
      </c>
      <c r="AO1032" s="137">
        <v>1</v>
      </c>
      <c r="AP1032" s="137">
        <v>1</v>
      </c>
      <c r="AQ1032" s="137">
        <v>1</v>
      </c>
      <c r="AR1032" s="137">
        <v>1</v>
      </c>
      <c r="AS1032" s="158">
        <v>0.0656418488929858</v>
      </c>
      <c r="AT1032" s="141">
        <v>0</v>
      </c>
      <c r="AU1032" s="141">
        <v>0</v>
      </c>
      <c r="AV1032" s="141">
        <v>0</v>
      </c>
      <c r="AW1032" s="141">
        <v>0.024390243902439</v>
      </c>
      <c r="AX1032" s="95"/>
      <c r="AY1032" s="93"/>
    </row>
    <row r="1033" ht="14.5" spans="1:51">
      <c r="A1033" s="91"/>
      <c r="B1033" s="95"/>
      <c r="C1033" s="180" t="s">
        <v>927</v>
      </c>
      <c r="D1033" s="181" t="s">
        <v>25</v>
      </c>
      <c r="E1033" s="130" t="s">
        <v>928</v>
      </c>
      <c r="F1033" s="188" t="s">
        <v>1062</v>
      </c>
      <c r="G1033" s="189" t="s">
        <v>1062</v>
      </c>
      <c r="H1033" s="189" t="s">
        <v>1062</v>
      </c>
      <c r="I1033" s="189" t="s">
        <v>1062</v>
      </c>
      <c r="J1033" s="132">
        <v>0.9</v>
      </c>
      <c r="K1033" s="133">
        <v>0.904761904761905</v>
      </c>
      <c r="L1033" s="133">
        <v>0.956521739130435</v>
      </c>
      <c r="M1033" s="134">
        <v>0.954545454545455</v>
      </c>
      <c r="N1033" s="133">
        <v>0.943444730077121</v>
      </c>
      <c r="O1033" s="135">
        <v>0.9</v>
      </c>
      <c r="P1033" s="133">
        <v>0.942539388322521</v>
      </c>
      <c r="Q1033" s="133">
        <v>0.914401622718053</v>
      </c>
      <c r="R1033" s="133">
        <v>0.952922077922078</v>
      </c>
      <c r="S1033" s="133">
        <v>0.946376811594203</v>
      </c>
      <c r="T1033" s="135">
        <v>0.9</v>
      </c>
      <c r="U1033" s="133">
        <v>0.889249304911956</v>
      </c>
      <c r="V1033" s="133">
        <v>0.84421906693712</v>
      </c>
      <c r="W1033" s="133">
        <v>0.928165584415584</v>
      </c>
      <c r="X1033" s="133">
        <v>0.894836956521739</v>
      </c>
      <c r="Y1033" s="135">
        <v>0.92</v>
      </c>
      <c r="Z1033" s="135">
        <v>0.896321070234114</v>
      </c>
      <c r="AA1033" s="135">
        <v>0.876363636363636</v>
      </c>
      <c r="AB1033" s="135">
        <v>0.929539295392954</v>
      </c>
      <c r="AC1033" s="135">
        <v>0.900906806511526</v>
      </c>
      <c r="AD1033" s="135">
        <v>0.92</v>
      </c>
      <c r="AE1033" s="133">
        <v>0.991702045542262</v>
      </c>
      <c r="AF1033" s="133">
        <v>0.998863313441319</v>
      </c>
      <c r="AG1033" s="133">
        <v>0.920966524037251</v>
      </c>
      <c r="AH1033" s="133">
        <v>0.936265200477839</v>
      </c>
      <c r="AI1033" s="135">
        <v>0.92</v>
      </c>
      <c r="AJ1033" s="133">
        <v>0.941822620016273</v>
      </c>
      <c r="AK1033" s="133">
        <v>0.929353233830846</v>
      </c>
      <c r="AL1033" s="133">
        <v>0.969643487469114</v>
      </c>
      <c r="AM1033" s="133">
        <v>0.957039453945395</v>
      </c>
      <c r="AN1033" s="132">
        <v>0.99</v>
      </c>
      <c r="AO1033" s="137">
        <v>1</v>
      </c>
      <c r="AP1033" s="137">
        <v>1</v>
      </c>
      <c r="AQ1033" s="137">
        <v>1</v>
      </c>
      <c r="AR1033" s="137">
        <v>1</v>
      </c>
      <c r="AS1033" s="158">
        <v>0.0656418488929858</v>
      </c>
      <c r="AT1033" s="141">
        <v>0.125</v>
      </c>
      <c r="AU1033" s="141">
        <v>0</v>
      </c>
      <c r="AV1033" s="141">
        <v>0</v>
      </c>
      <c r="AW1033" s="141">
        <v>0.0135135135135135</v>
      </c>
      <c r="AX1033" s="95"/>
      <c r="AY1033" s="93"/>
    </row>
    <row r="1034" ht="14.5" spans="1:51">
      <c r="A1034" s="91"/>
      <c r="B1034" s="95"/>
      <c r="C1034" s="180" t="s">
        <v>927</v>
      </c>
      <c r="D1034" s="181" t="s">
        <v>25</v>
      </c>
      <c r="E1034" s="130" t="s">
        <v>928</v>
      </c>
      <c r="F1034" s="184" t="s">
        <v>1063</v>
      </c>
      <c r="G1034" s="185" t="s">
        <v>1063</v>
      </c>
      <c r="H1034" s="185" t="s">
        <v>1063</v>
      </c>
      <c r="I1034" s="185" t="s">
        <v>1063</v>
      </c>
      <c r="J1034" s="132">
        <v>0.9</v>
      </c>
      <c r="K1034" s="133">
        <v>0.971428571428571</v>
      </c>
      <c r="L1034" s="133">
        <v>1</v>
      </c>
      <c r="M1034" s="134">
        <v>0.951219512195122</v>
      </c>
      <c r="N1034" s="133">
        <v>0.970238095238095</v>
      </c>
      <c r="O1034" s="135">
        <v>0.9</v>
      </c>
      <c r="P1034" s="133">
        <v>0.956294163831458</v>
      </c>
      <c r="Q1034" s="133">
        <v>0.935430069096974</v>
      </c>
      <c r="R1034" s="133">
        <v>0.967075038284839</v>
      </c>
      <c r="S1034" s="133">
        <v>0.943203935986159</v>
      </c>
      <c r="T1034" s="135">
        <v>0.9</v>
      </c>
      <c r="U1034" s="133">
        <v>0.925673907354096</v>
      </c>
      <c r="V1034" s="133">
        <v>0.898498927805575</v>
      </c>
      <c r="W1034" s="133">
        <v>0.936957631444615</v>
      </c>
      <c r="X1034" s="133">
        <v>0.91325151384083</v>
      </c>
      <c r="Y1034" s="135">
        <v>0.92</v>
      </c>
      <c r="Z1034" s="135">
        <v>0</v>
      </c>
      <c r="AA1034" s="135" t="s">
        <v>35</v>
      </c>
      <c r="AB1034" s="135">
        <v>0</v>
      </c>
      <c r="AC1034" s="135">
        <v>0</v>
      </c>
      <c r="AD1034" s="135">
        <v>0.92</v>
      </c>
      <c r="AE1034" s="133">
        <v>0.999206034140532</v>
      </c>
      <c r="AF1034" s="133">
        <v>1</v>
      </c>
      <c r="AG1034" s="133">
        <v>0.998787388843977</v>
      </c>
      <c r="AH1034" s="133">
        <v>0.997052435618988</v>
      </c>
      <c r="AI1034" s="135">
        <v>0.92</v>
      </c>
      <c r="AJ1034" s="133">
        <v>0.965463108320251</v>
      </c>
      <c r="AK1034" s="133">
        <v>0.964974982130093</v>
      </c>
      <c r="AL1034" s="133">
        <v>0.979841796376627</v>
      </c>
      <c r="AM1034" s="133">
        <v>0.973475123638624</v>
      </c>
      <c r="AN1034" s="132">
        <v>0.99</v>
      </c>
      <c r="AO1034" s="137">
        <v>1</v>
      </c>
      <c r="AP1034" s="137">
        <v>1</v>
      </c>
      <c r="AQ1034" s="137">
        <v>1</v>
      </c>
      <c r="AR1034" s="137">
        <v>1</v>
      </c>
      <c r="AS1034" s="158">
        <v>0.0656418488929858</v>
      </c>
      <c r="AT1034" s="141">
        <v>0</v>
      </c>
      <c r="AU1034" s="141">
        <v>0</v>
      </c>
      <c r="AV1034" s="141">
        <v>0</v>
      </c>
      <c r="AW1034" s="141">
        <v>0.027681660899654</v>
      </c>
      <c r="AX1034" s="95"/>
      <c r="AY1034" s="93"/>
    </row>
    <row r="1035" ht="14.5" spans="1:51">
      <c r="A1035" s="91"/>
      <c r="B1035" s="95"/>
      <c r="C1035" s="180" t="s">
        <v>927</v>
      </c>
      <c r="D1035" s="181" t="s">
        <v>125</v>
      </c>
      <c r="E1035" s="130" t="s">
        <v>928</v>
      </c>
      <c r="F1035" s="184" t="s">
        <v>1064</v>
      </c>
      <c r="G1035" s="185" t="s">
        <v>1064</v>
      </c>
      <c r="H1035" s="185" t="s">
        <v>1064</v>
      </c>
      <c r="I1035" s="185" t="s">
        <v>1064</v>
      </c>
      <c r="J1035" s="132">
        <v>0.9</v>
      </c>
      <c r="K1035" s="133" t="s">
        <v>35</v>
      </c>
      <c r="L1035" s="133" t="s">
        <v>35</v>
      </c>
      <c r="M1035" s="134" t="s">
        <v>35</v>
      </c>
      <c r="N1035" s="133" t="s">
        <v>35</v>
      </c>
      <c r="O1035" s="135">
        <v>0.9</v>
      </c>
      <c r="P1035" s="133" t="s">
        <v>35</v>
      </c>
      <c r="Q1035" s="133">
        <v>0</v>
      </c>
      <c r="R1035" s="133">
        <v>0</v>
      </c>
      <c r="S1035" s="133">
        <v>0.333333333333333</v>
      </c>
      <c r="T1035" s="135">
        <v>0.9</v>
      </c>
      <c r="U1035" s="133" t="s">
        <v>35</v>
      </c>
      <c r="V1035" s="133">
        <v>1</v>
      </c>
      <c r="W1035" s="133">
        <v>1</v>
      </c>
      <c r="X1035" s="133">
        <v>1</v>
      </c>
      <c r="Y1035" s="135">
        <v>0.92</v>
      </c>
      <c r="Z1035" s="135" t="s">
        <v>35</v>
      </c>
      <c r="AA1035" s="135" t="s">
        <v>35</v>
      </c>
      <c r="AB1035" s="135" t="s">
        <v>35</v>
      </c>
      <c r="AC1035" s="135" t="s">
        <v>35</v>
      </c>
      <c r="AD1035" s="135">
        <v>0.92</v>
      </c>
      <c r="AE1035" s="133">
        <v>1</v>
      </c>
      <c r="AF1035" s="133">
        <v>1</v>
      </c>
      <c r="AG1035" s="133">
        <v>1</v>
      </c>
      <c r="AH1035" s="133">
        <v>0.999399519615693</v>
      </c>
      <c r="AI1035" s="135">
        <v>0.92</v>
      </c>
      <c r="AJ1035" s="133" t="s">
        <v>35</v>
      </c>
      <c r="AK1035" s="133">
        <v>1</v>
      </c>
      <c r="AL1035" s="133">
        <v>1</v>
      </c>
      <c r="AM1035" s="133">
        <v>1</v>
      </c>
      <c r="AN1035" s="132">
        <v>0.99</v>
      </c>
      <c r="AO1035" s="137" t="s">
        <v>35</v>
      </c>
      <c r="AP1035" s="137">
        <v>1</v>
      </c>
      <c r="AQ1035" s="137">
        <v>1</v>
      </c>
      <c r="AR1035" s="137">
        <v>1</v>
      </c>
      <c r="AS1035" s="158">
        <v>0.0656418488929858</v>
      </c>
      <c r="AT1035" s="141" t="s">
        <v>35</v>
      </c>
      <c r="AU1035" s="141" t="s">
        <v>35</v>
      </c>
      <c r="AV1035" s="141" t="s">
        <v>35</v>
      </c>
      <c r="AW1035" s="141" t="s">
        <v>35</v>
      </c>
      <c r="AX1035" s="95"/>
      <c r="AY1035" s="93"/>
    </row>
    <row r="1036" ht="14.5" spans="1:51">
      <c r="A1036" s="91"/>
      <c r="B1036" s="95"/>
      <c r="C1036" s="180" t="s">
        <v>927</v>
      </c>
      <c r="D1036" s="181" t="s">
        <v>25</v>
      </c>
      <c r="E1036" s="130" t="s">
        <v>928</v>
      </c>
      <c r="F1036" s="184" t="s">
        <v>1065</v>
      </c>
      <c r="G1036" s="185" t="s">
        <v>1065</v>
      </c>
      <c r="H1036" s="185" t="s">
        <v>1065</v>
      </c>
      <c r="I1036" s="185" t="s">
        <v>1065</v>
      </c>
      <c r="J1036" s="132">
        <v>0.9</v>
      </c>
      <c r="K1036" s="133">
        <v>0.8</v>
      </c>
      <c r="L1036" s="133">
        <v>0.727272727272727</v>
      </c>
      <c r="M1036" s="134">
        <v>0.909090909090909</v>
      </c>
      <c r="N1036" s="133">
        <v>0.951871657754011</v>
      </c>
      <c r="O1036" s="135">
        <v>0.9</v>
      </c>
      <c r="P1036" s="133">
        <v>0.993446920052425</v>
      </c>
      <c r="Q1036" s="133">
        <v>0.991775188485264</v>
      </c>
      <c r="R1036" s="133">
        <v>0.990728476821192</v>
      </c>
      <c r="S1036" s="133">
        <v>0.992466326763564</v>
      </c>
      <c r="T1036" s="135">
        <v>0.9</v>
      </c>
      <c r="U1036" s="133">
        <v>0.941022280471822</v>
      </c>
      <c r="V1036" s="133">
        <v>0.947224126113777</v>
      </c>
      <c r="W1036" s="133">
        <v>0.872847682119205</v>
      </c>
      <c r="X1036" s="133">
        <v>0.930636937828171</v>
      </c>
      <c r="Y1036" s="135">
        <v>0.92</v>
      </c>
      <c r="Z1036" s="135">
        <v>0.961352657004831</v>
      </c>
      <c r="AA1036" s="135">
        <v>0.904040404040404</v>
      </c>
      <c r="AB1036" s="135">
        <v>0.956521739130435</v>
      </c>
      <c r="AC1036" s="135">
        <v>0.94624</v>
      </c>
      <c r="AD1036" s="135">
        <v>0.92</v>
      </c>
      <c r="AE1036" s="133">
        <v>0.998478856099787</v>
      </c>
      <c r="AF1036" s="133">
        <v>0.999184339314845</v>
      </c>
      <c r="AG1036" s="133">
        <v>0.997900262467192</v>
      </c>
      <c r="AH1036" s="133">
        <v>0.998222984979831</v>
      </c>
      <c r="AI1036" s="135">
        <v>0.92</v>
      </c>
      <c r="AJ1036" s="133">
        <v>0.971148297749567</v>
      </c>
      <c r="AK1036" s="133">
        <v>0.955795148247978</v>
      </c>
      <c r="AL1036" s="133">
        <v>0.970182219768084</v>
      </c>
      <c r="AM1036" s="133">
        <v>0.971264367816092</v>
      </c>
      <c r="AN1036" s="132">
        <v>0.99</v>
      </c>
      <c r="AO1036" s="137">
        <v>1</v>
      </c>
      <c r="AP1036" s="137">
        <v>1</v>
      </c>
      <c r="AQ1036" s="137">
        <v>1</v>
      </c>
      <c r="AR1036" s="137">
        <v>1</v>
      </c>
      <c r="AS1036" s="158">
        <v>0.0656418488929858</v>
      </c>
      <c r="AT1036" s="141">
        <v>0</v>
      </c>
      <c r="AU1036" s="141">
        <v>0.0357142857142857</v>
      </c>
      <c r="AV1036" s="141">
        <v>0</v>
      </c>
      <c r="AW1036" s="141">
        <v>0.0292682926829268</v>
      </c>
      <c r="AX1036" s="95"/>
      <c r="AY1036" s="93"/>
    </row>
    <row r="1037" ht="14.5" spans="1:51">
      <c r="A1037" s="91"/>
      <c r="B1037" s="95"/>
      <c r="C1037" s="180" t="s">
        <v>927</v>
      </c>
      <c r="D1037" s="181" t="s">
        <v>25</v>
      </c>
      <c r="E1037" s="130" t="s">
        <v>928</v>
      </c>
      <c r="F1037" s="184" t="s">
        <v>1066</v>
      </c>
      <c r="G1037" s="185" t="s">
        <v>1066</v>
      </c>
      <c r="H1037" s="185" t="s">
        <v>1066</v>
      </c>
      <c r="I1037" s="185" t="s">
        <v>1066</v>
      </c>
      <c r="J1037" s="132">
        <v>0.9</v>
      </c>
      <c r="K1037" s="133">
        <v>0.84375</v>
      </c>
      <c r="L1037" s="133">
        <v>0.966666666666667</v>
      </c>
      <c r="M1037" s="134">
        <v>0.909090909090909</v>
      </c>
      <c r="N1037" s="133">
        <v>0.915869980879541</v>
      </c>
      <c r="O1037" s="135">
        <v>0.9</v>
      </c>
      <c r="P1037" s="133">
        <v>0.850408314773571</v>
      </c>
      <c r="Q1037" s="133">
        <v>0.936339522546419</v>
      </c>
      <c r="R1037" s="133">
        <v>0.957308248914617</v>
      </c>
      <c r="S1037" s="133">
        <v>0.845193768996961</v>
      </c>
      <c r="T1037" s="135">
        <v>0.9</v>
      </c>
      <c r="U1037" s="133">
        <v>0.838530066815145</v>
      </c>
      <c r="V1037" s="133">
        <v>0.801724137931034</v>
      </c>
      <c r="W1037" s="133">
        <v>0.935600578871201</v>
      </c>
      <c r="X1037" s="133">
        <v>0.843768996960486</v>
      </c>
      <c r="Y1037" s="135">
        <v>0.92</v>
      </c>
      <c r="Z1037" s="135">
        <v>0.902654867256637</v>
      </c>
      <c r="AA1037" s="135">
        <v>0.786008230452675</v>
      </c>
      <c r="AB1037" s="135">
        <v>0.943840579710145</v>
      </c>
      <c r="AC1037" s="135">
        <v>0.889131003224963</v>
      </c>
      <c r="AD1037" s="135">
        <v>0.92</v>
      </c>
      <c r="AE1037" s="133">
        <v>0.997372675828618</v>
      </c>
      <c r="AF1037" s="133">
        <v>0.996782496782497</v>
      </c>
      <c r="AG1037" s="133">
        <v>0.989517569982132</v>
      </c>
      <c r="AH1037" s="133">
        <v>0.926501720513026</v>
      </c>
      <c r="AI1037" s="135">
        <v>0.92</v>
      </c>
      <c r="AJ1037" s="133">
        <v>0.947333772218565</v>
      </c>
      <c r="AK1037" s="133">
        <v>0.890933333333333</v>
      </c>
      <c r="AL1037" s="133">
        <v>0.975595058752636</v>
      </c>
      <c r="AM1037" s="133">
        <v>0.94156420924688</v>
      </c>
      <c r="AN1037" s="132">
        <v>0.99</v>
      </c>
      <c r="AO1037" s="137">
        <v>1</v>
      </c>
      <c r="AP1037" s="137">
        <v>1</v>
      </c>
      <c r="AQ1037" s="137">
        <v>1</v>
      </c>
      <c r="AR1037" s="137">
        <v>1</v>
      </c>
      <c r="AS1037" s="158">
        <v>0.0656418488929858</v>
      </c>
      <c r="AT1037" s="141">
        <v>0</v>
      </c>
      <c r="AU1037" s="141">
        <v>0.0833333333333333</v>
      </c>
      <c r="AV1037" s="141">
        <v>0.0588235294117647</v>
      </c>
      <c r="AW1037" s="141">
        <v>0.0271966527196653</v>
      </c>
      <c r="AX1037" s="95"/>
      <c r="AY1037" s="93"/>
    </row>
    <row r="1038" ht="14.5" spans="1:51">
      <c r="A1038" s="91"/>
      <c r="B1038" s="95"/>
      <c r="C1038" s="180" t="s">
        <v>927</v>
      </c>
      <c r="D1038" s="181" t="s">
        <v>25</v>
      </c>
      <c r="E1038" s="130" t="s">
        <v>928</v>
      </c>
      <c r="F1038" s="184" t="s">
        <v>1067</v>
      </c>
      <c r="G1038" s="185" t="s">
        <v>1067</v>
      </c>
      <c r="H1038" s="185" t="s">
        <v>1067</v>
      </c>
      <c r="I1038" s="185" t="s">
        <v>1067</v>
      </c>
      <c r="J1038" s="132">
        <v>0.9</v>
      </c>
      <c r="K1038" s="133">
        <v>0.888888888888889</v>
      </c>
      <c r="L1038" s="133">
        <v>0.92</v>
      </c>
      <c r="M1038" s="134">
        <v>0.961538461538462</v>
      </c>
      <c r="N1038" s="133">
        <v>0.945770065075922</v>
      </c>
      <c r="O1038" s="135">
        <v>0.9</v>
      </c>
      <c r="P1038" s="133">
        <v>0.919257540603248</v>
      </c>
      <c r="Q1038" s="133">
        <v>0.760507880910683</v>
      </c>
      <c r="R1038" s="133">
        <v>0.966162065894924</v>
      </c>
      <c r="S1038" s="133">
        <v>0.933568759916065</v>
      </c>
      <c r="T1038" s="135">
        <v>0.9</v>
      </c>
      <c r="U1038" s="133">
        <v>0.924361948955917</v>
      </c>
      <c r="V1038" s="133">
        <v>0.831436077057793</v>
      </c>
      <c r="W1038" s="133">
        <v>0.904274265360641</v>
      </c>
      <c r="X1038" s="133">
        <v>0.865602129075183</v>
      </c>
      <c r="Y1038" s="135">
        <v>0.92</v>
      </c>
      <c r="Z1038" s="135">
        <v>0.907651715039578</v>
      </c>
      <c r="AA1038" s="135">
        <v>0.831758034026465</v>
      </c>
      <c r="AB1038" s="135">
        <v>0.845977011494253</v>
      </c>
      <c r="AC1038" s="135">
        <v>0.89058524173028</v>
      </c>
      <c r="AD1038" s="135">
        <v>0.92</v>
      </c>
      <c r="AE1038" s="133">
        <v>0.997195331584185</v>
      </c>
      <c r="AF1038" s="133">
        <v>0.99117529081428</v>
      </c>
      <c r="AG1038" s="133">
        <v>0.986899236412637</v>
      </c>
      <c r="AH1038" s="133">
        <v>0.975747919985838</v>
      </c>
      <c r="AI1038" s="135">
        <v>0.92</v>
      </c>
      <c r="AJ1038" s="133">
        <v>0.958563535911602</v>
      </c>
      <c r="AK1038" s="133">
        <v>0.943121222893708</v>
      </c>
      <c r="AL1038" s="133">
        <v>0.936963819470347</v>
      </c>
      <c r="AM1038" s="133">
        <v>0.949709386207181</v>
      </c>
      <c r="AN1038" s="132">
        <v>0.99</v>
      </c>
      <c r="AO1038" s="137">
        <v>1</v>
      </c>
      <c r="AP1038" s="137">
        <v>1</v>
      </c>
      <c r="AQ1038" s="137">
        <v>1</v>
      </c>
      <c r="AR1038" s="137">
        <v>1</v>
      </c>
      <c r="AS1038" s="158">
        <v>0.0656418488929858</v>
      </c>
      <c r="AT1038" s="141">
        <v>0</v>
      </c>
      <c r="AU1038" s="141">
        <v>0</v>
      </c>
      <c r="AV1038" s="141">
        <v>0</v>
      </c>
      <c r="AW1038" s="141">
        <v>0.0127551020408163</v>
      </c>
      <c r="AX1038" s="95"/>
      <c r="AY1038" s="93"/>
    </row>
    <row r="1039" ht="14.5" spans="1:51">
      <c r="A1039" s="91"/>
      <c r="B1039" s="95"/>
      <c r="C1039" s="180" t="s">
        <v>927</v>
      </c>
      <c r="D1039" s="181" t="s">
        <v>125</v>
      </c>
      <c r="E1039" s="130" t="s">
        <v>928</v>
      </c>
      <c r="F1039" s="184" t="s">
        <v>1068</v>
      </c>
      <c r="G1039" s="185" t="s">
        <v>1068</v>
      </c>
      <c r="H1039" s="185" t="s">
        <v>1068</v>
      </c>
      <c r="I1039" s="185" t="s">
        <v>1068</v>
      </c>
      <c r="J1039" s="132">
        <v>0.9</v>
      </c>
      <c r="K1039" s="133" t="s">
        <v>35</v>
      </c>
      <c r="L1039" s="133" t="s">
        <v>35</v>
      </c>
      <c r="M1039" s="134" t="s">
        <v>35</v>
      </c>
      <c r="N1039" s="133" t="s">
        <v>35</v>
      </c>
      <c r="O1039" s="135">
        <v>0.9</v>
      </c>
      <c r="P1039" s="133" t="s">
        <v>35</v>
      </c>
      <c r="Q1039" s="133" t="s">
        <v>35</v>
      </c>
      <c r="R1039" s="133" t="s">
        <v>35</v>
      </c>
      <c r="S1039" s="133" t="s">
        <v>35</v>
      </c>
      <c r="T1039" s="135">
        <v>0.9</v>
      </c>
      <c r="U1039" s="133" t="s">
        <v>35</v>
      </c>
      <c r="V1039" s="133" t="s">
        <v>35</v>
      </c>
      <c r="W1039" s="133" t="s">
        <v>35</v>
      </c>
      <c r="X1039" s="133" t="s">
        <v>35</v>
      </c>
      <c r="Y1039" s="135">
        <v>0.92</v>
      </c>
      <c r="Z1039" s="135" t="s">
        <v>35</v>
      </c>
      <c r="AA1039" s="135" t="s">
        <v>35</v>
      </c>
      <c r="AB1039" s="135" t="s">
        <v>35</v>
      </c>
      <c r="AC1039" s="135" t="s">
        <v>35</v>
      </c>
      <c r="AD1039" s="135">
        <v>0.92</v>
      </c>
      <c r="AE1039" s="133">
        <v>1</v>
      </c>
      <c r="AF1039" s="133">
        <v>1</v>
      </c>
      <c r="AG1039" s="133">
        <v>1</v>
      </c>
      <c r="AH1039" s="133">
        <v>0.998167059439644</v>
      </c>
      <c r="AI1039" s="135">
        <v>0.92</v>
      </c>
      <c r="AJ1039" s="133" t="s">
        <v>35</v>
      </c>
      <c r="AK1039" s="133" t="s">
        <v>35</v>
      </c>
      <c r="AL1039" s="133" t="s">
        <v>35</v>
      </c>
      <c r="AM1039" s="133" t="s">
        <v>35</v>
      </c>
      <c r="AN1039" s="132">
        <v>0.99</v>
      </c>
      <c r="AO1039" s="137" t="s">
        <v>35</v>
      </c>
      <c r="AP1039" s="137" t="s">
        <v>35</v>
      </c>
      <c r="AQ1039" s="137">
        <v>1</v>
      </c>
      <c r="AR1039" s="137">
        <v>1</v>
      </c>
      <c r="AS1039" s="158">
        <v>0.0656418488929858</v>
      </c>
      <c r="AT1039" s="141" t="s">
        <v>35</v>
      </c>
      <c r="AU1039" s="141" t="s">
        <v>35</v>
      </c>
      <c r="AV1039" s="141" t="s">
        <v>35</v>
      </c>
      <c r="AW1039" s="141" t="s">
        <v>35</v>
      </c>
      <c r="AX1039" s="95"/>
      <c r="AY1039" s="93"/>
    </row>
    <row r="1040" ht="14.5" spans="1:51">
      <c r="A1040" s="91"/>
      <c r="B1040" s="95"/>
      <c r="C1040" s="180" t="s">
        <v>927</v>
      </c>
      <c r="D1040" s="181" t="s">
        <v>25</v>
      </c>
      <c r="E1040" s="130" t="s">
        <v>928</v>
      </c>
      <c r="F1040" s="184" t="s">
        <v>1069</v>
      </c>
      <c r="G1040" s="185" t="s">
        <v>1069</v>
      </c>
      <c r="H1040" s="185" t="s">
        <v>1069</v>
      </c>
      <c r="I1040" s="185" t="s">
        <v>1069</v>
      </c>
      <c r="J1040" s="132">
        <v>0.9</v>
      </c>
      <c r="K1040" s="133">
        <v>0.735294117647059</v>
      </c>
      <c r="L1040" s="133">
        <v>0.59375</v>
      </c>
      <c r="M1040" s="134">
        <v>0.916666666666667</v>
      </c>
      <c r="N1040" s="133">
        <v>0.8561872909699</v>
      </c>
      <c r="O1040" s="135">
        <v>0.9</v>
      </c>
      <c r="P1040" s="133">
        <v>0.87203302373581</v>
      </c>
      <c r="Q1040" s="133">
        <v>0.819548872180451</v>
      </c>
      <c r="R1040" s="133">
        <v>0.944968553459119</v>
      </c>
      <c r="S1040" s="133">
        <v>0.808040798980025</v>
      </c>
      <c r="T1040" s="135">
        <v>0.9</v>
      </c>
      <c r="U1040" s="133">
        <v>0.79188166494668</v>
      </c>
      <c r="V1040" s="133">
        <v>0.732631578947368</v>
      </c>
      <c r="W1040" s="133">
        <v>0.912893081761006</v>
      </c>
      <c r="X1040" s="133">
        <v>0.825499362515937</v>
      </c>
      <c r="Y1040" s="135">
        <v>0.92</v>
      </c>
      <c r="Z1040" s="135">
        <v>0.822660098522167</v>
      </c>
      <c r="AA1040" s="135">
        <v>0.71156462585034</v>
      </c>
      <c r="AB1040" s="135">
        <v>0.92332268370607</v>
      </c>
      <c r="AC1040" s="135">
        <v>0.880803880803881</v>
      </c>
      <c r="AD1040" s="135">
        <v>0.92</v>
      </c>
      <c r="AE1040" s="133">
        <v>0.993259732713539</v>
      </c>
      <c r="AF1040" s="133">
        <v>0.973063973063973</v>
      </c>
      <c r="AG1040" s="133">
        <v>0.998554363539527</v>
      </c>
      <c r="AH1040" s="133">
        <v>0.966898910988809</v>
      </c>
      <c r="AI1040" s="135">
        <v>0.92</v>
      </c>
      <c r="AJ1040" s="133">
        <v>0.904460518384569</v>
      </c>
      <c r="AK1040" s="133">
        <v>0.833538537306082</v>
      </c>
      <c r="AL1040" s="133">
        <v>0.96953781512605</v>
      </c>
      <c r="AM1040" s="133">
        <v>0.940479006916515</v>
      </c>
      <c r="AN1040" s="132">
        <v>0.99</v>
      </c>
      <c r="AO1040" s="137">
        <v>1</v>
      </c>
      <c r="AP1040" s="137">
        <v>1</v>
      </c>
      <c r="AQ1040" s="137">
        <v>1</v>
      </c>
      <c r="AR1040" s="137">
        <v>1</v>
      </c>
      <c r="AS1040" s="158">
        <v>0.0656418488929858</v>
      </c>
      <c r="AT1040" s="141">
        <v>0.0666666666666667</v>
      </c>
      <c r="AU1040" s="141">
        <v>0.0967741935483871</v>
      </c>
      <c r="AV1040" s="141">
        <v>0.0392156862745098</v>
      </c>
      <c r="AW1040" s="141">
        <v>0.0471869328493648</v>
      </c>
      <c r="AX1040" s="95"/>
      <c r="AY1040" s="93"/>
    </row>
    <row r="1041" ht="14.5" spans="1:51">
      <c r="A1041" s="91"/>
      <c r="B1041" s="95"/>
      <c r="C1041" s="180" t="s">
        <v>927</v>
      </c>
      <c r="D1041" s="181" t="s">
        <v>25</v>
      </c>
      <c r="E1041" s="130" t="s">
        <v>928</v>
      </c>
      <c r="F1041" s="184" t="s">
        <v>1070</v>
      </c>
      <c r="G1041" s="185" t="s">
        <v>1070</v>
      </c>
      <c r="H1041" s="185" t="s">
        <v>1070</v>
      </c>
      <c r="I1041" s="185" t="s">
        <v>1070</v>
      </c>
      <c r="J1041" s="132">
        <v>0.9</v>
      </c>
      <c r="K1041" s="133">
        <v>1</v>
      </c>
      <c r="L1041" s="133">
        <v>0.909090909090909</v>
      </c>
      <c r="M1041" s="134">
        <v>1</v>
      </c>
      <c r="N1041" s="133">
        <v>0.955431754874652</v>
      </c>
      <c r="O1041" s="135">
        <v>0.9</v>
      </c>
      <c r="P1041" s="133">
        <v>0.995090016366612</v>
      </c>
      <c r="Q1041" s="133">
        <v>0.983597883597884</v>
      </c>
      <c r="R1041" s="133">
        <v>0.988499452354874</v>
      </c>
      <c r="S1041" s="133">
        <v>0.990578145965813</v>
      </c>
      <c r="T1041" s="135">
        <v>0.9</v>
      </c>
      <c r="U1041" s="133">
        <v>0.915984724495363</v>
      </c>
      <c r="V1041" s="133">
        <v>0.90952380952381</v>
      </c>
      <c r="W1041" s="133">
        <v>0.921139101861993</v>
      </c>
      <c r="X1041" s="133">
        <v>0.901960212356339</v>
      </c>
      <c r="Y1041" s="135">
        <v>0.92</v>
      </c>
      <c r="Z1041" s="135">
        <v>0.951754385964912</v>
      </c>
      <c r="AA1041" s="135">
        <v>0.867612293144208</v>
      </c>
      <c r="AB1041" s="135">
        <v>0.949308755760369</v>
      </c>
      <c r="AC1041" s="135">
        <v>0.923166926677067</v>
      </c>
      <c r="AD1041" s="135">
        <v>0.92</v>
      </c>
      <c r="AE1041" s="133">
        <v>0.998326919859461</v>
      </c>
      <c r="AF1041" s="133">
        <v>0.976073953235454</v>
      </c>
      <c r="AG1041" s="133">
        <v>0.989458978917958</v>
      </c>
      <c r="AH1041" s="133">
        <v>0.956261852749838</v>
      </c>
      <c r="AI1041" s="135">
        <v>0.92</v>
      </c>
      <c r="AJ1041" s="133">
        <v>0.95147986414362</v>
      </c>
      <c r="AK1041" s="133">
        <v>0.939040207522698</v>
      </c>
      <c r="AL1041" s="133">
        <v>0.967699115044248</v>
      </c>
      <c r="AM1041" s="133">
        <v>0.962001191185229</v>
      </c>
      <c r="AN1041" s="132">
        <v>0.99</v>
      </c>
      <c r="AO1041" s="137">
        <v>1</v>
      </c>
      <c r="AP1041" s="137">
        <v>1</v>
      </c>
      <c r="AQ1041" s="137">
        <v>1</v>
      </c>
      <c r="AR1041" s="137">
        <v>1</v>
      </c>
      <c r="AS1041" s="158">
        <v>0.0656418488929858</v>
      </c>
      <c r="AT1041" s="141">
        <v>0</v>
      </c>
      <c r="AU1041" s="141">
        <v>0</v>
      </c>
      <c r="AV1041" s="141">
        <v>0</v>
      </c>
      <c r="AW1041" s="141">
        <v>0.0277777777777778</v>
      </c>
      <c r="AX1041" s="95"/>
      <c r="AY1041" s="93"/>
    </row>
    <row r="1042" ht="14.5" spans="1:51">
      <c r="A1042" s="91"/>
      <c r="B1042" s="95"/>
      <c r="C1042" s="180" t="s">
        <v>927</v>
      </c>
      <c r="D1042" s="181" t="s">
        <v>25</v>
      </c>
      <c r="E1042" s="130" t="s">
        <v>928</v>
      </c>
      <c r="F1042" s="184" t="s">
        <v>1071</v>
      </c>
      <c r="G1042" s="185" t="s">
        <v>1071</v>
      </c>
      <c r="H1042" s="185" t="s">
        <v>1071</v>
      </c>
      <c r="I1042" s="185" t="s">
        <v>1071</v>
      </c>
      <c r="J1042" s="132">
        <v>0.9</v>
      </c>
      <c r="K1042" s="133">
        <v>0.948717948717949</v>
      </c>
      <c r="L1042" s="133">
        <v>1</v>
      </c>
      <c r="M1042" s="134">
        <v>0.973684210526316</v>
      </c>
      <c r="N1042" s="133">
        <v>0.967791411042945</v>
      </c>
      <c r="O1042" s="135">
        <v>0.9</v>
      </c>
      <c r="P1042" s="133">
        <v>0.875726275016139</v>
      </c>
      <c r="Q1042" s="133">
        <v>0.708309290248125</v>
      </c>
      <c r="R1042" s="133">
        <v>0.923983500294638</v>
      </c>
      <c r="S1042" s="133">
        <v>0.842497002797389</v>
      </c>
      <c r="T1042" s="135">
        <v>0.9</v>
      </c>
      <c r="U1042" s="133">
        <v>0.861523563589413</v>
      </c>
      <c r="V1042" s="133">
        <v>0.73600692440854</v>
      </c>
      <c r="W1042" s="133">
        <v>0.8898055391868</v>
      </c>
      <c r="X1042" s="133">
        <v>0.842463700546157</v>
      </c>
      <c r="Y1042" s="135">
        <v>0.92</v>
      </c>
      <c r="Z1042" s="135">
        <v>0.82843137254902</v>
      </c>
      <c r="AA1042" s="135">
        <v>0.626477541371158</v>
      </c>
      <c r="AB1042" s="135">
        <v>0.898502495840266</v>
      </c>
      <c r="AC1042" s="135">
        <v>0.871619613670134</v>
      </c>
      <c r="AD1042" s="135">
        <v>0.92</v>
      </c>
      <c r="AE1042" s="133">
        <v>0.998985088609571</v>
      </c>
      <c r="AF1042" s="133">
        <v>0.995221691299033</v>
      </c>
      <c r="AG1042" s="133">
        <v>0.998355263157895</v>
      </c>
      <c r="AH1042" s="133">
        <v>0.981011682342636</v>
      </c>
      <c r="AI1042" s="135">
        <v>0.92</v>
      </c>
      <c r="AJ1042" s="133">
        <v>0.922703936109527</v>
      </c>
      <c r="AK1042" s="133">
        <v>0.820500927643785</v>
      </c>
      <c r="AL1042" s="133">
        <v>0.957446808510638</v>
      </c>
      <c r="AM1042" s="133">
        <v>0.937770341957072</v>
      </c>
      <c r="AN1042" s="132">
        <v>0.99</v>
      </c>
      <c r="AO1042" s="137">
        <v>1</v>
      </c>
      <c r="AP1042" s="137">
        <v>1</v>
      </c>
      <c r="AQ1042" s="137">
        <v>1</v>
      </c>
      <c r="AR1042" s="137">
        <v>0.999500249875062</v>
      </c>
      <c r="AS1042" s="158">
        <v>0.0656418488929858</v>
      </c>
      <c r="AT1042" s="141">
        <v>0.0740740740740741</v>
      </c>
      <c r="AU1042" s="141">
        <v>0.0476190476190476</v>
      </c>
      <c r="AV1042" s="141">
        <v>0.0909090909090909</v>
      </c>
      <c r="AW1042" s="141">
        <v>0.0506072874493927</v>
      </c>
      <c r="AX1042" s="95"/>
      <c r="AY1042" s="93"/>
    </row>
    <row r="1043" ht="14.5" spans="1:51">
      <c r="A1043" s="91"/>
      <c r="B1043" s="95"/>
      <c r="C1043" s="180" t="s">
        <v>927</v>
      </c>
      <c r="D1043" s="181" t="s">
        <v>25</v>
      </c>
      <c r="E1043" s="130" t="s">
        <v>928</v>
      </c>
      <c r="F1043" s="184" t="s">
        <v>1072</v>
      </c>
      <c r="G1043" s="185" t="s">
        <v>1072</v>
      </c>
      <c r="H1043" s="185" t="s">
        <v>1072</v>
      </c>
      <c r="I1043" s="185" t="s">
        <v>1072</v>
      </c>
      <c r="J1043" s="132">
        <v>0.9</v>
      </c>
      <c r="K1043" s="133">
        <v>0.975609756097561</v>
      </c>
      <c r="L1043" s="133">
        <v>0.975</v>
      </c>
      <c r="M1043" s="134">
        <v>0.930232558139535</v>
      </c>
      <c r="N1043" s="133">
        <v>0.968616262482168</v>
      </c>
      <c r="O1043" s="135">
        <v>0.9</v>
      </c>
      <c r="P1043" s="133">
        <v>0.911421911421911</v>
      </c>
      <c r="Q1043" s="133">
        <v>0.76771759633522</v>
      </c>
      <c r="R1043" s="133">
        <v>0.920634920634921</v>
      </c>
      <c r="S1043" s="133">
        <v>0.900218389939001</v>
      </c>
      <c r="T1043" s="135">
        <v>0.9</v>
      </c>
      <c r="U1043" s="133">
        <v>0.802447552447552</v>
      </c>
      <c r="V1043" s="133">
        <v>0.664780382646187</v>
      </c>
      <c r="W1043" s="133">
        <v>0.834467120181406</v>
      </c>
      <c r="X1043" s="133">
        <v>0.776037352210257</v>
      </c>
      <c r="Y1043" s="135">
        <v>0.92</v>
      </c>
      <c r="Z1043" s="135">
        <v>0.86374695863747</v>
      </c>
      <c r="AA1043" s="135">
        <v>0.709905660377358</v>
      </c>
      <c r="AB1043" s="135">
        <v>0.883689839572192</v>
      </c>
      <c r="AC1043" s="135">
        <v>0.852475718263941</v>
      </c>
      <c r="AD1043" s="135">
        <v>0.92</v>
      </c>
      <c r="AE1043" s="133">
        <v>0.999443723345077</v>
      </c>
      <c r="AF1043" s="133">
        <v>0.99860529986053</v>
      </c>
      <c r="AG1043" s="133">
        <v>0.999362000765599</v>
      </c>
      <c r="AH1043" s="133">
        <v>0.986976433227478</v>
      </c>
      <c r="AI1043" s="135">
        <v>0.92</v>
      </c>
      <c r="AJ1043" s="133">
        <v>0.943302990897269</v>
      </c>
      <c r="AK1043" s="133">
        <v>0.875</v>
      </c>
      <c r="AL1043" s="133">
        <v>0.956308411214953</v>
      </c>
      <c r="AM1043" s="133">
        <v>0.938995082633933</v>
      </c>
      <c r="AN1043" s="132">
        <v>0.99</v>
      </c>
      <c r="AO1043" s="137">
        <v>1</v>
      </c>
      <c r="AP1043" s="137">
        <v>1</v>
      </c>
      <c r="AQ1043" s="137">
        <v>1</v>
      </c>
      <c r="AR1043" s="137">
        <v>1</v>
      </c>
      <c r="AS1043" s="158">
        <v>0.0656418488929858</v>
      </c>
      <c r="AT1043" s="141">
        <v>0.0384615384615385</v>
      </c>
      <c r="AU1043" s="141">
        <v>0.0384615384615385</v>
      </c>
      <c r="AV1043" s="141">
        <v>0.0571428571428571</v>
      </c>
      <c r="AW1043" s="141">
        <v>0.0348837209302326</v>
      </c>
      <c r="AX1043" s="95"/>
      <c r="AY1043" s="93"/>
    </row>
    <row r="1044" ht="14.5" spans="1:51">
      <c r="A1044" s="91"/>
      <c r="B1044" s="95"/>
      <c r="C1044" s="180" t="s">
        <v>927</v>
      </c>
      <c r="D1044" s="181" t="s">
        <v>25</v>
      </c>
      <c r="E1044" s="130" t="s">
        <v>928</v>
      </c>
      <c r="F1044" s="184" t="s">
        <v>1073</v>
      </c>
      <c r="G1044" s="185" t="s">
        <v>1073</v>
      </c>
      <c r="H1044" s="185" t="s">
        <v>1073</v>
      </c>
      <c r="I1044" s="185" t="s">
        <v>1073</v>
      </c>
      <c r="J1044" s="132">
        <v>0.9</v>
      </c>
      <c r="K1044" s="133">
        <v>1</v>
      </c>
      <c r="L1044" s="133">
        <v>0.9</v>
      </c>
      <c r="M1044" s="134">
        <v>1</v>
      </c>
      <c r="N1044" s="133">
        <v>0.914754098360656</v>
      </c>
      <c r="O1044" s="135">
        <v>0.9</v>
      </c>
      <c r="P1044" s="133">
        <v>0.926163723916533</v>
      </c>
      <c r="Q1044" s="133">
        <v>0.930744033692092</v>
      </c>
      <c r="R1044" s="133">
        <v>0.96231884057971</v>
      </c>
      <c r="S1044" s="133">
        <v>0.897796114476708</v>
      </c>
      <c r="T1044" s="135">
        <v>0.9</v>
      </c>
      <c r="U1044" s="133">
        <v>0.862493311931514</v>
      </c>
      <c r="V1044" s="133">
        <v>0.83809078146935</v>
      </c>
      <c r="W1044" s="133">
        <v>0.890338164251208</v>
      </c>
      <c r="X1044" s="133">
        <v>0.812486943806142</v>
      </c>
      <c r="Y1044" s="135">
        <v>0.92</v>
      </c>
      <c r="Z1044" s="135" t="s">
        <v>35</v>
      </c>
      <c r="AA1044" s="135" t="s">
        <v>35</v>
      </c>
      <c r="AB1044" s="135" t="s">
        <v>35</v>
      </c>
      <c r="AC1044" s="135" t="s">
        <v>35</v>
      </c>
      <c r="AD1044" s="135">
        <v>0.92</v>
      </c>
      <c r="AE1044" s="133">
        <v>1</v>
      </c>
      <c r="AF1044" s="133">
        <v>0.993362831858407</v>
      </c>
      <c r="AG1044" s="133">
        <v>1</v>
      </c>
      <c r="AH1044" s="133">
        <v>0.995559741657696</v>
      </c>
      <c r="AI1044" s="135">
        <v>0.92</v>
      </c>
      <c r="AJ1044" s="133">
        <v>0.953451043338684</v>
      </c>
      <c r="AK1044" s="133">
        <v>0.950865699578849</v>
      </c>
      <c r="AL1044" s="133">
        <v>0.953140096618358</v>
      </c>
      <c r="AM1044" s="133">
        <v>0.951693344126172</v>
      </c>
      <c r="AN1044" s="132">
        <v>0.99</v>
      </c>
      <c r="AO1044" s="137">
        <v>1</v>
      </c>
      <c r="AP1044" s="137">
        <v>1</v>
      </c>
      <c r="AQ1044" s="137">
        <v>1</v>
      </c>
      <c r="AR1044" s="137">
        <v>1</v>
      </c>
      <c r="AS1044" s="158">
        <v>0.0656418488929858</v>
      </c>
      <c r="AT1044" s="141">
        <v>0</v>
      </c>
      <c r="AU1044" s="141">
        <v>0.2</v>
      </c>
      <c r="AV1044" s="141">
        <v>0</v>
      </c>
      <c r="AW1044" s="141">
        <v>0.0679611650485437</v>
      </c>
      <c r="AX1044" s="95"/>
      <c r="AY1044" s="93"/>
    </row>
    <row r="1045" ht="14.5" spans="1:51">
      <c r="A1045" s="91"/>
      <c r="B1045" s="95"/>
      <c r="C1045" s="180" t="s">
        <v>927</v>
      </c>
      <c r="D1045" s="181" t="s">
        <v>25</v>
      </c>
      <c r="E1045" s="130" t="s">
        <v>928</v>
      </c>
      <c r="F1045" s="184" t="s">
        <v>1074</v>
      </c>
      <c r="G1045" s="185" t="s">
        <v>1074</v>
      </c>
      <c r="H1045" s="185" t="s">
        <v>1074</v>
      </c>
      <c r="I1045" s="185" t="s">
        <v>1074</v>
      </c>
      <c r="J1045" s="132">
        <v>0.9</v>
      </c>
      <c r="K1045" s="133">
        <v>0.962962962962963</v>
      </c>
      <c r="L1045" s="133">
        <v>0.928571428571429</v>
      </c>
      <c r="M1045" s="134">
        <v>0.928571428571429</v>
      </c>
      <c r="N1045" s="133">
        <v>0.963203463203463</v>
      </c>
      <c r="O1045" s="135">
        <v>0.9</v>
      </c>
      <c r="P1045" s="133">
        <v>0.934648105181748</v>
      </c>
      <c r="Q1045" s="133">
        <v>0.946826758147513</v>
      </c>
      <c r="R1045" s="133">
        <v>0.946251768033946</v>
      </c>
      <c r="S1045" s="133">
        <v>0.956231763234681</v>
      </c>
      <c r="T1045" s="135">
        <v>0.9</v>
      </c>
      <c r="U1045" s="133">
        <v>0.934261407579273</v>
      </c>
      <c r="V1045" s="133">
        <v>0.934133790737564</v>
      </c>
      <c r="W1045" s="133">
        <v>0.942008486562942</v>
      </c>
      <c r="X1045" s="133">
        <v>0.924750392028425</v>
      </c>
      <c r="Y1045" s="135">
        <v>0.92</v>
      </c>
      <c r="Z1045" s="135" t="s">
        <v>35</v>
      </c>
      <c r="AA1045" s="135" t="s">
        <v>35</v>
      </c>
      <c r="AB1045" s="135" t="s">
        <v>35</v>
      </c>
      <c r="AC1045" s="135" t="s">
        <v>35</v>
      </c>
      <c r="AD1045" s="135">
        <v>0.92</v>
      </c>
      <c r="AE1045" s="133">
        <v>0.9953434225844</v>
      </c>
      <c r="AF1045" s="133">
        <v>0.995037220843672</v>
      </c>
      <c r="AG1045" s="133">
        <v>0.992922143579373</v>
      </c>
      <c r="AH1045" s="133">
        <v>0.986577548896072</v>
      </c>
      <c r="AI1045" s="135">
        <v>0.92</v>
      </c>
      <c r="AJ1045" s="133">
        <v>0.958623356535189</v>
      </c>
      <c r="AK1045" s="133">
        <v>0.960548885077187</v>
      </c>
      <c r="AL1045" s="133">
        <v>0.96994342291372</v>
      </c>
      <c r="AM1045" s="133">
        <v>0.96552340121472</v>
      </c>
      <c r="AN1045" s="132">
        <v>0.99</v>
      </c>
      <c r="AO1045" s="137">
        <v>1</v>
      </c>
      <c r="AP1045" s="137">
        <v>1</v>
      </c>
      <c r="AQ1045" s="137">
        <v>1</v>
      </c>
      <c r="AR1045" s="137">
        <v>1</v>
      </c>
      <c r="AS1045" s="158">
        <v>0.0656418488929858</v>
      </c>
      <c r="AT1045" s="141">
        <v>0</v>
      </c>
      <c r="AU1045" s="141">
        <v>0</v>
      </c>
      <c r="AV1045" s="141">
        <v>0</v>
      </c>
      <c r="AW1045" s="141">
        <v>0.0608108108108108</v>
      </c>
      <c r="AX1045" s="95"/>
      <c r="AY1045" s="93"/>
    </row>
    <row r="1046" ht="14.5" spans="1:51">
      <c r="A1046" s="91"/>
      <c r="B1046" s="95"/>
      <c r="C1046" s="180" t="s">
        <v>927</v>
      </c>
      <c r="D1046" s="181" t="s">
        <v>25</v>
      </c>
      <c r="E1046" s="130" t="s">
        <v>928</v>
      </c>
      <c r="F1046" s="188" t="s">
        <v>1075</v>
      </c>
      <c r="G1046" s="189" t="s">
        <v>1075</v>
      </c>
      <c r="H1046" s="189" t="s">
        <v>1075</v>
      </c>
      <c r="I1046" s="189" t="s">
        <v>1075</v>
      </c>
      <c r="J1046" s="132">
        <v>0.9</v>
      </c>
      <c r="K1046" s="133">
        <v>0.966666666666667</v>
      </c>
      <c r="L1046" s="133">
        <v>1</v>
      </c>
      <c r="M1046" s="134">
        <v>1</v>
      </c>
      <c r="N1046" s="133">
        <v>0.98406374501992</v>
      </c>
      <c r="O1046" s="135">
        <v>0.9</v>
      </c>
      <c r="P1046" s="133">
        <v>0.937322745320476</v>
      </c>
      <c r="Q1046" s="133">
        <v>0.944105691056911</v>
      </c>
      <c r="R1046" s="133">
        <v>0.956532600549588</v>
      </c>
      <c r="S1046" s="133">
        <v>0.95093533657387</v>
      </c>
      <c r="T1046" s="135">
        <v>0.9</v>
      </c>
      <c r="U1046" s="133">
        <v>0.913216108905275</v>
      </c>
      <c r="V1046" s="133">
        <v>0.902439024390244</v>
      </c>
      <c r="W1046" s="133">
        <v>0.916062952785411</v>
      </c>
      <c r="X1046" s="133">
        <v>0.913300927971719</v>
      </c>
      <c r="Y1046" s="135">
        <v>0.92</v>
      </c>
      <c r="Z1046" s="135" t="s">
        <v>35</v>
      </c>
      <c r="AA1046" s="135" t="s">
        <v>35</v>
      </c>
      <c r="AB1046" s="135" t="s">
        <v>35</v>
      </c>
      <c r="AC1046" s="135">
        <v>1</v>
      </c>
      <c r="AD1046" s="135">
        <v>0.92</v>
      </c>
      <c r="AE1046" s="133">
        <v>1</v>
      </c>
      <c r="AF1046" s="133">
        <v>0.999036918138042</v>
      </c>
      <c r="AG1046" s="133">
        <v>0.999010635666584</v>
      </c>
      <c r="AH1046" s="133">
        <v>0.997290474587681</v>
      </c>
      <c r="AI1046" s="135">
        <v>0.92</v>
      </c>
      <c r="AJ1046" s="133">
        <v>0.959183673469388</v>
      </c>
      <c r="AK1046" s="133">
        <v>0.953783646521077</v>
      </c>
      <c r="AL1046" s="133">
        <v>0.972770422183363</v>
      </c>
      <c r="AM1046" s="133">
        <v>0.970278072345941</v>
      </c>
      <c r="AN1046" s="132">
        <v>0.99</v>
      </c>
      <c r="AO1046" s="137">
        <v>1</v>
      </c>
      <c r="AP1046" s="137">
        <v>1</v>
      </c>
      <c r="AQ1046" s="137">
        <v>1</v>
      </c>
      <c r="AR1046" s="137">
        <v>1</v>
      </c>
      <c r="AS1046" s="158">
        <v>0.0656418488929858</v>
      </c>
      <c r="AT1046" s="141">
        <v>0.0555555555555556</v>
      </c>
      <c r="AU1046" s="141">
        <v>0</v>
      </c>
      <c r="AV1046" s="141">
        <v>0</v>
      </c>
      <c r="AW1046" s="141">
        <v>0.0648648648648649</v>
      </c>
      <c r="AX1046" s="95"/>
      <c r="AY1046" s="93"/>
    </row>
    <row r="1047" ht="14.5" spans="1:51">
      <c r="A1047" s="91"/>
      <c r="B1047" s="95"/>
      <c r="C1047" s="180" t="s">
        <v>927</v>
      </c>
      <c r="D1047" s="181" t="s">
        <v>25</v>
      </c>
      <c r="E1047" s="130" t="s">
        <v>928</v>
      </c>
      <c r="F1047" s="184" t="s">
        <v>1076</v>
      </c>
      <c r="G1047" s="185" t="s">
        <v>1076</v>
      </c>
      <c r="H1047" s="185" t="s">
        <v>1076</v>
      </c>
      <c r="I1047" s="185" t="s">
        <v>1076</v>
      </c>
      <c r="J1047" s="132">
        <v>0.9</v>
      </c>
      <c r="K1047" s="133">
        <v>0.941176470588235</v>
      </c>
      <c r="L1047" s="133">
        <v>1</v>
      </c>
      <c r="M1047" s="134">
        <v>1</v>
      </c>
      <c r="N1047" s="133">
        <v>0.905797101449275</v>
      </c>
      <c r="O1047" s="135">
        <v>0.9</v>
      </c>
      <c r="P1047" s="133">
        <v>0.951621770203408</v>
      </c>
      <c r="Q1047" s="133">
        <v>0.973598888374247</v>
      </c>
      <c r="R1047" s="133">
        <v>0.973267326732673</v>
      </c>
      <c r="S1047" s="133">
        <v>0.94287495933196</v>
      </c>
      <c r="T1047" s="135">
        <v>0.9</v>
      </c>
      <c r="U1047" s="133">
        <v>0.926333150082463</v>
      </c>
      <c r="V1047" s="133">
        <v>0.91292264937471</v>
      </c>
      <c r="W1047" s="133">
        <v>0.939108910891089</v>
      </c>
      <c r="X1047" s="133">
        <v>0.90551458627047</v>
      </c>
      <c r="Y1047" s="135">
        <v>0.92</v>
      </c>
      <c r="Z1047" s="135" t="s">
        <v>35</v>
      </c>
      <c r="AA1047" s="135" t="s">
        <v>35</v>
      </c>
      <c r="AB1047" s="135" t="s">
        <v>35</v>
      </c>
      <c r="AC1047" s="135" t="s">
        <v>35</v>
      </c>
      <c r="AD1047" s="135">
        <v>0.92</v>
      </c>
      <c r="AE1047" s="133">
        <v>1</v>
      </c>
      <c r="AF1047" s="133">
        <v>1</v>
      </c>
      <c r="AG1047" s="133">
        <v>1</v>
      </c>
      <c r="AH1047" s="133">
        <v>0.995247995247995</v>
      </c>
      <c r="AI1047" s="135">
        <v>0.92</v>
      </c>
      <c r="AJ1047" s="133">
        <v>0.964815832875206</v>
      </c>
      <c r="AK1047" s="133">
        <v>0.968040759610931</v>
      </c>
      <c r="AL1047" s="133">
        <v>0.977722772277228</v>
      </c>
      <c r="AM1047" s="133">
        <v>0.966353974623143</v>
      </c>
      <c r="AN1047" s="132">
        <v>0.99</v>
      </c>
      <c r="AO1047" s="137">
        <v>1</v>
      </c>
      <c r="AP1047" s="137">
        <v>1</v>
      </c>
      <c r="AQ1047" s="137">
        <v>1</v>
      </c>
      <c r="AR1047" s="137">
        <v>1</v>
      </c>
      <c r="AS1047" s="158">
        <v>0.0656418488929858</v>
      </c>
      <c r="AT1047" s="141">
        <v>0.666666666666667</v>
      </c>
      <c r="AU1047" s="141">
        <v>0</v>
      </c>
      <c r="AV1047" s="141">
        <v>0</v>
      </c>
      <c r="AW1047" s="141">
        <v>0.0377358490566038</v>
      </c>
      <c r="AX1047" s="95"/>
      <c r="AY1047" s="93"/>
    </row>
    <row r="1048" ht="14.5" spans="1:51">
      <c r="A1048" s="91"/>
      <c r="B1048" s="95"/>
      <c r="C1048" s="180" t="s">
        <v>927</v>
      </c>
      <c r="D1048" s="181" t="s">
        <v>25</v>
      </c>
      <c r="E1048" s="130" t="s">
        <v>928</v>
      </c>
      <c r="F1048" s="184" t="s">
        <v>1077</v>
      </c>
      <c r="G1048" s="185" t="s">
        <v>1077</v>
      </c>
      <c r="H1048" s="185" t="s">
        <v>1077</v>
      </c>
      <c r="I1048" s="185" t="s">
        <v>1077</v>
      </c>
      <c r="J1048" s="132">
        <v>0.9</v>
      </c>
      <c r="K1048" s="133">
        <v>0.909090909090909</v>
      </c>
      <c r="L1048" s="133">
        <v>0.818181818181818</v>
      </c>
      <c r="M1048" s="134">
        <v>1</v>
      </c>
      <c r="N1048" s="133">
        <v>0.962162162162162</v>
      </c>
      <c r="O1048" s="135">
        <v>0.9</v>
      </c>
      <c r="P1048" s="133">
        <v>0.921194322075379</v>
      </c>
      <c r="Q1048" s="133">
        <v>0.789426921368281</v>
      </c>
      <c r="R1048" s="133">
        <v>0.947072599531616</v>
      </c>
      <c r="S1048" s="133">
        <v>0.930738011321158</v>
      </c>
      <c r="T1048" s="135">
        <v>0.9</v>
      </c>
      <c r="U1048" s="133">
        <v>0.908957415565345</v>
      </c>
      <c r="V1048" s="133">
        <v>0.900044424700133</v>
      </c>
      <c r="W1048" s="133">
        <v>0.908665105386417</v>
      </c>
      <c r="X1048" s="133">
        <v>0.89704154651287</v>
      </c>
      <c r="Y1048" s="135">
        <v>0.92</v>
      </c>
      <c r="Z1048" s="135" t="s">
        <v>35</v>
      </c>
      <c r="AA1048" s="135" t="s">
        <v>35</v>
      </c>
      <c r="AB1048" s="135" t="s">
        <v>35</v>
      </c>
      <c r="AC1048" s="135" t="s">
        <v>35</v>
      </c>
      <c r="AD1048" s="135">
        <v>0.92</v>
      </c>
      <c r="AE1048" s="133">
        <v>0.998262380538662</v>
      </c>
      <c r="AF1048" s="133">
        <v>0.997528248587571</v>
      </c>
      <c r="AG1048" s="133">
        <v>0.999375780274657</v>
      </c>
      <c r="AH1048" s="133">
        <v>0.99630803804326</v>
      </c>
      <c r="AI1048" s="135">
        <v>0.92</v>
      </c>
      <c r="AJ1048" s="133">
        <v>0.9559902200489</v>
      </c>
      <c r="AK1048" s="133">
        <v>0.970679697912039</v>
      </c>
      <c r="AL1048" s="133">
        <v>0.962529274004684</v>
      </c>
      <c r="AM1048" s="133">
        <v>0.964092159008997</v>
      </c>
      <c r="AN1048" s="132">
        <v>0.99</v>
      </c>
      <c r="AO1048" s="137">
        <v>1</v>
      </c>
      <c r="AP1048" s="137">
        <v>1</v>
      </c>
      <c r="AQ1048" s="137">
        <v>1</v>
      </c>
      <c r="AR1048" s="137">
        <v>1</v>
      </c>
      <c r="AS1048" s="158">
        <v>0.0656418488929858</v>
      </c>
      <c r="AT1048" s="141">
        <v>0.428571428571429</v>
      </c>
      <c r="AU1048" s="141">
        <v>0</v>
      </c>
      <c r="AV1048" s="141">
        <v>0.0909090909090909</v>
      </c>
      <c r="AW1048" s="141">
        <v>0.0655737704918033</v>
      </c>
      <c r="AX1048" s="95"/>
      <c r="AY1048" s="93"/>
    </row>
    <row r="1049" ht="14.5" spans="1:51">
      <c r="A1049" s="91"/>
      <c r="B1049" s="95"/>
      <c r="C1049" s="180" t="s">
        <v>927</v>
      </c>
      <c r="D1049" s="181" t="s">
        <v>25</v>
      </c>
      <c r="E1049" s="130" t="s">
        <v>928</v>
      </c>
      <c r="F1049" s="184" t="s">
        <v>1078</v>
      </c>
      <c r="G1049" s="185" t="s">
        <v>1078</v>
      </c>
      <c r="H1049" s="185" t="s">
        <v>1078</v>
      </c>
      <c r="I1049" s="185" t="s">
        <v>1078</v>
      </c>
      <c r="J1049" s="132">
        <v>0.9</v>
      </c>
      <c r="K1049" s="133">
        <v>0.944444444444444</v>
      </c>
      <c r="L1049" s="133">
        <v>0.971428571428571</v>
      </c>
      <c r="M1049" s="134">
        <v>1</v>
      </c>
      <c r="N1049" s="133">
        <v>0.968965517241379</v>
      </c>
      <c r="O1049" s="135">
        <v>0.9</v>
      </c>
      <c r="P1049" s="133">
        <v>0.943029666579155</v>
      </c>
      <c r="Q1049" s="133">
        <v>0.92904986355743</v>
      </c>
      <c r="R1049" s="133">
        <v>0.959030726954784</v>
      </c>
      <c r="S1049" s="133">
        <v>0.955756183120997</v>
      </c>
      <c r="T1049" s="135">
        <v>0.9</v>
      </c>
      <c r="U1049" s="133">
        <v>0.918876345497506</v>
      </c>
      <c r="V1049" s="133">
        <v>0.902505581741503</v>
      </c>
      <c r="W1049" s="133">
        <v>0.94254309268049</v>
      </c>
      <c r="X1049" s="133">
        <v>0.924157341563898</v>
      </c>
      <c r="Y1049" s="135">
        <v>0.92</v>
      </c>
      <c r="Z1049" s="135" t="s">
        <v>35</v>
      </c>
      <c r="AA1049" s="135" t="s">
        <v>35</v>
      </c>
      <c r="AB1049" s="135" t="s">
        <v>35</v>
      </c>
      <c r="AC1049" s="135" t="s">
        <v>35</v>
      </c>
      <c r="AD1049" s="135">
        <v>0.92</v>
      </c>
      <c r="AE1049" s="133">
        <v>1</v>
      </c>
      <c r="AF1049" s="133">
        <v>0.985479186834463</v>
      </c>
      <c r="AG1049" s="133">
        <v>0.994413407821229</v>
      </c>
      <c r="AH1049" s="133">
        <v>0.995118223882498</v>
      </c>
      <c r="AI1049" s="135">
        <v>0.92</v>
      </c>
      <c r="AJ1049" s="133">
        <v>0.942767130480441</v>
      </c>
      <c r="AK1049" s="133">
        <v>0.928571428571429</v>
      </c>
      <c r="AL1049" s="133">
        <v>0.963527354484137</v>
      </c>
      <c r="AM1049" s="133">
        <v>0.961428124702587</v>
      </c>
      <c r="AN1049" s="132">
        <v>0.99</v>
      </c>
      <c r="AO1049" s="137">
        <v>1</v>
      </c>
      <c r="AP1049" s="137">
        <v>1</v>
      </c>
      <c r="AQ1049" s="137">
        <v>1</v>
      </c>
      <c r="AR1049" s="137">
        <v>1</v>
      </c>
      <c r="AS1049" s="158">
        <v>0.0656418488929858</v>
      </c>
      <c r="AT1049" s="141">
        <v>0.142857142857143</v>
      </c>
      <c r="AU1049" s="141">
        <v>0</v>
      </c>
      <c r="AV1049" s="141">
        <v>0.133333333333333</v>
      </c>
      <c r="AW1049" s="141">
        <v>0.0748299319727891</v>
      </c>
      <c r="AX1049" s="95"/>
      <c r="AY1049" s="93"/>
    </row>
    <row r="1050" ht="14.5" spans="1:51">
      <c r="A1050" s="91"/>
      <c r="B1050" s="95"/>
      <c r="C1050" s="180" t="s">
        <v>927</v>
      </c>
      <c r="D1050" s="181" t="s">
        <v>25</v>
      </c>
      <c r="E1050" s="130" t="s">
        <v>928</v>
      </c>
      <c r="F1050" s="184" t="s">
        <v>1079</v>
      </c>
      <c r="G1050" s="185" t="s">
        <v>1079</v>
      </c>
      <c r="H1050" s="185" t="s">
        <v>1079</v>
      </c>
      <c r="I1050" s="185" t="s">
        <v>1079</v>
      </c>
      <c r="J1050" s="132">
        <v>0.9</v>
      </c>
      <c r="K1050" s="133">
        <v>1</v>
      </c>
      <c r="L1050" s="133">
        <v>0.933333333333333</v>
      </c>
      <c r="M1050" s="134">
        <v>0.964285714285714</v>
      </c>
      <c r="N1050" s="133">
        <v>0.984615384615385</v>
      </c>
      <c r="O1050" s="135">
        <v>0.9</v>
      </c>
      <c r="P1050" s="133">
        <v>0.964407421431276</v>
      </c>
      <c r="Q1050" s="133">
        <v>0.915836482308485</v>
      </c>
      <c r="R1050" s="133">
        <v>0.957989228007181</v>
      </c>
      <c r="S1050" s="133">
        <v>0.958004322167733</v>
      </c>
      <c r="T1050" s="135">
        <v>0.9</v>
      </c>
      <c r="U1050" s="133">
        <v>0.903067020068156</v>
      </c>
      <c r="V1050" s="133">
        <v>0.920989350738578</v>
      </c>
      <c r="W1050" s="133">
        <v>0.933572710951526</v>
      </c>
      <c r="X1050" s="133">
        <v>0.923613997173967</v>
      </c>
      <c r="Y1050" s="135">
        <v>0.92</v>
      </c>
      <c r="Z1050" s="135" t="s">
        <v>35</v>
      </c>
      <c r="AA1050" s="135" t="s">
        <v>35</v>
      </c>
      <c r="AB1050" s="135" t="s">
        <v>35</v>
      </c>
      <c r="AC1050" s="135" t="s">
        <v>35</v>
      </c>
      <c r="AD1050" s="135">
        <v>0.92</v>
      </c>
      <c r="AE1050" s="133">
        <v>0.999580888516345</v>
      </c>
      <c r="AF1050" s="133">
        <v>0.999623493975904</v>
      </c>
      <c r="AG1050" s="133">
        <v>0.996761658031088</v>
      </c>
      <c r="AH1050" s="133">
        <v>0.995668687945625</v>
      </c>
      <c r="AI1050" s="135">
        <v>0.92</v>
      </c>
      <c r="AJ1050" s="133">
        <v>0.958349110185536</v>
      </c>
      <c r="AK1050" s="133">
        <v>0.955685331501202</v>
      </c>
      <c r="AL1050" s="133">
        <v>0.967684021543986</v>
      </c>
      <c r="AM1050" s="133">
        <v>0.965693506493506</v>
      </c>
      <c r="AN1050" s="132">
        <v>0.99</v>
      </c>
      <c r="AO1050" s="137">
        <v>1</v>
      </c>
      <c r="AP1050" s="137">
        <v>1</v>
      </c>
      <c r="AQ1050" s="137">
        <v>1</v>
      </c>
      <c r="AR1050" s="137">
        <v>1</v>
      </c>
      <c r="AS1050" s="158">
        <v>0.0656418488929858</v>
      </c>
      <c r="AT1050" s="141">
        <v>1</v>
      </c>
      <c r="AU1050" s="141">
        <v>0</v>
      </c>
      <c r="AV1050" s="141">
        <v>0.142857142857143</v>
      </c>
      <c r="AW1050" s="141">
        <v>0.106870229007634</v>
      </c>
      <c r="AX1050" s="95"/>
      <c r="AY1050" s="93"/>
    </row>
    <row r="1051" ht="14.5" spans="1:51">
      <c r="A1051" s="91"/>
      <c r="B1051" s="95"/>
      <c r="C1051" s="180" t="s">
        <v>927</v>
      </c>
      <c r="D1051" s="181" t="s">
        <v>25</v>
      </c>
      <c r="E1051" s="130" t="s">
        <v>928</v>
      </c>
      <c r="F1051" s="188" t="s">
        <v>1080</v>
      </c>
      <c r="G1051" s="189" t="s">
        <v>1080</v>
      </c>
      <c r="H1051" s="189" t="s">
        <v>1080</v>
      </c>
      <c r="I1051" s="189" t="s">
        <v>1080</v>
      </c>
      <c r="J1051" s="132">
        <v>0.9</v>
      </c>
      <c r="K1051" s="133">
        <v>0.888888888888889</v>
      </c>
      <c r="L1051" s="133">
        <v>0.736842105263158</v>
      </c>
      <c r="M1051" s="134">
        <v>0.944444444444444</v>
      </c>
      <c r="N1051" s="133">
        <v>0.889967637540453</v>
      </c>
      <c r="O1051" s="135">
        <v>0.9</v>
      </c>
      <c r="P1051" s="133">
        <v>0.958500669344043</v>
      </c>
      <c r="Q1051" s="133">
        <v>0.968036529680365</v>
      </c>
      <c r="R1051" s="133">
        <v>0.973004020677771</v>
      </c>
      <c r="S1051" s="133">
        <v>0.945218863991662</v>
      </c>
      <c r="T1051" s="135">
        <v>0.9</v>
      </c>
      <c r="U1051" s="133">
        <v>0.927710843373494</v>
      </c>
      <c r="V1051" s="133">
        <v>0.9337899543379</v>
      </c>
      <c r="W1051" s="133">
        <v>0.943136128661689</v>
      </c>
      <c r="X1051" s="133">
        <v>0.898579989577905</v>
      </c>
      <c r="Y1051" s="135">
        <v>0.92</v>
      </c>
      <c r="Z1051" s="135" t="s">
        <v>35</v>
      </c>
      <c r="AA1051" s="135" t="s">
        <v>35</v>
      </c>
      <c r="AB1051" s="135" t="s">
        <v>35</v>
      </c>
      <c r="AC1051" s="135" t="s">
        <v>35</v>
      </c>
      <c r="AD1051" s="135">
        <v>0.92</v>
      </c>
      <c r="AE1051" s="133">
        <v>1</v>
      </c>
      <c r="AF1051" s="133">
        <v>0.983394833948339</v>
      </c>
      <c r="AG1051" s="133">
        <v>0.990476190476191</v>
      </c>
      <c r="AH1051" s="133">
        <v>0.975556525534701</v>
      </c>
      <c r="AI1051" s="135">
        <v>0.92</v>
      </c>
      <c r="AJ1051" s="133">
        <v>0.960508701472557</v>
      </c>
      <c r="AK1051" s="133">
        <v>0.962899543378995</v>
      </c>
      <c r="AL1051" s="133">
        <v>0.966685812751292</v>
      </c>
      <c r="AM1051" s="133">
        <v>0.944176654507556</v>
      </c>
      <c r="AN1051" s="132">
        <v>0.99</v>
      </c>
      <c r="AO1051" s="137">
        <v>1</v>
      </c>
      <c r="AP1051" s="137">
        <v>1</v>
      </c>
      <c r="AQ1051" s="137">
        <v>1</v>
      </c>
      <c r="AR1051" s="137">
        <v>1</v>
      </c>
      <c r="AS1051" s="158">
        <v>0.0656418488929858</v>
      </c>
      <c r="AT1051" s="141">
        <v>0</v>
      </c>
      <c r="AU1051" s="141">
        <v>0</v>
      </c>
      <c r="AV1051" s="141">
        <v>0</v>
      </c>
      <c r="AW1051" s="141">
        <v>0.0384615384615385</v>
      </c>
      <c r="AX1051" s="95"/>
      <c r="AY1051" s="93"/>
    </row>
    <row r="1052" ht="14.5" spans="1:51">
      <c r="A1052" s="91"/>
      <c r="B1052" s="95"/>
      <c r="C1052" s="180" t="s">
        <v>927</v>
      </c>
      <c r="D1052" s="181" t="s">
        <v>25</v>
      </c>
      <c r="E1052" s="130" t="s">
        <v>928</v>
      </c>
      <c r="F1052" s="186" t="s">
        <v>1081</v>
      </c>
      <c r="G1052" s="187" t="s">
        <v>1081</v>
      </c>
      <c r="H1052" s="187" t="s">
        <v>1081</v>
      </c>
      <c r="I1052" s="187" t="s">
        <v>1081</v>
      </c>
      <c r="J1052" s="132">
        <v>0.9</v>
      </c>
      <c r="K1052" s="133">
        <v>1</v>
      </c>
      <c r="L1052" s="133">
        <v>1</v>
      </c>
      <c r="M1052" s="134">
        <v>1</v>
      </c>
      <c r="N1052" s="133">
        <v>0.989304812834225</v>
      </c>
      <c r="O1052" s="135">
        <v>0.9</v>
      </c>
      <c r="P1052" s="133">
        <v>0.951897905759162</v>
      </c>
      <c r="Q1052" s="133">
        <v>0.943862710878418</v>
      </c>
      <c r="R1052" s="133">
        <v>0.959213615023474</v>
      </c>
      <c r="S1052" s="133">
        <v>0.958357959438694</v>
      </c>
      <c r="T1052" s="135">
        <v>0.9</v>
      </c>
      <c r="U1052" s="133">
        <v>0.898560209424084</v>
      </c>
      <c r="V1052" s="133">
        <v>0.899941826643397</v>
      </c>
      <c r="W1052" s="133">
        <v>0.897300469483568</v>
      </c>
      <c r="X1052" s="133">
        <v>0.894797277900674</v>
      </c>
      <c r="Y1052" s="135">
        <v>0.92</v>
      </c>
      <c r="Z1052" s="135" t="s">
        <v>35</v>
      </c>
      <c r="AA1052" s="135" t="s">
        <v>35</v>
      </c>
      <c r="AB1052" s="135" t="s">
        <v>35</v>
      </c>
      <c r="AC1052" s="135" t="s">
        <v>35</v>
      </c>
      <c r="AD1052" s="135">
        <v>0.92</v>
      </c>
      <c r="AE1052" s="133">
        <v>0.997936016511868</v>
      </c>
      <c r="AF1052" s="133">
        <v>0.998699609882965</v>
      </c>
      <c r="AG1052" s="133">
        <v>0.999512076116126</v>
      </c>
      <c r="AH1052" s="133">
        <v>0.973568351206013</v>
      </c>
      <c r="AI1052" s="135">
        <v>0.92</v>
      </c>
      <c r="AJ1052" s="133">
        <v>0.968913612565445</v>
      </c>
      <c r="AK1052" s="133">
        <v>0.972076788830716</v>
      </c>
      <c r="AL1052" s="133">
        <v>0.976232394366197</v>
      </c>
      <c r="AM1052" s="133">
        <v>0.976529388919845</v>
      </c>
      <c r="AN1052" s="132">
        <v>0.99</v>
      </c>
      <c r="AO1052" s="137">
        <v>1</v>
      </c>
      <c r="AP1052" s="137">
        <v>1</v>
      </c>
      <c r="AQ1052" s="137">
        <v>1</v>
      </c>
      <c r="AR1052" s="137">
        <v>1</v>
      </c>
      <c r="AS1052" s="158">
        <v>0.0656418488929858</v>
      </c>
      <c r="AT1052" s="141">
        <v>0</v>
      </c>
      <c r="AU1052" s="141">
        <v>0</v>
      </c>
      <c r="AV1052" s="141">
        <v>0</v>
      </c>
      <c r="AW1052" s="141">
        <v>0.0283687943262411</v>
      </c>
      <c r="AX1052" s="95"/>
      <c r="AY1052" s="93"/>
    </row>
    <row r="1053" ht="14.5" spans="1:51">
      <c r="A1053" s="91"/>
      <c r="B1053" s="95"/>
      <c r="C1053" s="180" t="s">
        <v>927</v>
      </c>
      <c r="D1053" s="181" t="s">
        <v>25</v>
      </c>
      <c r="E1053" s="130" t="s">
        <v>928</v>
      </c>
      <c r="F1053" s="184" t="s">
        <v>1082</v>
      </c>
      <c r="G1053" s="185" t="s">
        <v>1082</v>
      </c>
      <c r="H1053" s="185" t="s">
        <v>1082</v>
      </c>
      <c r="I1053" s="185" t="s">
        <v>1082</v>
      </c>
      <c r="J1053" s="132">
        <v>0.9</v>
      </c>
      <c r="K1053" s="133">
        <v>0.833333333333333</v>
      </c>
      <c r="L1053" s="133">
        <v>0.873239436619718</v>
      </c>
      <c r="M1053" s="134">
        <v>0.955882352941177</v>
      </c>
      <c r="N1053" s="133">
        <v>0.864935064935065</v>
      </c>
      <c r="O1053" s="135">
        <v>0.9</v>
      </c>
      <c r="P1053" s="133">
        <v>0.83632391948822</v>
      </c>
      <c r="Q1053" s="133">
        <v>0.904641957538683</v>
      </c>
      <c r="R1053" s="133">
        <v>0.939165818921668</v>
      </c>
      <c r="S1053" s="133">
        <v>0.924289351571197</v>
      </c>
      <c r="T1053" s="135">
        <v>0.9</v>
      </c>
      <c r="U1053" s="133">
        <v>0.887814011546263</v>
      </c>
      <c r="V1053" s="133">
        <v>0.879632961496941</v>
      </c>
      <c r="W1053" s="133">
        <v>0.91353001017294</v>
      </c>
      <c r="X1053" s="133">
        <v>0.888809284997851</v>
      </c>
      <c r="Y1053" s="135">
        <v>0.92</v>
      </c>
      <c r="Z1053" s="135" t="s">
        <v>35</v>
      </c>
      <c r="AA1053" s="135" t="s">
        <v>35</v>
      </c>
      <c r="AB1053" s="135" t="s">
        <v>35</v>
      </c>
      <c r="AC1053" s="135">
        <v>1</v>
      </c>
      <c r="AD1053" s="135">
        <v>0.92</v>
      </c>
      <c r="AE1053" s="133">
        <v>0.965973534971645</v>
      </c>
      <c r="AF1053" s="133">
        <v>0.973856209150327</v>
      </c>
      <c r="AG1053" s="133">
        <v>0.974548440065681</v>
      </c>
      <c r="AH1053" s="133">
        <v>0.969564486295611</v>
      </c>
      <c r="AI1053" s="135">
        <v>0.92</v>
      </c>
      <c r="AJ1053" s="133">
        <v>0.936183491964425</v>
      </c>
      <c r="AK1053" s="133">
        <v>0.934148974451241</v>
      </c>
      <c r="AL1053" s="133">
        <v>0.948728382502543</v>
      </c>
      <c r="AM1053" s="133">
        <v>0.948539623057423</v>
      </c>
      <c r="AN1053" s="132">
        <v>0.99</v>
      </c>
      <c r="AO1053" s="137">
        <v>1</v>
      </c>
      <c r="AP1053" s="137">
        <v>1</v>
      </c>
      <c r="AQ1053" s="137">
        <v>1</v>
      </c>
      <c r="AR1053" s="137">
        <v>1</v>
      </c>
      <c r="AS1053" s="158">
        <v>0.0656418488929858</v>
      </c>
      <c r="AT1053" s="141">
        <v>0.0454545454545455</v>
      </c>
      <c r="AU1053" s="141">
        <v>0</v>
      </c>
      <c r="AV1053" s="141">
        <v>0</v>
      </c>
      <c r="AW1053" s="141">
        <v>0.0291970802919708</v>
      </c>
      <c r="AX1053" s="95"/>
      <c r="AY1053" s="93"/>
    </row>
    <row r="1054" ht="14.5" spans="1:51">
      <c r="A1054" s="91"/>
      <c r="B1054" s="95"/>
      <c r="C1054" s="180" t="s">
        <v>927</v>
      </c>
      <c r="D1054" s="181" t="s">
        <v>25</v>
      </c>
      <c r="E1054" s="130" t="s">
        <v>928</v>
      </c>
      <c r="F1054" s="184" t="s">
        <v>1083</v>
      </c>
      <c r="G1054" s="185" t="s">
        <v>1083</v>
      </c>
      <c r="H1054" s="185" t="s">
        <v>1083</v>
      </c>
      <c r="I1054" s="185" t="s">
        <v>1083</v>
      </c>
      <c r="J1054" s="132">
        <v>0.9</v>
      </c>
      <c r="K1054" s="133">
        <v>1</v>
      </c>
      <c r="L1054" s="133">
        <v>0.951219512195122</v>
      </c>
      <c r="M1054" s="134">
        <v>0.954545454545455</v>
      </c>
      <c r="N1054" s="133">
        <v>0.982479784366577</v>
      </c>
      <c r="O1054" s="135">
        <v>0.9</v>
      </c>
      <c r="P1054" s="133">
        <v>0.952045410060677</v>
      </c>
      <c r="Q1054" s="133">
        <v>0.950267255403207</v>
      </c>
      <c r="R1054" s="133">
        <v>0.948883374689826</v>
      </c>
      <c r="S1054" s="133">
        <v>0.965198409387948</v>
      </c>
      <c r="T1054" s="135">
        <v>0.9</v>
      </c>
      <c r="U1054" s="133">
        <v>0.916813466431787</v>
      </c>
      <c r="V1054" s="133">
        <v>0.929816407157797</v>
      </c>
      <c r="W1054" s="133">
        <v>0.932258064516129</v>
      </c>
      <c r="X1054" s="133">
        <v>0.927532604766275</v>
      </c>
      <c r="Y1054" s="135">
        <v>0.92</v>
      </c>
      <c r="Z1054" s="135" t="s">
        <v>35</v>
      </c>
      <c r="AA1054" s="135" t="s">
        <v>35</v>
      </c>
      <c r="AB1054" s="135" t="s">
        <v>35</v>
      </c>
      <c r="AC1054" s="135" t="s">
        <v>35</v>
      </c>
      <c r="AD1054" s="135">
        <v>0.92</v>
      </c>
      <c r="AE1054" s="133">
        <v>0.986111111111111</v>
      </c>
      <c r="AF1054" s="133">
        <v>0.992779783393502</v>
      </c>
      <c r="AG1054" s="133">
        <v>0.989010989010989</v>
      </c>
      <c r="AH1054" s="133">
        <v>0.994819872851424</v>
      </c>
      <c r="AI1054" s="135">
        <v>0.92</v>
      </c>
      <c r="AJ1054" s="133">
        <v>0.950871011939714</v>
      </c>
      <c r="AK1054" s="133">
        <v>0.945386939344643</v>
      </c>
      <c r="AL1054" s="133">
        <v>0.952605459057072</v>
      </c>
      <c r="AM1054" s="133">
        <v>0.956718804310045</v>
      </c>
      <c r="AN1054" s="132">
        <v>0.99</v>
      </c>
      <c r="AO1054" s="137">
        <v>1</v>
      </c>
      <c r="AP1054" s="137">
        <v>1</v>
      </c>
      <c r="AQ1054" s="137">
        <v>1</v>
      </c>
      <c r="AR1054" s="137">
        <v>1</v>
      </c>
      <c r="AS1054" s="158">
        <v>0.0656418488929858</v>
      </c>
      <c r="AT1054" s="141">
        <v>0</v>
      </c>
      <c r="AU1054" s="141">
        <v>0.0434782608695652</v>
      </c>
      <c r="AV1054" s="141">
        <v>0.125</v>
      </c>
      <c r="AW1054" s="141">
        <v>0.0461538461538462</v>
      </c>
      <c r="AX1054" s="95"/>
      <c r="AY1054" s="93"/>
    </row>
    <row r="1055" ht="14.5" spans="1:51">
      <c r="A1055" s="91"/>
      <c r="B1055" s="95"/>
      <c r="C1055" s="180" t="s">
        <v>927</v>
      </c>
      <c r="D1055" s="181" t="s">
        <v>25</v>
      </c>
      <c r="E1055" s="130" t="s">
        <v>928</v>
      </c>
      <c r="F1055" s="184" t="s">
        <v>1084</v>
      </c>
      <c r="G1055" s="185" t="s">
        <v>1084</v>
      </c>
      <c r="H1055" s="185" t="s">
        <v>1084</v>
      </c>
      <c r="I1055" s="185" t="s">
        <v>1084</v>
      </c>
      <c r="J1055" s="132">
        <v>0.9</v>
      </c>
      <c r="K1055" s="133">
        <v>0.933333333333333</v>
      </c>
      <c r="L1055" s="133">
        <v>0.96551724137931</v>
      </c>
      <c r="M1055" s="134">
        <v>1</v>
      </c>
      <c r="N1055" s="133">
        <v>0.934615384615385</v>
      </c>
      <c r="O1055" s="135">
        <v>0.9</v>
      </c>
      <c r="P1055" s="133">
        <v>0.89311957247829</v>
      </c>
      <c r="Q1055" s="133">
        <v>0.883905013192612</v>
      </c>
      <c r="R1055" s="133">
        <v>0.947907771135781</v>
      </c>
      <c r="S1055" s="133">
        <v>0.950257744375391</v>
      </c>
      <c r="T1055" s="135">
        <v>0.9</v>
      </c>
      <c r="U1055" s="133">
        <v>0.910487641950568</v>
      </c>
      <c r="V1055" s="133">
        <v>0.90425932906144</v>
      </c>
      <c r="W1055" s="133">
        <v>0.938514090520922</v>
      </c>
      <c r="X1055" s="133">
        <v>0.894445247386424</v>
      </c>
      <c r="Y1055" s="135">
        <v>0.92</v>
      </c>
      <c r="Z1055" s="135" t="s">
        <v>35</v>
      </c>
      <c r="AA1055" s="135" t="s">
        <v>35</v>
      </c>
      <c r="AB1055" s="135" t="s">
        <v>35</v>
      </c>
      <c r="AC1055" s="135" t="s">
        <v>35</v>
      </c>
      <c r="AD1055" s="135">
        <v>0.92</v>
      </c>
      <c r="AE1055" s="133">
        <v>0.9375</v>
      </c>
      <c r="AF1055" s="133">
        <v>0.98876404494382</v>
      </c>
      <c r="AG1055" s="133">
        <v>0.997304582210243</v>
      </c>
      <c r="AH1055" s="133">
        <v>0.97835624451594</v>
      </c>
      <c r="AI1055" s="135">
        <v>0.92</v>
      </c>
      <c r="AJ1055" s="133">
        <v>0.954241816967268</v>
      </c>
      <c r="AK1055" s="133">
        <v>0.961176027139088</v>
      </c>
      <c r="AL1055" s="133">
        <v>0.972257789159198</v>
      </c>
      <c r="AM1055" s="133">
        <v>0.963243087002601</v>
      </c>
      <c r="AN1055" s="132">
        <v>0.99</v>
      </c>
      <c r="AO1055" s="137">
        <v>1</v>
      </c>
      <c r="AP1055" s="137">
        <v>1</v>
      </c>
      <c r="AQ1055" s="137">
        <v>1</v>
      </c>
      <c r="AR1055" s="137">
        <v>1</v>
      </c>
      <c r="AS1055" s="158">
        <v>0.0656418488929858</v>
      </c>
      <c r="AT1055" s="141">
        <v>0</v>
      </c>
      <c r="AU1055" s="141">
        <v>0</v>
      </c>
      <c r="AV1055" s="141">
        <v>0</v>
      </c>
      <c r="AW1055" s="141">
        <v>0.0466321243523316</v>
      </c>
      <c r="AX1055" s="95"/>
      <c r="AY1055" s="93"/>
    </row>
    <row r="1056" ht="14.5" spans="1:51">
      <c r="A1056" s="91"/>
      <c r="B1056" s="95"/>
      <c r="C1056" s="155"/>
      <c r="D1056" s="153"/>
      <c r="E1056" s="156"/>
      <c r="F1056" s="156"/>
      <c r="G1056" s="156"/>
      <c r="H1056" s="156"/>
      <c r="I1056" s="156"/>
      <c r="J1056" s="146"/>
      <c r="K1056" s="194"/>
      <c r="L1056" s="194"/>
      <c r="M1056" s="194"/>
      <c r="N1056" s="194"/>
      <c r="O1056" s="150"/>
      <c r="P1056" s="147"/>
      <c r="Q1056" s="147"/>
      <c r="R1056" s="133"/>
      <c r="S1056" s="147"/>
      <c r="T1056" s="150"/>
      <c r="U1056" s="147"/>
      <c r="V1056" s="147"/>
      <c r="W1056" s="133"/>
      <c r="X1056" s="147"/>
      <c r="Y1056" s="150"/>
      <c r="Z1056" s="150"/>
      <c r="AA1056" s="150"/>
      <c r="AB1056" s="135"/>
      <c r="AC1056" s="150"/>
      <c r="AD1056" s="147"/>
      <c r="AE1056" s="147"/>
      <c r="AF1056" s="147"/>
      <c r="AG1056" s="133"/>
      <c r="AH1056" s="147"/>
      <c r="AI1056" s="147"/>
      <c r="AJ1056" s="147"/>
      <c r="AK1056" s="147"/>
      <c r="AL1056" s="133"/>
      <c r="AM1056" s="147"/>
      <c r="AN1056" s="146"/>
      <c r="AO1056" s="146"/>
      <c r="AP1056" s="146"/>
      <c r="AQ1056" s="137"/>
      <c r="AR1056" s="146"/>
      <c r="AS1056" s="147"/>
      <c r="AT1056" s="146"/>
      <c r="AU1056" s="146"/>
      <c r="AV1056" s="141"/>
      <c r="AW1056" s="146"/>
      <c r="AX1056" s="95"/>
      <c r="AY1056" s="93"/>
    </row>
    <row r="1057" ht="14.5" spans="1:51">
      <c r="A1057" s="91"/>
      <c r="B1057" s="95"/>
      <c r="C1057" s="152" t="s">
        <v>1085</v>
      </c>
      <c r="D1057" s="153" t="s">
        <v>25</v>
      </c>
      <c r="E1057" s="130" t="s">
        <v>1086</v>
      </c>
      <c r="F1057" s="195" t="s">
        <v>1087</v>
      </c>
      <c r="G1057" s="195" t="s">
        <v>1087</v>
      </c>
      <c r="H1057" s="195" t="s">
        <v>1087</v>
      </c>
      <c r="I1057" s="195" t="s">
        <v>1087</v>
      </c>
      <c r="J1057" s="132">
        <v>0.9</v>
      </c>
      <c r="K1057" s="133">
        <v>0.931034482758621</v>
      </c>
      <c r="L1057" s="133">
        <v>1</v>
      </c>
      <c r="M1057" s="134">
        <v>1</v>
      </c>
      <c r="N1057" s="133">
        <v>0.947916666666667</v>
      </c>
      <c r="O1057" s="135">
        <v>0.9</v>
      </c>
      <c r="P1057" s="133">
        <v>0.91231732776618</v>
      </c>
      <c r="Q1057" s="133">
        <v>0.994952681388013</v>
      </c>
      <c r="R1057" s="133">
        <v>0.972035794183445</v>
      </c>
      <c r="S1057" s="133">
        <v>0.966618612846388</v>
      </c>
      <c r="T1057" s="135">
        <v>0.9</v>
      </c>
      <c r="U1057" s="133">
        <v>0.936847599164927</v>
      </c>
      <c r="V1057" s="133">
        <v>0.949526813880126</v>
      </c>
      <c r="W1057" s="133">
        <v>0.898210290827741</v>
      </c>
      <c r="X1057" s="133">
        <v>0.927919269581932</v>
      </c>
      <c r="Y1057" s="135">
        <v>0.92</v>
      </c>
      <c r="Z1057" s="135">
        <v>0.956521739130435</v>
      </c>
      <c r="AA1057" s="135">
        <v>0.954353338968724</v>
      </c>
      <c r="AB1057" s="135">
        <v>0.928640308582449</v>
      </c>
      <c r="AC1057" s="135">
        <v>0.95578231292517</v>
      </c>
      <c r="AD1057" s="135">
        <v>0.92</v>
      </c>
      <c r="AE1057" s="133">
        <v>0.999128160418483</v>
      </c>
      <c r="AF1057" s="133">
        <v>0.999223602484472</v>
      </c>
      <c r="AG1057" s="133">
        <v>0.997212931995541</v>
      </c>
      <c r="AH1057" s="133">
        <v>0.996465265340748</v>
      </c>
      <c r="AI1057" s="135">
        <v>0.92</v>
      </c>
      <c r="AJ1057" s="133">
        <v>0.971215351812367</v>
      </c>
      <c r="AK1057" s="133">
        <v>0.971820809248555</v>
      </c>
      <c r="AL1057" s="133">
        <v>0.950813871196037</v>
      </c>
      <c r="AM1057" s="133">
        <v>0.972290602811629</v>
      </c>
      <c r="AN1057" s="132">
        <v>0.99</v>
      </c>
      <c r="AO1057" s="137">
        <v>1</v>
      </c>
      <c r="AP1057" s="137">
        <v>1</v>
      </c>
      <c r="AQ1057" s="137">
        <v>1</v>
      </c>
      <c r="AR1057" s="137">
        <v>1</v>
      </c>
      <c r="AS1057" s="158">
        <v>0.0721861525408278</v>
      </c>
      <c r="AT1057" s="141">
        <v>0.111111111111111</v>
      </c>
      <c r="AU1057" s="141">
        <v>0.0769230769230769</v>
      </c>
      <c r="AV1057" s="141">
        <v>0.111111111111111</v>
      </c>
      <c r="AW1057" s="141">
        <v>0.0833333333333333</v>
      </c>
      <c r="AX1057" s="95"/>
      <c r="AY1057" s="93"/>
    </row>
    <row r="1058" ht="14.5" spans="1:51">
      <c r="A1058" s="91"/>
      <c r="B1058" s="95"/>
      <c r="C1058" s="152" t="s">
        <v>1085</v>
      </c>
      <c r="D1058" s="153" t="s">
        <v>25</v>
      </c>
      <c r="E1058" s="130" t="s">
        <v>1086</v>
      </c>
      <c r="F1058" s="195" t="s">
        <v>1088</v>
      </c>
      <c r="G1058" s="195" t="s">
        <v>1088</v>
      </c>
      <c r="H1058" s="195" t="s">
        <v>1088</v>
      </c>
      <c r="I1058" s="195" t="s">
        <v>1088</v>
      </c>
      <c r="J1058" s="132">
        <v>0.9</v>
      </c>
      <c r="K1058" s="133">
        <v>0.863636363636364</v>
      </c>
      <c r="L1058" s="133">
        <v>0.893617021276596</v>
      </c>
      <c r="M1058" s="134">
        <v>0.918367346938776</v>
      </c>
      <c r="N1058" s="133">
        <v>0.921994884910486</v>
      </c>
      <c r="O1058" s="135">
        <v>0.9</v>
      </c>
      <c r="P1058" s="133">
        <v>0.960255978443921</v>
      </c>
      <c r="Q1058" s="133">
        <v>0.988100297492563</v>
      </c>
      <c r="R1058" s="133">
        <v>0.984322508398656</v>
      </c>
      <c r="S1058" s="133">
        <v>0.978743108201241</v>
      </c>
      <c r="T1058" s="135">
        <v>0.9</v>
      </c>
      <c r="U1058" s="133">
        <v>0.885483327719771</v>
      </c>
      <c r="V1058" s="133">
        <v>0.917127071823204</v>
      </c>
      <c r="W1058" s="133">
        <v>0.921239268383725</v>
      </c>
      <c r="X1058" s="133">
        <v>0.899745864920744</v>
      </c>
      <c r="Y1058" s="135">
        <v>0.92</v>
      </c>
      <c r="Z1058" s="135">
        <v>0.942061700526712</v>
      </c>
      <c r="AA1058" s="135">
        <v>0.932552954292085</v>
      </c>
      <c r="AB1058" s="135">
        <v>0.945736434108527</v>
      </c>
      <c r="AC1058" s="135">
        <v>0.944980658729861</v>
      </c>
      <c r="AD1058" s="135">
        <v>0.92</v>
      </c>
      <c r="AE1058" s="133">
        <v>0.998355263157895</v>
      </c>
      <c r="AF1058" s="133">
        <v>0.889182058047493</v>
      </c>
      <c r="AG1058" s="133">
        <v>0.884081632653061</v>
      </c>
      <c r="AH1058" s="133">
        <v>0.893633177570093</v>
      </c>
      <c r="AI1058" s="135">
        <v>0.92</v>
      </c>
      <c r="AJ1058" s="133">
        <v>0.963471382038157</v>
      </c>
      <c r="AK1058" s="133">
        <v>0.961659030624548</v>
      </c>
      <c r="AL1058" s="133">
        <v>0.972557369292643</v>
      </c>
      <c r="AM1058" s="133">
        <v>0.966355958882547</v>
      </c>
      <c r="AN1058" s="132">
        <v>0.99</v>
      </c>
      <c r="AO1058" s="137">
        <v>1</v>
      </c>
      <c r="AP1058" s="137">
        <v>1</v>
      </c>
      <c r="AQ1058" s="137">
        <v>1</v>
      </c>
      <c r="AR1058" s="137">
        <v>1</v>
      </c>
      <c r="AS1058" s="158">
        <v>0.0721861525408278</v>
      </c>
      <c r="AT1058" s="141">
        <v>0.0714285714285714</v>
      </c>
      <c r="AU1058" s="141">
        <v>0.181818181818182</v>
      </c>
      <c r="AV1058" s="141">
        <v>0</v>
      </c>
      <c r="AW1058" s="141">
        <v>0.0386473429951691</v>
      </c>
      <c r="AX1058" s="95"/>
      <c r="AY1058" s="93"/>
    </row>
    <row r="1059" ht="14.5" spans="1:51">
      <c r="A1059" s="91"/>
      <c r="B1059" s="95"/>
      <c r="C1059" s="152" t="s">
        <v>1085</v>
      </c>
      <c r="D1059" s="153" t="s">
        <v>25</v>
      </c>
      <c r="E1059" s="130" t="s">
        <v>1086</v>
      </c>
      <c r="F1059" s="195" t="s">
        <v>1089</v>
      </c>
      <c r="G1059" s="195" t="s">
        <v>1089</v>
      </c>
      <c r="H1059" s="195" t="s">
        <v>1089</v>
      </c>
      <c r="I1059" s="195" t="s">
        <v>1089</v>
      </c>
      <c r="J1059" s="132">
        <v>0.9</v>
      </c>
      <c r="K1059" s="133">
        <v>0.86046511627907</v>
      </c>
      <c r="L1059" s="133">
        <v>0.837209302325581</v>
      </c>
      <c r="M1059" s="134">
        <v>0.869565217391304</v>
      </c>
      <c r="N1059" s="133">
        <v>0.836942675159236</v>
      </c>
      <c r="O1059" s="135">
        <v>0.9</v>
      </c>
      <c r="P1059" s="133">
        <v>0.901248581157775</v>
      </c>
      <c r="Q1059" s="133">
        <v>0.975313988739714</v>
      </c>
      <c r="R1059" s="133">
        <v>0.932618683001531</v>
      </c>
      <c r="S1059" s="133">
        <v>0.948592243018488</v>
      </c>
      <c r="T1059" s="135">
        <v>0.9</v>
      </c>
      <c r="U1059" s="133">
        <v>0.925841846386682</v>
      </c>
      <c r="V1059" s="133">
        <v>0.94889562581204</v>
      </c>
      <c r="W1059" s="133">
        <v>0.945252679938744</v>
      </c>
      <c r="X1059" s="133">
        <v>0.941879911113148</v>
      </c>
      <c r="Y1059" s="135">
        <v>0.92</v>
      </c>
      <c r="Z1059" s="135">
        <v>0.91722972972973</v>
      </c>
      <c r="AA1059" s="135">
        <v>0.965047393364929</v>
      </c>
      <c r="AB1059" s="135">
        <v>0.963508771929825</v>
      </c>
      <c r="AC1059" s="135">
        <v>0.957032533683865</v>
      </c>
      <c r="AD1059" s="135">
        <v>0.92</v>
      </c>
      <c r="AE1059" s="133">
        <v>0.992490118577075</v>
      </c>
      <c r="AF1059" s="133">
        <v>0.986247544204322</v>
      </c>
      <c r="AG1059" s="133">
        <v>0.992558672009159</v>
      </c>
      <c r="AH1059" s="133">
        <v>0.978036140283528</v>
      </c>
      <c r="AI1059" s="135">
        <v>0.92</v>
      </c>
      <c r="AJ1059" s="133">
        <v>0.944342827279854</v>
      </c>
      <c r="AK1059" s="133">
        <v>0.973480110082562</v>
      </c>
      <c r="AL1059" s="133">
        <v>0.974733713153332</v>
      </c>
      <c r="AM1059" s="133">
        <v>0.973028618488779</v>
      </c>
      <c r="AN1059" s="132">
        <v>0.99</v>
      </c>
      <c r="AO1059" s="137">
        <v>1</v>
      </c>
      <c r="AP1059" s="137">
        <v>1</v>
      </c>
      <c r="AQ1059" s="137">
        <v>1</v>
      </c>
      <c r="AR1059" s="137">
        <v>1</v>
      </c>
      <c r="AS1059" s="158">
        <v>0.0721861525408278</v>
      </c>
      <c r="AT1059" s="141">
        <v>0</v>
      </c>
      <c r="AU1059" s="141">
        <v>0</v>
      </c>
      <c r="AV1059" s="141">
        <v>0</v>
      </c>
      <c r="AW1059" s="141">
        <v>0.00975609756097561</v>
      </c>
      <c r="AX1059" s="95"/>
      <c r="AY1059" s="93"/>
    </row>
    <row r="1060" ht="14.5" spans="1:51">
      <c r="A1060" s="91"/>
      <c r="B1060" s="95"/>
      <c r="C1060" s="152" t="s">
        <v>1085</v>
      </c>
      <c r="D1060" s="153" t="s">
        <v>25</v>
      </c>
      <c r="E1060" s="130" t="s">
        <v>1086</v>
      </c>
      <c r="F1060" s="195" t="s">
        <v>1090</v>
      </c>
      <c r="G1060" s="195" t="s">
        <v>1090</v>
      </c>
      <c r="H1060" s="195" t="s">
        <v>1090</v>
      </c>
      <c r="I1060" s="195" t="s">
        <v>1090</v>
      </c>
      <c r="J1060" s="132">
        <v>0.9</v>
      </c>
      <c r="K1060" s="133">
        <v>0.934782608695652</v>
      </c>
      <c r="L1060" s="133">
        <v>0.906976744186046</v>
      </c>
      <c r="M1060" s="134">
        <v>0.977272727272727</v>
      </c>
      <c r="N1060" s="133">
        <v>0.932432432432432</v>
      </c>
      <c r="O1060" s="135">
        <v>0.9</v>
      </c>
      <c r="P1060" s="133">
        <v>0.967068509261982</v>
      </c>
      <c r="Q1060" s="133">
        <v>0.945139911634757</v>
      </c>
      <c r="R1060" s="133">
        <v>0.968982229402262</v>
      </c>
      <c r="S1060" s="133">
        <v>0.954426128247693</v>
      </c>
      <c r="T1060" s="135">
        <v>0.9</v>
      </c>
      <c r="U1060" s="133">
        <v>0.923845927668333</v>
      </c>
      <c r="V1060" s="133">
        <v>0.920471281296024</v>
      </c>
      <c r="W1060" s="133">
        <v>0.939579967689822</v>
      </c>
      <c r="X1060" s="133">
        <v>0.935741033857082</v>
      </c>
      <c r="Y1060" s="135">
        <v>0.92</v>
      </c>
      <c r="Z1060" s="135">
        <v>0.945830363506771</v>
      </c>
      <c r="AA1060" s="135">
        <v>0.942752100840336</v>
      </c>
      <c r="AB1060" s="135">
        <v>0.949438202247191</v>
      </c>
      <c r="AC1060" s="135">
        <v>0.956155319519415</v>
      </c>
      <c r="AD1060" s="135">
        <v>0.92</v>
      </c>
      <c r="AE1060" s="133">
        <v>0.989214175654854</v>
      </c>
      <c r="AF1060" s="133">
        <v>0.982318271119843</v>
      </c>
      <c r="AG1060" s="133">
        <v>0.997494780793319</v>
      </c>
      <c r="AH1060" s="133">
        <v>0.989881705230266</v>
      </c>
      <c r="AI1060" s="135">
        <v>0.92</v>
      </c>
      <c r="AJ1060" s="133">
        <v>0.958784346378018</v>
      </c>
      <c r="AK1060" s="133">
        <v>0.956060606060606</v>
      </c>
      <c r="AL1060" s="133">
        <v>0.974031502767135</v>
      </c>
      <c r="AM1060" s="133">
        <v>0.973835512672453</v>
      </c>
      <c r="AN1060" s="132">
        <v>0.99</v>
      </c>
      <c r="AO1060" s="137">
        <v>1</v>
      </c>
      <c r="AP1060" s="137">
        <v>1</v>
      </c>
      <c r="AQ1060" s="137">
        <v>1</v>
      </c>
      <c r="AR1060" s="137">
        <v>1</v>
      </c>
      <c r="AS1060" s="158">
        <v>0.0721861525408278</v>
      </c>
      <c r="AT1060" s="141">
        <v>0</v>
      </c>
      <c r="AU1060" s="141">
        <v>0</v>
      </c>
      <c r="AV1060" s="141">
        <v>0</v>
      </c>
      <c r="AW1060" s="141">
        <v>0.0206185567010309</v>
      </c>
      <c r="AX1060" s="95"/>
      <c r="AY1060" s="93"/>
    </row>
    <row r="1061" ht="14.5" spans="1:51">
      <c r="A1061" s="91"/>
      <c r="B1061" s="95"/>
      <c r="C1061" s="152" t="s">
        <v>1085</v>
      </c>
      <c r="D1061" s="153" t="s">
        <v>25</v>
      </c>
      <c r="E1061" s="130" t="s">
        <v>1086</v>
      </c>
      <c r="F1061" s="195" t="s">
        <v>1091</v>
      </c>
      <c r="G1061" s="195" t="s">
        <v>1091</v>
      </c>
      <c r="H1061" s="195" t="s">
        <v>1091</v>
      </c>
      <c r="I1061" s="195" t="s">
        <v>1091</v>
      </c>
      <c r="J1061" s="132">
        <v>0.9</v>
      </c>
      <c r="K1061" s="133">
        <v>0.958333333333333</v>
      </c>
      <c r="L1061" s="133">
        <v>0.869565217391304</v>
      </c>
      <c r="M1061" s="134">
        <v>0.872340425531915</v>
      </c>
      <c r="N1061" s="133">
        <v>0.936788874841972</v>
      </c>
      <c r="O1061" s="135">
        <v>0.9</v>
      </c>
      <c r="P1061" s="133">
        <v>0.921074494599834</v>
      </c>
      <c r="Q1061" s="133">
        <v>0.977800546448087</v>
      </c>
      <c r="R1061" s="133">
        <v>0.967536071032186</v>
      </c>
      <c r="S1061" s="133">
        <v>0.970031700382365</v>
      </c>
      <c r="T1061" s="135">
        <v>0.9</v>
      </c>
      <c r="U1061" s="133">
        <v>0.895596787593464</v>
      </c>
      <c r="V1061" s="133">
        <v>0.915983606557377</v>
      </c>
      <c r="W1061" s="133">
        <v>0.914539400665927</v>
      </c>
      <c r="X1061" s="133">
        <v>0.915324030197065</v>
      </c>
      <c r="Y1061" s="135">
        <v>0.92</v>
      </c>
      <c r="Z1061" s="135">
        <v>0.894799054373522</v>
      </c>
      <c r="AA1061" s="135">
        <v>0.91044776119403</v>
      </c>
      <c r="AB1061" s="135">
        <v>0.92191435768262</v>
      </c>
      <c r="AC1061" s="135">
        <v>0.937320967696191</v>
      </c>
      <c r="AD1061" s="135">
        <v>0.92</v>
      </c>
      <c r="AE1061" s="133">
        <v>0.991452991452991</v>
      </c>
      <c r="AF1061" s="133">
        <v>0.915221579961464</v>
      </c>
      <c r="AG1061" s="133">
        <v>0.983957219251337</v>
      </c>
      <c r="AH1061" s="133">
        <v>0.970422067131938</v>
      </c>
      <c r="AI1061" s="135">
        <v>0.92</v>
      </c>
      <c r="AJ1061" s="133">
        <v>0.930416745238544</v>
      </c>
      <c r="AK1061" s="133">
        <v>0.934003413616537</v>
      </c>
      <c r="AL1061" s="133">
        <v>0.954195741635355</v>
      </c>
      <c r="AM1061" s="133">
        <v>0.960361144799992</v>
      </c>
      <c r="AN1061" s="132">
        <v>0.99</v>
      </c>
      <c r="AO1061" s="137">
        <v>1</v>
      </c>
      <c r="AP1061" s="137">
        <v>1</v>
      </c>
      <c r="AQ1061" s="137">
        <v>1</v>
      </c>
      <c r="AR1061" s="137">
        <v>1</v>
      </c>
      <c r="AS1061" s="158">
        <v>0.0721861525408278</v>
      </c>
      <c r="AT1061" s="141">
        <v>0.024390243902439</v>
      </c>
      <c r="AU1061" s="141">
        <v>0</v>
      </c>
      <c r="AV1061" s="141">
        <v>0.0212765957446809</v>
      </c>
      <c r="AW1061" s="141">
        <v>0.0229885057471264</v>
      </c>
      <c r="AX1061" s="95"/>
      <c r="AY1061" s="93"/>
    </row>
    <row r="1062" ht="14.5" spans="1:51">
      <c r="A1062" s="91"/>
      <c r="B1062" s="95"/>
      <c r="C1062" s="152" t="s">
        <v>1085</v>
      </c>
      <c r="D1062" s="153" t="s">
        <v>25</v>
      </c>
      <c r="E1062" s="130" t="s">
        <v>1086</v>
      </c>
      <c r="F1062" s="195" t="s">
        <v>1092</v>
      </c>
      <c r="G1062" s="195" t="s">
        <v>1092</v>
      </c>
      <c r="H1062" s="195" t="s">
        <v>1092</v>
      </c>
      <c r="I1062" s="195" t="s">
        <v>1092</v>
      </c>
      <c r="J1062" s="132">
        <v>0.9</v>
      </c>
      <c r="K1062" s="133">
        <v>0.947368421052632</v>
      </c>
      <c r="L1062" s="133">
        <v>1</v>
      </c>
      <c r="M1062" s="134">
        <v>1</v>
      </c>
      <c r="N1062" s="133">
        <v>0.973760932944606</v>
      </c>
      <c r="O1062" s="135">
        <v>0.9</v>
      </c>
      <c r="P1062" s="133">
        <v>0.922920892494929</v>
      </c>
      <c r="Q1062" s="133">
        <v>0.982919254658385</v>
      </c>
      <c r="R1062" s="133">
        <v>0.880271084337349</v>
      </c>
      <c r="S1062" s="133">
        <v>0.952230359520639</v>
      </c>
      <c r="T1062" s="135">
        <v>0.9</v>
      </c>
      <c r="U1062" s="133">
        <v>0.943881000676133</v>
      </c>
      <c r="V1062" s="133">
        <v>0.947204968944099</v>
      </c>
      <c r="W1062" s="133">
        <v>0.875753012048193</v>
      </c>
      <c r="X1062" s="133">
        <v>0.943283954727031</v>
      </c>
      <c r="Y1062" s="135">
        <v>0.92</v>
      </c>
      <c r="Z1062" s="135">
        <v>0.958333333333333</v>
      </c>
      <c r="AA1062" s="135">
        <v>0.967955801104972</v>
      </c>
      <c r="AB1062" s="135">
        <v>0.96095717884131</v>
      </c>
      <c r="AC1062" s="135">
        <v>0.961487772733929</v>
      </c>
      <c r="AD1062" s="135">
        <v>0.92</v>
      </c>
      <c r="AE1062" s="133">
        <v>0.997512437810945</v>
      </c>
      <c r="AF1062" s="133">
        <v>0.978260869565217</v>
      </c>
      <c r="AG1062" s="133">
        <v>1</v>
      </c>
      <c r="AH1062" s="133">
        <v>0.984928145811427</v>
      </c>
      <c r="AI1062" s="135">
        <v>0.92</v>
      </c>
      <c r="AJ1062" s="133">
        <v>0.975093984962406</v>
      </c>
      <c r="AK1062" s="133">
        <v>0.979024167806658</v>
      </c>
      <c r="AL1062" s="133">
        <v>0.976437323279925</v>
      </c>
      <c r="AM1062" s="133">
        <v>0.978378521780655</v>
      </c>
      <c r="AN1062" s="132">
        <v>0.99</v>
      </c>
      <c r="AO1062" s="137">
        <v>1</v>
      </c>
      <c r="AP1062" s="137">
        <v>1</v>
      </c>
      <c r="AQ1062" s="137">
        <v>1</v>
      </c>
      <c r="AR1062" s="137">
        <v>1</v>
      </c>
      <c r="AS1062" s="158">
        <v>0.0721861525408278</v>
      </c>
      <c r="AT1062" s="141">
        <v>0</v>
      </c>
      <c r="AU1062" s="141">
        <v>0.0833333333333333</v>
      </c>
      <c r="AV1062" s="141">
        <v>0.1</v>
      </c>
      <c r="AW1062" s="141">
        <v>0.032967032967033</v>
      </c>
      <c r="AX1062" s="95"/>
      <c r="AY1062" s="93"/>
    </row>
    <row r="1063" ht="14.5" spans="1:51">
      <c r="A1063" s="91"/>
      <c r="B1063" s="95"/>
      <c r="C1063" s="152" t="s">
        <v>1085</v>
      </c>
      <c r="D1063" s="153" t="s">
        <v>25</v>
      </c>
      <c r="E1063" s="130" t="s">
        <v>1086</v>
      </c>
      <c r="F1063" s="195" t="s">
        <v>1093</v>
      </c>
      <c r="G1063" s="195" t="s">
        <v>1093</v>
      </c>
      <c r="H1063" s="195" t="s">
        <v>1093</v>
      </c>
      <c r="I1063" s="195" t="s">
        <v>1093</v>
      </c>
      <c r="J1063" s="132">
        <v>0.9</v>
      </c>
      <c r="K1063" s="133">
        <v>0.976744186046512</v>
      </c>
      <c r="L1063" s="133">
        <v>0.933333333333333</v>
      </c>
      <c r="M1063" s="134">
        <v>0.958333333333333</v>
      </c>
      <c r="N1063" s="133">
        <v>0.95646437994723</v>
      </c>
      <c r="O1063" s="135">
        <v>0.9</v>
      </c>
      <c r="P1063" s="133">
        <v>0.923452768729642</v>
      </c>
      <c r="Q1063" s="133">
        <v>0.983214649033571</v>
      </c>
      <c r="R1063" s="133">
        <v>0.937964176496287</v>
      </c>
      <c r="S1063" s="133">
        <v>0.941556735165817</v>
      </c>
      <c r="T1063" s="135">
        <v>0.9</v>
      </c>
      <c r="U1063" s="133">
        <v>0.912052117263844</v>
      </c>
      <c r="V1063" s="133">
        <v>0.896744659206511</v>
      </c>
      <c r="W1063" s="133">
        <v>0.920489296636086</v>
      </c>
      <c r="X1063" s="133">
        <v>0.910390497713775</v>
      </c>
      <c r="Y1063" s="135">
        <v>0.92</v>
      </c>
      <c r="Z1063" s="135">
        <v>0.971756398940865</v>
      </c>
      <c r="AA1063" s="135">
        <v>0.964737192282102</v>
      </c>
      <c r="AB1063" s="135">
        <v>0.973143759873618</v>
      </c>
      <c r="AC1063" s="135">
        <v>0.975987714644702</v>
      </c>
      <c r="AD1063" s="135">
        <v>0.92</v>
      </c>
      <c r="AE1063" s="133">
        <v>0.993258426966292</v>
      </c>
      <c r="AF1063" s="133">
        <v>0.99780701754386</v>
      </c>
      <c r="AG1063" s="133">
        <v>0.990384615384615</v>
      </c>
      <c r="AH1063" s="133">
        <v>0.96931382298622</v>
      </c>
      <c r="AI1063" s="135">
        <v>0.92</v>
      </c>
      <c r="AJ1063" s="133">
        <v>0.979660072443578</v>
      </c>
      <c r="AK1063" s="133">
        <v>0.976650331507639</v>
      </c>
      <c r="AL1063" s="133">
        <v>0.980028129395218</v>
      </c>
      <c r="AM1063" s="133">
        <v>0.984238501651604</v>
      </c>
      <c r="AN1063" s="132">
        <v>0.99</v>
      </c>
      <c r="AO1063" s="137">
        <v>1</v>
      </c>
      <c r="AP1063" s="137">
        <v>1</v>
      </c>
      <c r="AQ1063" s="137">
        <v>1</v>
      </c>
      <c r="AR1063" s="137">
        <v>1</v>
      </c>
      <c r="AS1063" s="158">
        <v>0.0721861525408278</v>
      </c>
      <c r="AT1063" s="141">
        <v>0</v>
      </c>
      <c r="AU1063" s="141">
        <v>0.1</v>
      </c>
      <c r="AV1063" s="141">
        <v>0</v>
      </c>
      <c r="AW1063" s="141">
        <v>0.027972027972028</v>
      </c>
      <c r="AX1063" s="95"/>
      <c r="AY1063" s="93"/>
    </row>
    <row r="1064" ht="14.5" spans="1:51">
      <c r="A1064" s="91"/>
      <c r="B1064" s="95"/>
      <c r="C1064" s="152" t="s">
        <v>1085</v>
      </c>
      <c r="D1064" s="153" t="s">
        <v>25</v>
      </c>
      <c r="E1064" s="130" t="s">
        <v>1086</v>
      </c>
      <c r="F1064" s="195" t="s">
        <v>1094</v>
      </c>
      <c r="G1064" s="195" t="s">
        <v>1094</v>
      </c>
      <c r="H1064" s="195" t="s">
        <v>1094</v>
      </c>
      <c r="I1064" s="195" t="s">
        <v>1094</v>
      </c>
      <c r="J1064" s="132">
        <v>0.9</v>
      </c>
      <c r="K1064" s="133">
        <v>0.88</v>
      </c>
      <c r="L1064" s="133">
        <v>0.915492957746479</v>
      </c>
      <c r="M1064" s="134">
        <v>0.916666666666667</v>
      </c>
      <c r="N1064" s="133">
        <v>0.885779122541604</v>
      </c>
      <c r="O1064" s="135">
        <v>0.9</v>
      </c>
      <c r="P1064" s="133">
        <v>0.924304776156628</v>
      </c>
      <c r="Q1064" s="133">
        <v>0.95307536817788</v>
      </c>
      <c r="R1064" s="133">
        <v>0.952368591823491</v>
      </c>
      <c r="S1064" s="133">
        <v>0.955868772782503</v>
      </c>
      <c r="T1064" s="135">
        <v>0.9</v>
      </c>
      <c r="U1064" s="133">
        <v>0.754084050380347</v>
      </c>
      <c r="V1064" s="133">
        <v>0.84190008663009</v>
      </c>
      <c r="W1064" s="133">
        <v>0.826865671641791</v>
      </c>
      <c r="X1064" s="133">
        <v>0.808011340623734</v>
      </c>
      <c r="Y1064" s="135">
        <v>0.92</v>
      </c>
      <c r="Z1064" s="135" t="s">
        <v>35</v>
      </c>
      <c r="AA1064" s="135">
        <v>0</v>
      </c>
      <c r="AB1064" s="135" t="s">
        <v>35</v>
      </c>
      <c r="AC1064" s="135">
        <v>0.8</v>
      </c>
      <c r="AD1064" s="135">
        <v>0.92</v>
      </c>
      <c r="AE1064" s="133">
        <v>0.999076979878161</v>
      </c>
      <c r="AF1064" s="133">
        <v>0.979212253829322</v>
      </c>
      <c r="AG1064" s="133">
        <v>0.973603280369042</v>
      </c>
      <c r="AH1064" s="133">
        <v>0.899160892319387</v>
      </c>
      <c r="AI1064" s="135">
        <v>0.92</v>
      </c>
      <c r="AJ1064" s="133">
        <v>0.924429479985036</v>
      </c>
      <c r="AK1064" s="133">
        <v>0.951349790674174</v>
      </c>
      <c r="AL1064" s="133">
        <v>0.960025957170668</v>
      </c>
      <c r="AM1064" s="133">
        <v>0.95319752136406</v>
      </c>
      <c r="AN1064" s="132">
        <v>0.99</v>
      </c>
      <c r="AO1064" s="137">
        <v>1</v>
      </c>
      <c r="AP1064" s="137">
        <v>1</v>
      </c>
      <c r="AQ1064" s="137">
        <v>1</v>
      </c>
      <c r="AR1064" s="137">
        <v>1</v>
      </c>
      <c r="AS1064" s="158">
        <v>0.0721861525408278</v>
      </c>
      <c r="AT1064" s="141">
        <v>0.0434782608695652</v>
      </c>
      <c r="AU1064" s="141">
        <v>0</v>
      </c>
      <c r="AV1064" s="141">
        <v>0</v>
      </c>
      <c r="AW1064" s="141">
        <v>0.0488599348534202</v>
      </c>
      <c r="AX1064" s="95"/>
      <c r="AY1064" s="93"/>
    </row>
    <row r="1065" ht="14.5" spans="1:51">
      <c r="A1065" s="91"/>
      <c r="B1065" s="95"/>
      <c r="C1065" s="152" t="s">
        <v>1085</v>
      </c>
      <c r="D1065" s="153" t="s">
        <v>25</v>
      </c>
      <c r="E1065" s="130" t="s">
        <v>1086</v>
      </c>
      <c r="F1065" s="195" t="s">
        <v>1095</v>
      </c>
      <c r="G1065" s="195" t="s">
        <v>1095</v>
      </c>
      <c r="H1065" s="195" t="s">
        <v>1095</v>
      </c>
      <c r="I1065" s="195" t="s">
        <v>1095</v>
      </c>
      <c r="J1065" s="132">
        <v>0.9</v>
      </c>
      <c r="K1065" s="133">
        <v>0.955555555555556</v>
      </c>
      <c r="L1065" s="133">
        <v>0.978260869565217</v>
      </c>
      <c r="M1065" s="134">
        <v>0.977777777777778</v>
      </c>
      <c r="N1065" s="133">
        <v>0.965736040609137</v>
      </c>
      <c r="O1065" s="135">
        <v>0.9</v>
      </c>
      <c r="P1065" s="133">
        <v>0.975401069518717</v>
      </c>
      <c r="Q1065" s="133">
        <v>0.98989898989899</v>
      </c>
      <c r="R1065" s="133">
        <v>0.955842757135164</v>
      </c>
      <c r="S1065" s="133">
        <v>0.97094872134623</v>
      </c>
      <c r="T1065" s="135">
        <v>0.9</v>
      </c>
      <c r="U1065" s="133">
        <v>0.940106951871658</v>
      </c>
      <c r="V1065" s="133">
        <v>0.940697295536005</v>
      </c>
      <c r="W1065" s="133">
        <v>0.939687668282176</v>
      </c>
      <c r="X1065" s="133">
        <v>0.950311382006095</v>
      </c>
      <c r="Y1065" s="135">
        <v>0.92</v>
      </c>
      <c r="Z1065" s="135">
        <v>0.921115065243179</v>
      </c>
      <c r="AA1065" s="135">
        <v>0.956422018348624</v>
      </c>
      <c r="AB1065" s="135">
        <v>0.948231676063557</v>
      </c>
      <c r="AC1065" s="135">
        <v>0.958668094983039</v>
      </c>
      <c r="AD1065" s="135">
        <v>0.92</v>
      </c>
      <c r="AE1065" s="133">
        <v>0.999596448748991</v>
      </c>
      <c r="AF1065" s="133">
        <v>0.996626881162429</v>
      </c>
      <c r="AG1065" s="133">
        <v>0.993723849372385</v>
      </c>
      <c r="AH1065" s="133">
        <v>0.993106021570335</v>
      </c>
      <c r="AI1065" s="135">
        <v>0.92</v>
      </c>
      <c r="AJ1065" s="133">
        <v>0.957987838584853</v>
      </c>
      <c r="AK1065" s="133">
        <v>0.967993903600686</v>
      </c>
      <c r="AL1065" s="133">
        <v>0.97087892693258</v>
      </c>
      <c r="AM1065" s="133">
        <v>0.975923482849604</v>
      </c>
      <c r="AN1065" s="132">
        <v>0.99</v>
      </c>
      <c r="AO1065" s="137">
        <v>1</v>
      </c>
      <c r="AP1065" s="137">
        <v>1</v>
      </c>
      <c r="AQ1065" s="137">
        <v>1</v>
      </c>
      <c r="AR1065" s="137">
        <v>1</v>
      </c>
      <c r="AS1065" s="158">
        <v>0.0721861525408278</v>
      </c>
      <c r="AT1065" s="141">
        <v>0.00706713780918728</v>
      </c>
      <c r="AU1065" s="141">
        <v>0.00353356890459364</v>
      </c>
      <c r="AV1065" s="141">
        <v>0.00591715976331361</v>
      </c>
      <c r="AW1065" s="141">
        <v>0.00329308452250274</v>
      </c>
      <c r="AX1065" s="95"/>
      <c r="AY1065" s="93"/>
    </row>
    <row r="1066" ht="14.5" spans="1:51">
      <c r="A1066" s="91"/>
      <c r="B1066" s="95"/>
      <c r="C1066" s="152" t="s">
        <v>1085</v>
      </c>
      <c r="D1066" s="153" t="s">
        <v>25</v>
      </c>
      <c r="E1066" s="130" t="s">
        <v>1086</v>
      </c>
      <c r="F1066" s="195" t="s">
        <v>1096</v>
      </c>
      <c r="G1066" s="195" t="s">
        <v>1096</v>
      </c>
      <c r="H1066" s="195" t="s">
        <v>1096</v>
      </c>
      <c r="I1066" s="195" t="s">
        <v>1096</v>
      </c>
      <c r="J1066" s="132">
        <v>0.9</v>
      </c>
      <c r="K1066" s="133">
        <v>0.825</v>
      </c>
      <c r="L1066" s="133">
        <v>0.846153846153846</v>
      </c>
      <c r="M1066" s="134">
        <v>0.952380952380952</v>
      </c>
      <c r="N1066" s="133">
        <v>0.890156918687589</v>
      </c>
      <c r="O1066" s="135">
        <v>0.9</v>
      </c>
      <c r="P1066" s="133">
        <v>0.942321822189567</v>
      </c>
      <c r="Q1066" s="133">
        <v>0.980047505938242</v>
      </c>
      <c r="R1066" s="133">
        <v>0.962348178137652</v>
      </c>
      <c r="S1066" s="133">
        <v>0.956532128945922</v>
      </c>
      <c r="T1066" s="135">
        <v>0.9</v>
      </c>
      <c r="U1066" s="133">
        <v>0.91513592946363</v>
      </c>
      <c r="V1066" s="133">
        <v>0.938242280285036</v>
      </c>
      <c r="W1066" s="133">
        <v>0.938866396761134</v>
      </c>
      <c r="X1066" s="133">
        <v>0.929170549860205</v>
      </c>
      <c r="Y1066" s="135">
        <v>0.92</v>
      </c>
      <c r="Z1066" s="135">
        <v>0.944670463791701</v>
      </c>
      <c r="AA1066" s="135">
        <v>0.952380952380952</v>
      </c>
      <c r="AB1066" s="135">
        <v>0.951149425287356</v>
      </c>
      <c r="AC1066" s="135">
        <v>0.952593395597065</v>
      </c>
      <c r="AD1066" s="135">
        <v>0.92</v>
      </c>
      <c r="AE1066" s="133">
        <v>0.922330097087379</v>
      </c>
      <c r="AF1066" s="133">
        <v>0.992647058823529</v>
      </c>
      <c r="AG1066" s="133">
        <v>0.886904761904762</v>
      </c>
      <c r="AH1066" s="133">
        <v>0.944344703770198</v>
      </c>
      <c r="AI1066" s="135">
        <v>0.92</v>
      </c>
      <c r="AJ1066" s="133">
        <v>0.969374841812199</v>
      </c>
      <c r="AK1066" s="133">
        <v>0.971307120085016</v>
      </c>
      <c r="AL1066" s="133">
        <v>0.972035214914552</v>
      </c>
      <c r="AM1066" s="133">
        <v>0.974677583509289</v>
      </c>
      <c r="AN1066" s="132">
        <v>0.99</v>
      </c>
      <c r="AO1066" s="137">
        <v>1</v>
      </c>
      <c r="AP1066" s="137">
        <v>1</v>
      </c>
      <c r="AQ1066" s="137">
        <v>1</v>
      </c>
      <c r="AR1066" s="137">
        <v>1</v>
      </c>
      <c r="AS1066" s="158">
        <v>0.0721861525408278</v>
      </c>
      <c r="AT1066" s="141">
        <v>0</v>
      </c>
      <c r="AU1066" s="141">
        <v>0.166666666666667</v>
      </c>
      <c r="AV1066" s="141">
        <v>0.125</v>
      </c>
      <c r="AW1066" s="141">
        <v>0.046875</v>
      </c>
      <c r="AX1066" s="95"/>
      <c r="AY1066" s="93"/>
    </row>
    <row r="1067" ht="14.5" spans="1:51">
      <c r="A1067" s="91"/>
      <c r="B1067" s="95"/>
      <c r="C1067" s="152" t="s">
        <v>1085</v>
      </c>
      <c r="D1067" s="153" t="s">
        <v>25</v>
      </c>
      <c r="E1067" s="130" t="s">
        <v>1086</v>
      </c>
      <c r="F1067" s="195" t="s">
        <v>1097</v>
      </c>
      <c r="G1067" s="195" t="s">
        <v>1097</v>
      </c>
      <c r="H1067" s="195" t="s">
        <v>1097</v>
      </c>
      <c r="I1067" s="195" t="s">
        <v>1097</v>
      </c>
      <c r="J1067" s="132">
        <v>0.9</v>
      </c>
      <c r="K1067" s="133">
        <v>0.973684210526316</v>
      </c>
      <c r="L1067" s="133">
        <v>1</v>
      </c>
      <c r="M1067" s="134">
        <v>0.976744186046512</v>
      </c>
      <c r="N1067" s="133">
        <v>0.96769456681351</v>
      </c>
      <c r="O1067" s="135">
        <v>0.9</v>
      </c>
      <c r="P1067" s="133">
        <v>0.98986975397974</v>
      </c>
      <c r="Q1067" s="133">
        <v>0.94819329560296</v>
      </c>
      <c r="R1067" s="133">
        <v>0.977707006369427</v>
      </c>
      <c r="S1067" s="133">
        <v>0.97984254106149</v>
      </c>
      <c r="T1067" s="135">
        <v>0.9</v>
      </c>
      <c r="U1067" s="133">
        <v>0.951519536903039</v>
      </c>
      <c r="V1067" s="133">
        <v>0.926425772747061</v>
      </c>
      <c r="W1067" s="133">
        <v>0.957404458598726</v>
      </c>
      <c r="X1067" s="133">
        <v>0.9417447174336</v>
      </c>
      <c r="Y1067" s="135">
        <v>0.92</v>
      </c>
      <c r="Z1067" s="135">
        <v>0.942006269592476</v>
      </c>
      <c r="AA1067" s="135">
        <v>0.939793577981651</v>
      </c>
      <c r="AB1067" s="135">
        <v>0.96646942800789</v>
      </c>
      <c r="AC1067" s="135">
        <v>0.95640222951821</v>
      </c>
      <c r="AD1067" s="135">
        <v>0.92</v>
      </c>
      <c r="AE1067" s="133">
        <v>0.99290780141844</v>
      </c>
      <c r="AF1067" s="133">
        <v>0.994152046783626</v>
      </c>
      <c r="AG1067" s="133">
        <v>0.998659517426273</v>
      </c>
      <c r="AH1067" s="133">
        <v>0.995713172252533</v>
      </c>
      <c r="AI1067" s="135">
        <v>0.92</v>
      </c>
      <c r="AJ1067" s="133">
        <v>0.967821782178218</v>
      </c>
      <c r="AK1067" s="133">
        <v>0.958673595644642</v>
      </c>
      <c r="AL1067" s="133">
        <v>0.980411604264815</v>
      </c>
      <c r="AM1067" s="133">
        <v>0.973496576996279</v>
      </c>
      <c r="AN1067" s="132">
        <v>0.99</v>
      </c>
      <c r="AO1067" s="137">
        <v>1</v>
      </c>
      <c r="AP1067" s="137">
        <v>1</v>
      </c>
      <c r="AQ1067" s="137">
        <v>1</v>
      </c>
      <c r="AR1067" s="137">
        <v>1</v>
      </c>
      <c r="AS1067" s="158">
        <v>0.0721861525408278</v>
      </c>
      <c r="AT1067" s="141">
        <v>0</v>
      </c>
      <c r="AU1067" s="141">
        <v>0.037037037037037</v>
      </c>
      <c r="AV1067" s="141">
        <v>0.0476190476190476</v>
      </c>
      <c r="AW1067" s="141">
        <v>0.0346820809248555</v>
      </c>
      <c r="AX1067" s="95"/>
      <c r="AY1067" s="93"/>
    </row>
    <row r="1068" ht="14.5" spans="1:51">
      <c r="A1068" s="91"/>
      <c r="B1068" s="95"/>
      <c r="C1068" s="152" t="s">
        <v>1085</v>
      </c>
      <c r="D1068" s="153" t="s">
        <v>25</v>
      </c>
      <c r="E1068" s="130" t="s">
        <v>1086</v>
      </c>
      <c r="F1068" s="195" t="s">
        <v>1098</v>
      </c>
      <c r="G1068" s="195" t="s">
        <v>1098</v>
      </c>
      <c r="H1068" s="195" t="s">
        <v>1098</v>
      </c>
      <c r="I1068" s="195" t="s">
        <v>1098</v>
      </c>
      <c r="J1068" s="132">
        <v>0.9</v>
      </c>
      <c r="K1068" s="133">
        <v>0.909090909090909</v>
      </c>
      <c r="L1068" s="133">
        <v>0.962962962962963</v>
      </c>
      <c r="M1068" s="134">
        <v>0.945454545454545</v>
      </c>
      <c r="N1068" s="133">
        <v>0.928799149840595</v>
      </c>
      <c r="O1068" s="135">
        <v>0.9</v>
      </c>
      <c r="P1068" s="133">
        <v>0.93598615916955</v>
      </c>
      <c r="Q1068" s="133">
        <v>0.941956288068793</v>
      </c>
      <c r="R1068" s="133">
        <v>0.985806451612903</v>
      </c>
      <c r="S1068" s="133">
        <v>0.97610664457457</v>
      </c>
      <c r="T1068" s="135">
        <v>0.9</v>
      </c>
      <c r="U1068" s="133">
        <v>0.920126874279123</v>
      </c>
      <c r="V1068" s="133">
        <v>0.949838767466858</v>
      </c>
      <c r="W1068" s="133">
        <v>0.959354838709677</v>
      </c>
      <c r="X1068" s="133">
        <v>0.939692342452599</v>
      </c>
      <c r="Y1068" s="135">
        <v>0.92</v>
      </c>
      <c r="Z1068" s="135">
        <v>0.961872909698997</v>
      </c>
      <c r="AA1068" s="135">
        <v>0.966030711959051</v>
      </c>
      <c r="AB1068" s="135">
        <v>0.972497249724973</v>
      </c>
      <c r="AC1068" s="135">
        <v>0.962993340113513</v>
      </c>
      <c r="AD1068" s="135">
        <v>0.92</v>
      </c>
      <c r="AE1068" s="133">
        <v>0.996542185338866</v>
      </c>
      <c r="AF1068" s="133">
        <v>0.999363057324841</v>
      </c>
      <c r="AG1068" s="133">
        <v>0.960300169450496</v>
      </c>
      <c r="AH1068" s="133">
        <v>0.994147948941328</v>
      </c>
      <c r="AI1068" s="135">
        <v>0.92</v>
      </c>
      <c r="AJ1068" s="133">
        <v>0.97582107596212</v>
      </c>
      <c r="AK1068" s="133">
        <v>0.977935222672065</v>
      </c>
      <c r="AL1068" s="133">
        <v>0.985359902399349</v>
      </c>
      <c r="AM1068" s="133">
        <v>0.979412890568927</v>
      </c>
      <c r="AN1068" s="132">
        <v>0.99</v>
      </c>
      <c r="AO1068" s="137">
        <v>1</v>
      </c>
      <c r="AP1068" s="137">
        <v>1</v>
      </c>
      <c r="AQ1068" s="137">
        <v>1</v>
      </c>
      <c r="AR1068" s="137">
        <v>1</v>
      </c>
      <c r="AS1068" s="158">
        <v>0.0721861525408278</v>
      </c>
      <c r="AT1068" s="141">
        <v>0</v>
      </c>
      <c r="AU1068" s="141">
        <v>0</v>
      </c>
      <c r="AV1068" s="141">
        <v>0.153846153846154</v>
      </c>
      <c r="AW1068" s="141">
        <v>0.0297397769516729</v>
      </c>
      <c r="AX1068" s="95"/>
      <c r="AY1068" s="93"/>
    </row>
    <row r="1069" ht="14.5" spans="1:51">
      <c r="A1069" s="91"/>
      <c r="B1069" s="95"/>
      <c r="C1069" s="152" t="s">
        <v>1085</v>
      </c>
      <c r="D1069" s="153" t="s">
        <v>25</v>
      </c>
      <c r="E1069" s="130" t="s">
        <v>1086</v>
      </c>
      <c r="F1069" s="195" t="s">
        <v>1099</v>
      </c>
      <c r="G1069" s="195" t="s">
        <v>1099</v>
      </c>
      <c r="H1069" s="195" t="s">
        <v>1099</v>
      </c>
      <c r="I1069" s="195" t="s">
        <v>1099</v>
      </c>
      <c r="J1069" s="132">
        <v>0.9</v>
      </c>
      <c r="K1069" s="133">
        <v>1</v>
      </c>
      <c r="L1069" s="133">
        <v>0.967741935483871</v>
      </c>
      <c r="M1069" s="134">
        <v>1</v>
      </c>
      <c r="N1069" s="133">
        <v>0.892307692307692</v>
      </c>
      <c r="O1069" s="135">
        <v>0.9</v>
      </c>
      <c r="P1069" s="133">
        <v>0.973865199449794</v>
      </c>
      <c r="Q1069" s="133">
        <v>0.981067125645439</v>
      </c>
      <c r="R1069" s="133">
        <v>0.966319960376424</v>
      </c>
      <c r="S1069" s="133">
        <v>0.957606353142621</v>
      </c>
      <c r="T1069" s="135">
        <v>0.9</v>
      </c>
      <c r="U1069" s="133">
        <v>0.944979367262723</v>
      </c>
      <c r="V1069" s="133">
        <v>0.965002868617326</v>
      </c>
      <c r="W1069" s="133">
        <v>0.974244675581971</v>
      </c>
      <c r="X1069" s="133">
        <v>0.941487320284592</v>
      </c>
      <c r="Y1069" s="135">
        <v>0.92</v>
      </c>
      <c r="Z1069" s="135">
        <v>0.952763819095477</v>
      </c>
      <c r="AA1069" s="135">
        <v>0.950980392156863</v>
      </c>
      <c r="AB1069" s="135">
        <v>0.955696202531646</v>
      </c>
      <c r="AC1069" s="135">
        <v>0.948641107781337</v>
      </c>
      <c r="AD1069" s="135">
        <v>0.92</v>
      </c>
      <c r="AE1069" s="133">
        <v>0.996277205040092</v>
      </c>
      <c r="AF1069" s="133">
        <v>0.988519885198852</v>
      </c>
      <c r="AG1069" s="133">
        <v>0.949367088607595</v>
      </c>
      <c r="AH1069" s="133">
        <v>0.777657021238056</v>
      </c>
      <c r="AI1069" s="135">
        <v>0.92</v>
      </c>
      <c r="AJ1069" s="133">
        <v>0.973866498740554</v>
      </c>
      <c r="AK1069" s="133">
        <v>0.971986970684039</v>
      </c>
      <c r="AL1069" s="133">
        <v>0.97856</v>
      </c>
      <c r="AM1069" s="133">
        <v>0.972558742322646</v>
      </c>
      <c r="AN1069" s="132">
        <v>0.99</v>
      </c>
      <c r="AO1069" s="137">
        <v>1</v>
      </c>
      <c r="AP1069" s="137">
        <v>1</v>
      </c>
      <c r="AQ1069" s="137">
        <v>1</v>
      </c>
      <c r="AR1069" s="137">
        <v>1</v>
      </c>
      <c r="AS1069" s="158">
        <v>0.0721861525408278</v>
      </c>
      <c r="AT1069" s="141">
        <v>0</v>
      </c>
      <c r="AU1069" s="141">
        <v>0</v>
      </c>
      <c r="AV1069" s="141">
        <v>0</v>
      </c>
      <c r="AW1069" s="141">
        <v>0.0296296296296296</v>
      </c>
      <c r="AX1069" s="95"/>
      <c r="AY1069" s="93"/>
    </row>
    <row r="1070" ht="14.5" spans="1:51">
      <c r="A1070" s="91"/>
      <c r="B1070" s="95"/>
      <c r="C1070" s="152" t="s">
        <v>1085</v>
      </c>
      <c r="D1070" s="153" t="s">
        <v>25</v>
      </c>
      <c r="E1070" s="130" t="s">
        <v>1086</v>
      </c>
      <c r="F1070" s="195" t="s">
        <v>1100</v>
      </c>
      <c r="G1070" s="195" t="s">
        <v>1100</v>
      </c>
      <c r="H1070" s="195" t="s">
        <v>1100</v>
      </c>
      <c r="I1070" s="195" t="s">
        <v>1100</v>
      </c>
      <c r="J1070" s="132">
        <v>0.9</v>
      </c>
      <c r="K1070" s="133">
        <v>0.976190476190476</v>
      </c>
      <c r="L1070" s="133">
        <v>1</v>
      </c>
      <c r="M1070" s="134">
        <v>0.976744186046512</v>
      </c>
      <c r="N1070" s="133">
        <v>0.992010652463382</v>
      </c>
      <c r="O1070" s="135">
        <v>0.9</v>
      </c>
      <c r="P1070" s="133">
        <v>0.983044982698962</v>
      </c>
      <c r="Q1070" s="133">
        <v>0.984445354072861</v>
      </c>
      <c r="R1070" s="133">
        <v>0.981199006739979</v>
      </c>
      <c r="S1070" s="133">
        <v>0.983206981664316</v>
      </c>
      <c r="T1070" s="135">
        <v>0.9</v>
      </c>
      <c r="U1070" s="133">
        <v>0.957785467128028</v>
      </c>
      <c r="V1070" s="133">
        <v>0.95702005730659</v>
      </c>
      <c r="W1070" s="133">
        <v>0.958495920539198</v>
      </c>
      <c r="X1070" s="133">
        <v>0.959802538787024</v>
      </c>
      <c r="Y1070" s="135">
        <v>0.92</v>
      </c>
      <c r="Z1070" s="135">
        <v>0.960176991150443</v>
      </c>
      <c r="AA1070" s="135">
        <v>0.955307262569832</v>
      </c>
      <c r="AB1070" s="135">
        <v>0.969833119383825</v>
      </c>
      <c r="AC1070" s="135">
        <v>0.968673124231242</v>
      </c>
      <c r="AD1070" s="135">
        <v>0.92</v>
      </c>
      <c r="AE1070" s="133">
        <v>1</v>
      </c>
      <c r="AF1070" s="133">
        <v>0.996353691886964</v>
      </c>
      <c r="AG1070" s="133">
        <v>0.99391592920354</v>
      </c>
      <c r="AH1070" s="133">
        <v>0.995275071423339</v>
      </c>
      <c r="AI1070" s="135">
        <v>0.92</v>
      </c>
      <c r="AJ1070" s="133">
        <v>0.975741874705605</v>
      </c>
      <c r="AK1070" s="133">
        <v>0.972123789274746</v>
      </c>
      <c r="AL1070" s="133">
        <v>0.982864976010966</v>
      </c>
      <c r="AM1070" s="133">
        <v>0.982604067454759</v>
      </c>
      <c r="AN1070" s="132">
        <v>0.99</v>
      </c>
      <c r="AO1070" s="137">
        <v>1</v>
      </c>
      <c r="AP1070" s="137">
        <v>1</v>
      </c>
      <c r="AQ1070" s="137">
        <v>1</v>
      </c>
      <c r="AR1070" s="137">
        <v>1</v>
      </c>
      <c r="AS1070" s="158">
        <v>0.0721861525408278</v>
      </c>
      <c r="AT1070" s="141">
        <v>0.0158730158730159</v>
      </c>
      <c r="AU1070" s="141">
        <v>0.0123456790123457</v>
      </c>
      <c r="AV1070" s="141">
        <v>0.0319148936170213</v>
      </c>
      <c r="AW1070" s="141">
        <v>0.0125361620057859</v>
      </c>
      <c r="AX1070" s="95"/>
      <c r="AY1070" s="93"/>
    </row>
    <row r="1071" ht="14.5" spans="1:51">
      <c r="A1071" s="91"/>
      <c r="B1071" s="95"/>
      <c r="C1071" s="152" t="s">
        <v>1085</v>
      </c>
      <c r="D1071" s="153" t="s">
        <v>25</v>
      </c>
      <c r="E1071" s="130" t="s">
        <v>1086</v>
      </c>
      <c r="F1071" s="195" t="s">
        <v>1101</v>
      </c>
      <c r="G1071" s="195" t="s">
        <v>1101</v>
      </c>
      <c r="H1071" s="195" t="s">
        <v>1101</v>
      </c>
      <c r="I1071" s="195" t="s">
        <v>1101</v>
      </c>
      <c r="J1071" s="132">
        <v>0.9</v>
      </c>
      <c r="K1071" s="133">
        <v>0.904761904761905</v>
      </c>
      <c r="L1071" s="133">
        <v>1</v>
      </c>
      <c r="M1071" s="134">
        <v>0.956521739130435</v>
      </c>
      <c r="N1071" s="133">
        <v>0.935483870967742</v>
      </c>
      <c r="O1071" s="135">
        <v>0.9</v>
      </c>
      <c r="P1071" s="133">
        <v>0.97708674304419</v>
      </c>
      <c r="Q1071" s="133">
        <v>0.981680353758686</v>
      </c>
      <c r="R1071" s="133">
        <v>0.970414201183432</v>
      </c>
      <c r="S1071" s="133">
        <v>0.962012527783391</v>
      </c>
      <c r="T1071" s="135">
        <v>0.9</v>
      </c>
      <c r="U1071" s="133">
        <v>0.942716857610475</v>
      </c>
      <c r="V1071" s="133">
        <v>0.948831332912192</v>
      </c>
      <c r="W1071" s="133">
        <v>0.951586874663798</v>
      </c>
      <c r="X1071" s="133">
        <v>0.935778271704721</v>
      </c>
      <c r="Y1071" s="135">
        <v>0.92</v>
      </c>
      <c r="Z1071" s="135">
        <v>0.965435041716329</v>
      </c>
      <c r="AA1071" s="135">
        <v>0.96661101836394</v>
      </c>
      <c r="AB1071" s="135">
        <v>0.959223300970874</v>
      </c>
      <c r="AC1071" s="135">
        <v>0.955435477311022</v>
      </c>
      <c r="AD1071" s="135">
        <v>0.92</v>
      </c>
      <c r="AE1071" s="133">
        <v>0.956521739130435</v>
      </c>
      <c r="AF1071" s="133">
        <v>0.831157528285466</v>
      </c>
      <c r="AG1071" s="133">
        <v>0.936300844205679</v>
      </c>
      <c r="AH1071" s="133">
        <v>0.937330834894857</v>
      </c>
      <c r="AI1071" s="135">
        <v>0.92</v>
      </c>
      <c r="AJ1071" s="133">
        <v>0.979041916167665</v>
      </c>
      <c r="AK1071" s="133">
        <v>0.97950377562028</v>
      </c>
      <c r="AL1071" s="133">
        <v>0.978539286950502</v>
      </c>
      <c r="AM1071" s="133">
        <v>0.976655936214211</v>
      </c>
      <c r="AN1071" s="132">
        <v>0.99</v>
      </c>
      <c r="AO1071" s="137">
        <v>1</v>
      </c>
      <c r="AP1071" s="137">
        <v>1</v>
      </c>
      <c r="AQ1071" s="137">
        <v>1</v>
      </c>
      <c r="AR1071" s="137">
        <v>1</v>
      </c>
      <c r="AS1071" s="158">
        <v>0.0721861525408278</v>
      </c>
      <c r="AT1071" s="141">
        <v>0.0833333333333333</v>
      </c>
      <c r="AU1071" s="141">
        <v>0</v>
      </c>
      <c r="AV1071" s="141">
        <v>0</v>
      </c>
      <c r="AW1071" s="141">
        <v>0.049645390070922</v>
      </c>
      <c r="AX1071" s="95"/>
      <c r="AY1071" s="93"/>
    </row>
    <row r="1072" ht="14.5" spans="1:51">
      <c r="A1072" s="91"/>
      <c r="B1072" s="95"/>
      <c r="C1072" s="152" t="s">
        <v>1085</v>
      </c>
      <c r="D1072" s="153" t="s">
        <v>25</v>
      </c>
      <c r="E1072" s="130" t="s">
        <v>1086</v>
      </c>
      <c r="F1072" s="195" t="s">
        <v>1102</v>
      </c>
      <c r="G1072" s="195" t="s">
        <v>1102</v>
      </c>
      <c r="H1072" s="195" t="s">
        <v>1102</v>
      </c>
      <c r="I1072" s="195" t="s">
        <v>1102</v>
      </c>
      <c r="J1072" s="132">
        <v>0.9</v>
      </c>
      <c r="K1072" s="133">
        <v>1</v>
      </c>
      <c r="L1072" s="133">
        <v>1</v>
      </c>
      <c r="M1072" s="134">
        <v>1</v>
      </c>
      <c r="N1072" s="133">
        <v>0.974257425742574</v>
      </c>
      <c r="O1072" s="135">
        <v>0.9</v>
      </c>
      <c r="P1072" s="133">
        <v>0.965562913907285</v>
      </c>
      <c r="Q1072" s="133">
        <v>0.967431927389215</v>
      </c>
      <c r="R1072" s="133">
        <v>0.953132959755476</v>
      </c>
      <c r="S1072" s="133">
        <v>0.952970222503237</v>
      </c>
      <c r="T1072" s="135">
        <v>0.9</v>
      </c>
      <c r="U1072" s="133">
        <v>0.956291390728477</v>
      </c>
      <c r="V1072" s="133">
        <v>0.93913507741591</v>
      </c>
      <c r="W1072" s="133">
        <v>0.946001018848701</v>
      </c>
      <c r="X1072" s="133">
        <v>0.942070875861861</v>
      </c>
      <c r="Y1072" s="135">
        <v>0.92</v>
      </c>
      <c r="Z1072" s="135">
        <v>0.947314049586777</v>
      </c>
      <c r="AA1072" s="135">
        <v>0.946116165150455</v>
      </c>
      <c r="AB1072" s="135">
        <v>0.94547053649956</v>
      </c>
      <c r="AC1072" s="135">
        <v>0.952808293362216</v>
      </c>
      <c r="AD1072" s="135">
        <v>0.92</v>
      </c>
      <c r="AE1072" s="133">
        <v>1</v>
      </c>
      <c r="AF1072" s="133">
        <v>0.998616874135546</v>
      </c>
      <c r="AG1072" s="133">
        <v>0.995906432748538</v>
      </c>
      <c r="AH1072" s="133">
        <v>0.977093173933035</v>
      </c>
      <c r="AI1072" s="135">
        <v>0.92</v>
      </c>
      <c r="AJ1072" s="133">
        <v>0.975572047000618</v>
      </c>
      <c r="AK1072" s="133">
        <v>0.970018170805572</v>
      </c>
      <c r="AL1072" s="133">
        <v>0.968064516129032</v>
      </c>
      <c r="AM1072" s="133">
        <v>0.973291512213668</v>
      </c>
      <c r="AN1072" s="132">
        <v>0.99</v>
      </c>
      <c r="AO1072" s="137">
        <v>1</v>
      </c>
      <c r="AP1072" s="137">
        <v>1</v>
      </c>
      <c r="AQ1072" s="137">
        <v>1</v>
      </c>
      <c r="AR1072" s="137">
        <v>1</v>
      </c>
      <c r="AS1072" s="158">
        <v>0.0721861525408278</v>
      </c>
      <c r="AT1072" s="141">
        <v>0</v>
      </c>
      <c r="AU1072" s="141">
        <v>0</v>
      </c>
      <c r="AV1072" s="141">
        <v>0</v>
      </c>
      <c r="AW1072" s="141">
        <v>0.0172413793103448</v>
      </c>
      <c r="AX1072" s="95"/>
      <c r="AY1072" s="93"/>
    </row>
    <row r="1073" ht="14.5" spans="1:51">
      <c r="A1073" s="91"/>
      <c r="B1073" s="95"/>
      <c r="C1073" s="152" t="s">
        <v>1085</v>
      </c>
      <c r="D1073" s="153" t="s">
        <v>25</v>
      </c>
      <c r="E1073" s="130" t="s">
        <v>1086</v>
      </c>
      <c r="F1073" s="195" t="s">
        <v>1103</v>
      </c>
      <c r="G1073" s="195" t="s">
        <v>1103</v>
      </c>
      <c r="H1073" s="195" t="s">
        <v>1103</v>
      </c>
      <c r="I1073" s="195" t="s">
        <v>1103</v>
      </c>
      <c r="J1073" s="132">
        <v>0.9</v>
      </c>
      <c r="K1073" s="133">
        <v>0.98</v>
      </c>
      <c r="L1073" s="133">
        <v>0.98</v>
      </c>
      <c r="M1073" s="134">
        <v>1</v>
      </c>
      <c r="N1073" s="133">
        <v>0.98481308411215</v>
      </c>
      <c r="O1073" s="135">
        <v>0.9</v>
      </c>
      <c r="P1073" s="133">
        <v>0.955106621773288</v>
      </c>
      <c r="Q1073" s="133">
        <v>0.9660671869698</v>
      </c>
      <c r="R1073" s="133">
        <v>0.950674019607843</v>
      </c>
      <c r="S1073" s="133">
        <v>0.963178671953832</v>
      </c>
      <c r="T1073" s="135">
        <v>0.9</v>
      </c>
      <c r="U1073" s="133">
        <v>0.9337822671156</v>
      </c>
      <c r="V1073" s="133">
        <v>0.942653545978962</v>
      </c>
      <c r="W1073" s="133">
        <v>0.952512254901961</v>
      </c>
      <c r="X1073" s="133">
        <v>0.941439926357344</v>
      </c>
      <c r="Y1073" s="135">
        <v>0.92</v>
      </c>
      <c r="Z1073" s="135">
        <v>0.943234323432343</v>
      </c>
      <c r="AA1073" s="135">
        <v>0.969902912621359</v>
      </c>
      <c r="AB1073" s="135">
        <v>0.961024498886414</v>
      </c>
      <c r="AC1073" s="135">
        <v>0.965899403239557</v>
      </c>
      <c r="AD1073" s="135">
        <v>0.92</v>
      </c>
      <c r="AE1073" s="133">
        <v>0.998750936797402</v>
      </c>
      <c r="AF1073" s="133">
        <v>0.9981604966659</v>
      </c>
      <c r="AG1073" s="133">
        <v>0.998500299940012</v>
      </c>
      <c r="AH1073" s="133">
        <v>0.899223313434752</v>
      </c>
      <c r="AI1073" s="135">
        <v>0.92</v>
      </c>
      <c r="AJ1073" s="133">
        <v>0.968497735774759</v>
      </c>
      <c r="AK1073" s="133">
        <v>0.975833832634312</v>
      </c>
      <c r="AL1073" s="133">
        <v>0.977075098814229</v>
      </c>
      <c r="AM1073" s="133">
        <v>0.979470777048102</v>
      </c>
      <c r="AN1073" s="132">
        <v>0.99</v>
      </c>
      <c r="AO1073" s="137">
        <v>1</v>
      </c>
      <c r="AP1073" s="137">
        <v>1</v>
      </c>
      <c r="AQ1073" s="137">
        <v>1</v>
      </c>
      <c r="AR1073" s="137">
        <v>1</v>
      </c>
      <c r="AS1073" s="158">
        <v>0.0721861525408278</v>
      </c>
      <c r="AT1073" s="141">
        <v>0</v>
      </c>
      <c r="AU1073" s="141">
        <v>0.0666666666666667</v>
      </c>
      <c r="AV1073" s="141">
        <v>0</v>
      </c>
      <c r="AW1073" s="141">
        <v>0.037037037037037</v>
      </c>
      <c r="AX1073" s="95"/>
      <c r="AY1073" s="93"/>
    </row>
    <row r="1074" ht="14.5" spans="1:51">
      <c r="A1074" s="91"/>
      <c r="B1074" s="95"/>
      <c r="C1074" s="152" t="s">
        <v>1085</v>
      </c>
      <c r="D1074" s="153" t="s">
        <v>25</v>
      </c>
      <c r="E1074" s="130" t="s">
        <v>1086</v>
      </c>
      <c r="F1074" s="195" t="s">
        <v>1104</v>
      </c>
      <c r="G1074" s="195" t="s">
        <v>1104</v>
      </c>
      <c r="H1074" s="195" t="s">
        <v>1104</v>
      </c>
      <c r="I1074" s="195" t="s">
        <v>1104</v>
      </c>
      <c r="J1074" s="132">
        <v>0.9</v>
      </c>
      <c r="K1074" s="133">
        <v>1</v>
      </c>
      <c r="L1074" s="133">
        <v>1</v>
      </c>
      <c r="M1074" s="134">
        <v>0.96875</v>
      </c>
      <c r="N1074" s="133">
        <v>0.972627737226277</v>
      </c>
      <c r="O1074" s="135">
        <v>0.9</v>
      </c>
      <c r="P1074" s="133">
        <v>0.982315112540193</v>
      </c>
      <c r="Q1074" s="133">
        <v>0.959944751381215</v>
      </c>
      <c r="R1074" s="133">
        <v>0.976582827406765</v>
      </c>
      <c r="S1074" s="133">
        <v>0.975146094215862</v>
      </c>
      <c r="T1074" s="135">
        <v>0.9</v>
      </c>
      <c r="U1074" s="133">
        <v>0.947347266881029</v>
      </c>
      <c r="V1074" s="133">
        <v>0.952117863720074</v>
      </c>
      <c r="W1074" s="133">
        <v>0.964874241110147</v>
      </c>
      <c r="X1074" s="133">
        <v>0.949218843172332</v>
      </c>
      <c r="Y1074" s="135">
        <v>0.92</v>
      </c>
      <c r="Z1074" s="135">
        <v>0.960983884648007</v>
      </c>
      <c r="AA1074" s="135">
        <v>0.948606811145511</v>
      </c>
      <c r="AB1074" s="135">
        <v>0.958695652173913</v>
      </c>
      <c r="AC1074" s="135">
        <v>0.964014043300176</v>
      </c>
      <c r="AD1074" s="135">
        <v>0.92</v>
      </c>
      <c r="AE1074" s="133">
        <v>1</v>
      </c>
      <c r="AF1074" s="133">
        <v>1</v>
      </c>
      <c r="AG1074" s="133">
        <v>0.994405594405594</v>
      </c>
      <c r="AH1074" s="133">
        <v>0.995977694487613</v>
      </c>
      <c r="AI1074" s="135">
        <v>0.92</v>
      </c>
      <c r="AJ1074" s="133">
        <v>0.973002454322334</v>
      </c>
      <c r="AK1074" s="133">
        <v>0.967001055966209</v>
      </c>
      <c r="AL1074" s="133">
        <v>0.976397178513294</v>
      </c>
      <c r="AM1074" s="133">
        <v>0.978621642550219</v>
      </c>
      <c r="AN1074" s="132">
        <v>0.99</v>
      </c>
      <c r="AO1074" s="137">
        <v>1</v>
      </c>
      <c r="AP1074" s="137">
        <v>1</v>
      </c>
      <c r="AQ1074" s="137">
        <v>1</v>
      </c>
      <c r="AR1074" s="137">
        <v>1</v>
      </c>
      <c r="AS1074" s="158">
        <v>0.0721861525408278</v>
      </c>
      <c r="AT1074" s="141">
        <v>0</v>
      </c>
      <c r="AU1074" s="141">
        <v>0</v>
      </c>
      <c r="AV1074" s="141">
        <v>0</v>
      </c>
      <c r="AW1074" s="141">
        <v>0.0390243902439024</v>
      </c>
      <c r="AX1074" s="95"/>
      <c r="AY1074" s="93"/>
    </row>
    <row r="1075" ht="14.5" spans="1:51">
      <c r="A1075" s="91"/>
      <c r="B1075" s="95"/>
      <c r="C1075" s="152" t="s">
        <v>1085</v>
      </c>
      <c r="D1075" s="153" t="s">
        <v>25</v>
      </c>
      <c r="E1075" s="130" t="s">
        <v>1086</v>
      </c>
      <c r="F1075" s="195" t="s">
        <v>1105</v>
      </c>
      <c r="G1075" s="195" t="s">
        <v>1105</v>
      </c>
      <c r="H1075" s="195" t="s">
        <v>1105</v>
      </c>
      <c r="I1075" s="195" t="s">
        <v>1105</v>
      </c>
      <c r="J1075" s="132">
        <v>0.9</v>
      </c>
      <c r="K1075" s="133">
        <v>0.933333333333333</v>
      </c>
      <c r="L1075" s="133">
        <v>0.933333333333333</v>
      </c>
      <c r="M1075" s="134">
        <v>0.967741935483871</v>
      </c>
      <c r="N1075" s="133">
        <v>0.977142857142857</v>
      </c>
      <c r="O1075" s="135">
        <v>0.9</v>
      </c>
      <c r="P1075" s="133">
        <v>0.971351835273053</v>
      </c>
      <c r="Q1075" s="133">
        <v>0.994926719278467</v>
      </c>
      <c r="R1075" s="133">
        <v>0.990264255910987</v>
      </c>
      <c r="S1075" s="133">
        <v>0.987753786658073</v>
      </c>
      <c r="T1075" s="135">
        <v>0.9</v>
      </c>
      <c r="U1075" s="133">
        <v>0.910922112802149</v>
      </c>
      <c r="V1075" s="133">
        <v>0.923337091319053</v>
      </c>
      <c r="W1075" s="133">
        <v>0.94019471488178</v>
      </c>
      <c r="X1075" s="133">
        <v>0.938527231711247</v>
      </c>
      <c r="Y1075" s="135">
        <v>0.92</v>
      </c>
      <c r="Z1075" s="135">
        <v>0.949612403100775</v>
      </c>
      <c r="AA1075" s="135">
        <v>0.962357954545455</v>
      </c>
      <c r="AB1075" s="135">
        <v>0.967665615141956</v>
      </c>
      <c r="AC1075" s="135">
        <v>0.974347672778561</v>
      </c>
      <c r="AD1075" s="135">
        <v>0.92</v>
      </c>
      <c r="AE1075" s="133">
        <v>0.998217468805704</v>
      </c>
      <c r="AF1075" s="133">
        <v>0.998721227621483</v>
      </c>
      <c r="AG1075" s="133">
        <v>1</v>
      </c>
      <c r="AH1075" s="133">
        <v>0.977273722467925</v>
      </c>
      <c r="AI1075" s="135">
        <v>0.92</v>
      </c>
      <c r="AJ1075" s="133">
        <v>0.966319657072872</v>
      </c>
      <c r="AK1075" s="133">
        <v>0.968573224387178</v>
      </c>
      <c r="AL1075" s="133">
        <v>0.976934306569343</v>
      </c>
      <c r="AM1075" s="133">
        <v>0.982796021892938</v>
      </c>
      <c r="AN1075" s="132">
        <v>0.99</v>
      </c>
      <c r="AO1075" s="137">
        <v>1</v>
      </c>
      <c r="AP1075" s="137">
        <v>1</v>
      </c>
      <c r="AQ1075" s="137">
        <v>1</v>
      </c>
      <c r="AR1075" s="137">
        <v>1</v>
      </c>
      <c r="AS1075" s="158">
        <v>0.0721861525408278</v>
      </c>
      <c r="AT1075" s="141">
        <v>0.0476190476190476</v>
      </c>
      <c r="AU1075" s="141">
        <v>0.0303030303030303</v>
      </c>
      <c r="AV1075" s="141">
        <v>0</v>
      </c>
      <c r="AW1075" s="141">
        <v>0.0246085011185682</v>
      </c>
      <c r="AX1075" s="95"/>
      <c r="AY1075" s="93"/>
    </row>
    <row r="1076" ht="14.5" spans="1:51">
      <c r="A1076" s="91"/>
      <c r="B1076" s="95"/>
      <c r="C1076" s="152" t="s">
        <v>1085</v>
      </c>
      <c r="D1076" s="153" t="s">
        <v>25</v>
      </c>
      <c r="E1076" s="130" t="s">
        <v>1086</v>
      </c>
      <c r="F1076" s="195" t="s">
        <v>1106</v>
      </c>
      <c r="G1076" s="195" t="s">
        <v>1106</v>
      </c>
      <c r="H1076" s="195" t="s">
        <v>1106</v>
      </c>
      <c r="I1076" s="195" t="s">
        <v>1106</v>
      </c>
      <c r="J1076" s="132">
        <v>0.9</v>
      </c>
      <c r="K1076" s="133">
        <v>1</v>
      </c>
      <c r="L1076" s="133">
        <v>1</v>
      </c>
      <c r="M1076" s="134">
        <v>0.964285714285714</v>
      </c>
      <c r="N1076" s="133">
        <v>0.966029723991507</v>
      </c>
      <c r="O1076" s="135">
        <v>0.9</v>
      </c>
      <c r="P1076" s="133">
        <v>0.923076923076923</v>
      </c>
      <c r="Q1076" s="133">
        <v>0.97164461247637</v>
      </c>
      <c r="R1076" s="133">
        <v>0.965859030837004</v>
      </c>
      <c r="S1076" s="133">
        <v>0.956641271944352</v>
      </c>
      <c r="T1076" s="135">
        <v>0.9</v>
      </c>
      <c r="U1076" s="133">
        <v>0.913524384112619</v>
      </c>
      <c r="V1076" s="133">
        <v>0.926275992438563</v>
      </c>
      <c r="W1076" s="133">
        <v>0.915748898678414</v>
      </c>
      <c r="X1076" s="133">
        <v>0.928552500828089</v>
      </c>
      <c r="Y1076" s="135">
        <v>0.92</v>
      </c>
      <c r="Z1076" s="135">
        <v>0.934736842105263</v>
      </c>
      <c r="AA1076" s="135">
        <v>0.958162428219852</v>
      </c>
      <c r="AB1076" s="135">
        <v>0.949545913218971</v>
      </c>
      <c r="AC1076" s="135">
        <v>0.943575837996885</v>
      </c>
      <c r="AD1076" s="135">
        <v>0.92</v>
      </c>
      <c r="AE1076" s="133">
        <v>1</v>
      </c>
      <c r="AF1076" s="133">
        <v>0.997474747474748</v>
      </c>
      <c r="AG1076" s="133">
        <v>0.983308042488619</v>
      </c>
      <c r="AH1076" s="133">
        <v>0.994144437215355</v>
      </c>
      <c r="AI1076" s="135">
        <v>0.92</v>
      </c>
      <c r="AJ1076" s="133">
        <v>0.953045253487581</v>
      </c>
      <c r="AK1076" s="133">
        <v>0.966500356379187</v>
      </c>
      <c r="AL1076" s="133">
        <v>0.962593516209476</v>
      </c>
      <c r="AM1076" s="133">
        <v>0.964904898165292</v>
      </c>
      <c r="AN1076" s="132">
        <v>0.99</v>
      </c>
      <c r="AO1076" s="137">
        <v>1</v>
      </c>
      <c r="AP1076" s="137">
        <v>1</v>
      </c>
      <c r="AQ1076" s="137">
        <v>1</v>
      </c>
      <c r="AR1076" s="137">
        <v>1</v>
      </c>
      <c r="AS1076" s="158">
        <v>0.0721861525408278</v>
      </c>
      <c r="AT1076" s="141">
        <v>0</v>
      </c>
      <c r="AU1076" s="141">
        <v>0</v>
      </c>
      <c r="AV1076" s="141">
        <v>0.0833333333333333</v>
      </c>
      <c r="AW1076" s="141">
        <v>0.0261437908496732</v>
      </c>
      <c r="AX1076" s="95"/>
      <c r="AY1076" s="93"/>
    </row>
    <row r="1077" ht="14.5" spans="1:51">
      <c r="A1077" s="91"/>
      <c r="B1077" s="95"/>
      <c r="C1077" s="152" t="s">
        <v>1085</v>
      </c>
      <c r="D1077" s="153" t="s">
        <v>25</v>
      </c>
      <c r="E1077" s="130" t="s">
        <v>1086</v>
      </c>
      <c r="F1077" s="195" t="s">
        <v>1107</v>
      </c>
      <c r="G1077" s="195" t="s">
        <v>1107</v>
      </c>
      <c r="H1077" s="195" t="s">
        <v>1107</v>
      </c>
      <c r="I1077" s="195" t="s">
        <v>1107</v>
      </c>
      <c r="J1077" s="132">
        <v>0.9</v>
      </c>
      <c r="K1077" s="133">
        <v>0.892307692307692</v>
      </c>
      <c r="L1077" s="133">
        <v>0.9375</v>
      </c>
      <c r="M1077" s="134">
        <v>0.871428571428571</v>
      </c>
      <c r="N1077" s="133">
        <v>0.840566873339238</v>
      </c>
      <c r="O1077" s="135">
        <v>0.9</v>
      </c>
      <c r="P1077" s="133">
        <v>0.97856477166822</v>
      </c>
      <c r="Q1077" s="133">
        <v>0.964987325728771</v>
      </c>
      <c r="R1077" s="133">
        <v>0.975944435033034</v>
      </c>
      <c r="S1077" s="133">
        <v>0.923583060698554</v>
      </c>
      <c r="T1077" s="135">
        <v>0.9</v>
      </c>
      <c r="U1077" s="133">
        <v>0.897483690587139</v>
      </c>
      <c r="V1077" s="133">
        <v>0.909695817490494</v>
      </c>
      <c r="W1077" s="133">
        <v>0.947145519227511</v>
      </c>
      <c r="X1077" s="133">
        <v>0.881764845649115</v>
      </c>
      <c r="Y1077" s="135">
        <v>0.92</v>
      </c>
      <c r="Z1077" s="135">
        <v>0.88595041322314</v>
      </c>
      <c r="AA1077" s="135">
        <v>0.906707787201234</v>
      </c>
      <c r="AB1077" s="135">
        <v>0.966666666666667</v>
      </c>
      <c r="AC1077" s="135">
        <v>0.936132658274885</v>
      </c>
      <c r="AD1077" s="135">
        <v>0.92</v>
      </c>
      <c r="AE1077" s="133">
        <v>0.705106138841079</v>
      </c>
      <c r="AF1077" s="133">
        <v>0.975203409531189</v>
      </c>
      <c r="AG1077" s="133">
        <v>0.962564447433311</v>
      </c>
      <c r="AH1077" s="133">
        <v>0.871176424133937</v>
      </c>
      <c r="AI1077" s="135">
        <v>0.92</v>
      </c>
      <c r="AJ1077" s="133">
        <v>0.947068676716918</v>
      </c>
      <c r="AK1077" s="133">
        <v>0.953081876724931</v>
      </c>
      <c r="AL1077" s="133">
        <v>0.984091229058145</v>
      </c>
      <c r="AM1077" s="133">
        <v>0.968446527820192</v>
      </c>
      <c r="AN1077" s="132">
        <v>0.99</v>
      </c>
      <c r="AO1077" s="137">
        <v>1</v>
      </c>
      <c r="AP1077" s="137">
        <v>1</v>
      </c>
      <c r="AQ1077" s="137">
        <v>1</v>
      </c>
      <c r="AR1077" s="137">
        <v>1</v>
      </c>
      <c r="AS1077" s="158">
        <v>0.0721861525408278</v>
      </c>
      <c r="AT1077" s="141">
        <v>0</v>
      </c>
      <c r="AU1077" s="141">
        <v>0.0232558139534884</v>
      </c>
      <c r="AV1077" s="141">
        <v>0.0222222222222222</v>
      </c>
      <c r="AW1077" s="141">
        <v>0.028125</v>
      </c>
      <c r="AX1077" s="95"/>
      <c r="AY1077" s="93"/>
    </row>
    <row r="1078" ht="14.5" spans="1:51">
      <c r="A1078" s="91"/>
      <c r="B1078" s="95"/>
      <c r="C1078" s="152" t="s">
        <v>1085</v>
      </c>
      <c r="D1078" s="153" t="s">
        <v>25</v>
      </c>
      <c r="E1078" s="130" t="s">
        <v>1086</v>
      </c>
      <c r="F1078" s="195" t="s">
        <v>1108</v>
      </c>
      <c r="G1078" s="195" t="s">
        <v>1108</v>
      </c>
      <c r="H1078" s="195" t="s">
        <v>1108</v>
      </c>
      <c r="I1078" s="195" t="s">
        <v>1108</v>
      </c>
      <c r="J1078" s="132">
        <v>0.9</v>
      </c>
      <c r="K1078" s="133">
        <v>0.96875</v>
      </c>
      <c r="L1078" s="133">
        <v>0.941176470588235</v>
      </c>
      <c r="M1078" s="134">
        <v>1</v>
      </c>
      <c r="N1078" s="133">
        <v>0.951762523191095</v>
      </c>
      <c r="O1078" s="135">
        <v>0.9</v>
      </c>
      <c r="P1078" s="133">
        <v>0.946148359486448</v>
      </c>
      <c r="Q1078" s="133">
        <v>0.967165149544863</v>
      </c>
      <c r="R1078" s="133">
        <v>0.97855611150822</v>
      </c>
      <c r="S1078" s="133">
        <v>0.962407960199005</v>
      </c>
      <c r="T1078" s="135">
        <v>0.9</v>
      </c>
      <c r="U1078" s="133">
        <v>0.966476462196862</v>
      </c>
      <c r="V1078" s="133">
        <v>0.952860858257477</v>
      </c>
      <c r="W1078" s="133">
        <v>0.96819156540386</v>
      </c>
      <c r="X1078" s="133">
        <v>0.963144278606965</v>
      </c>
      <c r="Y1078" s="135">
        <v>0.92</v>
      </c>
      <c r="Z1078" s="135">
        <v>0.948717948717949</v>
      </c>
      <c r="AA1078" s="135">
        <v>0.904320987654321</v>
      </c>
      <c r="AB1078" s="135">
        <v>0.955963302752294</v>
      </c>
      <c r="AC1078" s="135">
        <v>0.946482731630956</v>
      </c>
      <c r="AD1078" s="135">
        <v>0.92</v>
      </c>
      <c r="AE1078" s="133">
        <v>0.99783523752255</v>
      </c>
      <c r="AF1078" s="133">
        <v>0.990650233744156</v>
      </c>
      <c r="AG1078" s="133">
        <v>0.998208286674132</v>
      </c>
      <c r="AH1078" s="133">
        <v>0.994539061915567</v>
      </c>
      <c r="AI1078" s="135">
        <v>0.92</v>
      </c>
      <c r="AJ1078" s="133">
        <v>0.978763866877971</v>
      </c>
      <c r="AK1078" s="133">
        <v>0.956229860365199</v>
      </c>
      <c r="AL1078" s="133">
        <v>0.98055638647921</v>
      </c>
      <c r="AM1078" s="133">
        <v>0.980817251244398</v>
      </c>
      <c r="AN1078" s="132">
        <v>0.99</v>
      </c>
      <c r="AO1078" s="137">
        <v>1</v>
      </c>
      <c r="AP1078" s="137">
        <v>1</v>
      </c>
      <c r="AQ1078" s="137">
        <v>1</v>
      </c>
      <c r="AR1078" s="137">
        <v>1</v>
      </c>
      <c r="AS1078" s="158">
        <v>0.0721861525408278</v>
      </c>
      <c r="AT1078" s="141">
        <v>0.153846153846154</v>
      </c>
      <c r="AU1078" s="141">
        <v>0</v>
      </c>
      <c r="AV1078" s="141">
        <v>0.0909090909090909</v>
      </c>
      <c r="AW1078" s="141">
        <v>0.0634146341463415</v>
      </c>
      <c r="AX1078" s="95"/>
      <c r="AY1078" s="93"/>
    </row>
    <row r="1079" ht="14.5" spans="1:51">
      <c r="A1079" s="91"/>
      <c r="B1079" s="95"/>
      <c r="C1079" s="152" t="s">
        <v>1085</v>
      </c>
      <c r="D1079" s="153" t="s">
        <v>25</v>
      </c>
      <c r="E1079" s="130" t="s">
        <v>1086</v>
      </c>
      <c r="F1079" s="195" t="s">
        <v>1109</v>
      </c>
      <c r="G1079" s="195" t="s">
        <v>1109</v>
      </c>
      <c r="H1079" s="195" t="s">
        <v>1109</v>
      </c>
      <c r="I1079" s="195" t="s">
        <v>1109</v>
      </c>
      <c r="J1079" s="132">
        <v>0.9</v>
      </c>
      <c r="K1079" s="133">
        <v>0.925</v>
      </c>
      <c r="L1079" s="133">
        <v>0.945945945945946</v>
      </c>
      <c r="M1079" s="134">
        <v>0.925</v>
      </c>
      <c r="N1079" s="133">
        <v>0.939643347050754</v>
      </c>
      <c r="O1079" s="135">
        <v>0.9</v>
      </c>
      <c r="P1079" s="133">
        <v>0.967066789781471</v>
      </c>
      <c r="Q1079" s="133">
        <v>0.8319126265317</v>
      </c>
      <c r="R1079" s="133">
        <v>0.90426120641948</v>
      </c>
      <c r="S1079" s="133">
        <v>0.91251604046674</v>
      </c>
      <c r="T1079" s="135">
        <v>0.9</v>
      </c>
      <c r="U1079" s="133">
        <v>0.85595567867036</v>
      </c>
      <c r="V1079" s="133">
        <v>0.761587639850826</v>
      </c>
      <c r="W1079" s="133">
        <v>0.831765356945213</v>
      </c>
      <c r="X1079" s="133">
        <v>0.828061117908622</v>
      </c>
      <c r="Y1079" s="135">
        <v>0.92</v>
      </c>
      <c r="Z1079" s="135">
        <v>0.881742738589212</v>
      </c>
      <c r="AA1079" s="135">
        <v>0.877844311377246</v>
      </c>
      <c r="AB1079" s="135">
        <v>0.870236869207003</v>
      </c>
      <c r="AC1079" s="135">
        <v>0.903752248779234</v>
      </c>
      <c r="AD1079" s="135">
        <v>0.92</v>
      </c>
      <c r="AE1079" s="133">
        <v>0.977675640183848</v>
      </c>
      <c r="AF1079" s="133">
        <v>0.997843433254259</v>
      </c>
      <c r="AG1079" s="133">
        <v>0.998529231523471</v>
      </c>
      <c r="AH1079" s="133">
        <v>0.995091291310519</v>
      </c>
      <c r="AI1079" s="135">
        <v>0.92</v>
      </c>
      <c r="AJ1079" s="133">
        <v>0.938370846730975</v>
      </c>
      <c r="AK1079" s="133">
        <v>0.921333623883199</v>
      </c>
      <c r="AL1079" s="133">
        <v>0.930861504907306</v>
      </c>
      <c r="AM1079" s="133">
        <v>0.949822611306864</v>
      </c>
      <c r="AN1079" s="132">
        <v>0.99</v>
      </c>
      <c r="AO1079" s="137">
        <v>1</v>
      </c>
      <c r="AP1079" s="137">
        <v>1</v>
      </c>
      <c r="AQ1079" s="137">
        <v>1</v>
      </c>
      <c r="AR1079" s="137">
        <v>1</v>
      </c>
      <c r="AS1079" s="158">
        <v>0.0721861525408278</v>
      </c>
      <c r="AT1079" s="141">
        <v>0.0638297872340425</v>
      </c>
      <c r="AU1079" s="141">
        <v>0</v>
      </c>
      <c r="AV1079" s="141">
        <v>0</v>
      </c>
      <c r="AW1079" s="141">
        <v>0.018018018018018</v>
      </c>
      <c r="AX1079" s="95"/>
      <c r="AY1079" s="93"/>
    </row>
    <row r="1080" ht="14.5" spans="1:51">
      <c r="A1080" s="91"/>
      <c r="B1080" s="95"/>
      <c r="C1080" s="152" t="s">
        <v>1085</v>
      </c>
      <c r="D1080" s="153" t="s">
        <v>25</v>
      </c>
      <c r="E1080" s="130" t="s">
        <v>1086</v>
      </c>
      <c r="F1080" s="195" t="s">
        <v>1110</v>
      </c>
      <c r="G1080" s="195" t="s">
        <v>1110</v>
      </c>
      <c r="H1080" s="195" t="s">
        <v>1110</v>
      </c>
      <c r="I1080" s="195" t="s">
        <v>1110</v>
      </c>
      <c r="J1080" s="132">
        <v>0.9</v>
      </c>
      <c r="K1080" s="133" t="s">
        <v>35</v>
      </c>
      <c r="L1080" s="133" t="s">
        <v>35</v>
      </c>
      <c r="M1080" s="134" t="s">
        <v>35</v>
      </c>
      <c r="N1080" s="133" t="s">
        <v>35</v>
      </c>
      <c r="O1080" s="135">
        <v>0.9</v>
      </c>
      <c r="P1080" s="133">
        <v>0</v>
      </c>
      <c r="Q1080" s="133">
        <v>0</v>
      </c>
      <c r="R1080" s="133">
        <v>0</v>
      </c>
      <c r="S1080" s="133">
        <v>0</v>
      </c>
      <c r="T1080" s="135">
        <v>0.9</v>
      </c>
      <c r="U1080" s="133">
        <v>0</v>
      </c>
      <c r="V1080" s="133">
        <v>0</v>
      </c>
      <c r="W1080" s="133">
        <v>0</v>
      </c>
      <c r="X1080" s="133">
        <v>0.0555555555555556</v>
      </c>
      <c r="Y1080" s="135">
        <v>0.92</v>
      </c>
      <c r="Z1080" s="135">
        <v>0</v>
      </c>
      <c r="AA1080" s="135" t="s">
        <v>35</v>
      </c>
      <c r="AB1080" s="135">
        <v>0</v>
      </c>
      <c r="AC1080" s="135">
        <v>0</v>
      </c>
      <c r="AD1080" s="135">
        <v>0.92</v>
      </c>
      <c r="AE1080" s="133" t="s">
        <v>35</v>
      </c>
      <c r="AF1080" s="133" t="s">
        <v>35</v>
      </c>
      <c r="AG1080" s="133" t="s">
        <v>35</v>
      </c>
      <c r="AH1080" s="133">
        <v>0.666666666666667</v>
      </c>
      <c r="AI1080" s="135">
        <v>0.92</v>
      </c>
      <c r="AJ1080" s="133">
        <v>0.0662011173184358</v>
      </c>
      <c r="AK1080" s="133">
        <v>0.137942019751513</v>
      </c>
      <c r="AL1080" s="133">
        <v>0.126487163431434</v>
      </c>
      <c r="AM1080" s="133">
        <v>0.0402779413496644</v>
      </c>
      <c r="AN1080" s="132">
        <v>0.99</v>
      </c>
      <c r="AO1080" s="137" t="s">
        <v>35</v>
      </c>
      <c r="AP1080" s="137" t="s">
        <v>35</v>
      </c>
      <c r="AQ1080" s="137" t="s">
        <v>35</v>
      </c>
      <c r="AR1080" s="137" t="s">
        <v>35</v>
      </c>
      <c r="AS1080" s="158">
        <v>0.0721861525408278</v>
      </c>
      <c r="AT1080" s="141">
        <v>1.5</v>
      </c>
      <c r="AU1080" s="141">
        <v>0</v>
      </c>
      <c r="AV1080" s="141">
        <v>0</v>
      </c>
      <c r="AW1080" s="141">
        <v>0.0775193798449612</v>
      </c>
      <c r="AX1080" s="95"/>
      <c r="AY1080" s="93"/>
    </row>
    <row r="1081" ht="14.5" spans="1:51">
      <c r="A1081" s="91"/>
      <c r="B1081" s="95"/>
      <c r="C1081" s="152" t="s">
        <v>1085</v>
      </c>
      <c r="D1081" s="153" t="s">
        <v>25</v>
      </c>
      <c r="E1081" s="130" t="s">
        <v>1086</v>
      </c>
      <c r="F1081" s="195" t="s">
        <v>1111</v>
      </c>
      <c r="G1081" s="195" t="s">
        <v>1111</v>
      </c>
      <c r="H1081" s="195" t="s">
        <v>1111</v>
      </c>
      <c r="I1081" s="195" t="s">
        <v>1111</v>
      </c>
      <c r="J1081" s="132">
        <v>0.9</v>
      </c>
      <c r="K1081" s="133">
        <v>0.961538461538462</v>
      </c>
      <c r="L1081" s="133">
        <v>0.961538461538462</v>
      </c>
      <c r="M1081" s="134">
        <v>0.931034482758621</v>
      </c>
      <c r="N1081" s="133">
        <v>0.948024948024948</v>
      </c>
      <c r="O1081" s="135">
        <v>0.9</v>
      </c>
      <c r="P1081" s="133">
        <v>0.990266610241219</v>
      </c>
      <c r="Q1081" s="133">
        <v>0.985436893203884</v>
      </c>
      <c r="R1081" s="133">
        <v>0.999589827727646</v>
      </c>
      <c r="S1081" s="133">
        <v>0.985040474905559</v>
      </c>
      <c r="T1081" s="135">
        <v>0.9</v>
      </c>
      <c r="U1081" s="133">
        <v>0.924672027084215</v>
      </c>
      <c r="V1081" s="133">
        <v>0.943241224794623</v>
      </c>
      <c r="W1081" s="133">
        <v>0.964725184577523</v>
      </c>
      <c r="X1081" s="133">
        <v>0.946659471127901</v>
      </c>
      <c r="Y1081" s="135">
        <v>0.92</v>
      </c>
      <c r="Z1081" s="135">
        <v>0.918994413407821</v>
      </c>
      <c r="AA1081" s="135">
        <v>0.946254071661238</v>
      </c>
      <c r="AB1081" s="135">
        <v>0.844250363901019</v>
      </c>
      <c r="AC1081" s="135">
        <v>0.94488896880338</v>
      </c>
      <c r="AD1081" s="135">
        <v>0.92</v>
      </c>
      <c r="AE1081" s="133">
        <v>0.983553002140363</v>
      </c>
      <c r="AF1081" s="133">
        <v>0.957439948412059</v>
      </c>
      <c r="AG1081" s="133">
        <v>0.995300751879699</v>
      </c>
      <c r="AH1081" s="133">
        <v>0.984492815478731</v>
      </c>
      <c r="AI1081" s="135">
        <v>0.92</v>
      </c>
      <c r="AJ1081" s="133">
        <v>0.955898566703418</v>
      </c>
      <c r="AK1081" s="133">
        <v>0.967193195625759</v>
      </c>
      <c r="AL1081" s="133">
        <v>0.95328</v>
      </c>
      <c r="AM1081" s="133">
        <v>0.975282854656223</v>
      </c>
      <c r="AN1081" s="132">
        <v>0.99</v>
      </c>
      <c r="AO1081" s="137">
        <v>1</v>
      </c>
      <c r="AP1081" s="137">
        <v>1</v>
      </c>
      <c r="AQ1081" s="137">
        <v>1</v>
      </c>
      <c r="AR1081" s="137">
        <v>1</v>
      </c>
      <c r="AS1081" s="158">
        <v>0.0721861525408278</v>
      </c>
      <c r="AT1081" s="141">
        <v>0</v>
      </c>
      <c r="AU1081" s="141">
        <v>0</v>
      </c>
      <c r="AV1081" s="141">
        <v>0.0476190476190476</v>
      </c>
      <c r="AW1081" s="141">
        <v>0.026615969581749</v>
      </c>
      <c r="AX1081" s="95"/>
      <c r="AY1081" s="93"/>
    </row>
    <row r="1082" ht="14.5" spans="1:51">
      <c r="A1082" s="91"/>
      <c r="B1082" s="95"/>
      <c r="C1082" s="152" t="s">
        <v>1085</v>
      </c>
      <c r="D1082" s="153" t="s">
        <v>25</v>
      </c>
      <c r="E1082" s="130" t="s">
        <v>1086</v>
      </c>
      <c r="F1082" s="195" t="s">
        <v>1112</v>
      </c>
      <c r="G1082" s="195" t="s">
        <v>1112</v>
      </c>
      <c r="H1082" s="195" t="s">
        <v>1112</v>
      </c>
      <c r="I1082" s="195" t="s">
        <v>1112</v>
      </c>
      <c r="J1082" s="132">
        <v>0.9</v>
      </c>
      <c r="K1082" s="133">
        <v>0.956521739130435</v>
      </c>
      <c r="L1082" s="133">
        <v>1</v>
      </c>
      <c r="M1082" s="134">
        <v>1</v>
      </c>
      <c r="N1082" s="133">
        <v>0.961340206185567</v>
      </c>
      <c r="O1082" s="135">
        <v>0.9</v>
      </c>
      <c r="P1082" s="133">
        <v>0.974906567004805</v>
      </c>
      <c r="Q1082" s="133">
        <v>0.984278227727489</v>
      </c>
      <c r="R1082" s="133">
        <v>0.977673935617861</v>
      </c>
      <c r="S1082" s="133">
        <v>0.939501140762388</v>
      </c>
      <c r="T1082" s="135">
        <v>0.9</v>
      </c>
      <c r="U1082" s="133">
        <v>0.96155899626268</v>
      </c>
      <c r="V1082" s="133">
        <v>0.949499761791329</v>
      </c>
      <c r="W1082" s="133">
        <v>0.931464174454829</v>
      </c>
      <c r="X1082" s="133">
        <v>0.951165115742521</v>
      </c>
      <c r="Y1082" s="135">
        <v>0.92</v>
      </c>
      <c r="Z1082" s="135">
        <v>0.945762711864407</v>
      </c>
      <c r="AA1082" s="135">
        <v>0.969911504424779</v>
      </c>
      <c r="AB1082" s="135">
        <v>0.949458483754513</v>
      </c>
      <c r="AC1082" s="135">
        <v>0.969004893964111</v>
      </c>
      <c r="AD1082" s="135">
        <v>0.92</v>
      </c>
      <c r="AE1082" s="133">
        <v>0.996888612321095</v>
      </c>
      <c r="AF1082" s="133">
        <v>1</v>
      </c>
      <c r="AG1082" s="133">
        <v>0.990566037735849</v>
      </c>
      <c r="AH1082" s="133">
        <v>0.995483288166215</v>
      </c>
      <c r="AI1082" s="135">
        <v>0.92</v>
      </c>
      <c r="AJ1082" s="133">
        <v>0.973708487084871</v>
      </c>
      <c r="AK1082" s="133">
        <v>0.978236397748593</v>
      </c>
      <c r="AL1082" s="133">
        <v>0.971808296415626</v>
      </c>
      <c r="AM1082" s="133">
        <v>0.983032565857706</v>
      </c>
      <c r="AN1082" s="132">
        <v>0.99</v>
      </c>
      <c r="AO1082" s="137">
        <v>1</v>
      </c>
      <c r="AP1082" s="137">
        <v>1</v>
      </c>
      <c r="AQ1082" s="137">
        <v>1</v>
      </c>
      <c r="AR1082" s="137">
        <v>1</v>
      </c>
      <c r="AS1082" s="158">
        <v>0.0721861525408278</v>
      </c>
      <c r="AT1082" s="141">
        <v>0</v>
      </c>
      <c r="AU1082" s="141">
        <v>0</v>
      </c>
      <c r="AV1082" s="141">
        <v>0</v>
      </c>
      <c r="AW1082" s="141">
        <v>0.0343007915567282</v>
      </c>
      <c r="AX1082" s="95"/>
      <c r="AY1082" s="93"/>
    </row>
    <row r="1083" ht="14.5" spans="1:51">
      <c r="A1083" s="91"/>
      <c r="B1083" s="95"/>
      <c r="C1083" s="152" t="s">
        <v>1085</v>
      </c>
      <c r="D1083" s="153" t="s">
        <v>25</v>
      </c>
      <c r="E1083" s="130" t="s">
        <v>1086</v>
      </c>
      <c r="F1083" s="195" t="s">
        <v>1113</v>
      </c>
      <c r="G1083" s="195" t="s">
        <v>1113</v>
      </c>
      <c r="H1083" s="195" t="s">
        <v>1113</v>
      </c>
      <c r="I1083" s="195" t="s">
        <v>1113</v>
      </c>
      <c r="J1083" s="132">
        <v>0.9</v>
      </c>
      <c r="K1083" s="133">
        <v>1</v>
      </c>
      <c r="L1083" s="133">
        <v>1</v>
      </c>
      <c r="M1083" s="134">
        <v>0.986666666666667</v>
      </c>
      <c r="N1083" s="133">
        <v>0.978004713275727</v>
      </c>
      <c r="O1083" s="135">
        <v>0.9</v>
      </c>
      <c r="P1083" s="133">
        <v>0.98202416918429</v>
      </c>
      <c r="Q1083" s="133">
        <v>0.962864368428058</v>
      </c>
      <c r="R1083" s="133">
        <v>0.963938582899</v>
      </c>
      <c r="S1083" s="133">
        <v>0.952083048970987</v>
      </c>
      <c r="T1083" s="135">
        <v>0.9</v>
      </c>
      <c r="U1083" s="133">
        <v>0.924773413897281</v>
      </c>
      <c r="V1083" s="133">
        <v>0.919472913616398</v>
      </c>
      <c r="W1083" s="133">
        <v>0.932103113114523</v>
      </c>
      <c r="X1083" s="133">
        <v>0.914494138344177</v>
      </c>
      <c r="Y1083" s="135">
        <v>0.92</v>
      </c>
      <c r="Z1083" s="135">
        <v>0.884076433121019</v>
      </c>
      <c r="AA1083" s="135">
        <v>0.945574162679426</v>
      </c>
      <c r="AB1083" s="135">
        <v>0.9419795221843</v>
      </c>
      <c r="AC1083" s="135">
        <v>0.949364751071059</v>
      </c>
      <c r="AD1083" s="135">
        <v>0.92</v>
      </c>
      <c r="AE1083" s="133">
        <v>0.991689750692521</v>
      </c>
      <c r="AF1083" s="133">
        <v>0.9969960949234</v>
      </c>
      <c r="AG1083" s="133">
        <v>0.999122999342249</v>
      </c>
      <c r="AH1083" s="133">
        <v>0.996895663673697</v>
      </c>
      <c r="AI1083" s="135">
        <v>0.92</v>
      </c>
      <c r="AJ1083" s="133">
        <v>0.965163381042398</v>
      </c>
      <c r="AK1083" s="133">
        <v>0.97267283614589</v>
      </c>
      <c r="AL1083" s="133">
        <v>0.978397944885568</v>
      </c>
      <c r="AM1083" s="133">
        <v>0.977025666834424</v>
      </c>
      <c r="AN1083" s="132">
        <v>0.99</v>
      </c>
      <c r="AO1083" s="137">
        <v>1</v>
      </c>
      <c r="AP1083" s="137">
        <v>1</v>
      </c>
      <c r="AQ1083" s="137">
        <v>1</v>
      </c>
      <c r="AR1083" s="137">
        <v>1</v>
      </c>
      <c r="AS1083" s="158">
        <v>0.0721861525408278</v>
      </c>
      <c r="AT1083" s="141">
        <v>0.0294117647058824</v>
      </c>
      <c r="AU1083" s="141">
        <v>0.025</v>
      </c>
      <c r="AV1083" s="141">
        <v>0.0285714285714286</v>
      </c>
      <c r="AW1083" s="141">
        <v>0.0467128027681661</v>
      </c>
      <c r="AX1083" s="95"/>
      <c r="AY1083" s="93"/>
    </row>
    <row r="1084" ht="14.5" spans="1:51">
      <c r="A1084" s="91"/>
      <c r="B1084" s="95"/>
      <c r="C1084" s="152" t="s">
        <v>1085</v>
      </c>
      <c r="D1084" s="153" t="s">
        <v>25</v>
      </c>
      <c r="E1084" s="130" t="s">
        <v>1086</v>
      </c>
      <c r="F1084" s="195" t="s">
        <v>1114</v>
      </c>
      <c r="G1084" s="195" t="s">
        <v>1114</v>
      </c>
      <c r="H1084" s="195" t="s">
        <v>1114</v>
      </c>
      <c r="I1084" s="195" t="s">
        <v>1114</v>
      </c>
      <c r="J1084" s="132">
        <v>0.9</v>
      </c>
      <c r="K1084" s="133">
        <v>1</v>
      </c>
      <c r="L1084" s="133">
        <v>1</v>
      </c>
      <c r="M1084" s="134">
        <v>1</v>
      </c>
      <c r="N1084" s="133">
        <v>0.986945169712794</v>
      </c>
      <c r="O1084" s="135">
        <v>0.9</v>
      </c>
      <c r="P1084" s="133">
        <v>0.975508077123502</v>
      </c>
      <c r="Q1084" s="133">
        <v>0.971583786042624</v>
      </c>
      <c r="R1084" s="133">
        <v>0.978001833180568</v>
      </c>
      <c r="S1084" s="133">
        <v>0.966437450409944</v>
      </c>
      <c r="T1084" s="135">
        <v>0.9</v>
      </c>
      <c r="U1084" s="133">
        <v>0.958311620635748</v>
      </c>
      <c r="V1084" s="133">
        <v>0.945674885081488</v>
      </c>
      <c r="W1084" s="133">
        <v>0.966086159486709</v>
      </c>
      <c r="X1084" s="133">
        <v>0.944009521290664</v>
      </c>
      <c r="Y1084" s="135">
        <v>0.92</v>
      </c>
      <c r="Z1084" s="135">
        <v>0.933333333333333</v>
      </c>
      <c r="AA1084" s="135">
        <v>0.945674044265594</v>
      </c>
      <c r="AB1084" s="135">
        <v>0.952674897119342</v>
      </c>
      <c r="AC1084" s="135">
        <v>0.957975656630365</v>
      </c>
      <c r="AD1084" s="135">
        <v>0.92</v>
      </c>
      <c r="AE1084" s="133">
        <v>1</v>
      </c>
      <c r="AF1084" s="133">
        <v>0.996610169491525</v>
      </c>
      <c r="AG1084" s="133">
        <v>0.999115044247788</v>
      </c>
      <c r="AH1084" s="133">
        <v>0.996836953926951</v>
      </c>
      <c r="AI1084" s="135">
        <v>0.92</v>
      </c>
      <c r="AJ1084" s="133">
        <v>0.97608095676173</v>
      </c>
      <c r="AK1084" s="133">
        <v>0.97439446366782</v>
      </c>
      <c r="AL1084" s="133">
        <v>0.98575712143928</v>
      </c>
      <c r="AM1084" s="133">
        <v>0.982265383519302</v>
      </c>
      <c r="AN1084" s="132">
        <v>0.99</v>
      </c>
      <c r="AO1084" s="137">
        <v>1</v>
      </c>
      <c r="AP1084" s="137">
        <v>1</v>
      </c>
      <c r="AQ1084" s="137">
        <v>1</v>
      </c>
      <c r="AR1084" s="137">
        <v>1</v>
      </c>
      <c r="AS1084" s="158">
        <v>0.0721861525408278</v>
      </c>
      <c r="AT1084" s="141">
        <v>0</v>
      </c>
      <c r="AU1084" s="141">
        <v>0.0833333333333333</v>
      </c>
      <c r="AV1084" s="141">
        <v>0</v>
      </c>
      <c r="AW1084" s="141">
        <v>0.0594059405940594</v>
      </c>
      <c r="AX1084" s="95"/>
      <c r="AY1084" s="93"/>
    </row>
    <row r="1085" ht="14.5" spans="1:51">
      <c r="A1085" s="91"/>
      <c r="B1085" s="95"/>
      <c r="C1085" s="152" t="s">
        <v>1085</v>
      </c>
      <c r="D1085" s="153" t="s">
        <v>25</v>
      </c>
      <c r="E1085" s="130" t="s">
        <v>1086</v>
      </c>
      <c r="F1085" s="195" t="s">
        <v>1115</v>
      </c>
      <c r="G1085" s="195" t="s">
        <v>1115</v>
      </c>
      <c r="H1085" s="195" t="s">
        <v>1115</v>
      </c>
      <c r="I1085" s="195" t="s">
        <v>1115</v>
      </c>
      <c r="J1085" s="132">
        <v>0.9</v>
      </c>
      <c r="K1085" s="133">
        <v>0.909090909090909</v>
      </c>
      <c r="L1085" s="133">
        <v>0.954545454545455</v>
      </c>
      <c r="M1085" s="134">
        <v>0.96</v>
      </c>
      <c r="N1085" s="133">
        <v>0.946969696969697</v>
      </c>
      <c r="O1085" s="135">
        <v>0.9</v>
      </c>
      <c r="P1085" s="133">
        <v>0.972093023255814</v>
      </c>
      <c r="Q1085" s="133">
        <v>0.987415295256534</v>
      </c>
      <c r="R1085" s="133">
        <v>0.981303418803419</v>
      </c>
      <c r="S1085" s="133">
        <v>0.916654165791605</v>
      </c>
      <c r="T1085" s="135">
        <v>0.9</v>
      </c>
      <c r="U1085" s="133">
        <v>0.945348837209302</v>
      </c>
      <c r="V1085" s="133">
        <v>0.940948693126815</v>
      </c>
      <c r="W1085" s="133">
        <v>0.94551282051282</v>
      </c>
      <c r="X1085" s="133">
        <v>0.940265818607303</v>
      </c>
      <c r="Y1085" s="135">
        <v>0.92</v>
      </c>
      <c r="Z1085" s="135">
        <v>0.914691943127962</v>
      </c>
      <c r="AA1085" s="135">
        <v>0.949450549450549</v>
      </c>
      <c r="AB1085" s="135">
        <v>0.971279373368146</v>
      </c>
      <c r="AC1085" s="135">
        <v>0.962719298245614</v>
      </c>
      <c r="AD1085" s="135">
        <v>0.92</v>
      </c>
      <c r="AE1085" s="133">
        <v>0.953878406708595</v>
      </c>
      <c r="AF1085" s="133">
        <v>0.998996319839411</v>
      </c>
      <c r="AG1085" s="133">
        <v>0.996517701683111</v>
      </c>
      <c r="AH1085" s="133">
        <v>0.994860434204696</v>
      </c>
      <c r="AI1085" s="135">
        <v>0.92</v>
      </c>
      <c r="AJ1085" s="133">
        <v>0.971517348524081</v>
      </c>
      <c r="AK1085" s="133">
        <v>0.978976596588655</v>
      </c>
      <c r="AL1085" s="133">
        <v>0.982261640798226</v>
      </c>
      <c r="AM1085" s="133">
        <v>0.980557674796348</v>
      </c>
      <c r="AN1085" s="132">
        <v>0.99</v>
      </c>
      <c r="AO1085" s="137">
        <v>1</v>
      </c>
      <c r="AP1085" s="137">
        <v>1</v>
      </c>
      <c r="AQ1085" s="137">
        <v>1</v>
      </c>
      <c r="AR1085" s="137">
        <v>1</v>
      </c>
      <c r="AS1085" s="158">
        <v>0.0721861525408278</v>
      </c>
      <c r="AT1085" s="141">
        <v>0</v>
      </c>
      <c r="AU1085" s="141">
        <v>0.0909090909090909</v>
      </c>
      <c r="AV1085" s="141">
        <v>0.111111111111111</v>
      </c>
      <c r="AW1085" s="141">
        <v>0.0251572327044025</v>
      </c>
      <c r="AX1085" s="95"/>
      <c r="AY1085" s="93"/>
    </row>
    <row r="1086" ht="14.5" spans="1:51">
      <c r="A1086" s="91"/>
      <c r="B1086" s="95"/>
      <c r="C1086" s="152" t="s">
        <v>1085</v>
      </c>
      <c r="D1086" s="153" t="s">
        <v>25</v>
      </c>
      <c r="E1086" s="130" t="s">
        <v>1086</v>
      </c>
      <c r="F1086" s="195" t="s">
        <v>1116</v>
      </c>
      <c r="G1086" s="195" t="s">
        <v>1116</v>
      </c>
      <c r="H1086" s="195" t="s">
        <v>1116</v>
      </c>
      <c r="I1086" s="195" t="s">
        <v>1116</v>
      </c>
      <c r="J1086" s="132">
        <v>0.9</v>
      </c>
      <c r="K1086" s="133">
        <v>1</v>
      </c>
      <c r="L1086" s="133">
        <v>1</v>
      </c>
      <c r="M1086" s="134">
        <v>0.939393939393939</v>
      </c>
      <c r="N1086" s="133">
        <v>0.977547495682211</v>
      </c>
      <c r="O1086" s="135">
        <v>0.9</v>
      </c>
      <c r="P1086" s="133">
        <v>0.979449784554193</v>
      </c>
      <c r="Q1086" s="133">
        <v>0.98145285935085</v>
      </c>
      <c r="R1086" s="133">
        <v>0.973701298701299</v>
      </c>
      <c r="S1086" s="133">
        <v>0.979511170517472</v>
      </c>
      <c r="T1086" s="135">
        <v>0.9</v>
      </c>
      <c r="U1086" s="133">
        <v>0.939675174013921</v>
      </c>
      <c r="V1086" s="133">
        <v>0.940958268933539</v>
      </c>
      <c r="W1086" s="133">
        <v>0.948701298701299</v>
      </c>
      <c r="X1086" s="133">
        <v>0.946457895741837</v>
      </c>
      <c r="Y1086" s="135">
        <v>0.92</v>
      </c>
      <c r="Z1086" s="135">
        <v>0.897097625329815</v>
      </c>
      <c r="AA1086" s="135">
        <v>0.907407407407407</v>
      </c>
      <c r="AB1086" s="135">
        <v>0.954856361149111</v>
      </c>
      <c r="AC1086" s="135">
        <v>0.925640566206773</v>
      </c>
      <c r="AD1086" s="135">
        <v>0.92</v>
      </c>
      <c r="AE1086" s="133">
        <v>0.996644295302013</v>
      </c>
      <c r="AF1086" s="133">
        <v>0.998387584399879</v>
      </c>
      <c r="AG1086" s="133">
        <v>0.997960397722444</v>
      </c>
      <c r="AH1086" s="133">
        <v>0.996743590449701</v>
      </c>
      <c r="AI1086" s="135">
        <v>0.92</v>
      </c>
      <c r="AJ1086" s="133">
        <v>0.962308598351001</v>
      </c>
      <c r="AK1086" s="133">
        <v>0.961645923291847</v>
      </c>
      <c r="AL1086" s="133">
        <v>0.976908947782734</v>
      </c>
      <c r="AM1086" s="133">
        <v>0.973116333244141</v>
      </c>
      <c r="AN1086" s="132">
        <v>0.99</v>
      </c>
      <c r="AO1086" s="137">
        <v>1</v>
      </c>
      <c r="AP1086" s="137">
        <v>1</v>
      </c>
      <c r="AQ1086" s="137">
        <v>1</v>
      </c>
      <c r="AR1086" s="137">
        <v>1</v>
      </c>
      <c r="AS1086" s="158">
        <v>0.0721861525408278</v>
      </c>
      <c r="AT1086" s="141">
        <v>0</v>
      </c>
      <c r="AU1086" s="141">
        <v>0</v>
      </c>
      <c r="AV1086" s="141">
        <v>0</v>
      </c>
      <c r="AW1086" s="141">
        <v>0.0197368421052632</v>
      </c>
      <c r="AX1086" s="95"/>
      <c r="AY1086" s="93"/>
    </row>
    <row r="1087" ht="14.5" spans="1:51">
      <c r="A1087" s="91"/>
      <c r="B1087" s="95"/>
      <c r="C1087" s="152" t="s">
        <v>1085</v>
      </c>
      <c r="D1087" s="153" t="s">
        <v>25</v>
      </c>
      <c r="E1087" s="130" t="s">
        <v>1086</v>
      </c>
      <c r="F1087" s="195" t="s">
        <v>1117</v>
      </c>
      <c r="G1087" s="195" t="s">
        <v>1117</v>
      </c>
      <c r="H1087" s="195" t="s">
        <v>1117</v>
      </c>
      <c r="I1087" s="195" t="s">
        <v>1117</v>
      </c>
      <c r="J1087" s="132">
        <v>0.9</v>
      </c>
      <c r="K1087" s="133">
        <v>0.925925925925926</v>
      </c>
      <c r="L1087" s="133">
        <v>1</v>
      </c>
      <c r="M1087" s="134">
        <v>0.935483870967742</v>
      </c>
      <c r="N1087" s="133">
        <v>0.912280701754386</v>
      </c>
      <c r="O1087" s="135">
        <v>0.9</v>
      </c>
      <c r="P1087" s="133">
        <v>0.971025543271064</v>
      </c>
      <c r="Q1087" s="133">
        <v>0.842211055276382</v>
      </c>
      <c r="R1087" s="133">
        <v>0.975186104218362</v>
      </c>
      <c r="S1087" s="133">
        <v>0.869979255161513</v>
      </c>
      <c r="T1087" s="135">
        <v>0.9</v>
      </c>
      <c r="U1087" s="133">
        <v>0.92642012962257</v>
      </c>
      <c r="V1087" s="133">
        <v>0.893802345058626</v>
      </c>
      <c r="W1087" s="133">
        <v>0.956398440269408</v>
      </c>
      <c r="X1087" s="133">
        <v>0.911686259014126</v>
      </c>
      <c r="Y1087" s="135">
        <v>0.92</v>
      </c>
      <c r="Z1087" s="135">
        <v>0.831858407079646</v>
      </c>
      <c r="AA1087" s="135">
        <v>0.829953198127925</v>
      </c>
      <c r="AB1087" s="135">
        <v>0.88</v>
      </c>
      <c r="AC1087" s="135">
        <v>0.882507288629738</v>
      </c>
      <c r="AD1087" s="135">
        <v>0.92</v>
      </c>
      <c r="AE1087" s="133">
        <v>0.995073891625616</v>
      </c>
      <c r="AF1087" s="133">
        <v>0.805860805860806</v>
      </c>
      <c r="AG1087" s="133">
        <v>0.984195847536412</v>
      </c>
      <c r="AH1087" s="133">
        <v>0.984656848589855</v>
      </c>
      <c r="AI1087" s="135">
        <v>0.92</v>
      </c>
      <c r="AJ1087" s="133">
        <v>0.942943956785955</v>
      </c>
      <c r="AK1087" s="133">
        <v>0.944015444015444</v>
      </c>
      <c r="AL1087" s="133">
        <v>0.960530106597522</v>
      </c>
      <c r="AM1087" s="133">
        <v>0.959578380508308</v>
      </c>
      <c r="AN1087" s="132">
        <v>0.99</v>
      </c>
      <c r="AO1087" s="137">
        <v>1</v>
      </c>
      <c r="AP1087" s="137">
        <v>1</v>
      </c>
      <c r="AQ1087" s="137">
        <v>1</v>
      </c>
      <c r="AR1087" s="137">
        <v>1</v>
      </c>
      <c r="AS1087" s="158">
        <v>0.0721861525408278</v>
      </c>
      <c r="AT1087" s="141">
        <v>0</v>
      </c>
      <c r="AU1087" s="141">
        <v>0.2</v>
      </c>
      <c r="AV1087" s="141">
        <v>0</v>
      </c>
      <c r="AW1087" s="141">
        <v>0.0256410256410256</v>
      </c>
      <c r="AX1087" s="95"/>
      <c r="AY1087" s="93"/>
    </row>
    <row r="1088" ht="14.5" spans="1:51">
      <c r="A1088" s="91"/>
      <c r="B1088" s="95"/>
      <c r="C1088" s="152" t="s">
        <v>1085</v>
      </c>
      <c r="D1088" s="153" t="s">
        <v>25</v>
      </c>
      <c r="E1088" s="130" t="s">
        <v>1086</v>
      </c>
      <c r="F1088" s="195" t="s">
        <v>1118</v>
      </c>
      <c r="G1088" s="195" t="s">
        <v>1118</v>
      </c>
      <c r="H1088" s="195" t="s">
        <v>1118</v>
      </c>
      <c r="I1088" s="195" t="s">
        <v>1118</v>
      </c>
      <c r="J1088" s="132">
        <v>0.9</v>
      </c>
      <c r="K1088" s="133">
        <v>0.92156862745098</v>
      </c>
      <c r="L1088" s="133">
        <v>0.958333333333333</v>
      </c>
      <c r="M1088" s="134">
        <v>0.942307692307692</v>
      </c>
      <c r="N1088" s="133">
        <v>0.919953596287703</v>
      </c>
      <c r="O1088" s="135">
        <v>0.9</v>
      </c>
      <c r="P1088" s="133">
        <v>0.969526627218935</v>
      </c>
      <c r="Q1088" s="133">
        <v>0.97594246031746</v>
      </c>
      <c r="R1088" s="133">
        <v>0.977211467777506</v>
      </c>
      <c r="S1088" s="133">
        <v>0.93737007622195</v>
      </c>
      <c r="T1088" s="135">
        <v>0.9</v>
      </c>
      <c r="U1088" s="133">
        <v>0.929289940828402</v>
      </c>
      <c r="V1088" s="133">
        <v>0.929811507936508</v>
      </c>
      <c r="W1088" s="133">
        <v>0.956873315363881</v>
      </c>
      <c r="X1088" s="133">
        <v>0.930147646713928</v>
      </c>
      <c r="Y1088" s="135">
        <v>0.92</v>
      </c>
      <c r="Z1088" s="135">
        <v>0.904424778761062</v>
      </c>
      <c r="AA1088" s="135">
        <v>0.901750972762646</v>
      </c>
      <c r="AB1088" s="135">
        <v>0.931902985074627</v>
      </c>
      <c r="AC1088" s="135">
        <v>0.943979176097782</v>
      </c>
      <c r="AD1088" s="135">
        <v>0.92</v>
      </c>
      <c r="AE1088" s="133">
        <v>0.927916120576671</v>
      </c>
      <c r="AF1088" s="133">
        <v>0.94853683148335</v>
      </c>
      <c r="AG1088" s="133">
        <v>0.979056566842826</v>
      </c>
      <c r="AH1088" s="133">
        <v>0.938885924661189</v>
      </c>
      <c r="AI1088" s="135">
        <v>0.92</v>
      </c>
      <c r="AJ1088" s="133">
        <v>0.938196555217832</v>
      </c>
      <c r="AK1088" s="133">
        <v>0.949021932424422</v>
      </c>
      <c r="AL1088" s="133">
        <v>0.97128443927047</v>
      </c>
      <c r="AM1088" s="133">
        <v>0.968747978000647</v>
      </c>
      <c r="AN1088" s="132">
        <v>0.99</v>
      </c>
      <c r="AO1088" s="137">
        <v>1</v>
      </c>
      <c r="AP1088" s="137">
        <v>1</v>
      </c>
      <c r="AQ1088" s="137">
        <v>1</v>
      </c>
      <c r="AR1088" s="137">
        <v>1</v>
      </c>
      <c r="AS1088" s="158">
        <v>0.0721861525408278</v>
      </c>
      <c r="AT1088" s="141">
        <v>0.0227272727272727</v>
      </c>
      <c r="AU1088" s="141">
        <v>0.0408163265306122</v>
      </c>
      <c r="AV1088" s="141">
        <v>0.0416666666666667</v>
      </c>
      <c r="AW1088" s="141">
        <v>0.0251322751322751</v>
      </c>
      <c r="AX1088" s="95"/>
      <c r="AY1088" s="93"/>
    </row>
    <row r="1089" ht="14.5" spans="1:51">
      <c r="A1089" s="91"/>
      <c r="B1089" s="95"/>
      <c r="C1089" s="152" t="s">
        <v>1085</v>
      </c>
      <c r="D1089" s="153" t="s">
        <v>25</v>
      </c>
      <c r="E1089" s="130" t="s">
        <v>1086</v>
      </c>
      <c r="F1089" s="195" t="s">
        <v>1119</v>
      </c>
      <c r="G1089" s="195" t="s">
        <v>1119</v>
      </c>
      <c r="H1089" s="195" t="s">
        <v>1119</v>
      </c>
      <c r="I1089" s="195" t="s">
        <v>1119</v>
      </c>
      <c r="J1089" s="132">
        <v>0.9</v>
      </c>
      <c r="K1089" s="133">
        <v>0.82051282051282</v>
      </c>
      <c r="L1089" s="133">
        <v>0.853658536585366</v>
      </c>
      <c r="M1089" s="134">
        <v>0.95</v>
      </c>
      <c r="N1089" s="133">
        <v>0.928362573099415</v>
      </c>
      <c r="O1089" s="135">
        <v>0.9</v>
      </c>
      <c r="P1089" s="133">
        <v>0.981203007518797</v>
      </c>
      <c r="Q1089" s="133">
        <v>0.979465611083622</v>
      </c>
      <c r="R1089" s="133">
        <v>0.984551724137931</v>
      </c>
      <c r="S1089" s="133">
        <v>0.949776284621696</v>
      </c>
      <c r="T1089" s="135">
        <v>0.9</v>
      </c>
      <c r="U1089" s="133">
        <v>0.958068247541932</v>
      </c>
      <c r="V1089" s="133">
        <v>0.952251360712519</v>
      </c>
      <c r="W1089" s="133">
        <v>0.942068965517241</v>
      </c>
      <c r="X1089" s="133">
        <v>0.956774163583162</v>
      </c>
      <c r="Y1089" s="135">
        <v>0.92</v>
      </c>
      <c r="Z1089" s="135">
        <v>0.931472081218274</v>
      </c>
      <c r="AA1089" s="135">
        <v>0.964805825242718</v>
      </c>
      <c r="AB1089" s="135">
        <v>0.955555555555556</v>
      </c>
      <c r="AC1089" s="135">
        <v>0.960944527736132</v>
      </c>
      <c r="AD1089" s="135">
        <v>0.92</v>
      </c>
      <c r="AE1089" s="133">
        <v>1</v>
      </c>
      <c r="AF1089" s="133">
        <v>0.998975934459805</v>
      </c>
      <c r="AG1089" s="133">
        <v>0.999099099099099</v>
      </c>
      <c r="AH1089" s="133">
        <v>0.993000736764551</v>
      </c>
      <c r="AI1089" s="135">
        <v>0.92</v>
      </c>
      <c r="AJ1089" s="133">
        <v>0.970145379023884</v>
      </c>
      <c r="AK1089" s="133">
        <v>0.980682285244554</v>
      </c>
      <c r="AL1089" s="133">
        <v>0.973120728929385</v>
      </c>
      <c r="AM1089" s="133">
        <v>0.983613709563588</v>
      </c>
      <c r="AN1089" s="132">
        <v>0.99</v>
      </c>
      <c r="AO1089" s="137">
        <v>1</v>
      </c>
      <c r="AP1089" s="137">
        <v>1</v>
      </c>
      <c r="AQ1089" s="137">
        <v>1</v>
      </c>
      <c r="AR1089" s="137">
        <v>1</v>
      </c>
      <c r="AS1089" s="158">
        <v>0.0721861525408278</v>
      </c>
      <c r="AT1089" s="141">
        <v>0.04</v>
      </c>
      <c r="AU1089" s="141">
        <v>0</v>
      </c>
      <c r="AV1089" s="141">
        <v>0</v>
      </c>
      <c r="AW1089" s="141">
        <v>0.0163265306122449</v>
      </c>
      <c r="AX1089" s="95"/>
      <c r="AY1089" s="93"/>
    </row>
    <row r="1090" ht="14.5" spans="1:51">
      <c r="A1090" s="91"/>
      <c r="B1090" s="95"/>
      <c r="C1090" s="152" t="s">
        <v>1085</v>
      </c>
      <c r="D1090" s="153" t="s">
        <v>25</v>
      </c>
      <c r="E1090" s="130" t="s">
        <v>1086</v>
      </c>
      <c r="F1090" s="195" t="s">
        <v>1120</v>
      </c>
      <c r="G1090" s="195" t="s">
        <v>1120</v>
      </c>
      <c r="H1090" s="195" t="s">
        <v>1120</v>
      </c>
      <c r="I1090" s="195" t="s">
        <v>1120</v>
      </c>
      <c r="J1090" s="132">
        <v>0.9</v>
      </c>
      <c r="K1090" s="133">
        <v>0.857142857142857</v>
      </c>
      <c r="L1090" s="133">
        <v>0.857142857142857</v>
      </c>
      <c r="M1090" s="134">
        <v>1</v>
      </c>
      <c r="N1090" s="133">
        <v>0.935114503816794</v>
      </c>
      <c r="O1090" s="135">
        <v>0.9</v>
      </c>
      <c r="P1090" s="133">
        <v>0.954881656804734</v>
      </c>
      <c r="Q1090" s="133">
        <v>0.959758551307847</v>
      </c>
      <c r="R1090" s="133">
        <v>0.98301329394387</v>
      </c>
      <c r="S1090" s="133">
        <v>0.945124899274778</v>
      </c>
      <c r="T1090" s="135">
        <v>0.9</v>
      </c>
      <c r="U1090" s="133">
        <v>0.900147928994083</v>
      </c>
      <c r="V1090" s="133">
        <v>0.90878604963112</v>
      </c>
      <c r="W1090" s="133">
        <v>0.933530280649926</v>
      </c>
      <c r="X1090" s="133">
        <v>0.907050765511684</v>
      </c>
      <c r="Y1090" s="135">
        <v>0.92</v>
      </c>
      <c r="Z1090" s="135">
        <v>0.909638554216867</v>
      </c>
      <c r="AA1090" s="135">
        <v>0.89041095890411</v>
      </c>
      <c r="AB1090" s="135">
        <v>0.959183673469388</v>
      </c>
      <c r="AC1090" s="135">
        <v>0.922194609061365</v>
      </c>
      <c r="AD1090" s="135">
        <v>0.92</v>
      </c>
      <c r="AE1090" s="133">
        <v>1</v>
      </c>
      <c r="AF1090" s="133">
        <v>1</v>
      </c>
      <c r="AG1090" s="133">
        <v>0.995614035087719</v>
      </c>
      <c r="AH1090" s="133">
        <v>0.971294012110339</v>
      </c>
      <c r="AI1090" s="135">
        <v>0.92</v>
      </c>
      <c r="AJ1090" s="133">
        <v>0.947957839262187</v>
      </c>
      <c r="AK1090" s="133">
        <v>0.970274817722939</v>
      </c>
      <c r="AL1090" s="133">
        <v>0.978196817913966</v>
      </c>
      <c r="AM1090" s="133">
        <v>0.971315430434927</v>
      </c>
      <c r="AN1090" s="132">
        <v>0.99</v>
      </c>
      <c r="AO1090" s="137">
        <v>1</v>
      </c>
      <c r="AP1090" s="137">
        <v>1</v>
      </c>
      <c r="AQ1090" s="137">
        <v>1</v>
      </c>
      <c r="AR1090" s="137">
        <v>1</v>
      </c>
      <c r="AS1090" s="158">
        <v>0.0721861525408278</v>
      </c>
      <c r="AT1090" s="141">
        <v>0</v>
      </c>
      <c r="AU1090" s="141">
        <v>0.125</v>
      </c>
      <c r="AV1090" s="141">
        <v>0</v>
      </c>
      <c r="AW1090" s="141">
        <v>0.0540540540540541</v>
      </c>
      <c r="AX1090" s="95"/>
      <c r="AY1090" s="93"/>
    </row>
    <row r="1091" ht="14.5" spans="1:51">
      <c r="A1091" s="91"/>
      <c r="B1091" s="95"/>
      <c r="C1091" s="152" t="s">
        <v>1085</v>
      </c>
      <c r="D1091" s="153" t="s">
        <v>25</v>
      </c>
      <c r="E1091" s="130" t="s">
        <v>1086</v>
      </c>
      <c r="F1091" s="195" t="s">
        <v>1121</v>
      </c>
      <c r="G1091" s="195" t="s">
        <v>1121</v>
      </c>
      <c r="H1091" s="195" t="s">
        <v>1121</v>
      </c>
      <c r="I1091" s="195" t="s">
        <v>1121</v>
      </c>
      <c r="J1091" s="132">
        <v>0.9</v>
      </c>
      <c r="K1091" s="133">
        <v>1</v>
      </c>
      <c r="L1091" s="133">
        <v>1</v>
      </c>
      <c r="M1091" s="134">
        <v>0.962962962962963</v>
      </c>
      <c r="N1091" s="133">
        <v>0.940695296523517</v>
      </c>
      <c r="O1091" s="135">
        <v>0.9</v>
      </c>
      <c r="P1091" s="133">
        <v>0.974287050023375</v>
      </c>
      <c r="Q1091" s="133">
        <v>0.98272884283247</v>
      </c>
      <c r="R1091" s="133">
        <v>0.977420973406924</v>
      </c>
      <c r="S1091" s="133">
        <v>0.974525159780358</v>
      </c>
      <c r="T1091" s="135">
        <v>0.9</v>
      </c>
      <c r="U1091" s="133">
        <v>0.906965871902758</v>
      </c>
      <c r="V1091" s="133">
        <v>0.933793897524468</v>
      </c>
      <c r="W1091" s="133">
        <v>0.911690918213748</v>
      </c>
      <c r="X1091" s="133">
        <v>0.920664926336004</v>
      </c>
      <c r="Y1091" s="135">
        <v>0.92</v>
      </c>
      <c r="Z1091" s="135">
        <v>0.907922912205567</v>
      </c>
      <c r="AA1091" s="135">
        <v>0.925835370823146</v>
      </c>
      <c r="AB1091" s="135">
        <v>0.917300380228137</v>
      </c>
      <c r="AC1091" s="135">
        <v>0.92757793764988</v>
      </c>
      <c r="AD1091" s="135">
        <v>0.92</v>
      </c>
      <c r="AE1091" s="133">
        <v>1</v>
      </c>
      <c r="AF1091" s="133">
        <v>0.998388396454472</v>
      </c>
      <c r="AG1091" s="133">
        <v>1</v>
      </c>
      <c r="AH1091" s="133">
        <v>0.996476976001989</v>
      </c>
      <c r="AI1091" s="135">
        <v>0.92</v>
      </c>
      <c r="AJ1091" s="133">
        <v>0.940774487471526</v>
      </c>
      <c r="AK1091" s="133">
        <v>0.949392712550607</v>
      </c>
      <c r="AL1091" s="133">
        <v>0.953366174055829</v>
      </c>
      <c r="AM1091" s="133">
        <v>0.957271191646192</v>
      </c>
      <c r="AN1091" s="132">
        <v>0.99</v>
      </c>
      <c r="AO1091" s="137">
        <v>1</v>
      </c>
      <c r="AP1091" s="137">
        <v>1</v>
      </c>
      <c r="AQ1091" s="137">
        <v>1</v>
      </c>
      <c r="AR1091" s="137">
        <v>1</v>
      </c>
      <c r="AS1091" s="158">
        <v>0.0721861525408278</v>
      </c>
      <c r="AT1091" s="141">
        <v>0</v>
      </c>
      <c r="AU1091" s="141">
        <v>0</v>
      </c>
      <c r="AV1091" s="141">
        <v>0</v>
      </c>
      <c r="AW1091" s="141">
        <v>0.00384451089278086</v>
      </c>
      <c r="AX1091" s="95"/>
      <c r="AY1091" s="93"/>
    </row>
    <row r="1092" ht="14.5" spans="1:51">
      <c r="A1092" s="91"/>
      <c r="B1092" s="95"/>
      <c r="C1092" s="152" t="s">
        <v>1085</v>
      </c>
      <c r="D1092" s="153" t="s">
        <v>25</v>
      </c>
      <c r="E1092" s="130" t="s">
        <v>1086</v>
      </c>
      <c r="F1092" s="195" t="s">
        <v>1122</v>
      </c>
      <c r="G1092" s="195" t="s">
        <v>1122</v>
      </c>
      <c r="H1092" s="195" t="s">
        <v>1122</v>
      </c>
      <c r="I1092" s="195" t="s">
        <v>1122</v>
      </c>
      <c r="J1092" s="132">
        <v>0.9</v>
      </c>
      <c r="K1092" s="133">
        <v>1</v>
      </c>
      <c r="L1092" s="133">
        <v>1</v>
      </c>
      <c r="M1092" s="134">
        <v>0.941176470588235</v>
      </c>
      <c r="N1092" s="133">
        <v>0.987455197132617</v>
      </c>
      <c r="O1092" s="135">
        <v>0.9</v>
      </c>
      <c r="P1092" s="133">
        <v>0.982158028887001</v>
      </c>
      <c r="Q1092" s="133">
        <v>0.971853425385024</v>
      </c>
      <c r="R1092" s="133">
        <v>0.928129462160876</v>
      </c>
      <c r="S1092" s="133">
        <v>0.952021176859869</v>
      </c>
      <c r="T1092" s="135">
        <v>0.9</v>
      </c>
      <c r="U1092" s="133">
        <v>0.931180968564146</v>
      </c>
      <c r="V1092" s="133">
        <v>0.932023366967605</v>
      </c>
      <c r="W1092" s="133">
        <v>0.899571632555926</v>
      </c>
      <c r="X1092" s="133">
        <v>0.929906799757348</v>
      </c>
      <c r="Y1092" s="135">
        <v>0.92</v>
      </c>
      <c r="Z1092" s="135">
        <v>0.914085914085914</v>
      </c>
      <c r="AA1092" s="135">
        <v>0.889125799573561</v>
      </c>
      <c r="AB1092" s="135">
        <v>0.916385135135135</v>
      </c>
      <c r="AC1092" s="135">
        <v>0.948080508677153</v>
      </c>
      <c r="AD1092" s="135">
        <v>0.92</v>
      </c>
      <c r="AE1092" s="133">
        <v>0.99874213836478</v>
      </c>
      <c r="AF1092" s="133">
        <v>0.998260869565217</v>
      </c>
      <c r="AG1092" s="133">
        <v>1</v>
      </c>
      <c r="AH1092" s="133">
        <v>0.994463070202174</v>
      </c>
      <c r="AI1092" s="135">
        <v>0.92</v>
      </c>
      <c r="AJ1092" s="133">
        <v>0.962444113263785</v>
      </c>
      <c r="AK1092" s="133">
        <v>0.944984802431611</v>
      </c>
      <c r="AL1092" s="133">
        <v>0.940943683409437</v>
      </c>
      <c r="AM1092" s="133">
        <v>0.972213478823488</v>
      </c>
      <c r="AN1092" s="132">
        <v>0.99</v>
      </c>
      <c r="AO1092" s="137">
        <v>1</v>
      </c>
      <c r="AP1092" s="137">
        <v>1</v>
      </c>
      <c r="AQ1092" s="137">
        <v>1</v>
      </c>
      <c r="AR1092" s="137">
        <v>1</v>
      </c>
      <c r="AS1092" s="158">
        <v>0.0721861525408278</v>
      </c>
      <c r="AT1092" s="141">
        <v>0.125</v>
      </c>
      <c r="AU1092" s="141">
        <v>0</v>
      </c>
      <c r="AV1092" s="141">
        <v>0.125</v>
      </c>
      <c r="AW1092" s="141">
        <v>0.0347222222222222</v>
      </c>
      <c r="AX1092" s="95"/>
      <c r="AY1092" s="93"/>
    </row>
    <row r="1093" ht="14.5" spans="1:51">
      <c r="A1093" s="91"/>
      <c r="B1093" s="95"/>
      <c r="C1093" s="152" t="s">
        <v>1085</v>
      </c>
      <c r="D1093" s="153" t="s">
        <v>25</v>
      </c>
      <c r="E1093" s="130" t="s">
        <v>1086</v>
      </c>
      <c r="F1093" s="195" t="s">
        <v>1123</v>
      </c>
      <c r="G1093" s="195" t="s">
        <v>1123</v>
      </c>
      <c r="H1093" s="195" t="s">
        <v>1123</v>
      </c>
      <c r="I1093" s="195" t="s">
        <v>1123</v>
      </c>
      <c r="J1093" s="132">
        <v>0.9</v>
      </c>
      <c r="K1093" s="133">
        <v>0.971428571428571</v>
      </c>
      <c r="L1093" s="133">
        <v>0.972222222222222</v>
      </c>
      <c r="M1093" s="134">
        <v>0.861111111111111</v>
      </c>
      <c r="N1093" s="133">
        <v>0.907014681892333</v>
      </c>
      <c r="O1093" s="135">
        <v>0.9</v>
      </c>
      <c r="P1093" s="133">
        <v>0.92087254063302</v>
      </c>
      <c r="Q1093" s="133">
        <v>0.918254764292879</v>
      </c>
      <c r="R1093" s="133">
        <v>0.948778195488722</v>
      </c>
      <c r="S1093" s="133">
        <v>0.950047953964194</v>
      </c>
      <c r="T1093" s="135">
        <v>0.9</v>
      </c>
      <c r="U1093" s="133">
        <v>0.83917878528657</v>
      </c>
      <c r="V1093" s="133">
        <v>0.904212637913741</v>
      </c>
      <c r="W1093" s="133">
        <v>0.921052631578947</v>
      </c>
      <c r="X1093" s="133">
        <v>0.900575447570332</v>
      </c>
      <c r="Y1093" s="135">
        <v>0.92</v>
      </c>
      <c r="Z1093" s="135">
        <v>0.915121951219512</v>
      </c>
      <c r="AA1093" s="135">
        <v>0.858838226108682</v>
      </c>
      <c r="AB1093" s="135">
        <v>0.95</v>
      </c>
      <c r="AC1093" s="135">
        <v>0.941007783695207</v>
      </c>
      <c r="AD1093" s="135">
        <v>0.92</v>
      </c>
      <c r="AE1093" s="133">
        <v>0.998764415156507</v>
      </c>
      <c r="AF1093" s="133">
        <v>0.979591836734694</v>
      </c>
      <c r="AG1093" s="133">
        <v>0.99423907825252</v>
      </c>
      <c r="AH1093" s="133">
        <v>0.993367056380021</v>
      </c>
      <c r="AI1093" s="135">
        <v>0.92</v>
      </c>
      <c r="AJ1093" s="133">
        <v>0.928359096313912</v>
      </c>
      <c r="AK1093" s="133">
        <v>0.916295884315907</v>
      </c>
      <c r="AL1093" s="133">
        <v>0.961995249406176</v>
      </c>
      <c r="AM1093" s="133">
        <v>0.961418897346709</v>
      </c>
      <c r="AN1093" s="132">
        <v>0.99</v>
      </c>
      <c r="AO1093" s="137">
        <v>1</v>
      </c>
      <c r="AP1093" s="137">
        <v>1</v>
      </c>
      <c r="AQ1093" s="137">
        <v>1</v>
      </c>
      <c r="AR1093" s="137">
        <v>1</v>
      </c>
      <c r="AS1093" s="158">
        <v>0.0721861525408278</v>
      </c>
      <c r="AT1093" s="141">
        <v>0.1</v>
      </c>
      <c r="AU1093" s="141">
        <v>0.0625</v>
      </c>
      <c r="AV1093" s="141">
        <v>0.111111111111111</v>
      </c>
      <c r="AW1093" s="141">
        <v>0.0348258706467662</v>
      </c>
      <c r="AX1093" s="95"/>
      <c r="AY1093" s="93"/>
    </row>
    <row r="1094" ht="14.5" spans="1:51">
      <c r="A1094" s="91"/>
      <c r="B1094" s="95"/>
      <c r="C1094" s="152" t="s">
        <v>1085</v>
      </c>
      <c r="D1094" s="153" t="s">
        <v>25</v>
      </c>
      <c r="E1094" s="130" t="s">
        <v>1086</v>
      </c>
      <c r="F1094" s="195" t="s">
        <v>1124</v>
      </c>
      <c r="G1094" s="195" t="s">
        <v>1124</v>
      </c>
      <c r="H1094" s="195" t="s">
        <v>1124</v>
      </c>
      <c r="I1094" s="195" t="s">
        <v>1124</v>
      </c>
      <c r="J1094" s="132">
        <v>0.9</v>
      </c>
      <c r="K1094" s="133">
        <v>0.958333333333333</v>
      </c>
      <c r="L1094" s="133">
        <v>0.916666666666667</v>
      </c>
      <c r="M1094" s="134">
        <v>0.96</v>
      </c>
      <c r="N1094" s="133">
        <v>0.949152542372881</v>
      </c>
      <c r="O1094" s="135">
        <v>0.9</v>
      </c>
      <c r="P1094" s="133">
        <v>0.945517582961862</v>
      </c>
      <c r="Q1094" s="133">
        <v>0.953153153153153</v>
      </c>
      <c r="R1094" s="133">
        <v>0.89926428975665</v>
      </c>
      <c r="S1094" s="133">
        <v>0.921958613009991</v>
      </c>
      <c r="T1094" s="135">
        <v>0.9</v>
      </c>
      <c r="U1094" s="133">
        <v>0.95938583457157</v>
      </c>
      <c r="V1094" s="133">
        <v>0.962762762762763</v>
      </c>
      <c r="W1094" s="133">
        <v>0.963214487832484</v>
      </c>
      <c r="X1094" s="133">
        <v>0.947291905100684</v>
      </c>
      <c r="Y1094" s="135">
        <v>0.92</v>
      </c>
      <c r="Z1094" s="135">
        <v>0.952808988764045</v>
      </c>
      <c r="AA1094" s="135">
        <v>0.98244213886672</v>
      </c>
      <c r="AB1094" s="135">
        <v>0.977777777777778</v>
      </c>
      <c r="AC1094" s="135">
        <v>0.971565566458519</v>
      </c>
      <c r="AD1094" s="135">
        <v>0.92</v>
      </c>
      <c r="AE1094" s="133">
        <v>0.999334221038615</v>
      </c>
      <c r="AF1094" s="133">
        <v>0.997993981945838</v>
      </c>
      <c r="AG1094" s="133">
        <v>0.996074582924436</v>
      </c>
      <c r="AH1094" s="133">
        <v>0.994471991423211</v>
      </c>
      <c r="AI1094" s="135">
        <v>0.92</v>
      </c>
      <c r="AJ1094" s="133">
        <v>0.979030594706085</v>
      </c>
      <c r="AK1094" s="133">
        <v>0.989376285126799</v>
      </c>
      <c r="AL1094" s="133">
        <v>0.988030467899891</v>
      </c>
      <c r="AM1094" s="133">
        <v>0.983945410416584</v>
      </c>
      <c r="AN1094" s="132">
        <v>0.99</v>
      </c>
      <c r="AO1094" s="137">
        <v>1</v>
      </c>
      <c r="AP1094" s="137">
        <v>1</v>
      </c>
      <c r="AQ1094" s="137">
        <v>1</v>
      </c>
      <c r="AR1094" s="137">
        <v>1</v>
      </c>
      <c r="AS1094" s="158">
        <v>0.0721861525408278</v>
      </c>
      <c r="AT1094" s="141">
        <v>0.3</v>
      </c>
      <c r="AU1094" s="141">
        <v>0</v>
      </c>
      <c r="AV1094" s="141">
        <v>0.0909090909090909</v>
      </c>
      <c r="AW1094" s="141">
        <v>0.103174603174603</v>
      </c>
      <c r="AX1094" s="95"/>
      <c r="AY1094" s="93"/>
    </row>
    <row r="1095" ht="14.5" spans="1:51">
      <c r="A1095" s="91"/>
      <c r="B1095" s="95"/>
      <c r="C1095" s="152" t="s">
        <v>1085</v>
      </c>
      <c r="D1095" s="153" t="s">
        <v>25</v>
      </c>
      <c r="E1095" s="130" t="s">
        <v>1086</v>
      </c>
      <c r="F1095" s="195" t="s">
        <v>1125</v>
      </c>
      <c r="G1095" s="195" t="s">
        <v>1125</v>
      </c>
      <c r="H1095" s="195" t="s">
        <v>1125</v>
      </c>
      <c r="I1095" s="195" t="s">
        <v>1125</v>
      </c>
      <c r="J1095" s="132">
        <v>0.9</v>
      </c>
      <c r="K1095" s="133">
        <v>1</v>
      </c>
      <c r="L1095" s="133">
        <v>1</v>
      </c>
      <c r="M1095" s="134">
        <v>0.956521739130435</v>
      </c>
      <c r="N1095" s="133">
        <v>0.994910941475827</v>
      </c>
      <c r="O1095" s="135">
        <v>0.9</v>
      </c>
      <c r="P1095" s="133">
        <v>0.981772151898734</v>
      </c>
      <c r="Q1095" s="133">
        <v>0.969804618117229</v>
      </c>
      <c r="R1095" s="133">
        <v>0.983951300498063</v>
      </c>
      <c r="S1095" s="133">
        <v>0.979381758201478</v>
      </c>
      <c r="T1095" s="135">
        <v>0.9</v>
      </c>
      <c r="U1095" s="133">
        <v>0.964050632911392</v>
      </c>
      <c r="V1095" s="133">
        <v>0.957371225577265</v>
      </c>
      <c r="W1095" s="133">
        <v>0.923630326508024</v>
      </c>
      <c r="X1095" s="133">
        <v>0.962123526177531</v>
      </c>
      <c r="Y1095" s="135">
        <v>0.92</v>
      </c>
      <c r="Z1095" s="135">
        <v>0.947136563876652</v>
      </c>
      <c r="AA1095" s="135">
        <v>0.951599671862182</v>
      </c>
      <c r="AB1095" s="135">
        <v>0.960339943342776</v>
      </c>
      <c r="AC1095" s="135">
        <v>0.962198941570364</v>
      </c>
      <c r="AD1095" s="135">
        <v>0.92</v>
      </c>
      <c r="AE1095" s="133">
        <v>1</v>
      </c>
      <c r="AF1095" s="133">
        <v>1</v>
      </c>
      <c r="AG1095" s="133">
        <v>0.998945147679325</v>
      </c>
      <c r="AH1095" s="133">
        <v>0.992359121298949</v>
      </c>
      <c r="AI1095" s="135">
        <v>0.92</v>
      </c>
      <c r="AJ1095" s="133">
        <v>0.966019417475728</v>
      </c>
      <c r="AK1095" s="133">
        <v>0.967331499312242</v>
      </c>
      <c r="AL1095" s="133">
        <v>0.978018143754361</v>
      </c>
      <c r="AM1095" s="133">
        <v>0.978542446941323</v>
      </c>
      <c r="AN1095" s="132">
        <v>0.99</v>
      </c>
      <c r="AO1095" s="137">
        <v>1</v>
      </c>
      <c r="AP1095" s="137">
        <v>1</v>
      </c>
      <c r="AQ1095" s="137">
        <v>1</v>
      </c>
      <c r="AR1095" s="137">
        <v>1</v>
      </c>
      <c r="AS1095" s="158">
        <v>0.0721861525408278</v>
      </c>
      <c r="AT1095" s="141">
        <v>0</v>
      </c>
      <c r="AU1095" s="141">
        <v>0</v>
      </c>
      <c r="AV1095" s="141">
        <v>0.111111111111111</v>
      </c>
      <c r="AW1095" s="141">
        <v>0.038961038961039</v>
      </c>
      <c r="AX1095" s="95"/>
      <c r="AY1095" s="93"/>
    </row>
    <row r="1096" ht="14.5" spans="1:51">
      <c r="A1096" s="91"/>
      <c r="B1096" s="95"/>
      <c r="C1096" s="152" t="s">
        <v>1085</v>
      </c>
      <c r="D1096" s="153" t="s">
        <v>25</v>
      </c>
      <c r="E1096" s="130" t="s">
        <v>1086</v>
      </c>
      <c r="F1096" s="195" t="s">
        <v>1126</v>
      </c>
      <c r="G1096" s="195" t="s">
        <v>1126</v>
      </c>
      <c r="H1096" s="195" t="s">
        <v>1126</v>
      </c>
      <c r="I1096" s="195" t="s">
        <v>1126</v>
      </c>
      <c r="J1096" s="132">
        <v>0.9</v>
      </c>
      <c r="K1096" s="133">
        <v>1</v>
      </c>
      <c r="L1096" s="133">
        <v>1</v>
      </c>
      <c r="M1096" s="134">
        <v>1</v>
      </c>
      <c r="N1096" s="133">
        <v>0.992636229749632</v>
      </c>
      <c r="O1096" s="135">
        <v>0.9</v>
      </c>
      <c r="P1096" s="133">
        <v>0.93897122929381</v>
      </c>
      <c r="Q1096" s="133">
        <v>0.927083333333333</v>
      </c>
      <c r="R1096" s="133">
        <v>0.946406443618339</v>
      </c>
      <c r="S1096" s="133">
        <v>0.944839607028417</v>
      </c>
      <c r="T1096" s="135">
        <v>0.9</v>
      </c>
      <c r="U1096" s="133">
        <v>0.955536181342633</v>
      </c>
      <c r="V1096" s="133">
        <v>0.952380952380952</v>
      </c>
      <c r="W1096" s="133">
        <v>0.967781908302354</v>
      </c>
      <c r="X1096" s="133">
        <v>0.957005528363675</v>
      </c>
      <c r="Y1096" s="135">
        <v>0.92</v>
      </c>
      <c r="Z1096" s="135">
        <v>0.918471337579618</v>
      </c>
      <c r="AA1096" s="135">
        <v>0.944695827048768</v>
      </c>
      <c r="AB1096" s="135">
        <v>0.9613196814562</v>
      </c>
      <c r="AC1096" s="135">
        <v>0.953366613904785</v>
      </c>
      <c r="AD1096" s="135">
        <v>0.92</v>
      </c>
      <c r="AE1096" s="133">
        <v>0.999709934735315</v>
      </c>
      <c r="AF1096" s="133">
        <v>0.99388379204893</v>
      </c>
      <c r="AG1096" s="133">
        <v>0.522667971298108</v>
      </c>
      <c r="AH1096" s="133">
        <v>0.923631385024262</v>
      </c>
      <c r="AI1096" s="135">
        <v>0.92</v>
      </c>
      <c r="AJ1096" s="133">
        <v>0.951506685292357</v>
      </c>
      <c r="AK1096" s="133">
        <v>0.959161855890528</v>
      </c>
      <c r="AL1096" s="133">
        <v>0.975330926594465</v>
      </c>
      <c r="AM1096" s="133">
        <v>0.971456616064158</v>
      </c>
      <c r="AN1096" s="132">
        <v>0.99</v>
      </c>
      <c r="AO1096" s="137">
        <v>1</v>
      </c>
      <c r="AP1096" s="137">
        <v>1</v>
      </c>
      <c r="AQ1096" s="137">
        <v>1</v>
      </c>
      <c r="AR1096" s="137">
        <v>1</v>
      </c>
      <c r="AS1096" s="158">
        <v>0.0721861525408278</v>
      </c>
      <c r="AT1096" s="141">
        <v>0.037037037037037</v>
      </c>
      <c r="AU1096" s="141">
        <v>0.25</v>
      </c>
      <c r="AV1096" s="141">
        <v>0.111111111111111</v>
      </c>
      <c r="AW1096" s="141">
        <v>0.0759493670886076</v>
      </c>
      <c r="AX1096" s="95"/>
      <c r="AY1096" s="93"/>
    </row>
    <row r="1097" ht="14.5" spans="1:51">
      <c r="A1097" s="91"/>
      <c r="B1097" s="95"/>
      <c r="C1097" s="152" t="s">
        <v>1085</v>
      </c>
      <c r="D1097" s="153" t="s">
        <v>25</v>
      </c>
      <c r="E1097" s="130" t="s">
        <v>1086</v>
      </c>
      <c r="F1097" s="195" t="s">
        <v>1127</v>
      </c>
      <c r="G1097" s="195" t="s">
        <v>1127</v>
      </c>
      <c r="H1097" s="195" t="s">
        <v>1127</v>
      </c>
      <c r="I1097" s="195" t="s">
        <v>1127</v>
      </c>
      <c r="J1097" s="132">
        <v>0.9</v>
      </c>
      <c r="K1097" s="133">
        <v>0.972222222222222</v>
      </c>
      <c r="L1097" s="133">
        <v>0.975</v>
      </c>
      <c r="M1097" s="134">
        <v>0.975609756097561</v>
      </c>
      <c r="N1097" s="133">
        <v>0.929339477726575</v>
      </c>
      <c r="O1097" s="135">
        <v>0.9</v>
      </c>
      <c r="P1097" s="133">
        <v>0.964838709677419</v>
      </c>
      <c r="Q1097" s="133">
        <v>0.978881501759875</v>
      </c>
      <c r="R1097" s="133">
        <v>0.967144355120587</v>
      </c>
      <c r="S1097" s="133">
        <v>0.944468072179355</v>
      </c>
      <c r="T1097" s="135">
        <v>0.9</v>
      </c>
      <c r="U1097" s="133">
        <v>0.929354838709677</v>
      </c>
      <c r="V1097" s="133">
        <v>0.946421587798201</v>
      </c>
      <c r="W1097" s="133">
        <v>0.948619363858791</v>
      </c>
      <c r="X1097" s="133">
        <v>0.929542094497438</v>
      </c>
      <c r="Y1097" s="135">
        <v>0.92</v>
      </c>
      <c r="Z1097" s="135">
        <v>0.908163265306122</v>
      </c>
      <c r="AA1097" s="135">
        <v>0.959894459102902</v>
      </c>
      <c r="AB1097" s="135">
        <v>0.940666666666667</v>
      </c>
      <c r="AC1097" s="135">
        <v>0.954033803798571</v>
      </c>
      <c r="AD1097" s="135">
        <v>0.92</v>
      </c>
      <c r="AE1097" s="133">
        <v>0.995901639344262</v>
      </c>
      <c r="AF1097" s="133">
        <v>0.992970123022847</v>
      </c>
      <c r="AG1097" s="133">
        <v>0.995771670190275</v>
      </c>
      <c r="AH1097" s="133">
        <v>0.986227714366569</v>
      </c>
      <c r="AI1097" s="135">
        <v>0.92</v>
      </c>
      <c r="AJ1097" s="133">
        <v>0.947921225382932</v>
      </c>
      <c r="AK1097" s="133">
        <v>0.969901168014376</v>
      </c>
      <c r="AL1097" s="133">
        <v>0.96514560880532</v>
      </c>
      <c r="AM1097" s="133">
        <v>0.971732670731082</v>
      </c>
      <c r="AN1097" s="132">
        <v>0.99</v>
      </c>
      <c r="AO1097" s="137">
        <v>1</v>
      </c>
      <c r="AP1097" s="137">
        <v>1</v>
      </c>
      <c r="AQ1097" s="137">
        <v>1</v>
      </c>
      <c r="AR1097" s="137">
        <v>1</v>
      </c>
      <c r="AS1097" s="158">
        <v>0.0721861525408278</v>
      </c>
      <c r="AT1097" s="141">
        <v>0</v>
      </c>
      <c r="AU1097" s="141">
        <v>0</v>
      </c>
      <c r="AV1097" s="141">
        <v>0</v>
      </c>
      <c r="AW1097" s="141">
        <v>0.0343642611683849</v>
      </c>
      <c r="AX1097" s="95"/>
      <c r="AY1097" s="93"/>
    </row>
    <row r="1098" ht="14.5" spans="1:51">
      <c r="A1098" s="91"/>
      <c r="B1098" s="95"/>
      <c r="C1098" s="152" t="s">
        <v>1085</v>
      </c>
      <c r="D1098" s="153" t="s">
        <v>25</v>
      </c>
      <c r="E1098" s="130" t="s">
        <v>1086</v>
      </c>
      <c r="F1098" s="195" t="s">
        <v>1128</v>
      </c>
      <c r="G1098" s="195" t="s">
        <v>1128</v>
      </c>
      <c r="H1098" s="195" t="s">
        <v>1128</v>
      </c>
      <c r="I1098" s="195" t="s">
        <v>1128</v>
      </c>
      <c r="J1098" s="132">
        <v>0.9</v>
      </c>
      <c r="K1098" s="133">
        <v>1</v>
      </c>
      <c r="L1098" s="133">
        <v>1</v>
      </c>
      <c r="M1098" s="134">
        <v>1</v>
      </c>
      <c r="N1098" s="133">
        <v>1</v>
      </c>
      <c r="O1098" s="135">
        <v>0.9</v>
      </c>
      <c r="P1098" s="133">
        <v>0.971887550200803</v>
      </c>
      <c r="Q1098" s="133">
        <v>0.992088607594937</v>
      </c>
      <c r="R1098" s="133">
        <v>0.991923641703377</v>
      </c>
      <c r="S1098" s="133">
        <v>0.985803016858917</v>
      </c>
      <c r="T1098" s="135">
        <v>0.9</v>
      </c>
      <c r="U1098" s="133">
        <v>0.952476572958501</v>
      </c>
      <c r="V1098" s="133">
        <v>0.924841772151899</v>
      </c>
      <c r="W1098" s="133">
        <v>0.95007342143906</v>
      </c>
      <c r="X1098" s="133">
        <v>0.939824151004275</v>
      </c>
      <c r="Y1098" s="135">
        <v>0.92</v>
      </c>
      <c r="Z1098" s="135">
        <v>0.957839262187088</v>
      </c>
      <c r="AA1098" s="135">
        <v>0.966292134831461</v>
      </c>
      <c r="AB1098" s="135">
        <v>0.966032608695652</v>
      </c>
      <c r="AC1098" s="135">
        <v>0.971701475515005</v>
      </c>
      <c r="AD1098" s="135">
        <v>0.92</v>
      </c>
      <c r="AE1098" s="133">
        <v>0.999478895257947</v>
      </c>
      <c r="AF1098" s="133">
        <v>1</v>
      </c>
      <c r="AG1098" s="133">
        <v>0.996389891696751</v>
      </c>
      <c r="AH1098" s="133">
        <v>0.997469717362046</v>
      </c>
      <c r="AI1098" s="135">
        <v>0.92</v>
      </c>
      <c r="AJ1098" s="133">
        <v>0.974700399467377</v>
      </c>
      <c r="AK1098" s="133">
        <v>0.979108635097493</v>
      </c>
      <c r="AL1098" s="133">
        <v>0.98045757864633</v>
      </c>
      <c r="AM1098" s="133">
        <v>0.982795477373992</v>
      </c>
      <c r="AN1098" s="132">
        <v>0.99</v>
      </c>
      <c r="AO1098" s="137">
        <v>1</v>
      </c>
      <c r="AP1098" s="137">
        <v>1</v>
      </c>
      <c r="AQ1098" s="137">
        <v>1</v>
      </c>
      <c r="AR1098" s="137">
        <v>1</v>
      </c>
      <c r="AS1098" s="158">
        <v>0.0721861525408278</v>
      </c>
      <c r="AT1098" s="141">
        <v>0</v>
      </c>
      <c r="AU1098" s="141">
        <v>0</v>
      </c>
      <c r="AV1098" s="141">
        <v>0</v>
      </c>
      <c r="AW1098" s="141">
        <v>0.0173913043478261</v>
      </c>
      <c r="AX1098" s="95"/>
      <c r="AY1098" s="93"/>
    </row>
    <row r="1099" ht="14.5" spans="1:51">
      <c r="A1099" s="91"/>
      <c r="B1099" s="95"/>
      <c r="C1099" s="152" t="s">
        <v>1085</v>
      </c>
      <c r="D1099" s="153" t="s">
        <v>25</v>
      </c>
      <c r="E1099" s="130" t="s">
        <v>1086</v>
      </c>
      <c r="F1099" s="195" t="s">
        <v>1129</v>
      </c>
      <c r="G1099" s="195" t="s">
        <v>1129</v>
      </c>
      <c r="H1099" s="195" t="s">
        <v>1129</v>
      </c>
      <c r="I1099" s="195" t="s">
        <v>1129</v>
      </c>
      <c r="J1099" s="132">
        <v>0.9</v>
      </c>
      <c r="K1099" s="133">
        <v>0.914285714285714</v>
      </c>
      <c r="L1099" s="133">
        <v>0.941176470588235</v>
      </c>
      <c r="M1099" s="134">
        <v>0.918918918918919</v>
      </c>
      <c r="N1099" s="133">
        <v>0.953410981697171</v>
      </c>
      <c r="O1099" s="135">
        <v>0.9</v>
      </c>
      <c r="P1099" s="133">
        <v>0.95361484325016</v>
      </c>
      <c r="Q1099" s="133">
        <v>0.951534733441034</v>
      </c>
      <c r="R1099" s="133">
        <v>0.971744940817106</v>
      </c>
      <c r="S1099" s="133">
        <v>0.953878139850645</v>
      </c>
      <c r="T1099" s="135">
        <v>0.9</v>
      </c>
      <c r="U1099" s="133">
        <v>0.887076135636596</v>
      </c>
      <c r="V1099" s="133">
        <v>0.865105008077544</v>
      </c>
      <c r="W1099" s="133">
        <v>0.899579992363498</v>
      </c>
      <c r="X1099" s="133">
        <v>0.894730142566191</v>
      </c>
      <c r="Y1099" s="135">
        <v>0.92</v>
      </c>
      <c r="Z1099" s="135">
        <v>0.924253459577567</v>
      </c>
      <c r="AA1099" s="135">
        <v>0.915358744394619</v>
      </c>
      <c r="AB1099" s="135">
        <v>0.959809264305177</v>
      </c>
      <c r="AC1099" s="135">
        <v>0.915260062628886</v>
      </c>
      <c r="AD1099" s="135">
        <v>0.92</v>
      </c>
      <c r="AE1099" s="133">
        <v>0.999153259949196</v>
      </c>
      <c r="AF1099" s="133">
        <v>0.998211091234347</v>
      </c>
      <c r="AG1099" s="133">
        <v>1</v>
      </c>
      <c r="AH1099" s="133">
        <v>0.998004574877111</v>
      </c>
      <c r="AI1099" s="135">
        <v>0.92</v>
      </c>
      <c r="AJ1099" s="133">
        <v>0.946877083796399</v>
      </c>
      <c r="AK1099" s="133">
        <v>0.944835680751174</v>
      </c>
      <c r="AL1099" s="133">
        <v>0.979202348911182</v>
      </c>
      <c r="AM1099" s="133">
        <v>0.956921356588619</v>
      </c>
      <c r="AN1099" s="132">
        <v>0.99</v>
      </c>
      <c r="AO1099" s="137">
        <v>1</v>
      </c>
      <c r="AP1099" s="137">
        <v>1</v>
      </c>
      <c r="AQ1099" s="137">
        <v>1</v>
      </c>
      <c r="AR1099" s="137">
        <v>1</v>
      </c>
      <c r="AS1099" s="158">
        <v>0.0721861525408278</v>
      </c>
      <c r="AT1099" s="141">
        <v>0.133333333333333</v>
      </c>
      <c r="AU1099" s="141">
        <v>0</v>
      </c>
      <c r="AV1099" s="141">
        <v>0</v>
      </c>
      <c r="AW1099" s="141">
        <v>0.0273224043715847</v>
      </c>
      <c r="AX1099" s="95"/>
      <c r="AY1099" s="93"/>
    </row>
    <row r="1100" ht="14.5" spans="1:51">
      <c r="A1100" s="91"/>
      <c r="B1100" s="95"/>
      <c r="C1100" s="152" t="s">
        <v>1085</v>
      </c>
      <c r="D1100" s="153" t="s">
        <v>25</v>
      </c>
      <c r="E1100" s="130" t="s">
        <v>1086</v>
      </c>
      <c r="F1100" s="195" t="s">
        <v>1130</v>
      </c>
      <c r="G1100" s="195" t="s">
        <v>1130</v>
      </c>
      <c r="H1100" s="195" t="s">
        <v>1130</v>
      </c>
      <c r="I1100" s="195" t="s">
        <v>1130</v>
      </c>
      <c r="J1100" s="132">
        <v>0.9</v>
      </c>
      <c r="K1100" s="133">
        <v>0.8</v>
      </c>
      <c r="L1100" s="133">
        <v>0.8</v>
      </c>
      <c r="M1100" s="134">
        <v>0.78125</v>
      </c>
      <c r="N1100" s="133">
        <v>0.877064220183486</v>
      </c>
      <c r="O1100" s="135">
        <v>0.9</v>
      </c>
      <c r="P1100" s="133">
        <v>0.955637707948244</v>
      </c>
      <c r="Q1100" s="133">
        <v>0.954905847373637</v>
      </c>
      <c r="R1100" s="133">
        <v>0.972986748216106</v>
      </c>
      <c r="S1100" s="133">
        <v>0.956118519294753</v>
      </c>
      <c r="T1100" s="135">
        <v>0.9</v>
      </c>
      <c r="U1100" s="133">
        <v>0.900646950092421</v>
      </c>
      <c r="V1100" s="133">
        <v>0.938057482656095</v>
      </c>
      <c r="W1100" s="133">
        <v>0.906727828746177</v>
      </c>
      <c r="X1100" s="133">
        <v>0.911555893217364</v>
      </c>
      <c r="Y1100" s="135">
        <v>0.92</v>
      </c>
      <c r="Z1100" s="135">
        <v>0.899212598425197</v>
      </c>
      <c r="AA1100" s="135">
        <v>0.924929178470255</v>
      </c>
      <c r="AB1100" s="135">
        <v>0.894302229562345</v>
      </c>
      <c r="AC1100" s="135">
        <v>0.916579438401675</v>
      </c>
      <c r="AD1100" s="135">
        <v>0.92</v>
      </c>
      <c r="AE1100" s="133">
        <v>1</v>
      </c>
      <c r="AF1100" s="133">
        <v>0.996124031007752</v>
      </c>
      <c r="AG1100" s="133">
        <v>1</v>
      </c>
      <c r="AH1100" s="133">
        <v>0.991525423728814</v>
      </c>
      <c r="AI1100" s="135">
        <v>0.92</v>
      </c>
      <c r="AJ1100" s="133">
        <v>0.934187536400699</v>
      </c>
      <c r="AK1100" s="133">
        <v>0.951617604197027</v>
      </c>
      <c r="AL1100" s="133">
        <v>0.941695556255909</v>
      </c>
      <c r="AM1100" s="133">
        <v>0.951678720721916</v>
      </c>
      <c r="AN1100" s="132">
        <v>0.99</v>
      </c>
      <c r="AO1100" s="137">
        <v>1</v>
      </c>
      <c r="AP1100" s="137">
        <v>1</v>
      </c>
      <c r="AQ1100" s="137">
        <v>1</v>
      </c>
      <c r="AR1100" s="137">
        <v>1</v>
      </c>
      <c r="AS1100" s="158">
        <v>0.0721861525408278</v>
      </c>
      <c r="AT1100" s="141">
        <v>0</v>
      </c>
      <c r="AU1100" s="141">
        <v>0.0625</v>
      </c>
      <c r="AV1100" s="141">
        <v>0</v>
      </c>
      <c r="AW1100" s="141">
        <v>0.0466101694915254</v>
      </c>
      <c r="AX1100" s="95"/>
      <c r="AY1100" s="93"/>
    </row>
    <row r="1101" ht="14.5" spans="1:51">
      <c r="A1101" s="91"/>
      <c r="B1101" s="95"/>
      <c r="C1101" s="152" t="s">
        <v>1085</v>
      </c>
      <c r="D1101" s="153" t="s">
        <v>25</v>
      </c>
      <c r="E1101" s="130" t="s">
        <v>1086</v>
      </c>
      <c r="F1101" s="195" t="s">
        <v>1131</v>
      </c>
      <c r="G1101" s="195" t="s">
        <v>1131</v>
      </c>
      <c r="H1101" s="195" t="s">
        <v>1131</v>
      </c>
      <c r="I1101" s="195" t="s">
        <v>1131</v>
      </c>
      <c r="J1101" s="132">
        <v>0.9</v>
      </c>
      <c r="K1101" s="133">
        <v>0.96551724137931</v>
      </c>
      <c r="L1101" s="133">
        <v>0.884615384615385</v>
      </c>
      <c r="M1101" s="134">
        <v>0.964285714285714</v>
      </c>
      <c r="N1101" s="133">
        <v>0.961923847695391</v>
      </c>
      <c r="O1101" s="135">
        <v>0.9</v>
      </c>
      <c r="P1101" s="133">
        <v>0.93565815324165</v>
      </c>
      <c r="Q1101" s="133">
        <v>0.968174204355109</v>
      </c>
      <c r="R1101" s="133">
        <v>0.953017042837402</v>
      </c>
      <c r="S1101" s="133">
        <v>0.943254244550372</v>
      </c>
      <c r="T1101" s="135">
        <v>0.9</v>
      </c>
      <c r="U1101" s="133">
        <v>0.93614931237721</v>
      </c>
      <c r="V1101" s="133">
        <v>0.925181462869905</v>
      </c>
      <c r="W1101" s="133">
        <v>0.959465684016582</v>
      </c>
      <c r="X1101" s="133">
        <v>0.932221091532323</v>
      </c>
      <c r="Y1101" s="135">
        <v>0.92</v>
      </c>
      <c r="Z1101" s="135">
        <v>0.896363636363636</v>
      </c>
      <c r="AA1101" s="135">
        <v>0.93941660433807</v>
      </c>
      <c r="AB1101" s="135">
        <v>0.942807625649913</v>
      </c>
      <c r="AC1101" s="135">
        <v>0.938774572845857</v>
      </c>
      <c r="AD1101" s="135">
        <v>0.92</v>
      </c>
      <c r="AE1101" s="133">
        <v>0.993288590604027</v>
      </c>
      <c r="AF1101" s="133">
        <v>0.995305164319249</v>
      </c>
      <c r="AG1101" s="133">
        <v>0.96100278551532</v>
      </c>
      <c r="AH1101" s="133">
        <v>0.992108657713028</v>
      </c>
      <c r="AI1101" s="135">
        <v>0.92</v>
      </c>
      <c r="AJ1101" s="133">
        <v>0.943239795918367</v>
      </c>
      <c r="AK1101" s="133">
        <v>0.954283887468031</v>
      </c>
      <c r="AL1101" s="133">
        <v>0.966616541353383</v>
      </c>
      <c r="AM1101" s="133">
        <v>0.964444594800318</v>
      </c>
      <c r="AN1101" s="132">
        <v>0.99</v>
      </c>
      <c r="AO1101" s="137">
        <v>1</v>
      </c>
      <c r="AP1101" s="137">
        <v>1</v>
      </c>
      <c r="AQ1101" s="137">
        <v>1</v>
      </c>
      <c r="AR1101" s="137">
        <v>1</v>
      </c>
      <c r="AS1101" s="158">
        <v>0.0721861525408278</v>
      </c>
      <c r="AT1101" s="141">
        <v>0</v>
      </c>
      <c r="AU1101" s="141">
        <v>0.0714285714285714</v>
      </c>
      <c r="AV1101" s="141">
        <v>0</v>
      </c>
      <c r="AW1101" s="141">
        <v>0.03125</v>
      </c>
      <c r="AX1101" s="95"/>
      <c r="AY1101" s="93"/>
    </row>
    <row r="1102" ht="14.5" spans="1:51">
      <c r="A1102" s="91"/>
      <c r="B1102" s="95"/>
      <c r="C1102" s="152" t="s">
        <v>1085</v>
      </c>
      <c r="D1102" s="153" t="s">
        <v>25</v>
      </c>
      <c r="E1102" s="130" t="s">
        <v>1086</v>
      </c>
      <c r="F1102" s="195" t="s">
        <v>1132</v>
      </c>
      <c r="G1102" s="195" t="s">
        <v>1132</v>
      </c>
      <c r="H1102" s="195" t="s">
        <v>1132</v>
      </c>
      <c r="I1102" s="195" t="s">
        <v>1132</v>
      </c>
      <c r="J1102" s="132">
        <v>0.9</v>
      </c>
      <c r="K1102" s="133">
        <v>0.95</v>
      </c>
      <c r="L1102" s="133">
        <v>0.954545454545455</v>
      </c>
      <c r="M1102" s="134">
        <v>1</v>
      </c>
      <c r="N1102" s="133">
        <v>0.980716253443526</v>
      </c>
      <c r="O1102" s="135">
        <v>0.9</v>
      </c>
      <c r="P1102" s="133">
        <v>0.882670262980445</v>
      </c>
      <c r="Q1102" s="133">
        <v>0.975219824140687</v>
      </c>
      <c r="R1102" s="133">
        <v>0.966878083157153</v>
      </c>
      <c r="S1102" s="133">
        <v>0.954906219151037</v>
      </c>
      <c r="T1102" s="135">
        <v>0.9</v>
      </c>
      <c r="U1102" s="133">
        <v>0.941335131490223</v>
      </c>
      <c r="V1102" s="133">
        <v>0.970423661071143</v>
      </c>
      <c r="W1102" s="133">
        <v>0.967582804792107</v>
      </c>
      <c r="X1102" s="133">
        <v>0.951628825271471</v>
      </c>
      <c r="Y1102" s="135">
        <v>0.92</v>
      </c>
      <c r="Z1102" s="135">
        <v>0.938375350140056</v>
      </c>
      <c r="AA1102" s="135">
        <v>0.945121951219512</v>
      </c>
      <c r="AB1102" s="135">
        <v>0.965800273597811</v>
      </c>
      <c r="AC1102" s="135">
        <v>0.949127810572395</v>
      </c>
      <c r="AD1102" s="135">
        <v>0.92</v>
      </c>
      <c r="AE1102" s="133">
        <v>0.996539792387543</v>
      </c>
      <c r="AF1102" s="133">
        <v>0.994736842105263</v>
      </c>
      <c r="AG1102" s="133">
        <v>0.998366013071895</v>
      </c>
      <c r="AH1102" s="133">
        <v>0.997121203219552</v>
      </c>
      <c r="AI1102" s="135">
        <v>0.92</v>
      </c>
      <c r="AJ1102" s="133">
        <v>0.966772872098316</v>
      </c>
      <c r="AK1102" s="133">
        <v>0.968680089485459</v>
      </c>
      <c r="AL1102" s="133">
        <v>0.97906976744186</v>
      </c>
      <c r="AM1102" s="133">
        <v>0.969113497995347</v>
      </c>
      <c r="AN1102" s="132">
        <v>0.99</v>
      </c>
      <c r="AO1102" s="137">
        <v>1</v>
      </c>
      <c r="AP1102" s="137">
        <v>1</v>
      </c>
      <c r="AQ1102" s="137">
        <v>1</v>
      </c>
      <c r="AR1102" s="137">
        <v>1</v>
      </c>
      <c r="AS1102" s="158">
        <v>0.0721861525408278</v>
      </c>
      <c r="AT1102" s="141">
        <v>0</v>
      </c>
      <c r="AU1102" s="141">
        <v>0</v>
      </c>
      <c r="AV1102" s="141">
        <v>0</v>
      </c>
      <c r="AW1102" s="141">
        <v>0.0594059405940594</v>
      </c>
      <c r="AX1102" s="95"/>
      <c r="AY1102" s="93"/>
    </row>
    <row r="1103" ht="14.5" spans="1:51">
      <c r="A1103" s="91"/>
      <c r="B1103" s="95"/>
      <c r="C1103" s="152" t="s">
        <v>1085</v>
      </c>
      <c r="D1103" s="153" t="s">
        <v>25</v>
      </c>
      <c r="E1103" s="130" t="s">
        <v>1086</v>
      </c>
      <c r="F1103" s="195" t="s">
        <v>1133</v>
      </c>
      <c r="G1103" s="195" t="s">
        <v>1133</v>
      </c>
      <c r="H1103" s="195" t="s">
        <v>1133</v>
      </c>
      <c r="I1103" s="195" t="s">
        <v>1133</v>
      </c>
      <c r="J1103" s="132">
        <v>0.9</v>
      </c>
      <c r="K1103" s="133">
        <v>0.954545454545455</v>
      </c>
      <c r="L1103" s="133">
        <v>0.91304347826087</v>
      </c>
      <c r="M1103" s="134">
        <v>0.875</v>
      </c>
      <c r="N1103" s="133">
        <v>0.933660933660934</v>
      </c>
      <c r="O1103" s="135">
        <v>0.9</v>
      </c>
      <c r="P1103" s="133">
        <v>0.987146529562982</v>
      </c>
      <c r="Q1103" s="133">
        <v>0.98640350877193</v>
      </c>
      <c r="R1103" s="133">
        <v>0.986629783310281</v>
      </c>
      <c r="S1103" s="133">
        <v>0.982595848045476</v>
      </c>
      <c r="T1103" s="135">
        <v>0.9</v>
      </c>
      <c r="U1103" s="133">
        <v>0.908311910882605</v>
      </c>
      <c r="V1103" s="133">
        <v>0.931578947368421</v>
      </c>
      <c r="W1103" s="133">
        <v>0.948824343015214</v>
      </c>
      <c r="X1103" s="133">
        <v>0.944582175143365</v>
      </c>
      <c r="Y1103" s="135">
        <v>0.92</v>
      </c>
      <c r="Z1103" s="135" t="s">
        <v>35</v>
      </c>
      <c r="AA1103" s="135" t="s">
        <v>35</v>
      </c>
      <c r="AB1103" s="135" t="s">
        <v>35</v>
      </c>
      <c r="AC1103" s="135" t="s">
        <v>35</v>
      </c>
      <c r="AD1103" s="135">
        <v>0.92</v>
      </c>
      <c r="AE1103" s="133">
        <v>1</v>
      </c>
      <c r="AF1103" s="133">
        <v>0.989010989010989</v>
      </c>
      <c r="AG1103" s="133">
        <v>1</v>
      </c>
      <c r="AH1103" s="133">
        <v>0.999099909990999</v>
      </c>
      <c r="AI1103" s="135">
        <v>0.92</v>
      </c>
      <c r="AJ1103" s="133">
        <v>0.96872322193659</v>
      </c>
      <c r="AK1103" s="133">
        <v>0.96359649122807</v>
      </c>
      <c r="AL1103" s="133">
        <v>0.972798524665745</v>
      </c>
      <c r="AM1103" s="133">
        <v>0.97731256573346</v>
      </c>
      <c r="AN1103" s="132">
        <v>0.99</v>
      </c>
      <c r="AO1103" s="137">
        <v>1</v>
      </c>
      <c r="AP1103" s="137">
        <v>1</v>
      </c>
      <c r="AQ1103" s="137">
        <v>1</v>
      </c>
      <c r="AR1103" s="137">
        <v>1</v>
      </c>
      <c r="AS1103" s="158">
        <v>0.0721861525408278</v>
      </c>
      <c r="AT1103" s="141">
        <v>0.25</v>
      </c>
      <c r="AU1103" s="141">
        <v>0.25</v>
      </c>
      <c r="AV1103" s="141">
        <v>0</v>
      </c>
      <c r="AW1103" s="141">
        <v>0.0736842105263158</v>
      </c>
      <c r="AX1103" s="95"/>
      <c r="AY1103" s="93"/>
    </row>
    <row r="1104" ht="14.5" spans="1:51">
      <c r="A1104" s="91"/>
      <c r="B1104" s="95"/>
      <c r="C1104" s="152" t="s">
        <v>1085</v>
      </c>
      <c r="D1104" s="153" t="s">
        <v>25</v>
      </c>
      <c r="E1104" s="130" t="s">
        <v>1086</v>
      </c>
      <c r="F1104" s="195" t="s">
        <v>1134</v>
      </c>
      <c r="G1104" s="195" t="s">
        <v>1134</v>
      </c>
      <c r="H1104" s="195" t="s">
        <v>1134</v>
      </c>
      <c r="I1104" s="195" t="s">
        <v>1134</v>
      </c>
      <c r="J1104" s="132">
        <v>0.9</v>
      </c>
      <c r="K1104" s="133">
        <v>0.933333333333333</v>
      </c>
      <c r="L1104" s="133">
        <v>0.886363636363636</v>
      </c>
      <c r="M1104" s="134">
        <v>0.977777777777778</v>
      </c>
      <c r="N1104" s="133">
        <v>0.935270805812417</v>
      </c>
      <c r="O1104" s="135">
        <v>0.9</v>
      </c>
      <c r="P1104" s="133">
        <v>0.984632578932663</v>
      </c>
      <c r="Q1104" s="133">
        <v>0.988681380871534</v>
      </c>
      <c r="R1104" s="133">
        <v>0.983800623052959</v>
      </c>
      <c r="S1104" s="133">
        <v>0.983257179068139</v>
      </c>
      <c r="T1104" s="135">
        <v>0.9</v>
      </c>
      <c r="U1104" s="133">
        <v>0.898016205644035</v>
      </c>
      <c r="V1104" s="133">
        <v>0.891341256366723</v>
      </c>
      <c r="W1104" s="133">
        <v>0.910280373831776</v>
      </c>
      <c r="X1104" s="133">
        <v>0.890071040256145</v>
      </c>
      <c r="Y1104" s="135">
        <v>0.92</v>
      </c>
      <c r="Z1104" s="135" t="s">
        <v>35</v>
      </c>
      <c r="AA1104" s="135" t="s">
        <v>35</v>
      </c>
      <c r="AB1104" s="135" t="s">
        <v>35</v>
      </c>
      <c r="AC1104" s="135" t="s">
        <v>35</v>
      </c>
      <c r="AD1104" s="135">
        <v>0.92</v>
      </c>
      <c r="AE1104" s="133">
        <v>1</v>
      </c>
      <c r="AF1104" s="133">
        <v>0.990228013029316</v>
      </c>
      <c r="AG1104" s="133">
        <v>1</v>
      </c>
      <c r="AH1104" s="133">
        <v>0.995737932401626</v>
      </c>
      <c r="AI1104" s="135">
        <v>0.92</v>
      </c>
      <c r="AJ1104" s="133">
        <v>0.96339759709416</v>
      </c>
      <c r="AK1104" s="133">
        <v>0.965195246179966</v>
      </c>
      <c r="AL1104" s="133">
        <v>0.968224299065421</v>
      </c>
      <c r="AM1104" s="133">
        <v>0.969365974051963</v>
      </c>
      <c r="AN1104" s="132">
        <v>0.99</v>
      </c>
      <c r="AO1104" s="137">
        <v>1</v>
      </c>
      <c r="AP1104" s="137">
        <v>1</v>
      </c>
      <c r="AQ1104" s="137">
        <v>1</v>
      </c>
      <c r="AR1104" s="137">
        <v>1</v>
      </c>
      <c r="AS1104" s="158">
        <v>0.0721861525408278</v>
      </c>
      <c r="AT1104" s="141">
        <v>0</v>
      </c>
      <c r="AU1104" s="141">
        <v>0</v>
      </c>
      <c r="AV1104" s="141">
        <v>0.0833333333333333</v>
      </c>
      <c r="AW1104" s="141">
        <v>0.0779220779220779</v>
      </c>
      <c r="AX1104" s="95"/>
      <c r="AY1104" s="93"/>
    </row>
    <row r="1105" ht="14.5" spans="1:51">
      <c r="A1105" s="91"/>
      <c r="B1105" s="95"/>
      <c r="C1105" s="152" t="s">
        <v>1085</v>
      </c>
      <c r="D1105" s="153" t="s">
        <v>25</v>
      </c>
      <c r="E1105" s="130" t="s">
        <v>1086</v>
      </c>
      <c r="F1105" s="195" t="s">
        <v>1135</v>
      </c>
      <c r="G1105" s="195" t="s">
        <v>1135</v>
      </c>
      <c r="H1105" s="195" t="s">
        <v>1135</v>
      </c>
      <c r="I1105" s="195" t="s">
        <v>1135</v>
      </c>
      <c r="J1105" s="132">
        <v>0.9</v>
      </c>
      <c r="K1105" s="133">
        <v>0.963636363636364</v>
      </c>
      <c r="L1105" s="133">
        <v>0.945454545454545</v>
      </c>
      <c r="M1105" s="134">
        <v>0.982142857142857</v>
      </c>
      <c r="N1105" s="133">
        <v>0.96723044397463</v>
      </c>
      <c r="O1105" s="135">
        <v>0.9</v>
      </c>
      <c r="P1105" s="133">
        <v>0.973120373977406</v>
      </c>
      <c r="Q1105" s="133">
        <v>0.957156580211335</v>
      </c>
      <c r="R1105" s="133">
        <v>0.966624685138539</v>
      </c>
      <c r="S1105" s="133">
        <v>0.969063185631911</v>
      </c>
      <c r="T1105" s="135">
        <v>0.9</v>
      </c>
      <c r="U1105" s="133">
        <v>0.944682508765095</v>
      </c>
      <c r="V1105" s="133">
        <v>0.945244956772334</v>
      </c>
      <c r="W1105" s="133">
        <v>0.971662468513854</v>
      </c>
      <c r="X1105" s="133">
        <v>0.958930993043076</v>
      </c>
      <c r="Y1105" s="135">
        <v>0.92</v>
      </c>
      <c r="Z1105" s="135" t="s">
        <v>35</v>
      </c>
      <c r="AA1105" s="135" t="s">
        <v>35</v>
      </c>
      <c r="AB1105" s="135" t="s">
        <v>35</v>
      </c>
      <c r="AC1105" s="135" t="s">
        <v>35</v>
      </c>
      <c r="AD1105" s="135">
        <v>0.92</v>
      </c>
      <c r="AE1105" s="133">
        <v>0.99748743718593</v>
      </c>
      <c r="AF1105" s="133">
        <v>1</v>
      </c>
      <c r="AG1105" s="133">
        <v>0.998500749625187</v>
      </c>
      <c r="AH1105" s="133">
        <v>0.994617963649197</v>
      </c>
      <c r="AI1105" s="135">
        <v>0.92</v>
      </c>
      <c r="AJ1105" s="133">
        <v>0.959680560966108</v>
      </c>
      <c r="AK1105" s="133">
        <v>0.961959654178674</v>
      </c>
      <c r="AL1105" s="133">
        <v>0.983417296389589</v>
      </c>
      <c r="AM1105" s="133">
        <v>0.979415882956087</v>
      </c>
      <c r="AN1105" s="132">
        <v>0.99</v>
      </c>
      <c r="AO1105" s="137">
        <v>1</v>
      </c>
      <c r="AP1105" s="137">
        <v>1</v>
      </c>
      <c r="AQ1105" s="137">
        <v>1</v>
      </c>
      <c r="AR1105" s="137">
        <v>1</v>
      </c>
      <c r="AS1105" s="158">
        <v>0.0721861525408278</v>
      </c>
      <c r="AT1105" s="141">
        <v>0.037037037037037</v>
      </c>
      <c r="AU1105" s="141">
        <v>0.0625</v>
      </c>
      <c r="AV1105" s="141">
        <v>0</v>
      </c>
      <c r="AW1105" s="141">
        <v>0.0275482093663912</v>
      </c>
      <c r="AX1105" s="95"/>
      <c r="AY1105" s="93"/>
    </row>
    <row r="1106" ht="14.5" spans="1:51">
      <c r="A1106" s="91"/>
      <c r="B1106" s="95"/>
      <c r="C1106" s="152" t="s">
        <v>1085</v>
      </c>
      <c r="D1106" s="153" t="s">
        <v>25</v>
      </c>
      <c r="E1106" s="130" t="s">
        <v>1086</v>
      </c>
      <c r="F1106" s="195" t="s">
        <v>1136</v>
      </c>
      <c r="G1106" s="195" t="s">
        <v>1136</v>
      </c>
      <c r="H1106" s="195" t="s">
        <v>1136</v>
      </c>
      <c r="I1106" s="195" t="s">
        <v>1136</v>
      </c>
      <c r="J1106" s="132">
        <v>0.9</v>
      </c>
      <c r="K1106" s="133">
        <v>0.939393939393939</v>
      </c>
      <c r="L1106" s="133">
        <v>0.868852459016393</v>
      </c>
      <c r="M1106" s="134">
        <v>0.918032786885246</v>
      </c>
      <c r="N1106" s="133">
        <v>0.920560747663551</v>
      </c>
      <c r="O1106" s="135">
        <v>0.9</v>
      </c>
      <c r="P1106" s="133">
        <v>0.960172834867556</v>
      </c>
      <c r="Q1106" s="133">
        <v>0.96061015640085</v>
      </c>
      <c r="R1106" s="133">
        <v>0.978371501272265</v>
      </c>
      <c r="S1106" s="133">
        <v>0.9689665110381</v>
      </c>
      <c r="T1106" s="135">
        <v>0.9</v>
      </c>
      <c r="U1106" s="133">
        <v>0.858726282171708</v>
      </c>
      <c r="V1106" s="133">
        <v>0.858080710561885</v>
      </c>
      <c r="W1106" s="133">
        <v>0.881679389312977</v>
      </c>
      <c r="X1106" s="133">
        <v>0.874459623033028</v>
      </c>
      <c r="Y1106" s="135">
        <v>0.92</v>
      </c>
      <c r="Z1106" s="135">
        <v>0</v>
      </c>
      <c r="AA1106" s="135" t="s">
        <v>35</v>
      </c>
      <c r="AB1106" s="135" t="s">
        <v>35</v>
      </c>
      <c r="AC1106" s="135">
        <v>0</v>
      </c>
      <c r="AD1106" s="135">
        <v>0.92</v>
      </c>
      <c r="AE1106" s="133">
        <v>0.995884773662551</v>
      </c>
      <c r="AF1106" s="133">
        <v>1</v>
      </c>
      <c r="AG1106" s="133">
        <v>1</v>
      </c>
      <c r="AH1106" s="133">
        <v>0.991111111111111</v>
      </c>
      <c r="AI1106" s="135">
        <v>0.92</v>
      </c>
      <c r="AJ1106" s="133">
        <v>0.929000751314801</v>
      </c>
      <c r="AK1106" s="133">
        <v>0.943232284224754</v>
      </c>
      <c r="AL1106" s="133">
        <v>0.957167090754877</v>
      </c>
      <c r="AM1106" s="133">
        <v>0.958407304083185</v>
      </c>
      <c r="AN1106" s="132">
        <v>0.99</v>
      </c>
      <c r="AO1106" s="137">
        <v>1</v>
      </c>
      <c r="AP1106" s="137">
        <v>1</v>
      </c>
      <c r="AQ1106" s="137">
        <v>1</v>
      </c>
      <c r="AR1106" s="137">
        <v>1</v>
      </c>
      <c r="AS1106" s="158">
        <v>0.0721861525408278</v>
      </c>
      <c r="AT1106" s="141">
        <v>0.166666666666667</v>
      </c>
      <c r="AU1106" s="141">
        <v>0.117647058823529</v>
      </c>
      <c r="AV1106" s="141">
        <v>0.0526315789473684</v>
      </c>
      <c r="AW1106" s="141">
        <v>0.0673758865248227</v>
      </c>
      <c r="AX1106" s="95"/>
      <c r="AY1106" s="93"/>
    </row>
    <row r="1107" ht="14.5" spans="1:51">
      <c r="A1107" s="91"/>
      <c r="B1107" s="95"/>
      <c r="C1107" s="152" t="s">
        <v>1085</v>
      </c>
      <c r="D1107" s="153" t="s">
        <v>25</v>
      </c>
      <c r="E1107" s="130" t="s">
        <v>1086</v>
      </c>
      <c r="F1107" s="195" t="s">
        <v>1137</v>
      </c>
      <c r="G1107" s="195" t="s">
        <v>1137</v>
      </c>
      <c r="H1107" s="195" t="s">
        <v>1137</v>
      </c>
      <c r="I1107" s="195" t="s">
        <v>1137</v>
      </c>
      <c r="J1107" s="132">
        <v>0.9</v>
      </c>
      <c r="K1107" s="133">
        <v>0.804347826086957</v>
      </c>
      <c r="L1107" s="133">
        <v>0.844444444444444</v>
      </c>
      <c r="M1107" s="134">
        <v>0.857142857142857</v>
      </c>
      <c r="N1107" s="133">
        <v>0.84125</v>
      </c>
      <c r="O1107" s="135">
        <v>0.9</v>
      </c>
      <c r="P1107" s="133">
        <v>0.914847749932633</v>
      </c>
      <c r="Q1107" s="133">
        <v>0.915645483043602</v>
      </c>
      <c r="R1107" s="133">
        <v>0.95607476635514</v>
      </c>
      <c r="S1107" s="133">
        <v>0.921329895322826</v>
      </c>
      <c r="T1107" s="135">
        <v>0.9</v>
      </c>
      <c r="U1107" s="133">
        <v>0.820264079762867</v>
      </c>
      <c r="V1107" s="133">
        <v>0.859219150755201</v>
      </c>
      <c r="W1107" s="133">
        <v>0.850778816199377</v>
      </c>
      <c r="X1107" s="133">
        <v>0.828418230563003</v>
      </c>
      <c r="Y1107" s="135">
        <v>0.92</v>
      </c>
      <c r="Z1107" s="135" t="s">
        <v>35</v>
      </c>
      <c r="AA1107" s="135" t="s">
        <v>35</v>
      </c>
      <c r="AB1107" s="135" t="s">
        <v>35</v>
      </c>
      <c r="AC1107" s="135">
        <v>0</v>
      </c>
      <c r="AD1107" s="135">
        <v>0.92</v>
      </c>
      <c r="AE1107" s="133">
        <v>0.996336996336996</v>
      </c>
      <c r="AF1107" s="133">
        <v>1</v>
      </c>
      <c r="AG1107" s="133">
        <v>0.996168582375479</v>
      </c>
      <c r="AH1107" s="133">
        <v>0.976630434782609</v>
      </c>
      <c r="AI1107" s="135">
        <v>0.92</v>
      </c>
      <c r="AJ1107" s="133">
        <v>0.941255726219348</v>
      </c>
      <c r="AK1107" s="133">
        <v>0.950128241664292</v>
      </c>
      <c r="AL1107" s="133">
        <v>0.945171339563863</v>
      </c>
      <c r="AM1107" s="133">
        <v>0.958129845292169</v>
      </c>
      <c r="AN1107" s="132">
        <v>0.99</v>
      </c>
      <c r="AO1107" s="137">
        <v>1</v>
      </c>
      <c r="AP1107" s="137">
        <v>1</v>
      </c>
      <c r="AQ1107" s="137">
        <v>1</v>
      </c>
      <c r="AR1107" s="137">
        <v>1</v>
      </c>
      <c r="AS1107" s="158">
        <v>0.0721861525408278</v>
      </c>
      <c r="AT1107" s="141">
        <v>0</v>
      </c>
      <c r="AU1107" s="141">
        <v>0.2</v>
      </c>
      <c r="AV1107" s="141">
        <v>0.166666666666667</v>
      </c>
      <c r="AW1107" s="141">
        <v>0.0703125</v>
      </c>
      <c r="AX1107" s="95"/>
      <c r="AY1107" s="93"/>
    </row>
    <row r="1108" ht="14.5" spans="1:51">
      <c r="A1108" s="91"/>
      <c r="B1108" s="95"/>
      <c r="C1108" s="152" t="s">
        <v>1085</v>
      </c>
      <c r="D1108" s="153" t="s">
        <v>25</v>
      </c>
      <c r="E1108" s="130" t="s">
        <v>1086</v>
      </c>
      <c r="F1108" s="195" t="s">
        <v>1138</v>
      </c>
      <c r="G1108" s="195" t="s">
        <v>1138</v>
      </c>
      <c r="H1108" s="195" t="s">
        <v>1138</v>
      </c>
      <c r="I1108" s="195" t="s">
        <v>1138</v>
      </c>
      <c r="J1108" s="132">
        <v>0.9</v>
      </c>
      <c r="K1108" s="133">
        <v>0.901960784313726</v>
      </c>
      <c r="L1108" s="133">
        <v>0.803921568627451</v>
      </c>
      <c r="M1108" s="134">
        <v>0.818181818181818</v>
      </c>
      <c r="N1108" s="133">
        <v>0.839686098654709</v>
      </c>
      <c r="O1108" s="135">
        <v>0.9</v>
      </c>
      <c r="P1108" s="133">
        <v>0.96320564516129</v>
      </c>
      <c r="Q1108" s="133">
        <v>0.966192170818505</v>
      </c>
      <c r="R1108" s="133">
        <v>0.988811188811189</v>
      </c>
      <c r="S1108" s="133">
        <v>0.979115203233775</v>
      </c>
      <c r="T1108" s="135">
        <v>0.9</v>
      </c>
      <c r="U1108" s="133">
        <v>0.854334677419355</v>
      </c>
      <c r="V1108" s="133">
        <v>0.884087442806304</v>
      </c>
      <c r="W1108" s="133">
        <v>0.914125874125874</v>
      </c>
      <c r="X1108" s="133">
        <v>0.905561793547421</v>
      </c>
      <c r="Y1108" s="135">
        <v>0.92</v>
      </c>
      <c r="Z1108" s="135" t="s">
        <v>35</v>
      </c>
      <c r="AA1108" s="135" t="s">
        <v>35</v>
      </c>
      <c r="AB1108" s="135" t="s">
        <v>35</v>
      </c>
      <c r="AC1108" s="135" t="s">
        <v>35</v>
      </c>
      <c r="AD1108" s="135">
        <v>0.92</v>
      </c>
      <c r="AE1108" s="133">
        <v>1</v>
      </c>
      <c r="AF1108" s="133">
        <v>0.993127147766323</v>
      </c>
      <c r="AG1108" s="133">
        <v>0.992172211350294</v>
      </c>
      <c r="AH1108" s="133">
        <v>0.99505007482445</v>
      </c>
      <c r="AI1108" s="135">
        <v>0.92</v>
      </c>
      <c r="AJ1108" s="133">
        <v>0.929939516129032</v>
      </c>
      <c r="AK1108" s="133">
        <v>0.956786985256736</v>
      </c>
      <c r="AL1108" s="133">
        <v>0.961958041958042</v>
      </c>
      <c r="AM1108" s="133">
        <v>0.964383561643836</v>
      </c>
      <c r="AN1108" s="132">
        <v>0.99</v>
      </c>
      <c r="AO1108" s="137">
        <v>1</v>
      </c>
      <c r="AP1108" s="137">
        <v>1</v>
      </c>
      <c r="AQ1108" s="137">
        <v>1</v>
      </c>
      <c r="AR1108" s="137">
        <v>1</v>
      </c>
      <c r="AS1108" s="158">
        <v>0.0721861525408278</v>
      </c>
      <c r="AT1108" s="141">
        <v>0</v>
      </c>
      <c r="AU1108" s="141">
        <v>0.0909090909090909</v>
      </c>
      <c r="AV1108" s="141">
        <v>0</v>
      </c>
      <c r="AW1108" s="141">
        <v>0.0578034682080925</v>
      </c>
      <c r="AX1108" s="95"/>
      <c r="AY1108" s="93"/>
    </row>
    <row r="1109" ht="14.5" spans="1:51">
      <c r="A1109" s="91"/>
      <c r="B1109" s="95"/>
      <c r="C1109" s="152" t="s">
        <v>1085</v>
      </c>
      <c r="D1109" s="153" t="s">
        <v>25</v>
      </c>
      <c r="E1109" s="130" t="s">
        <v>1086</v>
      </c>
      <c r="F1109" s="195" t="s">
        <v>1139</v>
      </c>
      <c r="G1109" s="195" t="s">
        <v>1139</v>
      </c>
      <c r="H1109" s="195" t="s">
        <v>1139</v>
      </c>
      <c r="I1109" s="195" t="s">
        <v>1139</v>
      </c>
      <c r="J1109" s="132">
        <v>0.9</v>
      </c>
      <c r="K1109" s="133">
        <v>0.972222222222222</v>
      </c>
      <c r="L1109" s="133">
        <v>1</v>
      </c>
      <c r="M1109" s="134">
        <v>0.972222222222222</v>
      </c>
      <c r="N1109" s="133">
        <v>0.961214165261383</v>
      </c>
      <c r="O1109" s="135">
        <v>0.9</v>
      </c>
      <c r="P1109" s="133">
        <v>0.939704778583938</v>
      </c>
      <c r="Q1109" s="133">
        <v>0.960726846424385</v>
      </c>
      <c r="R1109" s="133">
        <v>0.957942511346445</v>
      </c>
      <c r="S1109" s="133">
        <v>0.945178586158542</v>
      </c>
      <c r="T1109" s="135">
        <v>0.9</v>
      </c>
      <c r="U1109" s="133">
        <v>0.782086564923693</v>
      </c>
      <c r="V1109" s="133">
        <v>0.824443141852286</v>
      </c>
      <c r="W1109" s="133">
        <v>0.852950075642965</v>
      </c>
      <c r="X1109" s="133">
        <v>0.80598861667904</v>
      </c>
      <c r="Y1109" s="135">
        <v>0.92</v>
      </c>
      <c r="Z1109" s="135" t="s">
        <v>35</v>
      </c>
      <c r="AA1109" s="135" t="s">
        <v>35</v>
      </c>
      <c r="AB1109" s="135">
        <v>0</v>
      </c>
      <c r="AC1109" s="135">
        <v>0</v>
      </c>
      <c r="AD1109" s="135">
        <v>0.92</v>
      </c>
      <c r="AE1109" s="133">
        <v>1</v>
      </c>
      <c r="AF1109" s="133">
        <v>0.974358974358974</v>
      </c>
      <c r="AG1109" s="133">
        <v>1</v>
      </c>
      <c r="AH1109" s="133">
        <v>0.991704686851929</v>
      </c>
      <c r="AI1109" s="135">
        <v>0.92</v>
      </c>
      <c r="AJ1109" s="133">
        <v>0.874405804353265</v>
      </c>
      <c r="AK1109" s="133">
        <v>0.917936694021102</v>
      </c>
      <c r="AL1109" s="133">
        <v>0.937991530550514</v>
      </c>
      <c r="AM1109" s="133">
        <v>0.930300080835409</v>
      </c>
      <c r="AN1109" s="132">
        <v>0.99</v>
      </c>
      <c r="AO1109" s="137">
        <v>1</v>
      </c>
      <c r="AP1109" s="137">
        <v>1</v>
      </c>
      <c r="AQ1109" s="137">
        <v>1</v>
      </c>
      <c r="AR1109" s="137">
        <v>1</v>
      </c>
      <c r="AS1109" s="158">
        <v>0.0721861525408278</v>
      </c>
      <c r="AT1109" s="141">
        <v>0.0909090909090909</v>
      </c>
      <c r="AU1109" s="141">
        <v>0.1</v>
      </c>
      <c r="AV1109" s="141">
        <v>0.25</v>
      </c>
      <c r="AW1109" s="141">
        <v>0.0642857142857143</v>
      </c>
      <c r="AX1109" s="95"/>
      <c r="AY1109" s="93"/>
    </row>
    <row r="1110" ht="14.5" spans="1:51">
      <c r="A1110" s="91"/>
      <c r="B1110" s="95"/>
      <c r="C1110" s="152" t="s">
        <v>1085</v>
      </c>
      <c r="D1110" s="153" t="s">
        <v>25</v>
      </c>
      <c r="E1110" s="130" t="s">
        <v>1086</v>
      </c>
      <c r="F1110" s="195" t="s">
        <v>1140</v>
      </c>
      <c r="G1110" s="195" t="s">
        <v>1140</v>
      </c>
      <c r="H1110" s="195" t="s">
        <v>1140</v>
      </c>
      <c r="I1110" s="195" t="s">
        <v>1140</v>
      </c>
      <c r="J1110" s="132">
        <v>0.9</v>
      </c>
      <c r="K1110" s="133">
        <v>0.951219512195122</v>
      </c>
      <c r="L1110" s="133">
        <v>0.926829268292683</v>
      </c>
      <c r="M1110" s="134">
        <v>0.909090909090909</v>
      </c>
      <c r="N1110" s="133">
        <v>0.968345323741007</v>
      </c>
      <c r="O1110" s="135">
        <v>0.9</v>
      </c>
      <c r="P1110" s="133">
        <v>0.982327695026508</v>
      </c>
      <c r="Q1110" s="133">
        <v>0.984260515603799</v>
      </c>
      <c r="R1110" s="133">
        <v>0.982705718270572</v>
      </c>
      <c r="S1110" s="133">
        <v>0.97953327361341</v>
      </c>
      <c r="T1110" s="135">
        <v>0.9</v>
      </c>
      <c r="U1110" s="133">
        <v>0.942438778086342</v>
      </c>
      <c r="V1110" s="133">
        <v>0.949796472184532</v>
      </c>
      <c r="W1110" s="133">
        <v>0.961785216178522</v>
      </c>
      <c r="X1110" s="133">
        <v>0.946191336562258</v>
      </c>
      <c r="Y1110" s="135">
        <v>0.92</v>
      </c>
      <c r="Z1110" s="135" t="s">
        <v>35</v>
      </c>
      <c r="AA1110" s="135" t="s">
        <v>35</v>
      </c>
      <c r="AB1110" s="135" t="s">
        <v>35</v>
      </c>
      <c r="AC1110" s="135">
        <v>0.666666666666667</v>
      </c>
      <c r="AD1110" s="135">
        <v>0.92</v>
      </c>
      <c r="AE1110" s="133">
        <v>1</v>
      </c>
      <c r="AF1110" s="133">
        <v>1</v>
      </c>
      <c r="AG1110" s="133">
        <v>1</v>
      </c>
      <c r="AH1110" s="133">
        <v>0.999648258881463</v>
      </c>
      <c r="AI1110" s="135">
        <v>0.92</v>
      </c>
      <c r="AJ1110" s="133">
        <v>0.973996465539005</v>
      </c>
      <c r="AK1110" s="133">
        <v>0.976933514246947</v>
      </c>
      <c r="AL1110" s="133">
        <v>0.981589958158996</v>
      </c>
      <c r="AM1110" s="133">
        <v>0.976664743570279</v>
      </c>
      <c r="AN1110" s="132">
        <v>0.99</v>
      </c>
      <c r="AO1110" s="137">
        <v>1</v>
      </c>
      <c r="AP1110" s="137">
        <v>1</v>
      </c>
      <c r="AQ1110" s="137">
        <v>1</v>
      </c>
      <c r="AR1110" s="137">
        <v>1</v>
      </c>
      <c r="AS1110" s="158">
        <v>0.0721861525408278</v>
      </c>
      <c r="AT1110" s="141">
        <v>0</v>
      </c>
      <c r="AU1110" s="141">
        <v>0.0833333333333333</v>
      </c>
      <c r="AV1110" s="141">
        <v>0</v>
      </c>
      <c r="AW1110" s="141">
        <v>0.0304878048780488</v>
      </c>
      <c r="AX1110" s="95"/>
      <c r="AY1110" s="93"/>
    </row>
    <row r="1111" ht="14.5" spans="1:51">
      <c r="A1111" s="91"/>
      <c r="B1111" s="95"/>
      <c r="C1111" s="152" t="s">
        <v>1085</v>
      </c>
      <c r="D1111" s="153" t="s">
        <v>25</v>
      </c>
      <c r="E1111" s="130" t="s">
        <v>1086</v>
      </c>
      <c r="F1111" s="195" t="s">
        <v>1141</v>
      </c>
      <c r="G1111" s="195" t="s">
        <v>1141</v>
      </c>
      <c r="H1111" s="195" t="s">
        <v>1141</v>
      </c>
      <c r="I1111" s="195" t="s">
        <v>1141</v>
      </c>
      <c r="J1111" s="132">
        <v>0.9</v>
      </c>
      <c r="K1111" s="133">
        <v>0.941176470588235</v>
      </c>
      <c r="L1111" s="133">
        <v>0.909090909090909</v>
      </c>
      <c r="M1111" s="134">
        <v>0.954545454545455</v>
      </c>
      <c r="N1111" s="133">
        <v>0.928571428571429</v>
      </c>
      <c r="O1111" s="135">
        <v>0.9</v>
      </c>
      <c r="P1111" s="133">
        <v>0.97918637653737</v>
      </c>
      <c r="Q1111" s="133">
        <v>0.954753431621759</v>
      </c>
      <c r="R1111" s="133">
        <v>0.983606557377049</v>
      </c>
      <c r="S1111" s="133">
        <v>0.949507463588566</v>
      </c>
      <c r="T1111" s="135">
        <v>0.9</v>
      </c>
      <c r="U1111" s="133">
        <v>0.795648060548723</v>
      </c>
      <c r="V1111" s="133">
        <v>0.916115912557194</v>
      </c>
      <c r="W1111" s="133">
        <v>0.94855850763143</v>
      </c>
      <c r="X1111" s="133">
        <v>0.890614612920771</v>
      </c>
      <c r="Y1111" s="135">
        <v>0.92</v>
      </c>
      <c r="Z1111" s="135" t="s">
        <v>35</v>
      </c>
      <c r="AA1111" s="135" t="s">
        <v>35</v>
      </c>
      <c r="AB1111" s="135" t="s">
        <v>35</v>
      </c>
      <c r="AC1111" s="135">
        <v>1</v>
      </c>
      <c r="AD1111" s="135">
        <v>0.92</v>
      </c>
      <c r="AE1111" s="133">
        <v>1</v>
      </c>
      <c r="AF1111" s="133">
        <v>1</v>
      </c>
      <c r="AG1111" s="133">
        <v>1</v>
      </c>
      <c r="AH1111" s="133">
        <v>0.998589811387273</v>
      </c>
      <c r="AI1111" s="135">
        <v>0.92</v>
      </c>
      <c r="AJ1111" s="133">
        <v>0.861400189214759</v>
      </c>
      <c r="AK1111" s="133">
        <v>0.951194712760549</v>
      </c>
      <c r="AL1111" s="133">
        <v>0.976257772752968</v>
      </c>
      <c r="AM1111" s="133">
        <v>0.944160749357909</v>
      </c>
      <c r="AN1111" s="132">
        <v>0.99</v>
      </c>
      <c r="AO1111" s="137">
        <v>1</v>
      </c>
      <c r="AP1111" s="137">
        <v>1</v>
      </c>
      <c r="AQ1111" s="137">
        <v>1</v>
      </c>
      <c r="AR1111" s="137">
        <v>1</v>
      </c>
      <c r="AS1111" s="158">
        <v>0.0721861525408278</v>
      </c>
      <c r="AT1111" s="141">
        <v>0</v>
      </c>
      <c r="AU1111" s="141">
        <v>0</v>
      </c>
      <c r="AV1111" s="141">
        <v>0</v>
      </c>
      <c r="AW1111" s="141">
        <v>0.0459770114942529</v>
      </c>
      <c r="AX1111" s="95"/>
      <c r="AY1111" s="93"/>
    </row>
    <row r="1112" ht="14.5" spans="1:51">
      <c r="A1112" s="91"/>
      <c r="B1112" s="95"/>
      <c r="C1112" s="152" t="s">
        <v>1085</v>
      </c>
      <c r="D1112" s="153" t="s">
        <v>25</v>
      </c>
      <c r="E1112" s="130" t="s">
        <v>1086</v>
      </c>
      <c r="F1112" s="195" t="s">
        <v>1142</v>
      </c>
      <c r="G1112" s="195" t="s">
        <v>1142</v>
      </c>
      <c r="H1112" s="195" t="s">
        <v>1142</v>
      </c>
      <c r="I1112" s="195" t="s">
        <v>1142</v>
      </c>
      <c r="J1112" s="132">
        <v>0.9</v>
      </c>
      <c r="K1112" s="133">
        <v>0.954545454545455</v>
      </c>
      <c r="L1112" s="133">
        <v>1</v>
      </c>
      <c r="M1112" s="134">
        <v>0.956521739130435</v>
      </c>
      <c r="N1112" s="133">
        <v>0.974226804123711</v>
      </c>
      <c r="O1112" s="135">
        <v>0.9</v>
      </c>
      <c r="P1112" s="133">
        <v>0.980069324090121</v>
      </c>
      <c r="Q1112" s="133">
        <v>0.986813186813187</v>
      </c>
      <c r="R1112" s="133">
        <v>0.990649606299213</v>
      </c>
      <c r="S1112" s="133">
        <v>0.980754323594665</v>
      </c>
      <c r="T1112" s="135">
        <v>0.9</v>
      </c>
      <c r="U1112" s="133">
        <v>0.896013864818024</v>
      </c>
      <c r="V1112" s="133">
        <v>0.922197802197802</v>
      </c>
      <c r="W1112" s="133">
        <v>0.939468503937008</v>
      </c>
      <c r="X1112" s="133">
        <v>0.93384298735666</v>
      </c>
      <c r="Y1112" s="135">
        <v>0.92</v>
      </c>
      <c r="Z1112" s="135" t="s">
        <v>35</v>
      </c>
      <c r="AA1112" s="135" t="s">
        <v>35</v>
      </c>
      <c r="AB1112" s="135" t="s">
        <v>35</v>
      </c>
      <c r="AC1112" s="135" t="s">
        <v>35</v>
      </c>
      <c r="AD1112" s="135">
        <v>0.92</v>
      </c>
      <c r="AE1112" s="133">
        <v>1</v>
      </c>
      <c r="AF1112" s="133">
        <v>0.989082969432314</v>
      </c>
      <c r="AG1112" s="133">
        <v>0.994845360824742</v>
      </c>
      <c r="AH1112" s="133">
        <v>0.994106403313157</v>
      </c>
      <c r="AI1112" s="135">
        <v>0.92</v>
      </c>
      <c r="AJ1112" s="133">
        <v>0.953206239168111</v>
      </c>
      <c r="AK1112" s="133">
        <v>0.970549450549451</v>
      </c>
      <c r="AL1112" s="133">
        <v>0.967027559055118</v>
      </c>
      <c r="AM1112" s="133">
        <v>0.970302852102323</v>
      </c>
      <c r="AN1112" s="132">
        <v>0.99</v>
      </c>
      <c r="AO1112" s="137">
        <v>1</v>
      </c>
      <c r="AP1112" s="137">
        <v>1</v>
      </c>
      <c r="AQ1112" s="137">
        <v>1</v>
      </c>
      <c r="AR1112" s="137">
        <v>1</v>
      </c>
      <c r="AS1112" s="158">
        <v>0.0721861525408278</v>
      </c>
      <c r="AT1112" s="141">
        <v>0</v>
      </c>
      <c r="AU1112" s="141">
        <v>0</v>
      </c>
      <c r="AV1112" s="141">
        <v>0.5</v>
      </c>
      <c r="AW1112" s="141">
        <v>0.0384615384615385</v>
      </c>
      <c r="AX1112" s="95"/>
      <c r="AY1112" s="93"/>
    </row>
    <row r="1113" ht="14.5" spans="1:51">
      <c r="A1113" s="91"/>
      <c r="B1113" s="95"/>
      <c r="C1113" s="152" t="s">
        <v>1085</v>
      </c>
      <c r="D1113" s="153" t="s">
        <v>25</v>
      </c>
      <c r="E1113" s="130" t="s">
        <v>1086</v>
      </c>
      <c r="F1113" s="195" t="s">
        <v>1143</v>
      </c>
      <c r="G1113" s="195" t="s">
        <v>1143</v>
      </c>
      <c r="H1113" s="195" t="s">
        <v>1143</v>
      </c>
      <c r="I1113" s="195" t="s">
        <v>1143</v>
      </c>
      <c r="J1113" s="132">
        <v>0.9</v>
      </c>
      <c r="K1113" s="133">
        <v>0.839416058394161</v>
      </c>
      <c r="L1113" s="133">
        <v>0.808</v>
      </c>
      <c r="M1113" s="134">
        <v>0.866666666666667</v>
      </c>
      <c r="N1113" s="133">
        <v>0.849405548216645</v>
      </c>
      <c r="O1113" s="135">
        <v>0.9</v>
      </c>
      <c r="P1113" s="133">
        <v>0.916703945602577</v>
      </c>
      <c r="Q1113" s="133">
        <v>0.862609497464269</v>
      </c>
      <c r="R1113" s="133">
        <v>0.925311203319502</v>
      </c>
      <c r="S1113" s="133">
        <v>0.916687297503848</v>
      </c>
      <c r="T1113" s="135">
        <v>0.9</v>
      </c>
      <c r="U1113" s="133">
        <v>0.732665294801825</v>
      </c>
      <c r="V1113" s="133">
        <v>0.696818810511757</v>
      </c>
      <c r="W1113" s="133">
        <v>0.761845025571746</v>
      </c>
      <c r="X1113" s="133">
        <v>0.773607956686006</v>
      </c>
      <c r="Y1113" s="135">
        <v>0.92</v>
      </c>
      <c r="Z1113" s="135">
        <v>0</v>
      </c>
      <c r="AA1113" s="135">
        <v>0</v>
      </c>
      <c r="AB1113" s="135" t="s">
        <v>35</v>
      </c>
      <c r="AC1113" s="135">
        <v>0</v>
      </c>
      <c r="AD1113" s="135">
        <v>0.92</v>
      </c>
      <c r="AE1113" s="133">
        <v>1</v>
      </c>
      <c r="AF1113" s="133">
        <v>1</v>
      </c>
      <c r="AG1113" s="133">
        <v>1</v>
      </c>
      <c r="AH1113" s="133">
        <v>0.994595178899578</v>
      </c>
      <c r="AI1113" s="135">
        <v>0.92</v>
      </c>
      <c r="AJ1113" s="133">
        <v>0.896887855482025</v>
      </c>
      <c r="AK1113" s="133">
        <v>0.895076525908169</v>
      </c>
      <c r="AL1113" s="133">
        <v>0.937566341792917</v>
      </c>
      <c r="AM1113" s="133">
        <v>0.943636578907713</v>
      </c>
      <c r="AN1113" s="132">
        <v>0.99</v>
      </c>
      <c r="AO1113" s="137">
        <v>1</v>
      </c>
      <c r="AP1113" s="137">
        <v>1</v>
      </c>
      <c r="AQ1113" s="137">
        <v>1</v>
      </c>
      <c r="AR1113" s="137">
        <v>1</v>
      </c>
      <c r="AS1113" s="158">
        <v>0.0721861525408278</v>
      </c>
      <c r="AT1113" s="141">
        <v>0.04</v>
      </c>
      <c r="AU1113" s="141">
        <v>0</v>
      </c>
      <c r="AV1113" s="141">
        <v>0.0731707317073171</v>
      </c>
      <c r="AW1113" s="141">
        <v>0.0615883306320908</v>
      </c>
      <c r="AX1113" s="95"/>
      <c r="AY1113" s="93"/>
    </row>
    <row r="1114" ht="14.5" spans="1:51">
      <c r="A1114" s="91"/>
      <c r="B1114" s="95"/>
      <c r="C1114" s="152" t="s">
        <v>1085</v>
      </c>
      <c r="D1114" s="153" t="s">
        <v>25</v>
      </c>
      <c r="E1114" s="130" t="s">
        <v>1086</v>
      </c>
      <c r="F1114" s="195" t="s">
        <v>1144</v>
      </c>
      <c r="G1114" s="195" t="s">
        <v>1144</v>
      </c>
      <c r="H1114" s="195" t="s">
        <v>1144</v>
      </c>
      <c r="I1114" s="195" t="s">
        <v>1144</v>
      </c>
      <c r="J1114" s="132">
        <v>0.9</v>
      </c>
      <c r="K1114" s="133">
        <v>0.880952380952381</v>
      </c>
      <c r="L1114" s="133">
        <v>0.868421052631579</v>
      </c>
      <c r="M1114" s="134">
        <v>0.875</v>
      </c>
      <c r="N1114" s="133">
        <v>0.789865871833085</v>
      </c>
      <c r="O1114" s="135">
        <v>0.9</v>
      </c>
      <c r="P1114" s="133">
        <v>0.915450121654501</v>
      </c>
      <c r="Q1114" s="133">
        <v>0.942711648631445</v>
      </c>
      <c r="R1114" s="133">
        <v>0.937855113636364</v>
      </c>
      <c r="S1114" s="133">
        <v>0.901656867985035</v>
      </c>
      <c r="T1114" s="135">
        <v>0.9</v>
      </c>
      <c r="U1114" s="133">
        <v>0.678223844282238</v>
      </c>
      <c r="V1114" s="133">
        <v>0.641629535327817</v>
      </c>
      <c r="W1114" s="133">
        <v>0.686434659090909</v>
      </c>
      <c r="X1114" s="133">
        <v>0.704436130411545</v>
      </c>
      <c r="Y1114" s="135">
        <v>0.92</v>
      </c>
      <c r="Z1114" s="135" t="s">
        <v>35</v>
      </c>
      <c r="AA1114" s="135" t="s">
        <v>35</v>
      </c>
      <c r="AB1114" s="135">
        <v>0</v>
      </c>
      <c r="AC1114" s="135">
        <v>0</v>
      </c>
      <c r="AD1114" s="135">
        <v>0.92</v>
      </c>
      <c r="AE1114" s="133">
        <v>0.986535008976661</v>
      </c>
      <c r="AF1114" s="133">
        <v>0.998831775700935</v>
      </c>
      <c r="AG1114" s="133">
        <v>1</v>
      </c>
      <c r="AH1114" s="133">
        <v>0.992992377673961</v>
      </c>
      <c r="AI1114" s="135">
        <v>0.92</v>
      </c>
      <c r="AJ1114" s="133">
        <v>0.87043795620438</v>
      </c>
      <c r="AK1114" s="133">
        <v>0.8497772119669</v>
      </c>
      <c r="AL1114" s="133">
        <v>0.891728789492368</v>
      </c>
      <c r="AM1114" s="133">
        <v>0.881616543671758</v>
      </c>
      <c r="AN1114" s="132">
        <v>0.99</v>
      </c>
      <c r="AO1114" s="137">
        <v>1</v>
      </c>
      <c r="AP1114" s="137">
        <v>1</v>
      </c>
      <c r="AQ1114" s="137">
        <v>1</v>
      </c>
      <c r="AR1114" s="137">
        <v>1</v>
      </c>
      <c r="AS1114" s="158">
        <v>0.0721861525408278</v>
      </c>
      <c r="AT1114" s="141">
        <v>0.166666666666667</v>
      </c>
      <c r="AU1114" s="141">
        <v>0</v>
      </c>
      <c r="AV1114" s="141">
        <v>0.142857142857143</v>
      </c>
      <c r="AW1114" s="141">
        <v>0.104761904761905</v>
      </c>
      <c r="AX1114" s="95"/>
      <c r="AY1114" s="93"/>
    </row>
    <row r="1115" ht="14.5" spans="1:51">
      <c r="A1115" s="91"/>
      <c r="B1115" s="95"/>
      <c r="C1115" s="152" t="s">
        <v>1085</v>
      </c>
      <c r="D1115" s="153" t="s">
        <v>25</v>
      </c>
      <c r="E1115" s="130" t="s">
        <v>1086</v>
      </c>
      <c r="F1115" s="195" t="s">
        <v>1145</v>
      </c>
      <c r="G1115" s="195" t="s">
        <v>1145</v>
      </c>
      <c r="H1115" s="195" t="s">
        <v>1145</v>
      </c>
      <c r="I1115" s="195" t="s">
        <v>1145</v>
      </c>
      <c r="J1115" s="132">
        <v>0.9</v>
      </c>
      <c r="K1115" s="133">
        <v>0.951219512195122</v>
      </c>
      <c r="L1115" s="133">
        <v>0.902439024390244</v>
      </c>
      <c r="M1115" s="134">
        <v>0.953488372093023</v>
      </c>
      <c r="N1115" s="133">
        <v>0.962536023054755</v>
      </c>
      <c r="O1115" s="135">
        <v>0.9</v>
      </c>
      <c r="P1115" s="133">
        <v>0.982608695652174</v>
      </c>
      <c r="Q1115" s="133">
        <v>0.947317310026705</v>
      </c>
      <c r="R1115" s="133">
        <v>0.97782585181179</v>
      </c>
      <c r="S1115" s="133">
        <v>0.973584174356375</v>
      </c>
      <c r="T1115" s="135">
        <v>0.9</v>
      </c>
      <c r="U1115" s="133">
        <v>0.947356051703878</v>
      </c>
      <c r="V1115" s="133">
        <v>0.91964068948774</v>
      </c>
      <c r="W1115" s="133">
        <v>0.959978366684694</v>
      </c>
      <c r="X1115" s="133">
        <v>0.934675988730043</v>
      </c>
      <c r="Y1115" s="135">
        <v>0.92</v>
      </c>
      <c r="Z1115" s="135" t="s">
        <v>35</v>
      </c>
      <c r="AA1115" s="135">
        <v>1</v>
      </c>
      <c r="AB1115" s="135" t="s">
        <v>35</v>
      </c>
      <c r="AC1115" s="135">
        <v>0.5</v>
      </c>
      <c r="AD1115" s="135">
        <v>0.92</v>
      </c>
      <c r="AE1115" s="133">
        <v>1</v>
      </c>
      <c r="AF1115" s="133">
        <v>1</v>
      </c>
      <c r="AG1115" s="133">
        <v>1</v>
      </c>
      <c r="AH1115" s="133">
        <v>0.999200894997603</v>
      </c>
      <c r="AI1115" s="135">
        <v>0.92</v>
      </c>
      <c r="AJ1115" s="133">
        <v>0.975323149236193</v>
      </c>
      <c r="AK1115" s="133">
        <v>0.962135922330097</v>
      </c>
      <c r="AL1115" s="133">
        <v>0.987290427257977</v>
      </c>
      <c r="AM1115" s="133">
        <v>0.985003652192061</v>
      </c>
      <c r="AN1115" s="132">
        <v>0.99</v>
      </c>
      <c r="AO1115" s="137">
        <v>1</v>
      </c>
      <c r="AP1115" s="137">
        <v>1</v>
      </c>
      <c r="AQ1115" s="137">
        <v>1</v>
      </c>
      <c r="AR1115" s="137">
        <v>1</v>
      </c>
      <c r="AS1115" s="158">
        <v>0.0721861525408278</v>
      </c>
      <c r="AT1115" s="141">
        <v>0</v>
      </c>
      <c r="AU1115" s="141">
        <v>0.0769230769230769</v>
      </c>
      <c r="AV1115" s="141">
        <v>0</v>
      </c>
      <c r="AW1115" s="141">
        <v>0.0307692307692308</v>
      </c>
      <c r="AX1115" s="95"/>
      <c r="AY1115" s="93"/>
    </row>
    <row r="1116" ht="14.5" spans="1:51">
      <c r="A1116" s="91"/>
      <c r="B1116" s="95"/>
      <c r="C1116" s="152" t="s">
        <v>1085</v>
      </c>
      <c r="D1116" s="153" t="s">
        <v>25</v>
      </c>
      <c r="E1116" s="130" t="s">
        <v>1086</v>
      </c>
      <c r="F1116" s="195" t="s">
        <v>1146</v>
      </c>
      <c r="G1116" s="195" t="s">
        <v>1146</v>
      </c>
      <c r="H1116" s="195" t="s">
        <v>1146</v>
      </c>
      <c r="I1116" s="195" t="s">
        <v>1146</v>
      </c>
      <c r="J1116" s="132">
        <v>0.9</v>
      </c>
      <c r="K1116" s="133">
        <v>0.912280701754386</v>
      </c>
      <c r="L1116" s="133">
        <v>0.882352941176471</v>
      </c>
      <c r="M1116" s="134">
        <v>0.728813559322034</v>
      </c>
      <c r="N1116" s="133">
        <v>0.816326530612245</v>
      </c>
      <c r="O1116" s="135">
        <v>0.9</v>
      </c>
      <c r="P1116" s="133">
        <v>0.861396667848281</v>
      </c>
      <c r="Q1116" s="133">
        <v>0.913925822253324</v>
      </c>
      <c r="R1116" s="133">
        <v>0.918866459627329</v>
      </c>
      <c r="S1116" s="133">
        <v>0.898765726422557</v>
      </c>
      <c r="T1116" s="135">
        <v>0.9</v>
      </c>
      <c r="U1116" s="133">
        <v>0.777206664303439</v>
      </c>
      <c r="V1116" s="133">
        <v>0.825227431770469</v>
      </c>
      <c r="W1116" s="133">
        <v>0.850349378881988</v>
      </c>
      <c r="X1116" s="133">
        <v>0.846544792535842</v>
      </c>
      <c r="Y1116" s="135">
        <v>0.92</v>
      </c>
      <c r="Z1116" s="135" t="s">
        <v>35</v>
      </c>
      <c r="AA1116" s="135" t="s">
        <v>35</v>
      </c>
      <c r="AB1116" s="135" t="s">
        <v>35</v>
      </c>
      <c r="AC1116" s="135" t="s">
        <v>35</v>
      </c>
      <c r="AD1116" s="135">
        <v>0.92</v>
      </c>
      <c r="AE1116" s="133">
        <v>1</v>
      </c>
      <c r="AF1116" s="133">
        <v>0.97196261682243</v>
      </c>
      <c r="AG1116" s="133">
        <v>1</v>
      </c>
      <c r="AH1116" s="133">
        <v>0.984201077199282</v>
      </c>
      <c r="AI1116" s="135">
        <v>0.92</v>
      </c>
      <c r="AJ1116" s="133">
        <v>0.929280397022333</v>
      </c>
      <c r="AK1116" s="133">
        <v>0.953114065780266</v>
      </c>
      <c r="AL1116" s="133">
        <v>0.968361801242236</v>
      </c>
      <c r="AM1116" s="133">
        <v>0.967165505358633</v>
      </c>
      <c r="AN1116" s="132">
        <v>0.99</v>
      </c>
      <c r="AO1116" s="137">
        <v>1</v>
      </c>
      <c r="AP1116" s="137">
        <v>1</v>
      </c>
      <c r="AQ1116" s="137">
        <v>1</v>
      </c>
      <c r="AR1116" s="137">
        <v>1</v>
      </c>
      <c r="AS1116" s="158">
        <v>0.0721861525408278</v>
      </c>
      <c r="AT1116" s="141">
        <v>0</v>
      </c>
      <c r="AU1116" s="141">
        <v>0.0909090909090909</v>
      </c>
      <c r="AV1116" s="141">
        <v>0.153846153846154</v>
      </c>
      <c r="AW1116" s="141">
        <v>0.0714285714285714</v>
      </c>
      <c r="AX1116" s="95"/>
      <c r="AY1116" s="93"/>
    </row>
    <row r="1117" ht="14.5" spans="1:51">
      <c r="A1117" s="91"/>
      <c r="B1117" s="95"/>
      <c r="C1117" s="152" t="s">
        <v>1085</v>
      </c>
      <c r="D1117" s="153" t="s">
        <v>25</v>
      </c>
      <c r="E1117" s="130" t="s">
        <v>1086</v>
      </c>
      <c r="F1117" s="195" t="s">
        <v>1147</v>
      </c>
      <c r="G1117" s="195" t="s">
        <v>1147</v>
      </c>
      <c r="H1117" s="195" t="s">
        <v>1147</v>
      </c>
      <c r="I1117" s="195" t="s">
        <v>1147</v>
      </c>
      <c r="J1117" s="132">
        <v>0.9</v>
      </c>
      <c r="K1117" s="133">
        <v>0.894736842105263</v>
      </c>
      <c r="L1117" s="133">
        <v>0.921052631578947</v>
      </c>
      <c r="M1117" s="134">
        <v>0.951219512195122</v>
      </c>
      <c r="N1117" s="133">
        <v>0.929203539823009</v>
      </c>
      <c r="O1117" s="135">
        <v>0.9</v>
      </c>
      <c r="P1117" s="133">
        <v>0.963183821623023</v>
      </c>
      <c r="Q1117" s="133">
        <v>0.918333790079474</v>
      </c>
      <c r="R1117" s="133">
        <v>0.927310798683817</v>
      </c>
      <c r="S1117" s="133">
        <v>0.941194870190804</v>
      </c>
      <c r="T1117" s="135">
        <v>0.9</v>
      </c>
      <c r="U1117" s="133">
        <v>0.720767435830957</v>
      </c>
      <c r="V1117" s="133">
        <v>0.75143875034256</v>
      </c>
      <c r="W1117" s="133">
        <v>0.796290756805265</v>
      </c>
      <c r="X1117" s="133">
        <v>0.782542844442981</v>
      </c>
      <c r="Y1117" s="135">
        <v>0.92</v>
      </c>
      <c r="Z1117" s="135" t="s">
        <v>35</v>
      </c>
      <c r="AA1117" s="135" t="s">
        <v>35</v>
      </c>
      <c r="AB1117" s="135" t="s">
        <v>35</v>
      </c>
      <c r="AC1117" s="135" t="s">
        <v>35</v>
      </c>
      <c r="AD1117" s="135">
        <v>0.92</v>
      </c>
      <c r="AE1117" s="133">
        <v>1</v>
      </c>
      <c r="AF1117" s="133">
        <v>1</v>
      </c>
      <c r="AG1117" s="133">
        <v>1</v>
      </c>
      <c r="AH1117" s="133">
        <v>0.999803420483586</v>
      </c>
      <c r="AI1117" s="135">
        <v>0.92</v>
      </c>
      <c r="AJ1117" s="133">
        <v>0.869103162260238</v>
      </c>
      <c r="AK1117" s="133">
        <v>0.901068785968759</v>
      </c>
      <c r="AL1117" s="133">
        <v>0.89530361950344</v>
      </c>
      <c r="AM1117" s="133">
        <v>0.905439220334519</v>
      </c>
      <c r="AN1117" s="132">
        <v>0.99</v>
      </c>
      <c r="AO1117" s="137">
        <v>1</v>
      </c>
      <c r="AP1117" s="137">
        <v>1</v>
      </c>
      <c r="AQ1117" s="137">
        <v>1</v>
      </c>
      <c r="AR1117" s="137">
        <v>1</v>
      </c>
      <c r="AS1117" s="158">
        <v>0.0721861525408278</v>
      </c>
      <c r="AT1117" s="141">
        <v>0.166666666666667</v>
      </c>
      <c r="AU1117" s="141">
        <v>0.0769230769230769</v>
      </c>
      <c r="AV1117" s="141">
        <v>0.1</v>
      </c>
      <c r="AW1117" s="141">
        <v>0.111888111888112</v>
      </c>
      <c r="AX1117" s="95"/>
      <c r="AY1117" s="93"/>
    </row>
    <row r="1118" ht="14.5" spans="1:51">
      <c r="A1118" s="91"/>
      <c r="B1118" s="95"/>
      <c r="C1118" s="152" t="s">
        <v>1085</v>
      </c>
      <c r="D1118" s="153" t="s">
        <v>25</v>
      </c>
      <c r="E1118" s="130" t="s">
        <v>1086</v>
      </c>
      <c r="F1118" s="195" t="s">
        <v>1148</v>
      </c>
      <c r="G1118" s="195" t="s">
        <v>1148</v>
      </c>
      <c r="H1118" s="195" t="s">
        <v>1148</v>
      </c>
      <c r="I1118" s="195" t="s">
        <v>1148</v>
      </c>
      <c r="J1118" s="132">
        <v>0.9</v>
      </c>
      <c r="K1118" s="133">
        <v>0.916666666666667</v>
      </c>
      <c r="L1118" s="133">
        <v>0.892857142857143</v>
      </c>
      <c r="M1118" s="134">
        <v>0.941176470588235</v>
      </c>
      <c r="N1118" s="133">
        <v>0.81993006993007</v>
      </c>
      <c r="O1118" s="135">
        <v>0.9</v>
      </c>
      <c r="P1118" s="133">
        <v>0.929980903882877</v>
      </c>
      <c r="Q1118" s="133">
        <v>0.938650306748466</v>
      </c>
      <c r="R1118" s="133">
        <v>0.917407407407407</v>
      </c>
      <c r="S1118" s="133">
        <v>0.922793806582621</v>
      </c>
      <c r="T1118" s="135">
        <v>0.9</v>
      </c>
      <c r="U1118" s="133">
        <v>0.656906429026098</v>
      </c>
      <c r="V1118" s="133">
        <v>0.597818677573279</v>
      </c>
      <c r="W1118" s="133">
        <v>0.668518518518519</v>
      </c>
      <c r="X1118" s="133">
        <v>0.688425416701921</v>
      </c>
      <c r="Y1118" s="135">
        <v>0.92</v>
      </c>
      <c r="Z1118" s="135" t="s">
        <v>35</v>
      </c>
      <c r="AA1118" s="135" t="s">
        <v>35</v>
      </c>
      <c r="AB1118" s="135" t="s">
        <v>35</v>
      </c>
      <c r="AC1118" s="135" t="s">
        <v>35</v>
      </c>
      <c r="AD1118" s="135">
        <v>0.92</v>
      </c>
      <c r="AE1118" s="133">
        <v>1</v>
      </c>
      <c r="AF1118" s="133">
        <v>1</v>
      </c>
      <c r="AG1118" s="133">
        <v>0.998858447488584</v>
      </c>
      <c r="AH1118" s="133">
        <v>0.996628180239093</v>
      </c>
      <c r="AI1118" s="135">
        <v>0.92</v>
      </c>
      <c r="AJ1118" s="133">
        <v>0.868236791852323</v>
      </c>
      <c r="AK1118" s="133">
        <v>0.8173142467621</v>
      </c>
      <c r="AL1118" s="133">
        <v>0.849259259259259</v>
      </c>
      <c r="AM1118" s="133">
        <v>0.88607327185041</v>
      </c>
      <c r="AN1118" s="132">
        <v>0.99</v>
      </c>
      <c r="AO1118" s="137">
        <v>1</v>
      </c>
      <c r="AP1118" s="137">
        <v>1</v>
      </c>
      <c r="AQ1118" s="137">
        <v>1</v>
      </c>
      <c r="AR1118" s="137">
        <v>1</v>
      </c>
      <c r="AS1118" s="158">
        <v>0.0721861525408278</v>
      </c>
      <c r="AT1118" s="141">
        <v>0</v>
      </c>
      <c r="AU1118" s="141">
        <v>0</v>
      </c>
      <c r="AV1118" s="141">
        <v>0</v>
      </c>
      <c r="AW1118" s="141">
        <v>0.0542635658914729</v>
      </c>
      <c r="AX1118" s="95"/>
      <c r="AY1118" s="93"/>
    </row>
    <row r="1119" ht="14.5" spans="1:51">
      <c r="A1119" s="91"/>
      <c r="B1119" s="95"/>
      <c r="C1119" s="152" t="s">
        <v>1085</v>
      </c>
      <c r="D1119" s="153" t="s">
        <v>25</v>
      </c>
      <c r="E1119" s="130" t="s">
        <v>1086</v>
      </c>
      <c r="F1119" s="195" t="s">
        <v>1149</v>
      </c>
      <c r="G1119" s="195" t="s">
        <v>1149</v>
      </c>
      <c r="H1119" s="195" t="s">
        <v>1149</v>
      </c>
      <c r="I1119" s="195" t="s">
        <v>1149</v>
      </c>
      <c r="J1119" s="132">
        <v>0.9</v>
      </c>
      <c r="K1119" s="133">
        <v>0.879310344827586</v>
      </c>
      <c r="L1119" s="133">
        <v>0.944444444444444</v>
      </c>
      <c r="M1119" s="134">
        <v>0.929824561403509</v>
      </c>
      <c r="N1119" s="133">
        <v>0.914547304170905</v>
      </c>
      <c r="O1119" s="135">
        <v>0.9</v>
      </c>
      <c r="P1119" s="133">
        <v>0.961175081192796</v>
      </c>
      <c r="Q1119" s="133">
        <v>0.854185974667902</v>
      </c>
      <c r="R1119" s="133">
        <v>0.961395431202408</v>
      </c>
      <c r="S1119" s="133">
        <v>0.949049088917654</v>
      </c>
      <c r="T1119" s="135">
        <v>0.9</v>
      </c>
      <c r="U1119" s="133">
        <v>0.834957189253026</v>
      </c>
      <c r="V1119" s="133">
        <v>0.724745134383689</v>
      </c>
      <c r="W1119" s="133">
        <v>0.81512307419869</v>
      </c>
      <c r="X1119" s="133">
        <v>0.819058050383352</v>
      </c>
      <c r="Y1119" s="135">
        <v>0.92</v>
      </c>
      <c r="Z1119" s="135">
        <v>0</v>
      </c>
      <c r="AA1119" s="135" t="s">
        <v>35</v>
      </c>
      <c r="AB1119" s="135" t="s">
        <v>35</v>
      </c>
      <c r="AC1119" s="135">
        <v>0</v>
      </c>
      <c r="AD1119" s="135">
        <v>0.92</v>
      </c>
      <c r="AE1119" s="133">
        <v>1</v>
      </c>
      <c r="AF1119" s="133">
        <v>0.998556998556999</v>
      </c>
      <c r="AG1119" s="133">
        <v>0.998360655737705</v>
      </c>
      <c r="AH1119" s="133">
        <v>0.996140039371598</v>
      </c>
      <c r="AI1119" s="135">
        <v>0.92</v>
      </c>
      <c r="AJ1119" s="133">
        <v>0.942878228782288</v>
      </c>
      <c r="AK1119" s="133">
        <v>0.949644732777263</v>
      </c>
      <c r="AL1119" s="133">
        <v>0.965822560651673</v>
      </c>
      <c r="AM1119" s="133">
        <v>0.959933089055281</v>
      </c>
      <c r="AN1119" s="132">
        <v>0.99</v>
      </c>
      <c r="AO1119" s="137">
        <v>1</v>
      </c>
      <c r="AP1119" s="137">
        <v>1</v>
      </c>
      <c r="AQ1119" s="137">
        <v>1</v>
      </c>
      <c r="AR1119" s="137">
        <v>1</v>
      </c>
      <c r="AS1119" s="158">
        <v>0.0721861525408278</v>
      </c>
      <c r="AT1119" s="141">
        <v>0</v>
      </c>
      <c r="AU1119" s="141">
        <v>0.111111111111111</v>
      </c>
      <c r="AV1119" s="141">
        <v>0</v>
      </c>
      <c r="AW1119" s="141">
        <v>0.0974025974025974</v>
      </c>
      <c r="AX1119" s="95"/>
      <c r="AY1119" s="93"/>
    </row>
    <row r="1120" ht="14.5" spans="1:51">
      <c r="A1120" s="91"/>
      <c r="B1120" s="95"/>
      <c r="C1120" s="152" t="s">
        <v>1085</v>
      </c>
      <c r="D1120" s="153" t="s">
        <v>25</v>
      </c>
      <c r="E1120" s="130" t="s">
        <v>1086</v>
      </c>
      <c r="F1120" s="195" t="s">
        <v>1150</v>
      </c>
      <c r="G1120" s="195" t="s">
        <v>1150</v>
      </c>
      <c r="H1120" s="195" t="s">
        <v>1150</v>
      </c>
      <c r="I1120" s="195" t="s">
        <v>1150</v>
      </c>
      <c r="J1120" s="132">
        <v>0.9</v>
      </c>
      <c r="K1120" s="133">
        <v>0.96</v>
      </c>
      <c r="L1120" s="133">
        <v>0.971830985915493</v>
      </c>
      <c r="M1120" s="134">
        <v>0.92</v>
      </c>
      <c r="N1120" s="133">
        <v>0.923259493670886</v>
      </c>
      <c r="O1120" s="135">
        <v>0.9</v>
      </c>
      <c r="P1120" s="133">
        <v>0.587586390217969</v>
      </c>
      <c r="Q1120" s="133">
        <v>0.858463630183549</v>
      </c>
      <c r="R1120" s="133">
        <v>0.923783031988873</v>
      </c>
      <c r="S1120" s="133">
        <v>0.858770685579196</v>
      </c>
      <c r="T1120" s="135">
        <v>0.9</v>
      </c>
      <c r="U1120" s="133">
        <v>0.552232854864434</v>
      </c>
      <c r="V1120" s="133">
        <v>0.603127124405167</v>
      </c>
      <c r="W1120" s="133">
        <v>0.638525730180807</v>
      </c>
      <c r="X1120" s="133">
        <v>0.604972419227738</v>
      </c>
      <c r="Y1120" s="135">
        <v>0.92</v>
      </c>
      <c r="Z1120" s="135" t="s">
        <v>35</v>
      </c>
      <c r="AA1120" s="135">
        <v>0</v>
      </c>
      <c r="AB1120" s="135" t="s">
        <v>35</v>
      </c>
      <c r="AC1120" s="135">
        <v>0.666666666666667</v>
      </c>
      <c r="AD1120" s="135">
        <v>0.92</v>
      </c>
      <c r="AE1120" s="133">
        <v>0.999560825647782</v>
      </c>
      <c r="AF1120" s="133">
        <v>0.997952917093142</v>
      </c>
      <c r="AG1120" s="133">
        <v>0.994361865709892</v>
      </c>
      <c r="AH1120" s="133">
        <v>0.980822469421654</v>
      </c>
      <c r="AI1120" s="135">
        <v>0.92</v>
      </c>
      <c r="AJ1120" s="133">
        <v>0.857788410419989</v>
      </c>
      <c r="AK1120" s="133">
        <v>0.90483958673192</v>
      </c>
      <c r="AL1120" s="133">
        <v>0.932545201668985</v>
      </c>
      <c r="AM1120" s="133">
        <v>0.930821178380338</v>
      </c>
      <c r="AN1120" s="132">
        <v>0.99</v>
      </c>
      <c r="AO1120" s="137">
        <v>1</v>
      </c>
      <c r="AP1120" s="137">
        <v>1</v>
      </c>
      <c r="AQ1120" s="137">
        <v>1</v>
      </c>
      <c r="AR1120" s="137">
        <v>1</v>
      </c>
      <c r="AS1120" s="158">
        <v>0.0721861525408278</v>
      </c>
      <c r="AT1120" s="141">
        <v>0</v>
      </c>
      <c r="AU1120" s="141">
        <v>0</v>
      </c>
      <c r="AV1120" s="141">
        <v>0</v>
      </c>
      <c r="AW1120" s="141">
        <v>0.0225733634311512</v>
      </c>
      <c r="AX1120" s="95"/>
      <c r="AY1120" s="93"/>
    </row>
    <row r="1121" ht="14.5" spans="1:51">
      <c r="A1121" s="91"/>
      <c r="B1121" s="95"/>
      <c r="C1121" s="152" t="s">
        <v>1085</v>
      </c>
      <c r="D1121" s="153" t="s">
        <v>25</v>
      </c>
      <c r="E1121" s="130" t="s">
        <v>1086</v>
      </c>
      <c r="F1121" s="195" t="s">
        <v>1151</v>
      </c>
      <c r="G1121" s="195" t="s">
        <v>1151</v>
      </c>
      <c r="H1121" s="195" t="s">
        <v>1151</v>
      </c>
      <c r="I1121" s="195" t="s">
        <v>1151</v>
      </c>
      <c r="J1121" s="132">
        <v>0.9</v>
      </c>
      <c r="K1121" s="133" t="s">
        <v>35</v>
      </c>
      <c r="L1121" s="133" t="s">
        <v>35</v>
      </c>
      <c r="M1121" s="134" t="s">
        <v>35</v>
      </c>
      <c r="N1121" s="133" t="s">
        <v>35</v>
      </c>
      <c r="O1121" s="135">
        <v>0.9</v>
      </c>
      <c r="P1121" s="133">
        <v>0.142952571810287</v>
      </c>
      <c r="Q1121" s="133">
        <v>0.123659305993691</v>
      </c>
      <c r="R1121" s="133">
        <v>0.0408163265306122</v>
      </c>
      <c r="S1121" s="133">
        <v>0.130298402740518</v>
      </c>
      <c r="T1121" s="135">
        <v>0.9</v>
      </c>
      <c r="U1121" s="133">
        <v>0.0888443553774215</v>
      </c>
      <c r="V1121" s="133">
        <v>0.0170347003154574</v>
      </c>
      <c r="W1121" s="133">
        <v>0.011191573403555</v>
      </c>
      <c r="X1121" s="133">
        <v>0.0429237690371043</v>
      </c>
      <c r="Y1121" s="135">
        <v>0.92</v>
      </c>
      <c r="Z1121" s="135" t="s">
        <v>35</v>
      </c>
      <c r="AA1121" s="135" t="s">
        <v>35</v>
      </c>
      <c r="AB1121" s="135" t="s">
        <v>35</v>
      </c>
      <c r="AC1121" s="135">
        <v>1</v>
      </c>
      <c r="AD1121" s="135">
        <v>0.92</v>
      </c>
      <c r="AE1121" s="133" t="s">
        <v>35</v>
      </c>
      <c r="AF1121" s="133" t="s">
        <v>35</v>
      </c>
      <c r="AG1121" s="133" t="s">
        <v>35</v>
      </c>
      <c r="AH1121" s="133">
        <v>1</v>
      </c>
      <c r="AI1121" s="135">
        <v>0.92</v>
      </c>
      <c r="AJ1121" s="133">
        <v>0.114896459585838</v>
      </c>
      <c r="AK1121" s="133">
        <v>0.0914826498422713</v>
      </c>
      <c r="AL1121" s="133">
        <v>0.0171165240289664</v>
      </c>
      <c r="AM1121" s="133">
        <v>0.0861741642591828</v>
      </c>
      <c r="AN1121" s="132">
        <v>0.99</v>
      </c>
      <c r="AO1121" s="137" t="s">
        <v>35</v>
      </c>
      <c r="AP1121" s="137" t="s">
        <v>35</v>
      </c>
      <c r="AQ1121" s="137" t="s">
        <v>35</v>
      </c>
      <c r="AR1121" s="137" t="s">
        <v>35</v>
      </c>
      <c r="AS1121" s="158">
        <v>0.0721861525408278</v>
      </c>
      <c r="AT1121" s="141">
        <v>0.214285714285714</v>
      </c>
      <c r="AU1121" s="141">
        <v>0.0645161290322581</v>
      </c>
      <c r="AV1121" s="141">
        <v>0.2</v>
      </c>
      <c r="AW1121" s="141">
        <v>0.173501577287066</v>
      </c>
      <c r="AX1121" s="95"/>
      <c r="AY1121" s="93"/>
    </row>
    <row r="1122" ht="14.5" spans="1:51">
      <c r="A1122" s="91"/>
      <c r="B1122" s="95"/>
      <c r="C1122" s="152" t="s">
        <v>1085</v>
      </c>
      <c r="D1122" s="153" t="s">
        <v>25</v>
      </c>
      <c r="E1122" s="130" t="s">
        <v>1086</v>
      </c>
      <c r="F1122" s="195" t="s">
        <v>1152</v>
      </c>
      <c r="G1122" s="195" t="s">
        <v>1152</v>
      </c>
      <c r="H1122" s="195" t="s">
        <v>1152</v>
      </c>
      <c r="I1122" s="195" t="s">
        <v>1152</v>
      </c>
      <c r="J1122" s="132">
        <v>0.9</v>
      </c>
      <c r="K1122" s="133">
        <v>0.951612903225806</v>
      </c>
      <c r="L1122" s="133">
        <v>0.933333333333333</v>
      </c>
      <c r="M1122" s="134">
        <v>0.954545454545455</v>
      </c>
      <c r="N1122" s="133">
        <v>0.926711668273867</v>
      </c>
      <c r="O1122" s="135">
        <v>0.9</v>
      </c>
      <c r="P1122" s="133">
        <v>0.826675929142063</v>
      </c>
      <c r="Q1122" s="133">
        <v>0.731326434619003</v>
      </c>
      <c r="R1122" s="133">
        <v>0.801792413505627</v>
      </c>
      <c r="S1122" s="133">
        <v>0.821208514213696</v>
      </c>
      <c r="T1122" s="135">
        <v>0.9</v>
      </c>
      <c r="U1122" s="133">
        <v>0.554359152483501</v>
      </c>
      <c r="V1122" s="133">
        <v>0.554656632173095</v>
      </c>
      <c r="W1122" s="133">
        <v>0.657982492705294</v>
      </c>
      <c r="X1122" s="133">
        <v>0.59806049572889</v>
      </c>
      <c r="Y1122" s="135">
        <v>0.92</v>
      </c>
      <c r="Z1122" s="135">
        <v>0</v>
      </c>
      <c r="AA1122" s="135" t="s">
        <v>35</v>
      </c>
      <c r="AB1122" s="135" t="s">
        <v>35</v>
      </c>
      <c r="AC1122" s="135">
        <v>0</v>
      </c>
      <c r="AD1122" s="135">
        <v>0.92</v>
      </c>
      <c r="AE1122" s="133">
        <v>1</v>
      </c>
      <c r="AF1122" s="133">
        <v>1</v>
      </c>
      <c r="AG1122" s="133">
        <v>1</v>
      </c>
      <c r="AH1122" s="133">
        <v>0.999326901503253</v>
      </c>
      <c r="AI1122" s="135">
        <v>0.92</v>
      </c>
      <c r="AJ1122" s="133">
        <v>0.832088904323667</v>
      </c>
      <c r="AK1122" s="133">
        <v>0.871495766698024</v>
      </c>
      <c r="AL1122" s="133">
        <v>0.900166736140058</v>
      </c>
      <c r="AM1122" s="133">
        <v>0.887820475418062</v>
      </c>
      <c r="AN1122" s="132">
        <v>0.99</v>
      </c>
      <c r="AO1122" s="137">
        <v>1</v>
      </c>
      <c r="AP1122" s="137">
        <v>1</v>
      </c>
      <c r="AQ1122" s="137">
        <v>1</v>
      </c>
      <c r="AR1122" s="137">
        <v>1</v>
      </c>
      <c r="AS1122" s="158">
        <v>0.0721861525408278</v>
      </c>
      <c r="AT1122" s="141">
        <v>0.166666666666667</v>
      </c>
      <c r="AU1122" s="141">
        <v>0</v>
      </c>
      <c r="AV1122" s="141">
        <v>0.2</v>
      </c>
      <c r="AW1122" s="141">
        <v>0.0794392523364486</v>
      </c>
      <c r="AX1122" s="95"/>
      <c r="AY1122" s="93"/>
    </row>
    <row r="1123" ht="14.5" spans="1:51">
      <c r="A1123" s="91"/>
      <c r="B1123" s="95"/>
      <c r="C1123" s="152" t="s">
        <v>1085</v>
      </c>
      <c r="D1123" s="153" t="s">
        <v>25</v>
      </c>
      <c r="E1123" s="130" t="s">
        <v>1086</v>
      </c>
      <c r="F1123" s="195" t="s">
        <v>1153</v>
      </c>
      <c r="G1123" s="195" t="s">
        <v>1153</v>
      </c>
      <c r="H1123" s="195" t="s">
        <v>1153</v>
      </c>
      <c r="I1123" s="195" t="s">
        <v>1153</v>
      </c>
      <c r="J1123" s="132">
        <v>0.9</v>
      </c>
      <c r="K1123" s="133">
        <v>0.966666666666667</v>
      </c>
      <c r="L1123" s="133">
        <v>0.919354838709677</v>
      </c>
      <c r="M1123" s="134">
        <v>0.951612903225806</v>
      </c>
      <c r="N1123" s="133">
        <v>0.922714420358153</v>
      </c>
      <c r="O1123" s="135">
        <v>0.9</v>
      </c>
      <c r="P1123" s="133">
        <v>0.981690440706834</v>
      </c>
      <c r="Q1123" s="133">
        <v>0.979097175895041</v>
      </c>
      <c r="R1123" s="133">
        <v>0.984648086915446</v>
      </c>
      <c r="S1123" s="133">
        <v>0.970955216153249</v>
      </c>
      <c r="T1123" s="135">
        <v>0.9</v>
      </c>
      <c r="U1123" s="133">
        <v>0.67234404939323</v>
      </c>
      <c r="V1123" s="133">
        <v>0.707582832999778</v>
      </c>
      <c r="W1123" s="133">
        <v>0.782239017477563</v>
      </c>
      <c r="X1123" s="133">
        <v>0.715713176287859</v>
      </c>
      <c r="Y1123" s="135">
        <v>0.92</v>
      </c>
      <c r="Z1123" s="135" t="s">
        <v>35</v>
      </c>
      <c r="AA1123" s="135" t="s">
        <v>35</v>
      </c>
      <c r="AB1123" s="135" t="s">
        <v>35</v>
      </c>
      <c r="AC1123" s="135">
        <v>0</v>
      </c>
      <c r="AD1123" s="135">
        <v>0.92</v>
      </c>
      <c r="AE1123" s="133">
        <v>0.991266375545852</v>
      </c>
      <c r="AF1123" s="133">
        <v>0.97787610619469</v>
      </c>
      <c r="AG1123" s="133">
        <v>1</v>
      </c>
      <c r="AH1123" s="133">
        <v>0.997649133117837</v>
      </c>
      <c r="AI1123" s="135">
        <v>0.92</v>
      </c>
      <c r="AJ1123" s="133">
        <v>0.876304023845007</v>
      </c>
      <c r="AK1123" s="133">
        <v>0.905714921058483</v>
      </c>
      <c r="AL1123" s="133">
        <v>0.942135096835144</v>
      </c>
      <c r="AM1123" s="133">
        <v>0.925797934301468</v>
      </c>
      <c r="AN1123" s="132">
        <v>0.99</v>
      </c>
      <c r="AO1123" s="137">
        <v>1</v>
      </c>
      <c r="AP1123" s="137">
        <v>1</v>
      </c>
      <c r="AQ1123" s="137">
        <v>1</v>
      </c>
      <c r="AR1123" s="137">
        <v>1</v>
      </c>
      <c r="AS1123" s="158">
        <v>0.0721861525408278</v>
      </c>
      <c r="AT1123" s="141">
        <v>0.166666666666667</v>
      </c>
      <c r="AU1123" s="141">
        <v>0</v>
      </c>
      <c r="AV1123" s="141">
        <v>0.153846153846154</v>
      </c>
      <c r="AW1123" s="141">
        <v>0.0721153846153846</v>
      </c>
      <c r="AX1123" s="95"/>
      <c r="AY1123" s="93"/>
    </row>
    <row r="1124" ht="14.5" spans="1:51">
      <c r="A1124" s="91"/>
      <c r="B1124" s="95"/>
      <c r="C1124" s="152" t="s">
        <v>1085</v>
      </c>
      <c r="D1124" s="153" t="s">
        <v>25</v>
      </c>
      <c r="E1124" s="130" t="s">
        <v>1086</v>
      </c>
      <c r="F1124" s="195" t="s">
        <v>1154</v>
      </c>
      <c r="G1124" s="195" t="s">
        <v>1154</v>
      </c>
      <c r="H1124" s="195" t="s">
        <v>1154</v>
      </c>
      <c r="I1124" s="195" t="s">
        <v>1154</v>
      </c>
      <c r="J1124" s="132">
        <v>0.9</v>
      </c>
      <c r="K1124" s="133">
        <v>0.893617021276596</v>
      </c>
      <c r="L1124" s="133">
        <v>0.906976744186046</v>
      </c>
      <c r="M1124" s="134">
        <v>1</v>
      </c>
      <c r="N1124" s="133">
        <v>0.927016645326505</v>
      </c>
      <c r="O1124" s="135">
        <v>0.9</v>
      </c>
      <c r="P1124" s="133">
        <v>0.901941508970263</v>
      </c>
      <c r="Q1124" s="133">
        <v>0.866310160427808</v>
      </c>
      <c r="R1124" s="133">
        <v>0.857991360691145</v>
      </c>
      <c r="S1124" s="133">
        <v>0.936457970831092</v>
      </c>
      <c r="T1124" s="135">
        <v>0.9</v>
      </c>
      <c r="U1124" s="133">
        <v>0.717621037109855</v>
      </c>
      <c r="V1124" s="133">
        <v>0.726508785332315</v>
      </c>
      <c r="W1124" s="133">
        <v>0.755939524838013</v>
      </c>
      <c r="X1124" s="133">
        <v>0.761539434971053</v>
      </c>
      <c r="Y1124" s="135">
        <v>0.92</v>
      </c>
      <c r="Z1124" s="135" t="s">
        <v>35</v>
      </c>
      <c r="AA1124" s="135" t="s">
        <v>35</v>
      </c>
      <c r="AB1124" s="135">
        <v>1</v>
      </c>
      <c r="AC1124" s="135">
        <v>1</v>
      </c>
      <c r="AD1124" s="135">
        <v>0.92</v>
      </c>
      <c r="AE1124" s="133">
        <v>1</v>
      </c>
      <c r="AF1124" s="133">
        <v>1</v>
      </c>
      <c r="AG1124" s="133">
        <v>1</v>
      </c>
      <c r="AH1124" s="133">
        <v>0.99888765294772</v>
      </c>
      <c r="AI1124" s="135">
        <v>0.92</v>
      </c>
      <c r="AJ1124" s="133">
        <v>0.936102236421725</v>
      </c>
      <c r="AK1124" s="133">
        <v>0.93964858670741</v>
      </c>
      <c r="AL1124" s="133">
        <v>0.947368421052632</v>
      </c>
      <c r="AM1124" s="133">
        <v>0.939370452388485</v>
      </c>
      <c r="AN1124" s="132">
        <v>0.99</v>
      </c>
      <c r="AO1124" s="137">
        <v>1</v>
      </c>
      <c r="AP1124" s="137">
        <v>1</v>
      </c>
      <c r="AQ1124" s="137">
        <v>1</v>
      </c>
      <c r="AR1124" s="137">
        <v>1</v>
      </c>
      <c r="AS1124" s="158">
        <v>0.0721861525408278</v>
      </c>
      <c r="AT1124" s="141">
        <v>0</v>
      </c>
      <c r="AU1124" s="141">
        <v>0</v>
      </c>
      <c r="AV1124" s="141">
        <v>0.125</v>
      </c>
      <c r="AW1124" s="141">
        <v>0.0551724137931034</v>
      </c>
      <c r="AX1124" s="95"/>
      <c r="AY1124" s="93"/>
    </row>
    <row r="1125" ht="14.5" spans="1:51">
      <c r="A1125" s="91"/>
      <c r="B1125" s="95"/>
      <c r="C1125" s="152" t="s">
        <v>1085</v>
      </c>
      <c r="D1125" s="153" t="s">
        <v>25</v>
      </c>
      <c r="E1125" s="130" t="s">
        <v>1086</v>
      </c>
      <c r="F1125" s="195" t="s">
        <v>1155</v>
      </c>
      <c r="G1125" s="195" t="s">
        <v>1155</v>
      </c>
      <c r="H1125" s="195" t="s">
        <v>1155</v>
      </c>
      <c r="I1125" s="195" t="s">
        <v>1155</v>
      </c>
      <c r="J1125" s="132">
        <v>0.9</v>
      </c>
      <c r="K1125" s="133">
        <v>0.931818181818182</v>
      </c>
      <c r="L1125" s="133">
        <v>0.911111111111111</v>
      </c>
      <c r="M1125" s="134">
        <v>0.955555555555556</v>
      </c>
      <c r="N1125" s="133">
        <v>0.919889502762431</v>
      </c>
      <c r="O1125" s="135">
        <v>0.9</v>
      </c>
      <c r="P1125" s="133">
        <v>0.877262693156733</v>
      </c>
      <c r="Q1125" s="133">
        <v>0.867969494756911</v>
      </c>
      <c r="R1125" s="133">
        <v>0.96271186440678</v>
      </c>
      <c r="S1125" s="133">
        <v>0.874661663826314</v>
      </c>
      <c r="T1125" s="135">
        <v>0.9</v>
      </c>
      <c r="U1125" s="133">
        <v>0.647240618101545</v>
      </c>
      <c r="V1125" s="133">
        <v>0.647759771210677</v>
      </c>
      <c r="W1125" s="133">
        <v>0.74367666232073</v>
      </c>
      <c r="X1125" s="133">
        <v>0.650937316510805</v>
      </c>
      <c r="Y1125" s="135">
        <v>0.92</v>
      </c>
      <c r="Z1125" s="135" t="s">
        <v>35</v>
      </c>
      <c r="AA1125" s="135" t="s">
        <v>35</v>
      </c>
      <c r="AB1125" s="135" t="s">
        <v>35</v>
      </c>
      <c r="AC1125" s="135" t="s">
        <v>35</v>
      </c>
      <c r="AD1125" s="135">
        <v>0.92</v>
      </c>
      <c r="AE1125" s="133">
        <v>1</v>
      </c>
      <c r="AF1125" s="133">
        <v>1</v>
      </c>
      <c r="AG1125" s="133">
        <v>1</v>
      </c>
      <c r="AH1125" s="133">
        <v>0.996214169821525</v>
      </c>
      <c r="AI1125" s="135">
        <v>0.92</v>
      </c>
      <c r="AJ1125" s="133">
        <v>0.867991169977925</v>
      </c>
      <c r="AK1125" s="133">
        <v>0.834127740705434</v>
      </c>
      <c r="AL1125" s="133">
        <v>0.907170795306389</v>
      </c>
      <c r="AM1125" s="133">
        <v>0.879745657124035</v>
      </c>
      <c r="AN1125" s="132">
        <v>0.99</v>
      </c>
      <c r="AO1125" s="137">
        <v>1</v>
      </c>
      <c r="AP1125" s="137">
        <v>1</v>
      </c>
      <c r="AQ1125" s="137">
        <v>1</v>
      </c>
      <c r="AR1125" s="137">
        <v>1</v>
      </c>
      <c r="AS1125" s="158">
        <v>0.0721861525408278</v>
      </c>
      <c r="AT1125" s="141">
        <v>0.0833333333333333</v>
      </c>
      <c r="AU1125" s="141">
        <v>0.2</v>
      </c>
      <c r="AV1125" s="141">
        <v>0</v>
      </c>
      <c r="AW1125" s="141">
        <v>0.110497237569061</v>
      </c>
      <c r="AX1125" s="95"/>
      <c r="AY1125" s="93"/>
    </row>
    <row r="1126" ht="14.5" spans="1:51">
      <c r="A1126" s="91"/>
      <c r="B1126" s="95"/>
      <c r="C1126" s="152" t="s">
        <v>1085</v>
      </c>
      <c r="D1126" s="153" t="s">
        <v>25</v>
      </c>
      <c r="E1126" s="130" t="s">
        <v>1086</v>
      </c>
      <c r="F1126" s="195" t="s">
        <v>1156</v>
      </c>
      <c r="G1126" s="195" t="s">
        <v>1156</v>
      </c>
      <c r="H1126" s="195" t="s">
        <v>1156</v>
      </c>
      <c r="I1126" s="195" t="s">
        <v>1156</v>
      </c>
      <c r="J1126" s="132">
        <v>0.9</v>
      </c>
      <c r="K1126" s="133">
        <v>0.979166666666667</v>
      </c>
      <c r="L1126" s="133">
        <v>1</v>
      </c>
      <c r="M1126" s="134">
        <v>0.980769230769231</v>
      </c>
      <c r="N1126" s="133">
        <v>0.988235294117647</v>
      </c>
      <c r="O1126" s="135">
        <v>0.9</v>
      </c>
      <c r="P1126" s="133">
        <v>0.927380430013164</v>
      </c>
      <c r="Q1126" s="133">
        <v>0.944609750514992</v>
      </c>
      <c r="R1126" s="133">
        <v>0.981930693069307</v>
      </c>
      <c r="S1126" s="133">
        <v>0.959182292019224</v>
      </c>
      <c r="T1126" s="135">
        <v>0.9</v>
      </c>
      <c r="U1126" s="133">
        <v>0.657305835892935</v>
      </c>
      <c r="V1126" s="133">
        <v>0.698558022430762</v>
      </c>
      <c r="W1126" s="133">
        <v>0.755445544554455</v>
      </c>
      <c r="X1126" s="133">
        <v>0.729492993975496</v>
      </c>
      <c r="Y1126" s="135">
        <v>0.92</v>
      </c>
      <c r="Z1126" s="135" t="s">
        <v>35</v>
      </c>
      <c r="AA1126" s="135" t="s">
        <v>35</v>
      </c>
      <c r="AB1126" s="135" t="s">
        <v>35</v>
      </c>
      <c r="AC1126" s="135" t="s">
        <v>35</v>
      </c>
      <c r="AD1126" s="135">
        <v>0.92</v>
      </c>
      <c r="AE1126" s="133">
        <v>0.996197718631179</v>
      </c>
      <c r="AF1126" s="133">
        <v>0.987012987012987</v>
      </c>
      <c r="AG1126" s="133">
        <v>0.990881458966565</v>
      </c>
      <c r="AH1126" s="133">
        <v>0.993438826707835</v>
      </c>
      <c r="AI1126" s="135">
        <v>0.92</v>
      </c>
      <c r="AJ1126" s="133">
        <v>0.93505923650724</v>
      </c>
      <c r="AK1126" s="133">
        <v>0.937743190661479</v>
      </c>
      <c r="AL1126" s="133">
        <v>0.96980198019802</v>
      </c>
      <c r="AM1126" s="133">
        <v>0.959304135923644</v>
      </c>
      <c r="AN1126" s="132">
        <v>0.99</v>
      </c>
      <c r="AO1126" s="137">
        <v>1</v>
      </c>
      <c r="AP1126" s="137">
        <v>1</v>
      </c>
      <c r="AQ1126" s="137">
        <v>1</v>
      </c>
      <c r="AR1126" s="137">
        <v>1</v>
      </c>
      <c r="AS1126" s="158">
        <v>0.0721861525408278</v>
      </c>
      <c r="AT1126" s="141">
        <v>0.166666666666667</v>
      </c>
      <c r="AU1126" s="141">
        <v>0</v>
      </c>
      <c r="AV1126" s="141">
        <v>0</v>
      </c>
      <c r="AW1126" s="141">
        <v>0.11</v>
      </c>
      <c r="AX1126" s="95"/>
      <c r="AY1126" s="93"/>
    </row>
    <row r="1127" ht="14.5" spans="1:51">
      <c r="A1127" s="91"/>
      <c r="B1127" s="95"/>
      <c r="C1127" s="152" t="s">
        <v>1085</v>
      </c>
      <c r="D1127" s="153" t="s">
        <v>25</v>
      </c>
      <c r="E1127" s="130" t="s">
        <v>1086</v>
      </c>
      <c r="F1127" s="195" t="s">
        <v>1157</v>
      </c>
      <c r="G1127" s="195" t="s">
        <v>1157</v>
      </c>
      <c r="H1127" s="195" t="s">
        <v>1157</v>
      </c>
      <c r="I1127" s="195" t="s">
        <v>1157</v>
      </c>
      <c r="J1127" s="132">
        <v>0.9</v>
      </c>
      <c r="K1127" s="133">
        <v>1</v>
      </c>
      <c r="L1127" s="133">
        <v>1</v>
      </c>
      <c r="M1127" s="134">
        <v>0.974358974358974</v>
      </c>
      <c r="N1127" s="133">
        <v>0.98962962962963</v>
      </c>
      <c r="O1127" s="135">
        <v>0.9</v>
      </c>
      <c r="P1127" s="133">
        <v>0.984275053304904</v>
      </c>
      <c r="Q1127" s="133">
        <v>0.97732181425486</v>
      </c>
      <c r="R1127" s="133">
        <v>0.983114446529081</v>
      </c>
      <c r="S1127" s="133">
        <v>0.982775681341719</v>
      </c>
      <c r="T1127" s="135">
        <v>0.9</v>
      </c>
      <c r="U1127" s="133">
        <v>0.875</v>
      </c>
      <c r="V1127" s="133">
        <v>0.834233261339093</v>
      </c>
      <c r="W1127" s="133">
        <v>0.885240775484678</v>
      </c>
      <c r="X1127" s="133">
        <v>0.866012578616352</v>
      </c>
      <c r="Y1127" s="135">
        <v>0.92</v>
      </c>
      <c r="Z1127" s="135" t="s">
        <v>35</v>
      </c>
      <c r="AA1127" s="135" t="s">
        <v>35</v>
      </c>
      <c r="AB1127" s="135" t="s">
        <v>35</v>
      </c>
      <c r="AC1127" s="135" t="s">
        <v>35</v>
      </c>
      <c r="AD1127" s="135">
        <v>0.92</v>
      </c>
      <c r="AE1127" s="133">
        <v>1</v>
      </c>
      <c r="AF1127" s="133">
        <v>1</v>
      </c>
      <c r="AG1127" s="133">
        <v>1</v>
      </c>
      <c r="AH1127" s="133">
        <v>0.998090388287715</v>
      </c>
      <c r="AI1127" s="135">
        <v>0.92</v>
      </c>
      <c r="AJ1127" s="133">
        <v>0.95362473347548</v>
      </c>
      <c r="AK1127" s="133">
        <v>0.965442764578834</v>
      </c>
      <c r="AL1127" s="133">
        <v>0.940587867417136</v>
      </c>
      <c r="AM1127" s="133">
        <v>0.96211320754717</v>
      </c>
      <c r="AN1127" s="132">
        <v>0.99</v>
      </c>
      <c r="AO1127" s="137">
        <v>1</v>
      </c>
      <c r="AP1127" s="137">
        <v>1</v>
      </c>
      <c r="AQ1127" s="137">
        <v>1</v>
      </c>
      <c r="AR1127" s="137">
        <v>1</v>
      </c>
      <c r="AS1127" s="158">
        <v>0.0721861525408278</v>
      </c>
      <c r="AT1127" s="141">
        <v>0</v>
      </c>
      <c r="AU1127" s="141">
        <v>0</v>
      </c>
      <c r="AV1127" s="141">
        <v>0.166666666666667</v>
      </c>
      <c r="AW1127" s="141">
        <v>0.079646017699115</v>
      </c>
      <c r="AX1127" s="95"/>
      <c r="AY1127" s="93"/>
    </row>
    <row r="1128" ht="14.5" spans="1:51">
      <c r="A1128" s="91"/>
      <c r="B1128" s="95"/>
      <c r="C1128" s="152" t="s">
        <v>1085</v>
      </c>
      <c r="D1128" s="153" t="s">
        <v>25</v>
      </c>
      <c r="E1128" s="130" t="s">
        <v>1086</v>
      </c>
      <c r="F1128" s="195" t="s">
        <v>1158</v>
      </c>
      <c r="G1128" s="195" t="s">
        <v>1158</v>
      </c>
      <c r="H1128" s="195" t="s">
        <v>1158</v>
      </c>
      <c r="I1128" s="195" t="s">
        <v>1158</v>
      </c>
      <c r="J1128" s="132">
        <v>0.9</v>
      </c>
      <c r="K1128" s="133">
        <v>0.875</v>
      </c>
      <c r="L1128" s="133">
        <v>0.764705882352941</v>
      </c>
      <c r="M1128" s="134">
        <v>0.868421052631579</v>
      </c>
      <c r="N1128" s="133">
        <v>0.924268502581756</v>
      </c>
      <c r="O1128" s="135">
        <v>0.9</v>
      </c>
      <c r="P1128" s="133">
        <v>0.897159647404505</v>
      </c>
      <c r="Q1128" s="133">
        <v>0.985714285714286</v>
      </c>
      <c r="R1128" s="133">
        <v>0.986892829606785</v>
      </c>
      <c r="S1128" s="133">
        <v>0.958568860589522</v>
      </c>
      <c r="T1128" s="135">
        <v>0.9</v>
      </c>
      <c r="U1128" s="133">
        <v>0.50701926216128</v>
      </c>
      <c r="V1128" s="133">
        <v>0.601785714285714</v>
      </c>
      <c r="W1128" s="133">
        <v>0.676946800308404</v>
      </c>
      <c r="X1128" s="133">
        <v>0.610096809823923</v>
      </c>
      <c r="Y1128" s="135">
        <v>0.92</v>
      </c>
      <c r="Z1128" s="135">
        <v>0</v>
      </c>
      <c r="AA1128" s="135">
        <v>0</v>
      </c>
      <c r="AB1128" s="135" t="s">
        <v>35</v>
      </c>
      <c r="AC1128" s="135">
        <v>0.333333333333333</v>
      </c>
      <c r="AD1128" s="135">
        <v>0.92</v>
      </c>
      <c r="AE1128" s="133">
        <v>1</v>
      </c>
      <c r="AF1128" s="133">
        <v>1</v>
      </c>
      <c r="AG1128" s="133">
        <v>1</v>
      </c>
      <c r="AH1128" s="133">
        <v>0.997946611909651</v>
      </c>
      <c r="AI1128" s="135">
        <v>0.92</v>
      </c>
      <c r="AJ1128" s="133">
        <v>0.826044386422977</v>
      </c>
      <c r="AK1128" s="133">
        <v>0.910032131381649</v>
      </c>
      <c r="AL1128" s="133">
        <v>0.923284502698535</v>
      </c>
      <c r="AM1128" s="133">
        <v>0.907765939015939</v>
      </c>
      <c r="AN1128" s="132">
        <v>0.99</v>
      </c>
      <c r="AO1128" s="137">
        <v>1</v>
      </c>
      <c r="AP1128" s="137">
        <v>1</v>
      </c>
      <c r="AQ1128" s="137">
        <v>1</v>
      </c>
      <c r="AR1128" s="137">
        <v>1</v>
      </c>
      <c r="AS1128" s="158">
        <v>0.0721861525408278</v>
      </c>
      <c r="AT1128" s="141">
        <v>0</v>
      </c>
      <c r="AU1128" s="141">
        <v>0</v>
      </c>
      <c r="AV1128" s="141">
        <v>0</v>
      </c>
      <c r="AW1128" s="141">
        <v>0.141304347826087</v>
      </c>
      <c r="AX1128" s="95"/>
      <c r="AY1128" s="93"/>
    </row>
    <row r="1129" ht="14.5" spans="1:51">
      <c r="A1129" s="91"/>
      <c r="B1129" s="95"/>
      <c r="C1129" s="152" t="s">
        <v>1085</v>
      </c>
      <c r="D1129" s="153" t="s">
        <v>25</v>
      </c>
      <c r="E1129" s="130" t="s">
        <v>1086</v>
      </c>
      <c r="F1129" s="195" t="s">
        <v>1159</v>
      </c>
      <c r="G1129" s="195" t="s">
        <v>1159</v>
      </c>
      <c r="H1129" s="195" t="s">
        <v>1159</v>
      </c>
      <c r="I1129" s="195" t="s">
        <v>1159</v>
      </c>
      <c r="J1129" s="132">
        <v>0.9</v>
      </c>
      <c r="K1129" s="133">
        <v>0.815533980582524</v>
      </c>
      <c r="L1129" s="133">
        <v>0.78</v>
      </c>
      <c r="M1129" s="134">
        <v>0.854368932038835</v>
      </c>
      <c r="N1129" s="133">
        <v>0.828739002932551</v>
      </c>
      <c r="O1129" s="135">
        <v>0.9</v>
      </c>
      <c r="P1129" s="133">
        <v>0.893467777290662</v>
      </c>
      <c r="Q1129" s="133">
        <v>0.905810397553517</v>
      </c>
      <c r="R1129" s="133">
        <v>0.944340743254709</v>
      </c>
      <c r="S1129" s="133">
        <v>0.918981439647227</v>
      </c>
      <c r="T1129" s="135">
        <v>0.9</v>
      </c>
      <c r="U1129" s="133">
        <v>0.775975449364314</v>
      </c>
      <c r="V1129" s="133">
        <v>0.813302752293578</v>
      </c>
      <c r="W1129" s="133">
        <v>0.824707279823519</v>
      </c>
      <c r="X1129" s="133">
        <v>0.815381417960349</v>
      </c>
      <c r="Y1129" s="135">
        <v>0.92</v>
      </c>
      <c r="Z1129" s="135" t="s">
        <v>35</v>
      </c>
      <c r="AA1129" s="135" t="s">
        <v>35</v>
      </c>
      <c r="AB1129" s="135" t="s">
        <v>35</v>
      </c>
      <c r="AC1129" s="135" t="s">
        <v>35</v>
      </c>
      <c r="AD1129" s="135">
        <v>0.92</v>
      </c>
      <c r="AE1129" s="133">
        <v>0.998716302952503</v>
      </c>
      <c r="AF1129" s="133">
        <v>0.996808510638298</v>
      </c>
      <c r="AG1129" s="133">
        <v>1</v>
      </c>
      <c r="AH1129" s="133">
        <v>0.997961033076575</v>
      </c>
      <c r="AI1129" s="135">
        <v>0.92</v>
      </c>
      <c r="AJ1129" s="133">
        <v>0.913780505626187</v>
      </c>
      <c r="AK1129" s="133">
        <v>0.930733944954128</v>
      </c>
      <c r="AL1129" s="133">
        <v>0.943322586119124</v>
      </c>
      <c r="AM1129" s="133">
        <v>0.951972602244592</v>
      </c>
      <c r="AN1129" s="132">
        <v>0.99</v>
      </c>
      <c r="AO1129" s="137">
        <v>1</v>
      </c>
      <c r="AP1129" s="137">
        <v>1</v>
      </c>
      <c r="AQ1129" s="137">
        <v>1</v>
      </c>
      <c r="AR1129" s="137">
        <v>1</v>
      </c>
      <c r="AS1129" s="158">
        <v>0.0721861525408278</v>
      </c>
      <c r="AT1129" s="141">
        <v>0</v>
      </c>
      <c r="AU1129" s="141">
        <v>0.291666666666667</v>
      </c>
      <c r="AV1129" s="141">
        <v>0.0384615384615385</v>
      </c>
      <c r="AW1129" s="141">
        <v>0.0891364902506964</v>
      </c>
      <c r="AX1129" s="95"/>
      <c r="AY1129" s="93"/>
    </row>
    <row r="1130" ht="14.5" spans="1:51">
      <c r="A1130" s="91"/>
      <c r="B1130" s="95"/>
      <c r="C1130" s="152" t="s">
        <v>1085</v>
      </c>
      <c r="D1130" s="153" t="s">
        <v>25</v>
      </c>
      <c r="E1130" s="130" t="s">
        <v>1086</v>
      </c>
      <c r="F1130" s="195" t="s">
        <v>1160</v>
      </c>
      <c r="G1130" s="195" t="s">
        <v>1160</v>
      </c>
      <c r="H1130" s="195" t="s">
        <v>1160</v>
      </c>
      <c r="I1130" s="195" t="s">
        <v>1160</v>
      </c>
      <c r="J1130" s="132">
        <v>0.9</v>
      </c>
      <c r="K1130" s="133">
        <v>0.95</v>
      </c>
      <c r="L1130" s="133">
        <v>0.875</v>
      </c>
      <c r="M1130" s="134">
        <v>0.904761904761905</v>
      </c>
      <c r="N1130" s="133">
        <v>0.925714285714286</v>
      </c>
      <c r="O1130" s="135">
        <v>0.9</v>
      </c>
      <c r="P1130" s="133">
        <v>0.975105189340813</v>
      </c>
      <c r="Q1130" s="133">
        <v>0.960014809329878</v>
      </c>
      <c r="R1130" s="133">
        <v>0.980682285244554</v>
      </c>
      <c r="S1130" s="133">
        <v>0.974083438685209</v>
      </c>
      <c r="T1130" s="135">
        <v>0.9</v>
      </c>
      <c r="U1130" s="133">
        <v>0.729663394109397</v>
      </c>
      <c r="V1130" s="133">
        <v>0.807478711588301</v>
      </c>
      <c r="W1130" s="133">
        <v>0.801890669954788</v>
      </c>
      <c r="X1130" s="133">
        <v>0.796573054000361</v>
      </c>
      <c r="Y1130" s="135">
        <v>0.92</v>
      </c>
      <c r="Z1130" s="135" t="s">
        <v>35</v>
      </c>
      <c r="AA1130" s="135" t="s">
        <v>35</v>
      </c>
      <c r="AB1130" s="135" t="s">
        <v>35</v>
      </c>
      <c r="AC1130" s="135" t="s">
        <v>35</v>
      </c>
      <c r="AD1130" s="135">
        <v>0.92</v>
      </c>
      <c r="AE1130" s="133">
        <v>1</v>
      </c>
      <c r="AF1130" s="133">
        <v>0.990654205607477</v>
      </c>
      <c r="AG1130" s="133">
        <v>1</v>
      </c>
      <c r="AH1130" s="133">
        <v>0.997147746719909</v>
      </c>
      <c r="AI1130" s="135">
        <v>0.92</v>
      </c>
      <c r="AJ1130" s="133">
        <v>0.914446002805049</v>
      </c>
      <c r="AK1130" s="133">
        <v>0.955201777119585</v>
      </c>
      <c r="AL1130" s="133">
        <v>0.962186600904233</v>
      </c>
      <c r="AM1130" s="133">
        <v>0.954442839082536</v>
      </c>
      <c r="AN1130" s="132">
        <v>0.99</v>
      </c>
      <c r="AO1130" s="137">
        <v>1</v>
      </c>
      <c r="AP1130" s="137" t="s">
        <v>35</v>
      </c>
      <c r="AQ1130" s="137">
        <v>1</v>
      </c>
      <c r="AR1130" s="137">
        <v>1</v>
      </c>
      <c r="AS1130" s="158">
        <v>0.0721861525408278</v>
      </c>
      <c r="AT1130" s="141">
        <v>0</v>
      </c>
      <c r="AU1130" s="141">
        <v>0</v>
      </c>
      <c r="AV1130" s="141">
        <v>0</v>
      </c>
      <c r="AW1130" s="141">
        <v>0.0833333333333333</v>
      </c>
      <c r="AX1130" s="95"/>
      <c r="AY1130" s="93"/>
    </row>
    <row r="1131" ht="14.5" spans="1:51">
      <c r="A1131" s="91"/>
      <c r="B1131" s="95"/>
      <c r="C1131" s="152" t="s">
        <v>1085</v>
      </c>
      <c r="D1131" s="153" t="s">
        <v>25</v>
      </c>
      <c r="E1131" s="130" t="s">
        <v>1086</v>
      </c>
      <c r="F1131" s="195" t="s">
        <v>1161</v>
      </c>
      <c r="G1131" s="195" t="s">
        <v>1161</v>
      </c>
      <c r="H1131" s="195" t="s">
        <v>1161</v>
      </c>
      <c r="I1131" s="195" t="s">
        <v>1161</v>
      </c>
      <c r="J1131" s="132">
        <v>0.9</v>
      </c>
      <c r="K1131" s="133">
        <v>0.8</v>
      </c>
      <c r="L1131" s="133">
        <v>0.892857142857143</v>
      </c>
      <c r="M1131" s="134">
        <v>0.90625</v>
      </c>
      <c r="N1131" s="133">
        <v>0.906560636182903</v>
      </c>
      <c r="O1131" s="135">
        <v>0.9</v>
      </c>
      <c r="P1131" s="133">
        <v>0.985009140767825</v>
      </c>
      <c r="Q1131" s="133">
        <v>0.926131511528608</v>
      </c>
      <c r="R1131" s="133">
        <v>0.992720655141037</v>
      </c>
      <c r="S1131" s="133">
        <v>0.978335918346925</v>
      </c>
      <c r="T1131" s="135">
        <v>0.9</v>
      </c>
      <c r="U1131" s="133">
        <v>0.711517367458867</v>
      </c>
      <c r="V1131" s="133">
        <v>0.716054654141759</v>
      </c>
      <c r="W1131" s="133">
        <v>0.832120109190173</v>
      </c>
      <c r="X1131" s="133">
        <v>0.78516035423025</v>
      </c>
      <c r="Y1131" s="135">
        <v>0.92</v>
      </c>
      <c r="Z1131" s="135" t="s">
        <v>35</v>
      </c>
      <c r="AA1131" s="135" t="s">
        <v>35</v>
      </c>
      <c r="AB1131" s="135" t="s">
        <v>35</v>
      </c>
      <c r="AC1131" s="135" t="s">
        <v>35</v>
      </c>
      <c r="AD1131" s="135">
        <v>0.92</v>
      </c>
      <c r="AE1131" s="133">
        <v>1</v>
      </c>
      <c r="AF1131" s="133">
        <v>1</v>
      </c>
      <c r="AG1131" s="133">
        <v>1</v>
      </c>
      <c r="AH1131" s="133">
        <v>0.993710691823899</v>
      </c>
      <c r="AI1131" s="135">
        <v>0.92</v>
      </c>
      <c r="AJ1131" s="133">
        <v>0.887020109689214</v>
      </c>
      <c r="AK1131" s="133">
        <v>0.880871050384287</v>
      </c>
      <c r="AL1131" s="133">
        <v>0.955414012738854</v>
      </c>
      <c r="AM1131" s="133">
        <v>0.93963576324611</v>
      </c>
      <c r="AN1131" s="132">
        <v>0.99</v>
      </c>
      <c r="AO1131" s="137">
        <v>1</v>
      </c>
      <c r="AP1131" s="137">
        <v>1</v>
      </c>
      <c r="AQ1131" s="137" t="s">
        <v>35</v>
      </c>
      <c r="AR1131" s="137">
        <v>1</v>
      </c>
      <c r="AS1131" s="158">
        <v>0.0721861525408278</v>
      </c>
      <c r="AT1131" s="141">
        <v>0</v>
      </c>
      <c r="AU1131" s="141">
        <v>0</v>
      </c>
      <c r="AV1131" s="141">
        <v>0</v>
      </c>
      <c r="AW1131" s="141">
        <v>0.133333333333333</v>
      </c>
      <c r="AX1131" s="95"/>
      <c r="AY1131" s="93"/>
    </row>
    <row r="1132" ht="14.5" spans="1:51">
      <c r="A1132" s="91"/>
      <c r="B1132" s="95"/>
      <c r="C1132" s="152" t="s">
        <v>1085</v>
      </c>
      <c r="D1132" s="153" t="s">
        <v>25</v>
      </c>
      <c r="E1132" s="130" t="s">
        <v>1086</v>
      </c>
      <c r="F1132" s="195" t="s">
        <v>1162</v>
      </c>
      <c r="G1132" s="195" t="s">
        <v>1162</v>
      </c>
      <c r="H1132" s="195" t="s">
        <v>1162</v>
      </c>
      <c r="I1132" s="195" t="s">
        <v>1162</v>
      </c>
      <c r="J1132" s="132">
        <v>0.9</v>
      </c>
      <c r="K1132" s="133">
        <v>0.942028985507246</v>
      </c>
      <c r="L1132" s="133">
        <v>0.898550724637681</v>
      </c>
      <c r="M1132" s="134">
        <v>0.921052631578947</v>
      </c>
      <c r="N1132" s="133">
        <v>0.901815181518152</v>
      </c>
      <c r="O1132" s="135">
        <v>0.9</v>
      </c>
      <c r="P1132" s="133">
        <v>0.972806381435823</v>
      </c>
      <c r="Q1132" s="133">
        <v>0.931903168667585</v>
      </c>
      <c r="R1132" s="133">
        <v>0.96969696969697</v>
      </c>
      <c r="S1132" s="133">
        <v>0.911895590592626</v>
      </c>
      <c r="T1132" s="135">
        <v>0.9</v>
      </c>
      <c r="U1132" s="133">
        <v>0.824691805656273</v>
      </c>
      <c r="V1132" s="133">
        <v>0.811848061405235</v>
      </c>
      <c r="W1132" s="133">
        <v>0.883467023172905</v>
      </c>
      <c r="X1132" s="133">
        <v>0.823575854726416</v>
      </c>
      <c r="Y1132" s="135">
        <v>0.92</v>
      </c>
      <c r="Z1132" s="135" t="s">
        <v>35</v>
      </c>
      <c r="AA1132" s="135" t="s">
        <v>35</v>
      </c>
      <c r="AB1132" s="135" t="s">
        <v>35</v>
      </c>
      <c r="AC1132" s="135">
        <v>0</v>
      </c>
      <c r="AD1132" s="135">
        <v>0.92</v>
      </c>
      <c r="AE1132" s="133">
        <v>1</v>
      </c>
      <c r="AF1132" s="133">
        <v>0.999006951340616</v>
      </c>
      <c r="AG1132" s="133">
        <v>0.997826086956522</v>
      </c>
      <c r="AH1132" s="133">
        <v>0.998257080610022</v>
      </c>
      <c r="AI1132" s="135">
        <v>0.92</v>
      </c>
      <c r="AJ1132" s="133">
        <v>0.94489758926953</v>
      </c>
      <c r="AK1132" s="133">
        <v>0.942727809486322</v>
      </c>
      <c r="AL1132" s="133">
        <v>0.965909090909091</v>
      </c>
      <c r="AM1132" s="133">
        <v>0.959507631944112</v>
      </c>
      <c r="AN1132" s="132">
        <v>0.99</v>
      </c>
      <c r="AO1132" s="137">
        <v>1</v>
      </c>
      <c r="AP1132" s="137">
        <v>1</v>
      </c>
      <c r="AQ1132" s="137">
        <v>1</v>
      </c>
      <c r="AR1132" s="137">
        <v>1</v>
      </c>
      <c r="AS1132" s="158">
        <v>0.0721861525408278</v>
      </c>
      <c r="AT1132" s="141">
        <v>0.0526315789473684</v>
      </c>
      <c r="AU1132" s="141">
        <v>0</v>
      </c>
      <c r="AV1132" s="141">
        <v>0</v>
      </c>
      <c r="AW1132" s="141">
        <v>0.0616113744075829</v>
      </c>
      <c r="AX1132" s="95"/>
      <c r="AY1132" s="93"/>
    </row>
    <row r="1133" ht="14.5" spans="1:51">
      <c r="A1133" s="91"/>
      <c r="B1133" s="95"/>
      <c r="C1133" s="152" t="s">
        <v>1085</v>
      </c>
      <c r="D1133" s="153" t="s">
        <v>25</v>
      </c>
      <c r="E1133" s="130" t="s">
        <v>1086</v>
      </c>
      <c r="F1133" s="195" t="s">
        <v>1163</v>
      </c>
      <c r="G1133" s="195" t="s">
        <v>1163</v>
      </c>
      <c r="H1133" s="195" t="s">
        <v>1163</v>
      </c>
      <c r="I1133" s="195" t="s">
        <v>1163</v>
      </c>
      <c r="J1133" s="132">
        <v>0.9</v>
      </c>
      <c r="K1133" s="133">
        <v>0.862745098039216</v>
      </c>
      <c r="L1133" s="133">
        <v>0.84</v>
      </c>
      <c r="M1133" s="134">
        <v>0.836363636363636</v>
      </c>
      <c r="N1133" s="133">
        <v>0.820776255707763</v>
      </c>
      <c r="O1133" s="135">
        <v>0.9</v>
      </c>
      <c r="P1133" s="133">
        <v>0.928442211055276</v>
      </c>
      <c r="Q1133" s="133">
        <v>0.9174047829938</v>
      </c>
      <c r="R1133" s="133">
        <v>0.961491886655364</v>
      </c>
      <c r="S1133" s="133">
        <v>0.905376494441726</v>
      </c>
      <c r="T1133" s="135">
        <v>0.9</v>
      </c>
      <c r="U1133" s="133">
        <v>0.690452261306533</v>
      </c>
      <c r="V1133" s="133">
        <v>0.703055801594331</v>
      </c>
      <c r="W1133" s="133">
        <v>0.746669895858561</v>
      </c>
      <c r="X1133" s="133">
        <v>0.731063413269943</v>
      </c>
      <c r="Y1133" s="135">
        <v>0.92</v>
      </c>
      <c r="Z1133" s="135" t="s">
        <v>35</v>
      </c>
      <c r="AA1133" s="135" t="s">
        <v>35</v>
      </c>
      <c r="AB1133" s="135" t="s">
        <v>35</v>
      </c>
      <c r="AC1133" s="135" t="s">
        <v>35</v>
      </c>
      <c r="AD1133" s="135">
        <v>0.92</v>
      </c>
      <c r="AE1133" s="133">
        <v>1</v>
      </c>
      <c r="AF1133" s="133">
        <v>1</v>
      </c>
      <c r="AG1133" s="133">
        <v>1</v>
      </c>
      <c r="AH1133" s="133">
        <v>0.996522948539638</v>
      </c>
      <c r="AI1133" s="135">
        <v>0.92</v>
      </c>
      <c r="AJ1133" s="133">
        <v>0.882412060301508</v>
      </c>
      <c r="AK1133" s="133">
        <v>0.912311780336581</v>
      </c>
      <c r="AL1133" s="133">
        <v>0.942358924679099</v>
      </c>
      <c r="AM1133" s="133">
        <v>0.935160455848423</v>
      </c>
      <c r="AN1133" s="132">
        <v>0.99</v>
      </c>
      <c r="AO1133" s="137">
        <v>1</v>
      </c>
      <c r="AP1133" s="137">
        <v>1</v>
      </c>
      <c r="AQ1133" s="137">
        <v>1</v>
      </c>
      <c r="AR1133" s="137">
        <v>1</v>
      </c>
      <c r="AS1133" s="158">
        <v>0.0721861525408278</v>
      </c>
      <c r="AT1133" s="141">
        <v>0.133333333333333</v>
      </c>
      <c r="AU1133" s="141">
        <v>0.153846153846154</v>
      </c>
      <c r="AV1133" s="141">
        <v>0.0555555555555556</v>
      </c>
      <c r="AW1133" s="141">
        <v>0.0880829015544041</v>
      </c>
      <c r="AX1133" s="95"/>
      <c r="AY1133" s="93"/>
    </row>
    <row r="1134" ht="14.5" spans="1:51">
      <c r="A1134" s="91"/>
      <c r="B1134" s="95"/>
      <c r="C1134" s="152" t="s">
        <v>1085</v>
      </c>
      <c r="D1134" s="153" t="s">
        <v>25</v>
      </c>
      <c r="E1134" s="130" t="s">
        <v>1086</v>
      </c>
      <c r="F1134" s="195" t="s">
        <v>1164</v>
      </c>
      <c r="G1134" s="195" t="s">
        <v>1164</v>
      </c>
      <c r="H1134" s="195" t="s">
        <v>1164</v>
      </c>
      <c r="I1134" s="195" t="s">
        <v>1164</v>
      </c>
      <c r="J1134" s="132">
        <v>0.9</v>
      </c>
      <c r="K1134" s="133">
        <v>0.875</v>
      </c>
      <c r="L1134" s="133">
        <v>0.906976744186046</v>
      </c>
      <c r="M1134" s="134">
        <v>0.836734693877551</v>
      </c>
      <c r="N1134" s="133">
        <v>0.830808080808081</v>
      </c>
      <c r="O1134" s="135">
        <v>0.9</v>
      </c>
      <c r="P1134" s="133">
        <v>0.967873672747073</v>
      </c>
      <c r="Q1134" s="133">
        <v>0.980734497290789</v>
      </c>
      <c r="R1134" s="133">
        <v>0.983338778177066</v>
      </c>
      <c r="S1134" s="133">
        <v>0.973751531310802</v>
      </c>
      <c r="T1134" s="135">
        <v>0.9</v>
      </c>
      <c r="U1134" s="133">
        <v>0.783011162537435</v>
      </c>
      <c r="V1134" s="133">
        <v>0.817880794701987</v>
      </c>
      <c r="W1134" s="133">
        <v>0.844495262985952</v>
      </c>
      <c r="X1134" s="133">
        <v>0.851624990992289</v>
      </c>
      <c r="Y1134" s="135">
        <v>0.92</v>
      </c>
      <c r="Z1134" s="135" t="s">
        <v>35</v>
      </c>
      <c r="AA1134" s="135" t="s">
        <v>35</v>
      </c>
      <c r="AB1134" s="135" t="s">
        <v>35</v>
      </c>
      <c r="AC1134" s="135" t="s">
        <v>35</v>
      </c>
      <c r="AD1134" s="135">
        <v>0.92</v>
      </c>
      <c r="AE1134" s="133">
        <v>0.998963945296312</v>
      </c>
      <c r="AF1134" s="133">
        <v>1</v>
      </c>
      <c r="AG1134" s="133">
        <v>0.998327759197324</v>
      </c>
      <c r="AH1134" s="133">
        <v>0.997679637871353</v>
      </c>
      <c r="AI1134" s="135">
        <v>0.92</v>
      </c>
      <c r="AJ1134" s="133">
        <v>0.923223523005717</v>
      </c>
      <c r="AK1134" s="133">
        <v>0.960866947621914</v>
      </c>
      <c r="AL1134" s="133">
        <v>0.955243384514864</v>
      </c>
      <c r="AM1134" s="133">
        <v>0.96447358939252</v>
      </c>
      <c r="AN1134" s="132">
        <v>0.99</v>
      </c>
      <c r="AO1134" s="137">
        <v>1</v>
      </c>
      <c r="AP1134" s="137">
        <v>1</v>
      </c>
      <c r="AQ1134" s="137">
        <v>1</v>
      </c>
      <c r="AR1134" s="137">
        <v>1</v>
      </c>
      <c r="AS1134" s="158">
        <v>0.0721861525408278</v>
      </c>
      <c r="AT1134" s="141">
        <v>0</v>
      </c>
      <c r="AU1134" s="141">
        <v>0</v>
      </c>
      <c r="AV1134" s="141">
        <v>0</v>
      </c>
      <c r="AW1134" s="141">
        <v>0.05</v>
      </c>
      <c r="AX1134" s="95"/>
      <c r="AY1134" s="93"/>
    </row>
    <row r="1135" ht="14.5" spans="1:51">
      <c r="A1135" s="91"/>
      <c r="B1135" s="95"/>
      <c r="C1135" s="152" t="s">
        <v>1085</v>
      </c>
      <c r="D1135" s="153" t="s">
        <v>25</v>
      </c>
      <c r="E1135" s="130" t="s">
        <v>1086</v>
      </c>
      <c r="F1135" s="195" t="s">
        <v>1165</v>
      </c>
      <c r="G1135" s="195" t="s">
        <v>1165</v>
      </c>
      <c r="H1135" s="195" t="s">
        <v>1165</v>
      </c>
      <c r="I1135" s="195" t="s">
        <v>1165</v>
      </c>
      <c r="J1135" s="132">
        <v>0.9</v>
      </c>
      <c r="K1135" s="133">
        <v>0.9</v>
      </c>
      <c r="L1135" s="133">
        <v>0.931034482758621</v>
      </c>
      <c r="M1135" s="134">
        <v>0.9</v>
      </c>
      <c r="N1135" s="133">
        <v>0.905050505050505</v>
      </c>
      <c r="O1135" s="135">
        <v>0.9</v>
      </c>
      <c r="P1135" s="133">
        <v>0.954702627939143</v>
      </c>
      <c r="Q1135" s="133">
        <v>0.985963581183611</v>
      </c>
      <c r="R1135" s="133">
        <v>0.984212712920648</v>
      </c>
      <c r="S1135" s="133">
        <v>0.97821239016993</v>
      </c>
      <c r="T1135" s="135">
        <v>0.9</v>
      </c>
      <c r="U1135" s="133">
        <v>0.766943291839557</v>
      </c>
      <c r="V1135" s="133">
        <v>0.811836115326252</v>
      </c>
      <c r="W1135" s="133">
        <v>0.854175321977565</v>
      </c>
      <c r="X1135" s="133">
        <v>0.820837607600018</v>
      </c>
      <c r="Y1135" s="135">
        <v>0.92</v>
      </c>
      <c r="Z1135" s="135" t="s">
        <v>35</v>
      </c>
      <c r="AA1135" s="135" t="s">
        <v>35</v>
      </c>
      <c r="AB1135" s="135" t="s">
        <v>35</v>
      </c>
      <c r="AC1135" s="135">
        <v>1</v>
      </c>
      <c r="AD1135" s="135">
        <v>0.92</v>
      </c>
      <c r="AE1135" s="133">
        <v>1</v>
      </c>
      <c r="AF1135" s="133">
        <v>0.993464052287582</v>
      </c>
      <c r="AG1135" s="133">
        <v>1</v>
      </c>
      <c r="AH1135" s="133">
        <v>0.998964267219058</v>
      </c>
      <c r="AI1135" s="135">
        <v>0.92</v>
      </c>
      <c r="AJ1135" s="133">
        <v>0.917358229598893</v>
      </c>
      <c r="AK1135" s="133">
        <v>0.946130500758725</v>
      </c>
      <c r="AL1135" s="133">
        <v>0.948899044453677</v>
      </c>
      <c r="AM1135" s="133">
        <v>0.949579644537609</v>
      </c>
      <c r="AN1135" s="132">
        <v>0.99</v>
      </c>
      <c r="AO1135" s="137">
        <v>1</v>
      </c>
      <c r="AP1135" s="137">
        <v>1</v>
      </c>
      <c r="AQ1135" s="137">
        <v>1</v>
      </c>
      <c r="AR1135" s="137">
        <v>1</v>
      </c>
      <c r="AS1135" s="158">
        <v>0.0721861525408278</v>
      </c>
      <c r="AT1135" s="141">
        <v>0</v>
      </c>
      <c r="AU1135" s="141">
        <v>0.333333333333333</v>
      </c>
      <c r="AV1135" s="141">
        <v>0.166666666666667</v>
      </c>
      <c r="AW1135" s="141">
        <v>0.102040816326531</v>
      </c>
      <c r="AX1135" s="95"/>
      <c r="AY1135" s="93"/>
    </row>
    <row r="1136" ht="14.5" spans="1:51">
      <c r="A1136" s="91"/>
      <c r="B1136" s="95"/>
      <c r="C1136" s="152" t="s">
        <v>1085</v>
      </c>
      <c r="D1136" s="153" t="s">
        <v>25</v>
      </c>
      <c r="E1136" s="130" t="s">
        <v>1086</v>
      </c>
      <c r="F1136" s="195" t="s">
        <v>1166</v>
      </c>
      <c r="G1136" s="195" t="s">
        <v>1166</v>
      </c>
      <c r="H1136" s="195" t="s">
        <v>1166</v>
      </c>
      <c r="I1136" s="195" t="s">
        <v>1166</v>
      </c>
      <c r="J1136" s="132">
        <v>0.9</v>
      </c>
      <c r="K1136" s="133">
        <v>0.952380952380952</v>
      </c>
      <c r="L1136" s="133">
        <v>0.909090909090909</v>
      </c>
      <c r="M1136" s="134">
        <v>0.863636363636364</v>
      </c>
      <c r="N1136" s="133">
        <v>0.840540540540541</v>
      </c>
      <c r="O1136" s="135">
        <v>0.9</v>
      </c>
      <c r="P1136" s="133">
        <v>0.987454260324098</v>
      </c>
      <c r="Q1136" s="133">
        <v>0.989946777054997</v>
      </c>
      <c r="R1136" s="133">
        <v>0.990843688685415</v>
      </c>
      <c r="S1136" s="133">
        <v>0.980790359737728</v>
      </c>
      <c r="T1136" s="135">
        <v>0.9</v>
      </c>
      <c r="U1136" s="133">
        <v>0.8212232096184</v>
      </c>
      <c r="V1136" s="133">
        <v>0.859846244825547</v>
      </c>
      <c r="W1136" s="133">
        <v>0.913015042511445</v>
      </c>
      <c r="X1136" s="133">
        <v>0.871096934254829</v>
      </c>
      <c r="Y1136" s="135">
        <v>0.92</v>
      </c>
      <c r="Z1136" s="135" t="s">
        <v>35</v>
      </c>
      <c r="AA1136" s="135" t="s">
        <v>35</v>
      </c>
      <c r="AB1136" s="135" t="s">
        <v>35</v>
      </c>
      <c r="AC1136" s="135" t="s">
        <v>35</v>
      </c>
      <c r="AD1136" s="135">
        <v>0.92</v>
      </c>
      <c r="AE1136" s="133">
        <v>1</v>
      </c>
      <c r="AF1136" s="133">
        <v>1</v>
      </c>
      <c r="AG1136" s="133">
        <v>1</v>
      </c>
      <c r="AH1136" s="133">
        <v>1</v>
      </c>
      <c r="AI1136" s="135">
        <v>0.92</v>
      </c>
      <c r="AJ1136" s="133">
        <v>0.920543648719289</v>
      </c>
      <c r="AK1136" s="133">
        <v>0.937315198107629</v>
      </c>
      <c r="AL1136" s="133">
        <v>0.961437908496732</v>
      </c>
      <c r="AM1136" s="133">
        <v>0.953466118514318</v>
      </c>
      <c r="AN1136" s="132">
        <v>0.99</v>
      </c>
      <c r="AO1136" s="137">
        <v>1</v>
      </c>
      <c r="AP1136" s="137">
        <v>1</v>
      </c>
      <c r="AQ1136" s="137">
        <v>1</v>
      </c>
      <c r="AR1136" s="137">
        <v>1</v>
      </c>
      <c r="AS1136" s="158">
        <v>0.0721861525408278</v>
      </c>
      <c r="AT1136" s="141" t="s">
        <v>35</v>
      </c>
      <c r="AU1136" s="141">
        <v>0</v>
      </c>
      <c r="AV1136" s="141">
        <v>0</v>
      </c>
      <c r="AW1136" s="141">
        <v>0.128205128205128</v>
      </c>
      <c r="AX1136" s="95"/>
      <c r="AY1136" s="93"/>
    </row>
    <row r="1137" ht="14.5" spans="1:51">
      <c r="A1137" s="91"/>
      <c r="B1137" s="95"/>
      <c r="C1137" s="152" t="s">
        <v>1085</v>
      </c>
      <c r="D1137" s="153" t="s">
        <v>25</v>
      </c>
      <c r="E1137" s="130" t="s">
        <v>1086</v>
      </c>
      <c r="F1137" s="195" t="s">
        <v>1167</v>
      </c>
      <c r="G1137" s="195" t="s">
        <v>1167</v>
      </c>
      <c r="H1137" s="195" t="s">
        <v>1167</v>
      </c>
      <c r="I1137" s="195" t="s">
        <v>1167</v>
      </c>
      <c r="J1137" s="132">
        <v>0.9</v>
      </c>
      <c r="K1137" s="133">
        <v>0.733333333333333</v>
      </c>
      <c r="L1137" s="133">
        <v>0.896551724137931</v>
      </c>
      <c r="M1137" s="134">
        <v>0.806451612903226</v>
      </c>
      <c r="N1137" s="133">
        <v>0.796442687747036</v>
      </c>
      <c r="O1137" s="135">
        <v>0.9</v>
      </c>
      <c r="P1137" s="133">
        <v>0.98166819431714</v>
      </c>
      <c r="Q1137" s="133">
        <v>0.939810271508014</v>
      </c>
      <c r="R1137" s="133">
        <v>0.949879018320083</v>
      </c>
      <c r="S1137" s="133">
        <v>0.943596999592968</v>
      </c>
      <c r="T1137" s="135">
        <v>0.9</v>
      </c>
      <c r="U1137" s="133">
        <v>0.817598533455545</v>
      </c>
      <c r="V1137" s="133">
        <v>0.835786719005561</v>
      </c>
      <c r="W1137" s="133">
        <v>0.845143449706187</v>
      </c>
      <c r="X1137" s="133">
        <v>0.819413486325664</v>
      </c>
      <c r="Y1137" s="135">
        <v>0.92</v>
      </c>
      <c r="Z1137" s="135" t="s">
        <v>35</v>
      </c>
      <c r="AA1137" s="135" t="s">
        <v>35</v>
      </c>
      <c r="AB1137" s="135" t="s">
        <v>35</v>
      </c>
      <c r="AC1137" s="135" t="s">
        <v>35</v>
      </c>
      <c r="AD1137" s="135">
        <v>0.92</v>
      </c>
      <c r="AE1137" s="133">
        <v>1</v>
      </c>
      <c r="AF1137" s="133">
        <v>0.977818853974122</v>
      </c>
      <c r="AG1137" s="133">
        <v>1</v>
      </c>
      <c r="AH1137" s="133">
        <v>0.888231426692965</v>
      </c>
      <c r="AI1137" s="135">
        <v>0.92</v>
      </c>
      <c r="AJ1137" s="133">
        <v>0.952337305224565</v>
      </c>
      <c r="AK1137" s="133">
        <v>0.957474648348054</v>
      </c>
      <c r="AL1137" s="133">
        <v>0.963014172139647</v>
      </c>
      <c r="AM1137" s="133">
        <v>0.951815168724439</v>
      </c>
      <c r="AN1137" s="132">
        <v>0.99</v>
      </c>
      <c r="AO1137" s="137">
        <v>1</v>
      </c>
      <c r="AP1137" s="137">
        <v>1</v>
      </c>
      <c r="AQ1137" s="137">
        <v>1</v>
      </c>
      <c r="AR1137" s="137">
        <v>1</v>
      </c>
      <c r="AS1137" s="158">
        <v>0.0721861525408278</v>
      </c>
      <c r="AT1137" s="141">
        <v>0</v>
      </c>
      <c r="AU1137" s="141">
        <v>0</v>
      </c>
      <c r="AV1137" s="141">
        <v>0.125</v>
      </c>
      <c r="AW1137" s="141">
        <v>0.136752136752137</v>
      </c>
      <c r="AX1137" s="95"/>
      <c r="AY1137" s="93"/>
    </row>
    <row r="1138" ht="14.5" spans="1:51">
      <c r="A1138" s="91"/>
      <c r="B1138" s="95"/>
      <c r="C1138" s="152" t="s">
        <v>1085</v>
      </c>
      <c r="D1138" s="153" t="s">
        <v>25</v>
      </c>
      <c r="E1138" s="130" t="s">
        <v>1086</v>
      </c>
      <c r="F1138" s="195" t="s">
        <v>1168</v>
      </c>
      <c r="G1138" s="195" t="s">
        <v>1168</v>
      </c>
      <c r="H1138" s="195" t="s">
        <v>1168</v>
      </c>
      <c r="I1138" s="195" t="s">
        <v>1168</v>
      </c>
      <c r="J1138" s="132">
        <v>0.9</v>
      </c>
      <c r="K1138" s="133">
        <v>0.807692307692308</v>
      </c>
      <c r="L1138" s="133">
        <v>0.84</v>
      </c>
      <c r="M1138" s="134">
        <v>0.777777777777778</v>
      </c>
      <c r="N1138" s="133">
        <v>0.849775784753363</v>
      </c>
      <c r="O1138" s="135">
        <v>0.9</v>
      </c>
      <c r="P1138" s="133">
        <v>0.899342645850452</v>
      </c>
      <c r="Q1138" s="133">
        <v>0.961783439490446</v>
      </c>
      <c r="R1138" s="133">
        <v>0.981348637015782</v>
      </c>
      <c r="S1138" s="133">
        <v>0.937072136164729</v>
      </c>
      <c r="T1138" s="135">
        <v>0.9</v>
      </c>
      <c r="U1138" s="133">
        <v>0.765406737880033</v>
      </c>
      <c r="V1138" s="133">
        <v>0.75583864118896</v>
      </c>
      <c r="W1138" s="133">
        <v>0.873266379722621</v>
      </c>
      <c r="X1138" s="133">
        <v>0.81932400869822</v>
      </c>
      <c r="Y1138" s="135">
        <v>0.92</v>
      </c>
      <c r="Z1138" s="135" t="s">
        <v>35</v>
      </c>
      <c r="AA1138" s="135" t="s">
        <v>35</v>
      </c>
      <c r="AB1138" s="135" t="s">
        <v>35</v>
      </c>
      <c r="AC1138" s="135" t="s">
        <v>35</v>
      </c>
      <c r="AD1138" s="135">
        <v>0.92</v>
      </c>
      <c r="AE1138" s="133">
        <v>1</v>
      </c>
      <c r="AF1138" s="133">
        <v>0.994029850746269</v>
      </c>
      <c r="AG1138" s="133">
        <v>1</v>
      </c>
      <c r="AH1138" s="133">
        <v>0.957493993716503</v>
      </c>
      <c r="AI1138" s="135">
        <v>0.92</v>
      </c>
      <c r="AJ1138" s="133">
        <v>0.935907970419063</v>
      </c>
      <c r="AK1138" s="133">
        <v>0.929087048832272</v>
      </c>
      <c r="AL1138" s="133">
        <v>0.958393113342898</v>
      </c>
      <c r="AM1138" s="133">
        <v>0.943595801229563</v>
      </c>
      <c r="AN1138" s="132">
        <v>0.99</v>
      </c>
      <c r="AO1138" s="137">
        <v>1</v>
      </c>
      <c r="AP1138" s="137">
        <v>1</v>
      </c>
      <c r="AQ1138" s="137">
        <v>1</v>
      </c>
      <c r="AR1138" s="137">
        <v>1</v>
      </c>
      <c r="AS1138" s="158">
        <v>0.0721861525408278</v>
      </c>
      <c r="AT1138" s="141">
        <v>0</v>
      </c>
      <c r="AU1138" s="141">
        <v>0.25</v>
      </c>
      <c r="AV1138" s="141">
        <v>0</v>
      </c>
      <c r="AW1138" s="141">
        <v>0.107692307692308</v>
      </c>
      <c r="AX1138" s="95"/>
      <c r="AY1138" s="93"/>
    </row>
    <row r="1139" ht="14.5" spans="1:51">
      <c r="A1139" s="91"/>
      <c r="B1139" s="95"/>
      <c r="C1139" s="152" t="s">
        <v>1085</v>
      </c>
      <c r="D1139" s="153" t="s">
        <v>25</v>
      </c>
      <c r="E1139" s="130" t="s">
        <v>1086</v>
      </c>
      <c r="F1139" s="195" t="s">
        <v>1169</v>
      </c>
      <c r="G1139" s="195" t="s">
        <v>1169</v>
      </c>
      <c r="H1139" s="195" t="s">
        <v>1169</v>
      </c>
      <c r="I1139" s="195" t="s">
        <v>1169</v>
      </c>
      <c r="J1139" s="132">
        <v>0.9</v>
      </c>
      <c r="K1139" s="133">
        <v>0.833333333333333</v>
      </c>
      <c r="L1139" s="133">
        <v>0.736842105263158</v>
      </c>
      <c r="M1139" s="134">
        <v>0.777777777777778</v>
      </c>
      <c r="N1139" s="133">
        <v>0.819620253164557</v>
      </c>
      <c r="O1139" s="135">
        <v>0.9</v>
      </c>
      <c r="P1139" s="133">
        <v>0.816484224082421</v>
      </c>
      <c r="Q1139" s="133">
        <v>0.885409726848768</v>
      </c>
      <c r="R1139" s="133">
        <v>0.973856209150327</v>
      </c>
      <c r="S1139" s="133">
        <v>0.947478303586049</v>
      </c>
      <c r="T1139" s="135">
        <v>0.9</v>
      </c>
      <c r="U1139" s="133">
        <v>0.605280103026401</v>
      </c>
      <c r="V1139" s="133">
        <v>0.578281145902731</v>
      </c>
      <c r="W1139" s="133">
        <v>0.633986928104575</v>
      </c>
      <c r="X1139" s="133">
        <v>0.671115113803832</v>
      </c>
      <c r="Y1139" s="135">
        <v>0.92</v>
      </c>
      <c r="Z1139" s="135" t="s">
        <v>35</v>
      </c>
      <c r="AA1139" s="135" t="s">
        <v>35</v>
      </c>
      <c r="AB1139" s="135" t="s">
        <v>35</v>
      </c>
      <c r="AC1139" s="135">
        <v>1</v>
      </c>
      <c r="AD1139" s="135">
        <v>0.92</v>
      </c>
      <c r="AE1139" s="133">
        <v>1</v>
      </c>
      <c r="AF1139" s="133">
        <v>1</v>
      </c>
      <c r="AG1139" s="133">
        <v>0.91304347826087</v>
      </c>
      <c r="AH1139" s="133">
        <v>0.992844364937388</v>
      </c>
      <c r="AI1139" s="135">
        <v>0.92</v>
      </c>
      <c r="AJ1139" s="133">
        <v>0.915003219575016</v>
      </c>
      <c r="AK1139" s="133">
        <v>0.896069287141905</v>
      </c>
      <c r="AL1139" s="133">
        <v>0.908496732026144</v>
      </c>
      <c r="AM1139" s="133">
        <v>0.942445454173319</v>
      </c>
      <c r="AN1139" s="132">
        <v>0.99</v>
      </c>
      <c r="AO1139" s="137" t="s">
        <v>35</v>
      </c>
      <c r="AP1139" s="137">
        <v>1</v>
      </c>
      <c r="AQ1139" s="137">
        <v>1</v>
      </c>
      <c r="AR1139" s="137">
        <v>1</v>
      </c>
      <c r="AS1139" s="158">
        <v>0.0721861525408278</v>
      </c>
      <c r="AT1139" s="141">
        <v>0</v>
      </c>
      <c r="AU1139" s="141">
        <v>0.333333333333333</v>
      </c>
      <c r="AV1139" s="141">
        <v>0</v>
      </c>
      <c r="AW1139" s="141">
        <v>0.0888888888888889</v>
      </c>
      <c r="AX1139" s="95"/>
      <c r="AY1139" s="93"/>
    </row>
    <row r="1140" ht="14.5" spans="1:51">
      <c r="A1140" s="91"/>
      <c r="B1140" s="95"/>
      <c r="C1140" s="152" t="s">
        <v>1085</v>
      </c>
      <c r="D1140" s="153" t="s">
        <v>25</v>
      </c>
      <c r="E1140" s="130" t="s">
        <v>1086</v>
      </c>
      <c r="F1140" s="195" t="s">
        <v>1170</v>
      </c>
      <c r="G1140" s="195" t="s">
        <v>1170</v>
      </c>
      <c r="H1140" s="195" t="s">
        <v>1170</v>
      </c>
      <c r="I1140" s="195" t="s">
        <v>1170</v>
      </c>
      <c r="J1140" s="132">
        <v>0.9</v>
      </c>
      <c r="K1140" s="133">
        <v>1</v>
      </c>
      <c r="L1140" s="133">
        <v>0.882352941176471</v>
      </c>
      <c r="M1140" s="134">
        <v>1</v>
      </c>
      <c r="N1140" s="133">
        <v>0.946428571428571</v>
      </c>
      <c r="O1140" s="135">
        <v>0.9</v>
      </c>
      <c r="P1140" s="133">
        <v>0.969626168224299</v>
      </c>
      <c r="Q1140" s="133">
        <v>0.988095238095238</v>
      </c>
      <c r="R1140" s="133">
        <v>0.987255734919286</v>
      </c>
      <c r="S1140" s="133">
        <v>0.971573157315732</v>
      </c>
      <c r="T1140" s="135">
        <v>0.9</v>
      </c>
      <c r="U1140" s="133">
        <v>0.959501557632399</v>
      </c>
      <c r="V1140" s="133">
        <v>0.945238095238095</v>
      </c>
      <c r="W1140" s="133">
        <v>0.964316057774002</v>
      </c>
      <c r="X1140" s="133">
        <v>0.95947194719472</v>
      </c>
      <c r="Y1140" s="135">
        <v>0.92</v>
      </c>
      <c r="Z1140" s="135">
        <v>0.950310559006211</v>
      </c>
      <c r="AA1140" s="135">
        <v>0.954802259887006</v>
      </c>
      <c r="AB1140" s="135">
        <v>0.977358490566038</v>
      </c>
      <c r="AC1140" s="135">
        <v>0.966752936492136</v>
      </c>
      <c r="AD1140" s="135">
        <v>0.92</v>
      </c>
      <c r="AE1140" s="133">
        <v>1</v>
      </c>
      <c r="AF1140" s="133">
        <v>0.998527245949926</v>
      </c>
      <c r="AG1140" s="133">
        <v>1</v>
      </c>
      <c r="AH1140" s="133">
        <v>0.998365345320801</v>
      </c>
      <c r="AI1140" s="135">
        <v>0.92</v>
      </c>
      <c r="AJ1140" s="133">
        <v>0.978546712802768</v>
      </c>
      <c r="AK1140" s="133">
        <v>0.975836431226766</v>
      </c>
      <c r="AL1140" s="133">
        <v>0.981969486823856</v>
      </c>
      <c r="AM1140" s="133">
        <v>0.982678526414347</v>
      </c>
      <c r="AN1140" s="132">
        <v>0.99</v>
      </c>
      <c r="AO1140" s="137">
        <v>1</v>
      </c>
      <c r="AP1140" s="137">
        <v>1</v>
      </c>
      <c r="AQ1140" s="137">
        <v>1</v>
      </c>
      <c r="AR1140" s="137">
        <v>1</v>
      </c>
      <c r="AS1140" s="158">
        <v>0.0721861525408278</v>
      </c>
      <c r="AT1140" s="141">
        <v>0.166666666666667</v>
      </c>
      <c r="AU1140" s="141">
        <v>0</v>
      </c>
      <c r="AV1140" s="141">
        <v>0.0909090909090909</v>
      </c>
      <c r="AW1140" s="141">
        <v>0.04</v>
      </c>
      <c r="AX1140" s="95"/>
      <c r="AY1140" s="93"/>
    </row>
    <row r="1141" ht="14.5" spans="1:51">
      <c r="A1141" s="91"/>
      <c r="B1141" s="95"/>
      <c r="C1141" s="152" t="s">
        <v>1085</v>
      </c>
      <c r="D1141" s="153" t="s">
        <v>25</v>
      </c>
      <c r="E1141" s="130" t="s">
        <v>1086</v>
      </c>
      <c r="F1141" s="195" t="s">
        <v>1171</v>
      </c>
      <c r="G1141" s="195" t="s">
        <v>1171</v>
      </c>
      <c r="H1141" s="195" t="s">
        <v>1171</v>
      </c>
      <c r="I1141" s="195" t="s">
        <v>1171</v>
      </c>
      <c r="J1141" s="132">
        <v>0.9</v>
      </c>
      <c r="K1141" s="133">
        <v>0.983606557377049</v>
      </c>
      <c r="L1141" s="133">
        <v>0.970149253731343</v>
      </c>
      <c r="M1141" s="134">
        <v>0.958333333333333</v>
      </c>
      <c r="N1141" s="133">
        <v>0.964970809007506</v>
      </c>
      <c r="O1141" s="135">
        <v>0.9</v>
      </c>
      <c r="P1141" s="133">
        <v>0.959610911397759</v>
      </c>
      <c r="Q1141" s="133">
        <v>0.945511564092513</v>
      </c>
      <c r="R1141" s="133">
        <v>0.958182976013585</v>
      </c>
      <c r="S1141" s="133">
        <v>0.968628185468295</v>
      </c>
      <c r="T1141" s="135">
        <v>0.9</v>
      </c>
      <c r="U1141" s="133">
        <v>0.913300909283147</v>
      </c>
      <c r="V1141" s="133">
        <v>0.938847510780086</v>
      </c>
      <c r="W1141" s="133">
        <v>0.942050520059435</v>
      </c>
      <c r="X1141" s="133">
        <v>0.936589134582743</v>
      </c>
      <c r="Y1141" s="135">
        <v>0.92</v>
      </c>
      <c r="Z1141" s="135">
        <v>0.962447844228095</v>
      </c>
      <c r="AA1141" s="135">
        <v>0.933477946493131</v>
      </c>
      <c r="AB1141" s="135">
        <v>0.971291866028708</v>
      </c>
      <c r="AC1141" s="135">
        <v>0.95692025664528</v>
      </c>
      <c r="AD1141" s="135">
        <v>0.92</v>
      </c>
      <c r="AE1141" s="133">
        <v>0.999332710529828</v>
      </c>
      <c r="AF1141" s="133">
        <v>0.998548621190131</v>
      </c>
      <c r="AG1141" s="133">
        <v>0.99731303179579</v>
      </c>
      <c r="AH1141" s="133">
        <v>0.998119647883107</v>
      </c>
      <c r="AI1141" s="135">
        <v>0.92</v>
      </c>
      <c r="AJ1141" s="133">
        <v>0.970447870778267</v>
      </c>
      <c r="AK1141" s="133">
        <v>0.966851680542707</v>
      </c>
      <c r="AL1141" s="133">
        <v>0.979325920778318</v>
      </c>
      <c r="AM1141" s="133">
        <v>0.976101646521367</v>
      </c>
      <c r="AN1141" s="132">
        <v>0.99</v>
      </c>
      <c r="AO1141" s="137">
        <v>1</v>
      </c>
      <c r="AP1141" s="137">
        <v>1</v>
      </c>
      <c r="AQ1141" s="137">
        <v>1</v>
      </c>
      <c r="AR1141" s="137">
        <v>1</v>
      </c>
      <c r="AS1141" s="158">
        <v>0.0721861525408278</v>
      </c>
      <c r="AT1141" s="141">
        <v>0.0434782608695652</v>
      </c>
      <c r="AU1141" s="141">
        <v>0</v>
      </c>
      <c r="AV1141" s="141">
        <v>0.0434782608695652</v>
      </c>
      <c r="AW1141" s="141">
        <v>0.0154320987654321</v>
      </c>
      <c r="AX1141" s="95"/>
      <c r="AY1141" s="93"/>
    </row>
    <row r="1142" ht="14.5" spans="1:51">
      <c r="A1142" s="91"/>
      <c r="B1142" s="95"/>
      <c r="C1142" s="152" t="s">
        <v>1085</v>
      </c>
      <c r="D1142" s="153" t="s">
        <v>25</v>
      </c>
      <c r="E1142" s="130" t="s">
        <v>1086</v>
      </c>
      <c r="F1142" s="195" t="s">
        <v>1172</v>
      </c>
      <c r="G1142" s="195" t="s">
        <v>1172</v>
      </c>
      <c r="H1142" s="195" t="s">
        <v>1172</v>
      </c>
      <c r="I1142" s="195" t="s">
        <v>1172</v>
      </c>
      <c r="J1142" s="132">
        <v>0.9</v>
      </c>
      <c r="K1142" s="133">
        <v>0.971014492753623</v>
      </c>
      <c r="L1142" s="133">
        <v>0.953125</v>
      </c>
      <c r="M1142" s="134">
        <v>0.971014492753623</v>
      </c>
      <c r="N1142" s="133">
        <v>0.961636828644501</v>
      </c>
      <c r="O1142" s="135">
        <v>0.9</v>
      </c>
      <c r="P1142" s="133">
        <v>0.987487144326363</v>
      </c>
      <c r="Q1142" s="133">
        <v>0.954965170905556</v>
      </c>
      <c r="R1142" s="133">
        <v>0.976704142611162</v>
      </c>
      <c r="S1142" s="133">
        <v>0.96887944090652</v>
      </c>
      <c r="T1142" s="135">
        <v>0.9</v>
      </c>
      <c r="U1142" s="133">
        <v>0.947377442577991</v>
      </c>
      <c r="V1142" s="133">
        <v>0.927101895350721</v>
      </c>
      <c r="W1142" s="133">
        <v>0.961916337486073</v>
      </c>
      <c r="X1142" s="133">
        <v>0.936554568180574</v>
      </c>
      <c r="Y1142" s="135">
        <v>0.92</v>
      </c>
      <c r="Z1142" s="135" t="s">
        <v>35</v>
      </c>
      <c r="AA1142" s="135" t="s">
        <v>35</v>
      </c>
      <c r="AB1142" s="135" t="s">
        <v>35</v>
      </c>
      <c r="AC1142" s="135">
        <v>0.5</v>
      </c>
      <c r="AD1142" s="135">
        <v>0.92</v>
      </c>
      <c r="AE1142" s="133">
        <v>0.994472084024323</v>
      </c>
      <c r="AF1142" s="133">
        <v>0.993479549496147</v>
      </c>
      <c r="AG1142" s="133">
        <v>0.995281429052915</v>
      </c>
      <c r="AH1142" s="133">
        <v>0.994497907046994</v>
      </c>
      <c r="AI1142" s="135">
        <v>0.92</v>
      </c>
      <c r="AJ1142" s="133">
        <v>0.978573877271169</v>
      </c>
      <c r="AK1142" s="133">
        <v>0.983800421189049</v>
      </c>
      <c r="AL1142" s="133">
        <v>0.987541780613795</v>
      </c>
      <c r="AM1142" s="133">
        <v>0.985712721699146</v>
      </c>
      <c r="AN1142" s="132">
        <v>0.99</v>
      </c>
      <c r="AO1142" s="137">
        <v>1</v>
      </c>
      <c r="AP1142" s="137">
        <v>1</v>
      </c>
      <c r="AQ1142" s="137">
        <v>1</v>
      </c>
      <c r="AR1142" s="137">
        <v>1</v>
      </c>
      <c r="AS1142" s="158">
        <v>0.0721861525408278</v>
      </c>
      <c r="AT1142" s="141">
        <v>0.152173913043478</v>
      </c>
      <c r="AU1142" s="141">
        <v>0.0277777777777778</v>
      </c>
      <c r="AV1142" s="141">
        <v>0.0454545454545455</v>
      </c>
      <c r="AW1142" s="141">
        <v>0.0660592255125285</v>
      </c>
      <c r="AX1142" s="95"/>
      <c r="AY1142" s="93"/>
    </row>
    <row r="1143" ht="14.5" spans="1:51">
      <c r="A1143" s="91"/>
      <c r="B1143" s="95"/>
      <c r="C1143" s="152" t="s">
        <v>1085</v>
      </c>
      <c r="D1143" s="153" t="s">
        <v>25</v>
      </c>
      <c r="E1143" s="130" t="s">
        <v>1086</v>
      </c>
      <c r="F1143" s="195" t="s">
        <v>1173</v>
      </c>
      <c r="G1143" s="195" t="s">
        <v>1173</v>
      </c>
      <c r="H1143" s="195" t="s">
        <v>1173</v>
      </c>
      <c r="I1143" s="195" t="s">
        <v>1173</v>
      </c>
      <c r="J1143" s="132">
        <v>0.9</v>
      </c>
      <c r="K1143" s="133">
        <v>0.977272727272727</v>
      </c>
      <c r="L1143" s="133">
        <v>0.977272727272727</v>
      </c>
      <c r="M1143" s="134">
        <v>1</v>
      </c>
      <c r="N1143" s="133">
        <v>0.959493670886076</v>
      </c>
      <c r="O1143" s="135">
        <v>0.9</v>
      </c>
      <c r="P1143" s="133">
        <v>0.983742240614839</v>
      </c>
      <c r="Q1143" s="133">
        <v>0.987612612612613</v>
      </c>
      <c r="R1143" s="133">
        <v>0.983807928531547</v>
      </c>
      <c r="S1143" s="133">
        <v>0.983671272205275</v>
      </c>
      <c r="T1143" s="135">
        <v>0.9</v>
      </c>
      <c r="U1143" s="133">
        <v>0.966597694354124</v>
      </c>
      <c r="V1143" s="133">
        <v>0.956081081081081</v>
      </c>
      <c r="W1143" s="133">
        <v>0.960915689558906</v>
      </c>
      <c r="X1143" s="133">
        <v>0.959103415276033</v>
      </c>
      <c r="Y1143" s="135">
        <v>0.92</v>
      </c>
      <c r="Z1143" s="135">
        <v>0.981081081081081</v>
      </c>
      <c r="AA1143" s="135">
        <v>0.966292134831461</v>
      </c>
      <c r="AB1143" s="135">
        <v>0.973214285714286</v>
      </c>
      <c r="AC1143" s="135">
        <v>0.974287463437861</v>
      </c>
      <c r="AD1143" s="135">
        <v>0.92</v>
      </c>
      <c r="AE1143" s="133">
        <v>0.999364272091545</v>
      </c>
      <c r="AF1143" s="133">
        <v>0.999323715058611</v>
      </c>
      <c r="AG1143" s="133">
        <v>0.998268398268398</v>
      </c>
      <c r="AH1143" s="133">
        <v>0.998692134261202</v>
      </c>
      <c r="AI1143" s="135">
        <v>0.92</v>
      </c>
      <c r="AJ1143" s="133">
        <v>0.98214761524114</v>
      </c>
      <c r="AK1143" s="133">
        <v>0.980803177405119</v>
      </c>
      <c r="AL1143" s="133">
        <v>0.984196060467247</v>
      </c>
      <c r="AM1143" s="133">
        <v>0.985315208197987</v>
      </c>
      <c r="AN1143" s="132">
        <v>0.99</v>
      </c>
      <c r="AO1143" s="137">
        <v>1</v>
      </c>
      <c r="AP1143" s="137">
        <v>1</v>
      </c>
      <c r="AQ1143" s="137">
        <v>1</v>
      </c>
      <c r="AR1143" s="137">
        <v>1</v>
      </c>
      <c r="AS1143" s="158">
        <v>0.0721861525408278</v>
      </c>
      <c r="AT1143" s="141">
        <v>0.0434782608695652</v>
      </c>
      <c r="AU1143" s="141">
        <v>0.03125</v>
      </c>
      <c r="AV1143" s="141">
        <v>0</v>
      </c>
      <c r="AW1143" s="141">
        <v>0.0179487179487179</v>
      </c>
      <c r="AX1143" s="95"/>
      <c r="AY1143" s="93"/>
    </row>
    <row r="1144" ht="14.5" spans="1:51">
      <c r="A1144" s="91"/>
      <c r="B1144" s="95"/>
      <c r="C1144" s="152" t="s">
        <v>1085</v>
      </c>
      <c r="D1144" s="153" t="s">
        <v>25</v>
      </c>
      <c r="E1144" s="130" t="s">
        <v>1086</v>
      </c>
      <c r="F1144" s="195" t="s">
        <v>1174</v>
      </c>
      <c r="G1144" s="195" t="s">
        <v>1174</v>
      </c>
      <c r="H1144" s="195" t="s">
        <v>1174</v>
      </c>
      <c r="I1144" s="195" t="s">
        <v>1174</v>
      </c>
      <c r="J1144" s="132">
        <v>0.9</v>
      </c>
      <c r="K1144" s="133">
        <v>0.739130434782609</v>
      </c>
      <c r="L1144" s="133">
        <v>0.888888888888889</v>
      </c>
      <c r="M1144" s="134">
        <v>1</v>
      </c>
      <c r="N1144" s="133">
        <v>0.898305084745763</v>
      </c>
      <c r="O1144" s="135">
        <v>0.9</v>
      </c>
      <c r="P1144" s="133">
        <v>0.978463747307968</v>
      </c>
      <c r="Q1144" s="133">
        <v>0.948909657320872</v>
      </c>
      <c r="R1144" s="133">
        <v>0.960886571056063</v>
      </c>
      <c r="S1144" s="133">
        <v>0.951159720912691</v>
      </c>
      <c r="T1144" s="135">
        <v>0.9</v>
      </c>
      <c r="U1144" s="133">
        <v>0.92964824120603</v>
      </c>
      <c r="V1144" s="133">
        <v>0.911526479750779</v>
      </c>
      <c r="W1144" s="133">
        <v>0.847457627118644</v>
      </c>
      <c r="X1144" s="133">
        <v>0.89749198566849</v>
      </c>
      <c r="Y1144" s="135">
        <v>0.92</v>
      </c>
      <c r="Z1144" s="135">
        <v>0.945054945054945</v>
      </c>
      <c r="AA1144" s="135">
        <v>0.935123042505593</v>
      </c>
      <c r="AB1144" s="135">
        <v>0.941031941031941</v>
      </c>
      <c r="AC1144" s="135">
        <v>0.952617914322804</v>
      </c>
      <c r="AD1144" s="135">
        <v>0.92</v>
      </c>
      <c r="AE1144" s="133">
        <v>0.998798076923077</v>
      </c>
      <c r="AF1144" s="133">
        <v>0.998902706656913</v>
      </c>
      <c r="AG1144" s="133">
        <v>0.997060744611365</v>
      </c>
      <c r="AH1144" s="133">
        <v>0.99855598646753</v>
      </c>
      <c r="AI1144" s="135">
        <v>0.92</v>
      </c>
      <c r="AJ1144" s="133">
        <v>0.961584633853541</v>
      </c>
      <c r="AK1144" s="133">
        <v>0.95710843373494</v>
      </c>
      <c r="AL1144" s="133">
        <v>0.967027305512622</v>
      </c>
      <c r="AM1144" s="133">
        <v>0.969958640733289</v>
      </c>
      <c r="AN1144" s="132">
        <v>0.99</v>
      </c>
      <c r="AO1144" s="137">
        <v>1</v>
      </c>
      <c r="AP1144" s="137">
        <v>1</v>
      </c>
      <c r="AQ1144" s="137">
        <v>1</v>
      </c>
      <c r="AR1144" s="137">
        <v>1</v>
      </c>
      <c r="AS1144" s="158">
        <v>0.0721861525408278</v>
      </c>
      <c r="AT1144" s="141">
        <v>0</v>
      </c>
      <c r="AU1144" s="141">
        <v>0</v>
      </c>
      <c r="AV1144" s="141">
        <v>0</v>
      </c>
      <c r="AW1144" s="141">
        <v>0.0256410256410256</v>
      </c>
      <c r="AX1144" s="95"/>
      <c r="AY1144" s="93"/>
    </row>
    <row r="1145" ht="14.5" spans="1:51">
      <c r="A1145" s="91"/>
      <c r="B1145" s="95"/>
      <c r="C1145" s="152" t="s">
        <v>1085</v>
      </c>
      <c r="D1145" s="153" t="s">
        <v>25</v>
      </c>
      <c r="E1145" s="130" t="s">
        <v>1086</v>
      </c>
      <c r="F1145" s="195" t="s">
        <v>1175</v>
      </c>
      <c r="G1145" s="195" t="s">
        <v>1175</v>
      </c>
      <c r="H1145" s="195" t="s">
        <v>1175</v>
      </c>
      <c r="I1145" s="195" t="s">
        <v>1175</v>
      </c>
      <c r="J1145" s="132">
        <v>0.9</v>
      </c>
      <c r="K1145" s="133">
        <v>1</v>
      </c>
      <c r="L1145" s="133">
        <v>1</v>
      </c>
      <c r="M1145" s="134">
        <v>1</v>
      </c>
      <c r="N1145" s="133">
        <v>0.982248520710059</v>
      </c>
      <c r="O1145" s="135">
        <v>0.9</v>
      </c>
      <c r="P1145" s="133">
        <v>0.980237154150198</v>
      </c>
      <c r="Q1145" s="133">
        <v>0.984485815602837</v>
      </c>
      <c r="R1145" s="133">
        <v>0.988505747126437</v>
      </c>
      <c r="S1145" s="133">
        <v>0.985098818362439</v>
      </c>
      <c r="T1145" s="135">
        <v>0.9</v>
      </c>
      <c r="U1145" s="133">
        <v>0.933300395256917</v>
      </c>
      <c r="V1145" s="133">
        <v>0.930851063829787</v>
      </c>
      <c r="W1145" s="133">
        <v>0.926245210727969</v>
      </c>
      <c r="X1145" s="133">
        <v>0.935402070479975</v>
      </c>
      <c r="Y1145" s="135">
        <v>0.92</v>
      </c>
      <c r="Z1145" s="135">
        <v>0.972</v>
      </c>
      <c r="AA1145" s="135">
        <v>0.955637707948244</v>
      </c>
      <c r="AB1145" s="135">
        <v>0.982102908277405</v>
      </c>
      <c r="AC1145" s="135">
        <v>0.972680771913508</v>
      </c>
      <c r="AD1145" s="135">
        <v>0.92</v>
      </c>
      <c r="AE1145" s="133">
        <v>0.995798319327731</v>
      </c>
      <c r="AF1145" s="133">
        <v>1</v>
      </c>
      <c r="AG1145" s="133">
        <v>1</v>
      </c>
      <c r="AH1145" s="133">
        <v>0.992421899164862</v>
      </c>
      <c r="AI1145" s="135">
        <v>0.92</v>
      </c>
      <c r="AJ1145" s="133">
        <v>0.978461538461538</v>
      </c>
      <c r="AK1145" s="133">
        <v>0.978190918841616</v>
      </c>
      <c r="AL1145" s="133">
        <v>0.985798816568047</v>
      </c>
      <c r="AM1145" s="133">
        <v>0.984164247908486</v>
      </c>
      <c r="AN1145" s="132">
        <v>0.99</v>
      </c>
      <c r="AO1145" s="137">
        <v>1</v>
      </c>
      <c r="AP1145" s="137">
        <v>1</v>
      </c>
      <c r="AQ1145" s="137">
        <v>1</v>
      </c>
      <c r="AR1145" s="137">
        <v>1</v>
      </c>
      <c r="AS1145" s="158">
        <v>0.0721861525408278</v>
      </c>
      <c r="AT1145" s="141">
        <v>0.0769230769230769</v>
      </c>
      <c r="AU1145" s="141">
        <v>0</v>
      </c>
      <c r="AV1145" s="141">
        <v>0.1</v>
      </c>
      <c r="AW1145" s="141">
        <v>0.05</v>
      </c>
      <c r="AX1145" s="95"/>
      <c r="AY1145" s="93"/>
    </row>
    <row r="1146" ht="14.5" spans="1:51">
      <c r="A1146" s="91"/>
      <c r="B1146" s="95"/>
      <c r="C1146" s="152" t="s">
        <v>1085</v>
      </c>
      <c r="D1146" s="153" t="s">
        <v>25</v>
      </c>
      <c r="E1146" s="130" t="s">
        <v>1086</v>
      </c>
      <c r="F1146" s="195" t="s">
        <v>1176</v>
      </c>
      <c r="G1146" s="195" t="s">
        <v>1176</v>
      </c>
      <c r="H1146" s="195" t="s">
        <v>1176</v>
      </c>
      <c r="I1146" s="195" t="s">
        <v>1176</v>
      </c>
      <c r="J1146" s="132">
        <v>0.9</v>
      </c>
      <c r="K1146" s="133">
        <v>0.934426229508197</v>
      </c>
      <c r="L1146" s="133">
        <v>0.936507936507937</v>
      </c>
      <c r="M1146" s="134">
        <v>0.95</v>
      </c>
      <c r="N1146" s="133">
        <v>0.892554194156456</v>
      </c>
      <c r="O1146" s="135">
        <v>0.9</v>
      </c>
      <c r="P1146" s="133">
        <v>0.910680429745102</v>
      </c>
      <c r="Q1146" s="133">
        <v>0.903139749640878</v>
      </c>
      <c r="R1146" s="133">
        <v>0.932189868368568</v>
      </c>
      <c r="S1146" s="133">
        <v>0.89389043520918</v>
      </c>
      <c r="T1146" s="135">
        <v>0.9</v>
      </c>
      <c r="U1146" s="133">
        <v>0.905624605013693</v>
      </c>
      <c r="V1146" s="133">
        <v>0.900882413297763</v>
      </c>
      <c r="W1146" s="133">
        <v>0.913442361388113</v>
      </c>
      <c r="X1146" s="133">
        <v>0.901590043830182</v>
      </c>
      <c r="Y1146" s="135">
        <v>0.92</v>
      </c>
      <c r="Z1146" s="135">
        <v>0.918622848200313</v>
      </c>
      <c r="AA1146" s="135">
        <v>0.910112359550562</v>
      </c>
      <c r="AB1146" s="135">
        <v>0.953271028037383</v>
      </c>
      <c r="AC1146" s="135">
        <v>0.928170483334161</v>
      </c>
      <c r="AD1146" s="135">
        <v>0.92</v>
      </c>
      <c r="AE1146" s="133">
        <v>1</v>
      </c>
      <c r="AF1146" s="133">
        <v>0.996644295302013</v>
      </c>
      <c r="AG1146" s="133">
        <v>0.998870056497175</v>
      </c>
      <c r="AH1146" s="133">
        <v>0.99589640094181</v>
      </c>
      <c r="AI1146" s="135">
        <v>0.92</v>
      </c>
      <c r="AJ1146" s="133">
        <v>0.938730040846639</v>
      </c>
      <c r="AK1146" s="133">
        <v>0.935048435763062</v>
      </c>
      <c r="AL1146" s="133">
        <v>0.96503262506274</v>
      </c>
      <c r="AM1146" s="133">
        <v>0.958351988903228</v>
      </c>
      <c r="AN1146" s="132">
        <v>0.99</v>
      </c>
      <c r="AO1146" s="137">
        <v>1</v>
      </c>
      <c r="AP1146" s="137">
        <v>1</v>
      </c>
      <c r="AQ1146" s="137">
        <v>1</v>
      </c>
      <c r="AR1146" s="137">
        <v>1</v>
      </c>
      <c r="AS1146" s="158">
        <v>0.0721861525408278</v>
      </c>
      <c r="AT1146" s="141">
        <v>0.0454545454545455</v>
      </c>
      <c r="AU1146" s="141">
        <v>0.0555555555555556</v>
      </c>
      <c r="AV1146" s="141">
        <v>0</v>
      </c>
      <c r="AW1146" s="141">
        <v>0.0214395099540582</v>
      </c>
      <c r="AX1146" s="95"/>
      <c r="AY1146" s="93"/>
    </row>
    <row r="1147" ht="14.5" spans="1:51">
      <c r="A1147" s="91"/>
      <c r="B1147" s="95"/>
      <c r="C1147" s="152" t="s">
        <v>1085</v>
      </c>
      <c r="D1147" s="153" t="s">
        <v>25</v>
      </c>
      <c r="E1147" s="130" t="s">
        <v>1086</v>
      </c>
      <c r="F1147" s="195" t="s">
        <v>1177</v>
      </c>
      <c r="G1147" s="195" t="s">
        <v>1177</v>
      </c>
      <c r="H1147" s="195" t="s">
        <v>1177</v>
      </c>
      <c r="I1147" s="195" t="s">
        <v>1177</v>
      </c>
      <c r="J1147" s="132">
        <v>0.9</v>
      </c>
      <c r="K1147" s="133">
        <v>0.890909090909091</v>
      </c>
      <c r="L1147" s="133">
        <v>0.982758620689655</v>
      </c>
      <c r="M1147" s="134">
        <v>0.947368421052632</v>
      </c>
      <c r="N1147" s="133">
        <v>0.969450101832994</v>
      </c>
      <c r="O1147" s="135">
        <v>0.9</v>
      </c>
      <c r="P1147" s="133">
        <v>0.989044585987261</v>
      </c>
      <c r="Q1147" s="133">
        <v>0.990087325938164</v>
      </c>
      <c r="R1147" s="133">
        <v>0.982425307557118</v>
      </c>
      <c r="S1147" s="133">
        <v>0.986797923268829</v>
      </c>
      <c r="T1147" s="135">
        <v>0.9</v>
      </c>
      <c r="U1147" s="133">
        <v>0.947770700636943</v>
      </c>
      <c r="V1147" s="133">
        <v>0.949256549445362</v>
      </c>
      <c r="W1147" s="133">
        <v>0.957569671102184</v>
      </c>
      <c r="X1147" s="133">
        <v>0.950117996089272</v>
      </c>
      <c r="Y1147" s="135">
        <v>0.92</v>
      </c>
      <c r="Z1147" s="135">
        <v>0.970198675496689</v>
      </c>
      <c r="AA1147" s="135">
        <v>0.976210008203446</v>
      </c>
      <c r="AB1147" s="135">
        <v>0.991764705882353</v>
      </c>
      <c r="AC1147" s="135">
        <v>0.982375337754851</v>
      </c>
      <c r="AD1147" s="135">
        <v>0.92</v>
      </c>
      <c r="AE1147" s="133">
        <v>0.998479665526416</v>
      </c>
      <c r="AF1147" s="133">
        <v>0.996722207047255</v>
      </c>
      <c r="AG1147" s="133">
        <v>0.998597147533318</v>
      </c>
      <c r="AH1147" s="133">
        <v>0.995637219136676</v>
      </c>
      <c r="AI1147" s="135">
        <v>0.92</v>
      </c>
      <c r="AJ1147" s="133">
        <v>0.985648045926253</v>
      </c>
      <c r="AK1147" s="133">
        <v>0.987719941348974</v>
      </c>
      <c r="AL1147" s="133">
        <v>0.992758121249741</v>
      </c>
      <c r="AM1147" s="133">
        <v>0.991055040799628</v>
      </c>
      <c r="AN1147" s="132">
        <v>0.99</v>
      </c>
      <c r="AO1147" s="137">
        <v>1</v>
      </c>
      <c r="AP1147" s="137">
        <v>1</v>
      </c>
      <c r="AQ1147" s="137">
        <v>1</v>
      </c>
      <c r="AR1147" s="137">
        <v>1</v>
      </c>
      <c r="AS1147" s="158">
        <v>0.0721861525408278</v>
      </c>
      <c r="AT1147" s="141">
        <v>0.0666666666666667</v>
      </c>
      <c r="AU1147" s="141">
        <v>0.037037037037037</v>
      </c>
      <c r="AV1147" s="141">
        <v>0</v>
      </c>
      <c r="AW1147" s="141">
        <v>0.0317848410757946</v>
      </c>
      <c r="AX1147" s="95"/>
      <c r="AY1147" s="93"/>
    </row>
    <row r="1148" ht="14.5" spans="1:51">
      <c r="A1148" s="91"/>
      <c r="B1148" s="95"/>
      <c r="C1148" s="152" t="s">
        <v>1085</v>
      </c>
      <c r="D1148" s="153" t="s">
        <v>25</v>
      </c>
      <c r="E1148" s="130" t="s">
        <v>1086</v>
      </c>
      <c r="F1148" s="195" t="s">
        <v>1178</v>
      </c>
      <c r="G1148" s="195" t="s">
        <v>1178</v>
      </c>
      <c r="H1148" s="195" t="s">
        <v>1178</v>
      </c>
      <c r="I1148" s="195" t="s">
        <v>1178</v>
      </c>
      <c r="J1148" s="132">
        <v>0.9</v>
      </c>
      <c r="K1148" s="133">
        <v>0.981818181818182</v>
      </c>
      <c r="L1148" s="133">
        <v>0.964285714285714</v>
      </c>
      <c r="M1148" s="134">
        <v>0.964285714285714</v>
      </c>
      <c r="N1148" s="133">
        <v>0.905511811023622</v>
      </c>
      <c r="O1148" s="135">
        <v>0.9</v>
      </c>
      <c r="P1148" s="133">
        <v>0.962162162162162</v>
      </c>
      <c r="Q1148" s="133">
        <v>0.960690107010264</v>
      </c>
      <c r="R1148" s="133">
        <v>0.929192283230867</v>
      </c>
      <c r="S1148" s="133">
        <v>0.945799620657367</v>
      </c>
      <c r="T1148" s="135">
        <v>0.9</v>
      </c>
      <c r="U1148" s="133">
        <v>0.927144535840188</v>
      </c>
      <c r="V1148" s="133">
        <v>0.91788600131033</v>
      </c>
      <c r="W1148" s="133">
        <v>0.933008267966928</v>
      </c>
      <c r="X1148" s="133">
        <v>0.909449953182397</v>
      </c>
      <c r="Y1148" s="135">
        <v>0.92</v>
      </c>
      <c r="Z1148" s="135">
        <v>0.958498023715415</v>
      </c>
      <c r="AA1148" s="135">
        <v>0.958914728682171</v>
      </c>
      <c r="AB1148" s="135">
        <v>0.972318339100346</v>
      </c>
      <c r="AC1148" s="135">
        <v>0.968473687419965</v>
      </c>
      <c r="AD1148" s="135">
        <v>0.92</v>
      </c>
      <c r="AE1148" s="133">
        <v>0.99926873857404</v>
      </c>
      <c r="AF1148" s="133">
        <v>0.998557830977791</v>
      </c>
      <c r="AG1148" s="133">
        <v>0.99757045675413</v>
      </c>
      <c r="AH1148" s="133">
        <v>0.996797085976261</v>
      </c>
      <c r="AI1148" s="135">
        <v>0.92</v>
      </c>
      <c r="AJ1148" s="133">
        <v>0.978790424191516</v>
      </c>
      <c r="AK1148" s="133">
        <v>0.980412195537387</v>
      </c>
      <c r="AL1148" s="133">
        <v>0.989075931232092</v>
      </c>
      <c r="AM1148" s="133">
        <v>0.985166537956212</v>
      </c>
      <c r="AN1148" s="132">
        <v>0.99</v>
      </c>
      <c r="AO1148" s="137">
        <v>1</v>
      </c>
      <c r="AP1148" s="137">
        <v>1</v>
      </c>
      <c r="AQ1148" s="137">
        <v>1</v>
      </c>
      <c r="AR1148" s="137">
        <v>1</v>
      </c>
      <c r="AS1148" s="158">
        <v>0.0721861525408278</v>
      </c>
      <c r="AT1148" s="141">
        <v>0</v>
      </c>
      <c r="AU1148" s="141">
        <v>0</v>
      </c>
      <c r="AV1148" s="141">
        <v>0.0454545454545455</v>
      </c>
      <c r="AW1148" s="141">
        <v>0.0310734463276836</v>
      </c>
      <c r="AX1148" s="95"/>
      <c r="AY1148" s="93"/>
    </row>
    <row r="1149" ht="14.5" spans="1:51">
      <c r="A1149" s="91"/>
      <c r="B1149" s="95"/>
      <c r="C1149" s="152" t="s">
        <v>1085</v>
      </c>
      <c r="D1149" s="153" t="s">
        <v>25</v>
      </c>
      <c r="E1149" s="130" t="s">
        <v>1086</v>
      </c>
      <c r="F1149" s="195" t="s">
        <v>1179</v>
      </c>
      <c r="G1149" s="195" t="s">
        <v>1179</v>
      </c>
      <c r="H1149" s="195" t="s">
        <v>1179</v>
      </c>
      <c r="I1149" s="195" t="s">
        <v>1179</v>
      </c>
      <c r="J1149" s="132">
        <v>0.9</v>
      </c>
      <c r="K1149" s="133">
        <v>1</v>
      </c>
      <c r="L1149" s="133">
        <v>1</v>
      </c>
      <c r="M1149" s="134">
        <v>1</v>
      </c>
      <c r="N1149" s="133">
        <v>0.983458646616541</v>
      </c>
      <c r="O1149" s="135">
        <v>0.9</v>
      </c>
      <c r="P1149" s="133">
        <v>0.990536277602524</v>
      </c>
      <c r="Q1149" s="133">
        <v>0.994214876033058</v>
      </c>
      <c r="R1149" s="133">
        <v>0.99406779661017</v>
      </c>
      <c r="S1149" s="133">
        <v>0.991924288337239</v>
      </c>
      <c r="T1149" s="135">
        <v>0.9</v>
      </c>
      <c r="U1149" s="133">
        <v>0.949813593346716</v>
      </c>
      <c r="V1149" s="133">
        <v>0.962534435261708</v>
      </c>
      <c r="W1149" s="133">
        <v>0.964124293785311</v>
      </c>
      <c r="X1149" s="133">
        <v>0.956412055350719</v>
      </c>
      <c r="Y1149" s="135">
        <v>0.92</v>
      </c>
      <c r="Z1149" s="135">
        <v>0.969483568075117</v>
      </c>
      <c r="AA1149" s="135">
        <v>0.97741273100616</v>
      </c>
      <c r="AB1149" s="135">
        <v>0.982028241335045</v>
      </c>
      <c r="AC1149" s="135">
        <v>0.984954439499894</v>
      </c>
      <c r="AD1149" s="135">
        <v>0.92</v>
      </c>
      <c r="AE1149" s="133">
        <v>0.997455470737914</v>
      </c>
      <c r="AF1149" s="133">
        <v>0.998336106489185</v>
      </c>
      <c r="AG1149" s="133">
        <v>0.997122302158273</v>
      </c>
      <c r="AH1149" s="133">
        <v>0.998642533936652</v>
      </c>
      <c r="AI1149" s="135">
        <v>0.92</v>
      </c>
      <c r="AJ1149" s="133">
        <v>0.984666496294403</v>
      </c>
      <c r="AK1149" s="133">
        <v>0.990225890529974</v>
      </c>
      <c r="AL1149" s="133">
        <v>0.994443158138458</v>
      </c>
      <c r="AM1149" s="133">
        <v>0.993185459026494</v>
      </c>
      <c r="AN1149" s="132">
        <v>0.99</v>
      </c>
      <c r="AO1149" s="137">
        <v>1</v>
      </c>
      <c r="AP1149" s="137">
        <v>1</v>
      </c>
      <c r="AQ1149" s="137">
        <v>1</v>
      </c>
      <c r="AR1149" s="137">
        <v>1</v>
      </c>
      <c r="AS1149" s="158">
        <v>0.0721861525408278</v>
      </c>
      <c r="AT1149" s="141">
        <v>0</v>
      </c>
      <c r="AU1149" s="141">
        <v>0.0555555555555556</v>
      </c>
      <c r="AV1149" s="141">
        <v>0</v>
      </c>
      <c r="AW1149" s="141">
        <v>0.0268199233716475</v>
      </c>
      <c r="AX1149" s="95"/>
      <c r="AY1149" s="93"/>
    </row>
    <row r="1150" ht="14.5" spans="1:51">
      <c r="A1150" s="91"/>
      <c r="B1150" s="95"/>
      <c r="C1150" s="152" t="s">
        <v>1085</v>
      </c>
      <c r="D1150" s="153" t="s">
        <v>25</v>
      </c>
      <c r="E1150" s="130" t="s">
        <v>1086</v>
      </c>
      <c r="F1150" s="195" t="s">
        <v>1180</v>
      </c>
      <c r="G1150" s="195" t="s">
        <v>1180</v>
      </c>
      <c r="H1150" s="195" t="s">
        <v>1180</v>
      </c>
      <c r="I1150" s="195" t="s">
        <v>1180</v>
      </c>
      <c r="J1150" s="132">
        <v>0.9</v>
      </c>
      <c r="K1150" s="133">
        <v>0.958333333333333</v>
      </c>
      <c r="L1150" s="133">
        <v>0.807692307692308</v>
      </c>
      <c r="M1150" s="134">
        <v>0.923076923076923</v>
      </c>
      <c r="N1150" s="133">
        <v>0.935779816513762</v>
      </c>
      <c r="O1150" s="135">
        <v>0.9</v>
      </c>
      <c r="P1150" s="133">
        <v>0.986024096385542</v>
      </c>
      <c r="Q1150" s="133">
        <v>0.982496545370797</v>
      </c>
      <c r="R1150" s="133">
        <v>0.984585741811175</v>
      </c>
      <c r="S1150" s="133">
        <v>0.977328925791926</v>
      </c>
      <c r="T1150" s="135">
        <v>0.9</v>
      </c>
      <c r="U1150" s="133">
        <v>0.968192771084337</v>
      </c>
      <c r="V1150" s="133">
        <v>0.960847535697835</v>
      </c>
      <c r="W1150" s="133">
        <v>0.964836223506744</v>
      </c>
      <c r="X1150" s="133">
        <v>0.953955074312189</v>
      </c>
      <c r="Y1150" s="135">
        <v>0.92</v>
      </c>
      <c r="Z1150" s="135">
        <v>0.930656934306569</v>
      </c>
      <c r="AA1150" s="135">
        <v>0.956386292834891</v>
      </c>
      <c r="AB1150" s="135">
        <v>0.967441860465116</v>
      </c>
      <c r="AC1150" s="135">
        <v>0.965606291818288</v>
      </c>
      <c r="AD1150" s="135">
        <v>0.92</v>
      </c>
      <c r="AE1150" s="133">
        <v>0.999170124481328</v>
      </c>
      <c r="AF1150" s="133">
        <v>0.997918112421929</v>
      </c>
      <c r="AG1150" s="133">
        <v>0.997523219814242</v>
      </c>
      <c r="AH1150" s="133">
        <v>0.997044293374995</v>
      </c>
      <c r="AI1150" s="135">
        <v>0.92</v>
      </c>
      <c r="AJ1150" s="133">
        <v>0.979565772669221</v>
      </c>
      <c r="AK1150" s="133">
        <v>0.975115535015997</v>
      </c>
      <c r="AL1150" s="133">
        <v>0.982841181165203</v>
      </c>
      <c r="AM1150" s="133">
        <v>0.984767464155606</v>
      </c>
      <c r="AN1150" s="132">
        <v>0.99</v>
      </c>
      <c r="AO1150" s="137">
        <v>1</v>
      </c>
      <c r="AP1150" s="137">
        <v>1</v>
      </c>
      <c r="AQ1150" s="137">
        <v>1</v>
      </c>
      <c r="AR1150" s="137">
        <v>1</v>
      </c>
      <c r="AS1150" s="158">
        <v>0.0721861525408278</v>
      </c>
      <c r="AT1150" s="141">
        <v>0</v>
      </c>
      <c r="AU1150" s="141">
        <v>0</v>
      </c>
      <c r="AV1150" s="141">
        <v>0.0909090909090909</v>
      </c>
      <c r="AW1150" s="141">
        <v>0.0275862068965517</v>
      </c>
      <c r="AX1150" s="95"/>
      <c r="AY1150" s="93"/>
    </row>
    <row r="1151" ht="14.5" spans="1:51">
      <c r="A1151" s="91"/>
      <c r="B1151" s="95"/>
      <c r="C1151" s="152" t="s">
        <v>1085</v>
      </c>
      <c r="D1151" s="153" t="s">
        <v>25</v>
      </c>
      <c r="E1151" s="130" t="s">
        <v>1086</v>
      </c>
      <c r="F1151" s="195" t="s">
        <v>1181</v>
      </c>
      <c r="G1151" s="195" t="s">
        <v>1181</v>
      </c>
      <c r="H1151" s="195" t="s">
        <v>1181</v>
      </c>
      <c r="I1151" s="195" t="s">
        <v>1181</v>
      </c>
      <c r="J1151" s="132">
        <v>0.9</v>
      </c>
      <c r="K1151" s="133">
        <v>0.962025316455696</v>
      </c>
      <c r="L1151" s="133">
        <v>0.973333333333333</v>
      </c>
      <c r="M1151" s="134">
        <v>0.974683544303797</v>
      </c>
      <c r="N1151" s="133">
        <v>0.981936416184971</v>
      </c>
      <c r="O1151" s="135">
        <v>0.9</v>
      </c>
      <c r="P1151" s="133">
        <v>0.947933733843073</v>
      </c>
      <c r="Q1151" s="133">
        <v>0.960353185595568</v>
      </c>
      <c r="R1151" s="133">
        <v>0.97175822283451</v>
      </c>
      <c r="S1151" s="133">
        <v>0.961591894982563</v>
      </c>
      <c r="T1151" s="135">
        <v>0.9</v>
      </c>
      <c r="U1151" s="133">
        <v>0.914436555616239</v>
      </c>
      <c r="V1151" s="133">
        <v>0.89819944598338</v>
      </c>
      <c r="W1151" s="133">
        <v>0.941794386085759</v>
      </c>
      <c r="X1151" s="133">
        <v>0.925811116046536</v>
      </c>
      <c r="Y1151" s="135">
        <v>0.92</v>
      </c>
      <c r="Z1151" s="135">
        <v>0.928067700987306</v>
      </c>
      <c r="AA1151" s="135">
        <v>0.917415730337079</v>
      </c>
      <c r="AB1151" s="135">
        <v>0.951639344262295</v>
      </c>
      <c r="AC1151" s="135">
        <v>0.956530595616394</v>
      </c>
      <c r="AD1151" s="135">
        <v>0.92</v>
      </c>
      <c r="AE1151" s="133">
        <v>0.997481108312343</v>
      </c>
      <c r="AF1151" s="133">
        <v>0.99581589958159</v>
      </c>
      <c r="AG1151" s="133">
        <v>0.993385447985568</v>
      </c>
      <c r="AH1151" s="133">
        <v>0.99499756826235</v>
      </c>
      <c r="AI1151" s="135">
        <v>0.92</v>
      </c>
      <c r="AJ1151" s="133">
        <v>0.955336988068365</v>
      </c>
      <c r="AK1151" s="133">
        <v>0.949841185812599</v>
      </c>
      <c r="AL1151" s="133">
        <v>0.975811041548093</v>
      </c>
      <c r="AM1151" s="133">
        <v>0.973796044859698</v>
      </c>
      <c r="AN1151" s="132">
        <v>0.99</v>
      </c>
      <c r="AO1151" s="137">
        <v>1</v>
      </c>
      <c r="AP1151" s="137">
        <v>1</v>
      </c>
      <c r="AQ1151" s="137">
        <v>1</v>
      </c>
      <c r="AR1151" s="137">
        <v>1</v>
      </c>
      <c r="AS1151" s="158">
        <v>0.0721861525408278</v>
      </c>
      <c r="AT1151" s="141">
        <v>0.0384615384615385</v>
      </c>
      <c r="AU1151" s="141">
        <v>0.0434782608695652</v>
      </c>
      <c r="AV1151" s="141">
        <v>0</v>
      </c>
      <c r="AW1151" s="141">
        <v>0.0460829493087558</v>
      </c>
      <c r="AX1151" s="95"/>
      <c r="AY1151" s="93"/>
    </row>
    <row r="1152" ht="14.5" spans="1:51">
      <c r="A1152" s="91"/>
      <c r="B1152" s="95"/>
      <c r="C1152" s="152" t="s">
        <v>1085</v>
      </c>
      <c r="D1152" s="153" t="s">
        <v>25</v>
      </c>
      <c r="E1152" s="130" t="s">
        <v>1086</v>
      </c>
      <c r="F1152" s="195" t="s">
        <v>1182</v>
      </c>
      <c r="G1152" s="195" t="s">
        <v>1182</v>
      </c>
      <c r="H1152" s="195" t="s">
        <v>1182</v>
      </c>
      <c r="I1152" s="195" t="s">
        <v>1182</v>
      </c>
      <c r="J1152" s="132">
        <v>0.9</v>
      </c>
      <c r="K1152" s="133">
        <v>0.96078431372549</v>
      </c>
      <c r="L1152" s="133">
        <v>0.981481481481482</v>
      </c>
      <c r="M1152" s="134">
        <v>0.854545454545454</v>
      </c>
      <c r="N1152" s="133">
        <v>0.936908517350158</v>
      </c>
      <c r="O1152" s="135">
        <v>0.9</v>
      </c>
      <c r="P1152" s="133">
        <v>0.95235792019347</v>
      </c>
      <c r="Q1152" s="133">
        <v>0.950634371395617</v>
      </c>
      <c r="R1152" s="133">
        <v>0.957425984829949</v>
      </c>
      <c r="S1152" s="133">
        <v>0.940670138799805</v>
      </c>
      <c r="T1152" s="135">
        <v>0.9</v>
      </c>
      <c r="U1152" s="133">
        <v>0.860217654171705</v>
      </c>
      <c r="V1152" s="133">
        <v>0.852133794694348</v>
      </c>
      <c r="W1152" s="133">
        <v>0.907266943968681</v>
      </c>
      <c r="X1152" s="133">
        <v>0.876696513328373</v>
      </c>
      <c r="Y1152" s="135">
        <v>0.92</v>
      </c>
      <c r="Z1152" s="135">
        <v>0.880546075085324</v>
      </c>
      <c r="AA1152" s="135">
        <v>0.869026548672566</v>
      </c>
      <c r="AB1152" s="135">
        <v>0.866171003717472</v>
      </c>
      <c r="AC1152" s="135">
        <v>0.906136308513219</v>
      </c>
      <c r="AD1152" s="135">
        <v>0.92</v>
      </c>
      <c r="AE1152" s="133">
        <v>0.988888888888889</v>
      </c>
      <c r="AF1152" s="133">
        <v>0.995951417004049</v>
      </c>
      <c r="AG1152" s="133">
        <v>0.995934959349594</v>
      </c>
      <c r="AH1152" s="133">
        <v>0.985765529806981</v>
      </c>
      <c r="AI1152" s="135">
        <v>0.92</v>
      </c>
      <c r="AJ1152" s="133">
        <v>0.95382334251218</v>
      </c>
      <c r="AK1152" s="133">
        <v>0.947849954254346</v>
      </c>
      <c r="AL1152" s="133">
        <v>0.961994278708623</v>
      </c>
      <c r="AM1152" s="133">
        <v>0.967061588793952</v>
      </c>
      <c r="AN1152" s="132">
        <v>0.99</v>
      </c>
      <c r="AO1152" s="137">
        <v>1</v>
      </c>
      <c r="AP1152" s="137">
        <v>1</v>
      </c>
      <c r="AQ1152" s="137">
        <v>1</v>
      </c>
      <c r="AR1152" s="137">
        <v>1</v>
      </c>
      <c r="AS1152" s="158">
        <v>0.0721861525408278</v>
      </c>
      <c r="AT1152" s="141">
        <v>0.0769230769230769</v>
      </c>
      <c r="AU1152" s="141">
        <v>0.0555555555555556</v>
      </c>
      <c r="AV1152" s="141">
        <v>0</v>
      </c>
      <c r="AW1152" s="141">
        <v>0.0198863636363636</v>
      </c>
      <c r="AX1152" s="95"/>
      <c r="AY1152" s="93"/>
    </row>
    <row r="1153" ht="14.5" spans="1:51">
      <c r="A1153" s="91"/>
      <c r="B1153" s="95"/>
      <c r="C1153" s="152" t="s">
        <v>1085</v>
      </c>
      <c r="D1153" s="153" t="s">
        <v>25</v>
      </c>
      <c r="E1153" s="130" t="s">
        <v>1086</v>
      </c>
      <c r="F1153" s="195" t="s">
        <v>1183</v>
      </c>
      <c r="G1153" s="195" t="s">
        <v>1183</v>
      </c>
      <c r="H1153" s="195" t="s">
        <v>1183</v>
      </c>
      <c r="I1153" s="195" t="s">
        <v>1183</v>
      </c>
      <c r="J1153" s="132">
        <v>0.9</v>
      </c>
      <c r="K1153" s="133">
        <v>0.975</v>
      </c>
      <c r="L1153" s="133">
        <v>0.951219512195122</v>
      </c>
      <c r="M1153" s="134">
        <v>0.931818181818182</v>
      </c>
      <c r="N1153" s="133">
        <v>0.951153324287653</v>
      </c>
      <c r="O1153" s="135">
        <v>0.9</v>
      </c>
      <c r="P1153" s="133">
        <v>0.93641975308642</v>
      </c>
      <c r="Q1153" s="133">
        <v>0.921557062813329</v>
      </c>
      <c r="R1153" s="133">
        <v>0.956823195713835</v>
      </c>
      <c r="S1153" s="133">
        <v>0.926237083088297</v>
      </c>
      <c r="T1153" s="135">
        <v>0.9</v>
      </c>
      <c r="U1153" s="133">
        <v>0.881481481481482</v>
      </c>
      <c r="V1153" s="133">
        <v>0.854025361250369</v>
      </c>
      <c r="W1153" s="133">
        <v>0.908603844941696</v>
      </c>
      <c r="X1153" s="133">
        <v>0.872973200033605</v>
      </c>
      <c r="Y1153" s="135">
        <v>0.92</v>
      </c>
      <c r="Z1153" s="135">
        <v>0.918629550321199</v>
      </c>
      <c r="AA1153" s="135">
        <v>0.946778711484594</v>
      </c>
      <c r="AB1153" s="135">
        <v>0.946456692913386</v>
      </c>
      <c r="AC1153" s="135">
        <v>0.94825403916313</v>
      </c>
      <c r="AD1153" s="135">
        <v>0.92</v>
      </c>
      <c r="AE1153" s="133">
        <v>0.919540229885057</v>
      </c>
      <c r="AF1153" s="133">
        <v>0.986928104575163</v>
      </c>
      <c r="AG1153" s="133">
        <v>0.996251171508904</v>
      </c>
      <c r="AH1153" s="133">
        <v>0.992601270115297</v>
      </c>
      <c r="AI1153" s="135">
        <v>0.92</v>
      </c>
      <c r="AJ1153" s="133">
        <v>0.95495009441597</v>
      </c>
      <c r="AK1153" s="133">
        <v>0.963477481514676</v>
      </c>
      <c r="AL1153" s="133">
        <v>0.977941176470588</v>
      </c>
      <c r="AM1153" s="133">
        <v>0.971486929224527</v>
      </c>
      <c r="AN1153" s="132">
        <v>0.99</v>
      </c>
      <c r="AO1153" s="137">
        <v>1</v>
      </c>
      <c r="AP1153" s="137">
        <v>1</v>
      </c>
      <c r="AQ1153" s="137">
        <v>1</v>
      </c>
      <c r="AR1153" s="137">
        <v>1</v>
      </c>
      <c r="AS1153" s="158">
        <v>0.0721861525408278</v>
      </c>
      <c r="AT1153" s="141">
        <v>0.0666666666666667</v>
      </c>
      <c r="AU1153" s="141">
        <v>0</v>
      </c>
      <c r="AV1153" s="141">
        <v>0.133333333333333</v>
      </c>
      <c r="AW1153" s="141">
        <v>0.0642201834862385</v>
      </c>
      <c r="AX1153" s="95"/>
      <c r="AY1153" s="93"/>
    </row>
    <row r="1154" ht="14.5" spans="1:51">
      <c r="A1154" s="91"/>
      <c r="B1154" s="95"/>
      <c r="C1154" s="152" t="s">
        <v>1085</v>
      </c>
      <c r="D1154" s="153" t="s">
        <v>25</v>
      </c>
      <c r="E1154" s="130" t="s">
        <v>1086</v>
      </c>
      <c r="F1154" s="195" t="s">
        <v>1184</v>
      </c>
      <c r="G1154" s="195" t="s">
        <v>1184</v>
      </c>
      <c r="H1154" s="195" t="s">
        <v>1184</v>
      </c>
      <c r="I1154" s="195" t="s">
        <v>1184</v>
      </c>
      <c r="J1154" s="132">
        <v>0.9</v>
      </c>
      <c r="K1154" s="133">
        <v>1</v>
      </c>
      <c r="L1154" s="133">
        <v>0.96551724137931</v>
      </c>
      <c r="M1154" s="134">
        <v>1</v>
      </c>
      <c r="N1154" s="133">
        <v>0.987816307403936</v>
      </c>
      <c r="O1154" s="135">
        <v>0.9</v>
      </c>
      <c r="P1154" s="133">
        <v>0.955802307859787</v>
      </c>
      <c r="Q1154" s="133">
        <v>0.971416904859126</v>
      </c>
      <c r="R1154" s="133">
        <v>0.953031596925704</v>
      </c>
      <c r="S1154" s="133">
        <v>0.961420861226286</v>
      </c>
      <c r="T1154" s="135">
        <v>0.9</v>
      </c>
      <c r="U1154" s="133">
        <v>0.929022425430002</v>
      </c>
      <c r="V1154" s="133">
        <v>0.906900775826868</v>
      </c>
      <c r="W1154" s="133">
        <v>0.927625960717336</v>
      </c>
      <c r="X1154" s="133">
        <v>0.906731370596002</v>
      </c>
      <c r="Y1154" s="135">
        <v>0.92</v>
      </c>
      <c r="Z1154" s="135">
        <v>0.897727272727273</v>
      </c>
      <c r="AA1154" s="135">
        <v>0.920162381596752</v>
      </c>
      <c r="AB1154" s="135">
        <v>0.924050632911392</v>
      </c>
      <c r="AC1154" s="135">
        <v>0.928928781636257</v>
      </c>
      <c r="AD1154" s="135">
        <v>0.92</v>
      </c>
      <c r="AE1154" s="133">
        <v>0.962962962962963</v>
      </c>
      <c r="AF1154" s="133">
        <v>0.997175141242938</v>
      </c>
      <c r="AG1154" s="133">
        <v>0.994845360824742</v>
      </c>
      <c r="AH1154" s="133">
        <v>0.993324432576769</v>
      </c>
      <c r="AI1154" s="135">
        <v>0.92</v>
      </c>
      <c r="AJ1154" s="133">
        <v>0.966773645459694</v>
      </c>
      <c r="AK1154" s="133">
        <v>0.960639799278658</v>
      </c>
      <c r="AL1154" s="133">
        <v>0.970530800639091</v>
      </c>
      <c r="AM1154" s="133">
        <v>0.970516868248719</v>
      </c>
      <c r="AN1154" s="132">
        <v>0.99</v>
      </c>
      <c r="AO1154" s="137">
        <v>1</v>
      </c>
      <c r="AP1154" s="137">
        <v>1</v>
      </c>
      <c r="AQ1154" s="137">
        <v>1</v>
      </c>
      <c r="AR1154" s="137">
        <v>1</v>
      </c>
      <c r="AS1154" s="158">
        <v>0.0721861525408278</v>
      </c>
      <c r="AT1154" s="141">
        <v>0</v>
      </c>
      <c r="AU1154" s="141">
        <v>0.027027027027027</v>
      </c>
      <c r="AV1154" s="141">
        <v>0.0689655172413793</v>
      </c>
      <c r="AW1154" s="141">
        <v>0.0287958115183246</v>
      </c>
      <c r="AX1154" s="95"/>
      <c r="AY1154" s="93"/>
    </row>
    <row r="1155" ht="14.5" spans="1:51">
      <c r="A1155" s="91"/>
      <c r="B1155" s="95"/>
      <c r="C1155" s="152" t="s">
        <v>1085</v>
      </c>
      <c r="D1155" s="153" t="s">
        <v>25</v>
      </c>
      <c r="E1155" s="130" t="s">
        <v>1086</v>
      </c>
      <c r="F1155" s="195" t="s">
        <v>1185</v>
      </c>
      <c r="G1155" s="195" t="s">
        <v>1185</v>
      </c>
      <c r="H1155" s="195" t="s">
        <v>1185</v>
      </c>
      <c r="I1155" s="195" t="s">
        <v>1185</v>
      </c>
      <c r="J1155" s="132">
        <v>0.9</v>
      </c>
      <c r="K1155" s="133">
        <v>0.926829268292683</v>
      </c>
      <c r="L1155" s="133">
        <v>1</v>
      </c>
      <c r="M1155" s="134">
        <v>0.976744186046512</v>
      </c>
      <c r="N1155" s="133">
        <v>0.961165048543689</v>
      </c>
      <c r="O1155" s="135">
        <v>0.9</v>
      </c>
      <c r="P1155" s="133">
        <v>0.986589181940098</v>
      </c>
      <c r="Q1155" s="133">
        <v>0.987694625816173</v>
      </c>
      <c r="R1155" s="133">
        <v>0.989937449007343</v>
      </c>
      <c r="S1155" s="133">
        <v>0.985935997435623</v>
      </c>
      <c r="T1155" s="135">
        <v>0.9</v>
      </c>
      <c r="U1155" s="133">
        <v>0.902101028162718</v>
      </c>
      <c r="V1155" s="133">
        <v>0.907835258663988</v>
      </c>
      <c r="W1155" s="133">
        <v>0.934457438128909</v>
      </c>
      <c r="X1155" s="133">
        <v>0.918434127577733</v>
      </c>
      <c r="Y1155" s="135">
        <v>0.92</v>
      </c>
      <c r="Z1155" s="135" t="s">
        <v>35</v>
      </c>
      <c r="AA1155" s="135" t="s">
        <v>35</v>
      </c>
      <c r="AB1155" s="135" t="s">
        <v>35</v>
      </c>
      <c r="AC1155" s="135" t="s">
        <v>35</v>
      </c>
      <c r="AD1155" s="135">
        <v>0.92</v>
      </c>
      <c r="AE1155" s="133">
        <v>1</v>
      </c>
      <c r="AF1155" s="133">
        <v>1</v>
      </c>
      <c r="AG1155" s="133">
        <v>0.998265394622723</v>
      </c>
      <c r="AH1155" s="133">
        <v>0.998930952081499</v>
      </c>
      <c r="AI1155" s="135">
        <v>0.92</v>
      </c>
      <c r="AJ1155" s="133">
        <v>0.957308895842646</v>
      </c>
      <c r="AK1155" s="133">
        <v>0.964841788046208</v>
      </c>
      <c r="AL1155" s="133">
        <v>0.97824313298885</v>
      </c>
      <c r="AM1155" s="133">
        <v>0.980887381130463</v>
      </c>
      <c r="AN1155" s="132">
        <v>0.99</v>
      </c>
      <c r="AO1155" s="137">
        <v>1</v>
      </c>
      <c r="AP1155" s="137">
        <v>1</v>
      </c>
      <c r="AQ1155" s="137">
        <v>1</v>
      </c>
      <c r="AR1155" s="137">
        <v>1</v>
      </c>
      <c r="AS1155" s="158">
        <v>0.0721861525408278</v>
      </c>
      <c r="AT1155" s="141">
        <v>0.0588235294117647</v>
      </c>
      <c r="AU1155" s="141">
        <v>0.05</v>
      </c>
      <c r="AV1155" s="141">
        <v>0.0344827586206897</v>
      </c>
      <c r="AW1155" s="141">
        <v>0.0318302387267905</v>
      </c>
      <c r="AX1155" s="95"/>
      <c r="AY1155" s="93"/>
    </row>
    <row r="1156" ht="14.5" spans="1:51">
      <c r="A1156" s="91"/>
      <c r="B1156" s="95"/>
      <c r="C1156" s="152" t="s">
        <v>1085</v>
      </c>
      <c r="D1156" s="153" t="s">
        <v>25</v>
      </c>
      <c r="E1156" s="130" t="s">
        <v>1086</v>
      </c>
      <c r="F1156" s="195" t="s">
        <v>1186</v>
      </c>
      <c r="G1156" s="195" t="s">
        <v>1186</v>
      </c>
      <c r="H1156" s="195" t="s">
        <v>1186</v>
      </c>
      <c r="I1156" s="195" t="s">
        <v>1186</v>
      </c>
      <c r="J1156" s="132">
        <v>0.9</v>
      </c>
      <c r="K1156" s="133">
        <v>1</v>
      </c>
      <c r="L1156" s="133">
        <v>0.84</v>
      </c>
      <c r="M1156" s="134">
        <v>0.958333333333333</v>
      </c>
      <c r="N1156" s="133">
        <v>0.914351851851852</v>
      </c>
      <c r="O1156" s="135">
        <v>0.9</v>
      </c>
      <c r="P1156" s="133">
        <v>0.978215333054043</v>
      </c>
      <c r="Q1156" s="133">
        <v>0.983475212819229</v>
      </c>
      <c r="R1156" s="133">
        <v>0.976558337773042</v>
      </c>
      <c r="S1156" s="133">
        <v>0.980384099065779</v>
      </c>
      <c r="T1156" s="135">
        <v>0.9</v>
      </c>
      <c r="U1156" s="133">
        <v>0.82865521575199</v>
      </c>
      <c r="V1156" s="133">
        <v>0.834752128192288</v>
      </c>
      <c r="W1156" s="133">
        <v>0.883857218966436</v>
      </c>
      <c r="X1156" s="133">
        <v>0.844250842442673</v>
      </c>
      <c r="Y1156" s="135">
        <v>0.92</v>
      </c>
      <c r="Z1156" s="135">
        <v>0</v>
      </c>
      <c r="AA1156" s="135" t="s">
        <v>35</v>
      </c>
      <c r="AB1156" s="135" t="s">
        <v>35</v>
      </c>
      <c r="AC1156" s="135">
        <v>0</v>
      </c>
      <c r="AD1156" s="135">
        <v>0.92</v>
      </c>
      <c r="AE1156" s="133">
        <v>1</v>
      </c>
      <c r="AF1156" s="133">
        <v>1</v>
      </c>
      <c r="AG1156" s="133">
        <v>1</v>
      </c>
      <c r="AH1156" s="133">
        <v>0.99419689119171</v>
      </c>
      <c r="AI1156" s="135">
        <v>0.92</v>
      </c>
      <c r="AJ1156" s="133">
        <v>0.95393634840871</v>
      </c>
      <c r="AK1156" s="133">
        <v>0.966449674511768</v>
      </c>
      <c r="AL1156" s="133">
        <v>0.976558337773042</v>
      </c>
      <c r="AM1156" s="133">
        <v>0.97123445290669</v>
      </c>
      <c r="AN1156" s="132">
        <v>0.99</v>
      </c>
      <c r="AO1156" s="137">
        <v>1</v>
      </c>
      <c r="AP1156" s="137">
        <v>1</v>
      </c>
      <c r="AQ1156" s="137">
        <v>1</v>
      </c>
      <c r="AR1156" s="137">
        <v>1</v>
      </c>
      <c r="AS1156" s="158">
        <v>0.0721861525408278</v>
      </c>
      <c r="AT1156" s="141">
        <v>0</v>
      </c>
      <c r="AU1156" s="141">
        <v>0</v>
      </c>
      <c r="AV1156" s="141">
        <v>0</v>
      </c>
      <c r="AW1156" s="141">
        <v>0.0560747663551402</v>
      </c>
      <c r="AX1156" s="95"/>
      <c r="AY1156" s="93"/>
    </row>
    <row r="1157" ht="14.5" spans="1:51">
      <c r="A1157" s="91"/>
      <c r="B1157" s="95"/>
      <c r="C1157" s="152" t="s">
        <v>1085</v>
      </c>
      <c r="D1157" s="153" t="s">
        <v>25</v>
      </c>
      <c r="E1157" s="130" t="s">
        <v>1086</v>
      </c>
      <c r="F1157" s="195" t="s">
        <v>1187</v>
      </c>
      <c r="G1157" s="195" t="s">
        <v>1187</v>
      </c>
      <c r="H1157" s="195" t="s">
        <v>1187</v>
      </c>
      <c r="I1157" s="195" t="s">
        <v>1187</v>
      </c>
      <c r="J1157" s="132">
        <v>0.9</v>
      </c>
      <c r="K1157" s="133">
        <v>0.896551724137931</v>
      </c>
      <c r="L1157" s="133">
        <v>0.882352941176471</v>
      </c>
      <c r="M1157" s="134">
        <v>0.939393939393939</v>
      </c>
      <c r="N1157" s="133">
        <v>0.933078393881453</v>
      </c>
      <c r="O1157" s="135">
        <v>0.9</v>
      </c>
      <c r="P1157" s="133">
        <v>0.979062223532881</v>
      </c>
      <c r="Q1157" s="133">
        <v>0.985993580391013</v>
      </c>
      <c r="R1157" s="133">
        <v>0.988932524098536</v>
      </c>
      <c r="S1157" s="133">
        <v>0.923287478944413</v>
      </c>
      <c r="T1157" s="135">
        <v>0.9</v>
      </c>
      <c r="U1157" s="133">
        <v>0.829548805662047</v>
      </c>
      <c r="V1157" s="133">
        <v>0.878027429238401</v>
      </c>
      <c r="W1157" s="133">
        <v>0.901106747590146</v>
      </c>
      <c r="X1157" s="133">
        <v>0.83381878158338</v>
      </c>
      <c r="Y1157" s="135">
        <v>0.92</v>
      </c>
      <c r="Z1157" s="135" t="s">
        <v>35</v>
      </c>
      <c r="AA1157" s="135">
        <v>0</v>
      </c>
      <c r="AB1157" s="135" t="s">
        <v>35</v>
      </c>
      <c r="AC1157" s="135">
        <v>0</v>
      </c>
      <c r="AD1157" s="135">
        <v>0.92</v>
      </c>
      <c r="AE1157" s="133">
        <v>1</v>
      </c>
      <c r="AF1157" s="133">
        <v>1</v>
      </c>
      <c r="AG1157" s="133">
        <v>1</v>
      </c>
      <c r="AH1157" s="133">
        <v>1</v>
      </c>
      <c r="AI1157" s="135">
        <v>0.92</v>
      </c>
      <c r="AJ1157" s="133">
        <v>0.946623414921852</v>
      </c>
      <c r="AK1157" s="133">
        <v>0.962121212121212</v>
      </c>
      <c r="AL1157" s="133">
        <v>0.980721171010353</v>
      </c>
      <c r="AM1157" s="133">
        <v>0.973103847570925</v>
      </c>
      <c r="AN1157" s="132">
        <v>0.99</v>
      </c>
      <c r="AO1157" s="137">
        <v>1</v>
      </c>
      <c r="AP1157" s="137">
        <v>1</v>
      </c>
      <c r="AQ1157" s="137">
        <v>1</v>
      </c>
      <c r="AR1157" s="137">
        <v>1</v>
      </c>
      <c r="AS1157" s="158">
        <v>0.0721861525408278</v>
      </c>
      <c r="AT1157" s="141">
        <v>0</v>
      </c>
      <c r="AU1157" s="141">
        <v>0</v>
      </c>
      <c r="AV1157" s="141">
        <v>0</v>
      </c>
      <c r="AW1157" s="141">
        <v>0.04</v>
      </c>
      <c r="AX1157" s="95"/>
      <c r="AY1157" s="93"/>
    </row>
    <row r="1158" ht="14.5" spans="1:51">
      <c r="A1158" s="91"/>
      <c r="B1158" s="95"/>
      <c r="C1158" s="152" t="s">
        <v>1085</v>
      </c>
      <c r="D1158" s="153" t="s">
        <v>25</v>
      </c>
      <c r="E1158" s="130" t="s">
        <v>1086</v>
      </c>
      <c r="F1158" s="195" t="s">
        <v>1188</v>
      </c>
      <c r="G1158" s="195" t="s">
        <v>1188</v>
      </c>
      <c r="H1158" s="195" t="s">
        <v>1188</v>
      </c>
      <c r="I1158" s="195" t="s">
        <v>1188</v>
      </c>
      <c r="J1158" s="132">
        <v>0.9</v>
      </c>
      <c r="K1158" s="133">
        <v>0.939393939393939</v>
      </c>
      <c r="L1158" s="133">
        <v>0.903225806451613</v>
      </c>
      <c r="M1158" s="134">
        <v>0.903225806451613</v>
      </c>
      <c r="N1158" s="133">
        <v>0.915467625899281</v>
      </c>
      <c r="O1158" s="135">
        <v>0.9</v>
      </c>
      <c r="P1158" s="133">
        <v>0.877468217473627</v>
      </c>
      <c r="Q1158" s="133">
        <v>0.946608040201005</v>
      </c>
      <c r="R1158" s="133">
        <v>0.9875123233651</v>
      </c>
      <c r="S1158" s="133">
        <v>0.956624690560758</v>
      </c>
      <c r="T1158" s="135">
        <v>0.9</v>
      </c>
      <c r="U1158" s="133">
        <v>0.674060048688126</v>
      </c>
      <c r="V1158" s="133">
        <v>0.746545226130653</v>
      </c>
      <c r="W1158" s="133">
        <v>0.776536312849162</v>
      </c>
      <c r="X1158" s="133">
        <v>0.749129982420263</v>
      </c>
      <c r="Y1158" s="135">
        <v>0.92</v>
      </c>
      <c r="Z1158" s="135" t="s">
        <v>35</v>
      </c>
      <c r="AA1158" s="135" t="s">
        <v>35</v>
      </c>
      <c r="AB1158" s="135" t="s">
        <v>35</v>
      </c>
      <c r="AC1158" s="135" t="s">
        <v>35</v>
      </c>
      <c r="AD1158" s="135">
        <v>0.92</v>
      </c>
      <c r="AE1158" s="133">
        <v>1</v>
      </c>
      <c r="AF1158" s="133">
        <v>1</v>
      </c>
      <c r="AG1158" s="133">
        <v>1</v>
      </c>
      <c r="AH1158" s="133">
        <v>1</v>
      </c>
      <c r="AI1158" s="135">
        <v>0.92</v>
      </c>
      <c r="AJ1158" s="133">
        <v>0.946713551528266</v>
      </c>
      <c r="AK1158" s="133">
        <v>0.947236180904523</v>
      </c>
      <c r="AL1158" s="133">
        <v>0.961222477817943</v>
      </c>
      <c r="AM1158" s="133">
        <v>0.960624977576866</v>
      </c>
      <c r="AN1158" s="132">
        <v>0.99</v>
      </c>
      <c r="AO1158" s="137">
        <v>1</v>
      </c>
      <c r="AP1158" s="137">
        <v>1</v>
      </c>
      <c r="AQ1158" s="137">
        <v>1</v>
      </c>
      <c r="AR1158" s="137">
        <v>1</v>
      </c>
      <c r="AS1158" s="158">
        <v>0.0721861525408278</v>
      </c>
      <c r="AT1158" s="141">
        <v>0.142857142857143</v>
      </c>
      <c r="AU1158" s="141">
        <v>0</v>
      </c>
      <c r="AV1158" s="141">
        <v>0</v>
      </c>
      <c r="AW1158" s="141">
        <v>0.0913461538461538</v>
      </c>
      <c r="AX1158" s="95"/>
      <c r="AY1158" s="93"/>
    </row>
    <row r="1159" ht="14.5" spans="1:51">
      <c r="A1159" s="91"/>
      <c r="B1159" s="95"/>
      <c r="C1159" s="152" t="s">
        <v>1085</v>
      </c>
      <c r="D1159" s="153" t="s">
        <v>25</v>
      </c>
      <c r="E1159" s="130" t="s">
        <v>1086</v>
      </c>
      <c r="F1159" s="195" t="s">
        <v>1189</v>
      </c>
      <c r="G1159" s="195" t="s">
        <v>1189</v>
      </c>
      <c r="H1159" s="195" t="s">
        <v>1189</v>
      </c>
      <c r="I1159" s="195" t="s">
        <v>1189</v>
      </c>
      <c r="J1159" s="132">
        <v>0.9</v>
      </c>
      <c r="K1159" s="133">
        <v>0.95</v>
      </c>
      <c r="L1159" s="133">
        <v>0.939024390243902</v>
      </c>
      <c r="M1159" s="134">
        <v>0.914634146341463</v>
      </c>
      <c r="N1159" s="133">
        <v>0.939265536723164</v>
      </c>
      <c r="O1159" s="135">
        <v>0.9</v>
      </c>
      <c r="P1159" s="133">
        <v>0.958712121212121</v>
      </c>
      <c r="Q1159" s="133">
        <v>0.930698632702753</v>
      </c>
      <c r="R1159" s="133">
        <v>0.953726531386308</v>
      </c>
      <c r="S1159" s="133">
        <v>0.946796810558152</v>
      </c>
      <c r="T1159" s="135">
        <v>0.9</v>
      </c>
      <c r="U1159" s="133">
        <v>0.910606060606061</v>
      </c>
      <c r="V1159" s="133">
        <v>0.893800337141787</v>
      </c>
      <c r="W1159" s="133">
        <v>0.917504267020671</v>
      </c>
      <c r="X1159" s="133">
        <v>0.915854148600918</v>
      </c>
      <c r="Y1159" s="135">
        <v>0.92</v>
      </c>
      <c r="Z1159" s="135">
        <v>0.93730407523511</v>
      </c>
      <c r="AA1159" s="135">
        <v>0.944323933477947</v>
      </c>
      <c r="AB1159" s="135">
        <v>0.947569113441373</v>
      </c>
      <c r="AC1159" s="135">
        <v>0.956614604191697</v>
      </c>
      <c r="AD1159" s="135">
        <v>0.92</v>
      </c>
      <c r="AE1159" s="133">
        <v>1</v>
      </c>
      <c r="AF1159" s="133">
        <v>0.998583569405099</v>
      </c>
      <c r="AG1159" s="133">
        <v>0.999064546304958</v>
      </c>
      <c r="AH1159" s="133">
        <v>0.999064938414909</v>
      </c>
      <c r="AI1159" s="135">
        <v>0.92</v>
      </c>
      <c r="AJ1159" s="133">
        <v>0.958431902669821</v>
      </c>
      <c r="AK1159" s="133">
        <v>0.960874739660815</v>
      </c>
      <c r="AL1159" s="133">
        <v>0.968206263840557</v>
      </c>
      <c r="AM1159" s="133">
        <v>0.971112687007117</v>
      </c>
      <c r="AN1159" s="132">
        <v>0.99</v>
      </c>
      <c r="AO1159" s="137">
        <v>1</v>
      </c>
      <c r="AP1159" s="137">
        <v>1</v>
      </c>
      <c r="AQ1159" s="137">
        <v>1</v>
      </c>
      <c r="AR1159" s="137">
        <v>1</v>
      </c>
      <c r="AS1159" s="158">
        <v>0.0721861525408278</v>
      </c>
      <c r="AT1159" s="141">
        <v>0.0277777777777778</v>
      </c>
      <c r="AU1159" s="141">
        <v>0</v>
      </c>
      <c r="AV1159" s="141">
        <v>0.0652173913043478</v>
      </c>
      <c r="AW1159" s="141">
        <v>0.0417910447761194</v>
      </c>
      <c r="AX1159" s="95"/>
      <c r="AY1159" s="93"/>
    </row>
    <row r="1160" ht="14.5" spans="1:51">
      <c r="A1160" s="91"/>
      <c r="B1160" s="95"/>
      <c r="C1160" s="152" t="s">
        <v>1085</v>
      </c>
      <c r="D1160" s="153" t="s">
        <v>25</v>
      </c>
      <c r="E1160" s="130" t="s">
        <v>1086</v>
      </c>
      <c r="F1160" s="195" t="s">
        <v>1190</v>
      </c>
      <c r="G1160" s="195" t="s">
        <v>1190</v>
      </c>
      <c r="H1160" s="195" t="s">
        <v>1190</v>
      </c>
      <c r="I1160" s="195" t="s">
        <v>1190</v>
      </c>
      <c r="J1160" s="132">
        <v>0.9</v>
      </c>
      <c r="K1160" s="133">
        <v>0.888888888888889</v>
      </c>
      <c r="L1160" s="133">
        <v>0.901960784313726</v>
      </c>
      <c r="M1160" s="134">
        <v>0.941176470588235</v>
      </c>
      <c r="N1160" s="133">
        <v>0.927130044843049</v>
      </c>
      <c r="O1160" s="135">
        <v>0.9</v>
      </c>
      <c r="P1160" s="133">
        <v>0.977461447212337</v>
      </c>
      <c r="Q1160" s="133">
        <v>0.981263703408411</v>
      </c>
      <c r="R1160" s="133">
        <v>0.964908802537669</v>
      </c>
      <c r="S1160" s="133">
        <v>0.956902311150366</v>
      </c>
      <c r="T1160" s="135">
        <v>0.9</v>
      </c>
      <c r="U1160" s="133">
        <v>0.919731119019375</v>
      </c>
      <c r="V1160" s="133">
        <v>0.911301574646203</v>
      </c>
      <c r="W1160" s="133">
        <v>0.914750198255353</v>
      </c>
      <c r="X1160" s="133">
        <v>0.917065824189512</v>
      </c>
      <c r="Y1160" s="135">
        <v>0.92</v>
      </c>
      <c r="Z1160" s="135" t="s">
        <v>35</v>
      </c>
      <c r="AA1160" s="135" t="s">
        <v>35</v>
      </c>
      <c r="AB1160" s="135" t="s">
        <v>35</v>
      </c>
      <c r="AC1160" s="135" t="s">
        <v>35</v>
      </c>
      <c r="AD1160" s="135">
        <v>0.92</v>
      </c>
      <c r="AE1160" s="133">
        <v>1</v>
      </c>
      <c r="AF1160" s="133">
        <v>0.998051948051948</v>
      </c>
      <c r="AG1160" s="133">
        <v>0.99671322925226</v>
      </c>
      <c r="AH1160" s="133">
        <v>0.997881203763557</v>
      </c>
      <c r="AI1160" s="135">
        <v>0.92</v>
      </c>
      <c r="AJ1160" s="133">
        <v>0.972332015810277</v>
      </c>
      <c r="AK1160" s="133">
        <v>0.972892166633446</v>
      </c>
      <c r="AL1160" s="133">
        <v>0.978588421887391</v>
      </c>
      <c r="AM1160" s="133">
        <v>0.97767033166125</v>
      </c>
      <c r="AN1160" s="132">
        <v>0.99</v>
      </c>
      <c r="AO1160" s="137">
        <v>1</v>
      </c>
      <c r="AP1160" s="137">
        <v>1</v>
      </c>
      <c r="AQ1160" s="137">
        <v>1</v>
      </c>
      <c r="AR1160" s="137">
        <v>1</v>
      </c>
      <c r="AS1160" s="158">
        <v>0.0721861525408278</v>
      </c>
      <c r="AT1160" s="141">
        <v>0</v>
      </c>
      <c r="AU1160" s="141">
        <v>0</v>
      </c>
      <c r="AV1160" s="141">
        <v>0.105263157894737</v>
      </c>
      <c r="AW1160" s="141">
        <v>0.0289389067524116</v>
      </c>
      <c r="AX1160" s="95"/>
      <c r="AY1160" s="93"/>
    </row>
    <row r="1161" ht="14.5" spans="1:51">
      <c r="A1161" s="91"/>
      <c r="B1161" s="95"/>
      <c r="C1161" s="152" t="s">
        <v>1085</v>
      </c>
      <c r="D1161" s="153" t="s">
        <v>25</v>
      </c>
      <c r="E1161" s="130" t="s">
        <v>1086</v>
      </c>
      <c r="F1161" s="195" t="s">
        <v>1191</v>
      </c>
      <c r="G1161" s="195" t="s">
        <v>1191</v>
      </c>
      <c r="H1161" s="195" t="s">
        <v>1191</v>
      </c>
      <c r="I1161" s="195" t="s">
        <v>1191</v>
      </c>
      <c r="J1161" s="132">
        <v>0.9</v>
      </c>
      <c r="K1161" s="133">
        <v>1</v>
      </c>
      <c r="L1161" s="133">
        <v>0.962264150943396</v>
      </c>
      <c r="M1161" s="134">
        <v>0.981132075471698</v>
      </c>
      <c r="N1161" s="133">
        <v>0.980154355016538</v>
      </c>
      <c r="O1161" s="135">
        <v>0.9</v>
      </c>
      <c r="P1161" s="133">
        <v>0.964342313787639</v>
      </c>
      <c r="Q1161" s="133">
        <v>0.981520041644977</v>
      </c>
      <c r="R1161" s="133">
        <v>0.973981345115366</v>
      </c>
      <c r="S1161" s="133">
        <v>0.953777663259756</v>
      </c>
      <c r="T1161" s="135">
        <v>0.9</v>
      </c>
      <c r="U1161" s="133">
        <v>0.807184363444268</v>
      </c>
      <c r="V1161" s="133">
        <v>0.811035918792296</v>
      </c>
      <c r="W1161" s="133">
        <v>0.84413352970054</v>
      </c>
      <c r="X1161" s="133">
        <v>0.820178075524636</v>
      </c>
      <c r="Y1161" s="135">
        <v>0.92</v>
      </c>
      <c r="Z1161" s="135">
        <v>0.856</v>
      </c>
      <c r="AA1161" s="135">
        <v>0.90561797752809</v>
      </c>
      <c r="AB1161" s="135">
        <v>0.896162528216704</v>
      </c>
      <c r="AC1161" s="135">
        <v>0.895632960748635</v>
      </c>
      <c r="AD1161" s="135">
        <v>0.92</v>
      </c>
      <c r="AE1161" s="133">
        <v>0.998076923076923</v>
      </c>
      <c r="AF1161" s="133">
        <v>0.998191681735985</v>
      </c>
      <c r="AG1161" s="133">
        <v>0.991735537190083</v>
      </c>
      <c r="AH1161" s="133">
        <v>0.99523479466297</v>
      </c>
      <c r="AI1161" s="135">
        <v>0.92</v>
      </c>
      <c r="AJ1161" s="133">
        <v>0.919738684087728</v>
      </c>
      <c r="AK1161" s="133">
        <v>0.931427467645354</v>
      </c>
      <c r="AL1161" s="133">
        <v>0.945978633340052</v>
      </c>
      <c r="AM1161" s="133">
        <v>0.941900293255132</v>
      </c>
      <c r="AN1161" s="132">
        <v>0.99</v>
      </c>
      <c r="AO1161" s="137">
        <v>1</v>
      </c>
      <c r="AP1161" s="137">
        <v>1</v>
      </c>
      <c r="AQ1161" s="137">
        <v>1</v>
      </c>
      <c r="AR1161" s="137">
        <v>1</v>
      </c>
      <c r="AS1161" s="158">
        <v>0.0721861525408278</v>
      </c>
      <c r="AT1161" s="141">
        <v>0</v>
      </c>
      <c r="AU1161" s="141">
        <v>0.05</v>
      </c>
      <c r="AV1161" s="141">
        <v>0.0454545454545455</v>
      </c>
      <c r="AW1161" s="141">
        <v>0.043613707165109</v>
      </c>
      <c r="AX1161" s="95"/>
      <c r="AY1161" s="93"/>
    </row>
    <row r="1162" ht="14.5" spans="1:51">
      <c r="A1162" s="91"/>
      <c r="B1162" s="95"/>
      <c r="C1162" s="152" t="s">
        <v>1085</v>
      </c>
      <c r="D1162" s="153" t="s">
        <v>25</v>
      </c>
      <c r="E1162" s="130" t="s">
        <v>1086</v>
      </c>
      <c r="F1162" s="195" t="s">
        <v>1192</v>
      </c>
      <c r="G1162" s="195" t="s">
        <v>1192</v>
      </c>
      <c r="H1162" s="195" t="s">
        <v>1192</v>
      </c>
      <c r="I1162" s="195" t="s">
        <v>1192</v>
      </c>
      <c r="J1162" s="132">
        <v>0.9</v>
      </c>
      <c r="K1162" s="133">
        <v>1</v>
      </c>
      <c r="L1162" s="133">
        <v>0.976744186046512</v>
      </c>
      <c r="M1162" s="134">
        <v>0.977777777777778</v>
      </c>
      <c r="N1162" s="133">
        <v>0.973890339425587</v>
      </c>
      <c r="O1162" s="135">
        <v>0.9</v>
      </c>
      <c r="P1162" s="133">
        <v>0.980813008130081</v>
      </c>
      <c r="Q1162" s="133">
        <v>0.985687022900763</v>
      </c>
      <c r="R1162" s="133">
        <v>0.950691521346963</v>
      </c>
      <c r="S1162" s="133">
        <v>0.958558369601314</v>
      </c>
      <c r="T1162" s="135">
        <v>0.9</v>
      </c>
      <c r="U1162" s="133">
        <v>0.905691056910569</v>
      </c>
      <c r="V1162" s="133">
        <v>0.89472010178117</v>
      </c>
      <c r="W1162" s="133">
        <v>0.919723391461215</v>
      </c>
      <c r="X1162" s="133">
        <v>0.912205268033489</v>
      </c>
      <c r="Y1162" s="135">
        <v>0.92</v>
      </c>
      <c r="Z1162" s="135">
        <v>0.900966183574879</v>
      </c>
      <c r="AA1162" s="135">
        <v>0.92502756339581</v>
      </c>
      <c r="AB1162" s="135">
        <v>0.941496598639456</v>
      </c>
      <c r="AC1162" s="135">
        <v>0.942128189172371</v>
      </c>
      <c r="AD1162" s="135">
        <v>0.92</v>
      </c>
      <c r="AE1162" s="133">
        <v>0.998633879781421</v>
      </c>
      <c r="AF1162" s="133">
        <v>0.99290780141844</v>
      </c>
      <c r="AG1162" s="133">
        <v>0.996481970096746</v>
      </c>
      <c r="AH1162" s="133">
        <v>0.993681449690033</v>
      </c>
      <c r="AI1162" s="135">
        <v>0.92</v>
      </c>
      <c r="AJ1162" s="133">
        <v>0.951002865329513</v>
      </c>
      <c r="AK1162" s="133">
        <v>0.959516168847198</v>
      </c>
      <c r="AL1162" s="133">
        <v>0.972666830829845</v>
      </c>
      <c r="AM1162" s="133">
        <v>0.97031582252287</v>
      </c>
      <c r="AN1162" s="132">
        <v>0.99</v>
      </c>
      <c r="AO1162" s="137">
        <v>1</v>
      </c>
      <c r="AP1162" s="137">
        <v>1</v>
      </c>
      <c r="AQ1162" s="137">
        <v>1</v>
      </c>
      <c r="AR1162" s="137">
        <v>1</v>
      </c>
      <c r="AS1162" s="158">
        <v>0.0721861525408278</v>
      </c>
      <c r="AT1162" s="141">
        <v>0.115384615384615</v>
      </c>
      <c r="AU1162" s="141">
        <v>0.0555555555555556</v>
      </c>
      <c r="AV1162" s="141">
        <v>0.125</v>
      </c>
      <c r="AW1162" s="141">
        <v>0.0511945392491468</v>
      </c>
      <c r="AX1162" s="95"/>
      <c r="AY1162" s="93"/>
    </row>
    <row r="1163" ht="14.5" spans="1:51">
      <c r="A1163" s="91"/>
      <c r="B1163" s="95"/>
      <c r="C1163" s="152" t="s">
        <v>1085</v>
      </c>
      <c r="D1163" s="153" t="s">
        <v>25</v>
      </c>
      <c r="E1163" s="130" t="s">
        <v>1086</v>
      </c>
      <c r="F1163" s="195" t="s">
        <v>1193</v>
      </c>
      <c r="G1163" s="195" t="s">
        <v>1193</v>
      </c>
      <c r="H1163" s="195" t="s">
        <v>1193</v>
      </c>
      <c r="I1163" s="195" t="s">
        <v>1193</v>
      </c>
      <c r="J1163" s="132">
        <v>0.9</v>
      </c>
      <c r="K1163" s="133">
        <v>0.96551724137931</v>
      </c>
      <c r="L1163" s="133">
        <v>0.96551724137931</v>
      </c>
      <c r="M1163" s="134">
        <v>0.964285714285714</v>
      </c>
      <c r="N1163" s="133">
        <v>0.989648033126294</v>
      </c>
      <c r="O1163" s="135">
        <v>0.9</v>
      </c>
      <c r="P1163" s="133">
        <v>0.977138352384706</v>
      </c>
      <c r="Q1163" s="133">
        <v>0.934253541590992</v>
      </c>
      <c r="R1163" s="133">
        <v>0.974890394579514</v>
      </c>
      <c r="S1163" s="133">
        <v>0.974995094940158</v>
      </c>
      <c r="T1163" s="135">
        <v>0.9</v>
      </c>
      <c r="U1163" s="133">
        <v>0.970437524635396</v>
      </c>
      <c r="V1163" s="133">
        <v>0.931710860879041</v>
      </c>
      <c r="W1163" s="133">
        <v>0.965324830609805</v>
      </c>
      <c r="X1163" s="133">
        <v>0.961064724989645</v>
      </c>
      <c r="Y1163" s="135">
        <v>0.92</v>
      </c>
      <c r="Z1163" s="135">
        <v>0.965397923875433</v>
      </c>
      <c r="AA1163" s="135">
        <v>0.982551799345692</v>
      </c>
      <c r="AB1163" s="135">
        <v>0.983333333333333</v>
      </c>
      <c r="AC1163" s="135">
        <v>0.983565864931952</v>
      </c>
      <c r="AD1163" s="135">
        <v>0.92</v>
      </c>
      <c r="AE1163" s="133">
        <v>0.99890590809628</v>
      </c>
      <c r="AF1163" s="133">
        <v>0.998333333333333</v>
      </c>
      <c r="AG1163" s="133">
        <v>0.999163879598662</v>
      </c>
      <c r="AH1163" s="133">
        <v>0.998352203263701</v>
      </c>
      <c r="AI1163" s="135">
        <v>0.92</v>
      </c>
      <c r="AJ1163" s="133">
        <v>0.980184005661713</v>
      </c>
      <c r="AK1163" s="133">
        <v>0.98283378746594</v>
      </c>
      <c r="AL1163" s="133">
        <v>0.98761226385878</v>
      </c>
      <c r="AM1163" s="133">
        <v>0.988775953435844</v>
      </c>
      <c r="AN1163" s="132">
        <v>0.99</v>
      </c>
      <c r="AO1163" s="137">
        <v>1</v>
      </c>
      <c r="AP1163" s="137">
        <v>1</v>
      </c>
      <c r="AQ1163" s="137">
        <v>1</v>
      </c>
      <c r="AR1163" s="137">
        <v>1</v>
      </c>
      <c r="AS1163" s="158">
        <v>0.0721861525408278</v>
      </c>
      <c r="AT1163" s="141">
        <v>0</v>
      </c>
      <c r="AU1163" s="141">
        <v>0.0714285714285714</v>
      </c>
      <c r="AV1163" s="141">
        <v>0.0454545454545455</v>
      </c>
      <c r="AW1163" s="141">
        <v>0.0239043824701195</v>
      </c>
      <c r="AX1163" s="95"/>
      <c r="AY1163" s="93"/>
    </row>
    <row r="1164" ht="14.5" spans="1:51">
      <c r="A1164" s="91"/>
      <c r="B1164" s="95"/>
      <c r="C1164" s="152" t="s">
        <v>1085</v>
      </c>
      <c r="D1164" s="153" t="s">
        <v>25</v>
      </c>
      <c r="E1164" s="130" t="s">
        <v>1086</v>
      </c>
      <c r="F1164" s="195" t="s">
        <v>1194</v>
      </c>
      <c r="G1164" s="195" t="s">
        <v>1194</v>
      </c>
      <c r="H1164" s="195" t="s">
        <v>1194</v>
      </c>
      <c r="I1164" s="195" t="s">
        <v>1194</v>
      </c>
      <c r="J1164" s="132">
        <v>0.9</v>
      </c>
      <c r="K1164" s="133">
        <v>0.871794871794872</v>
      </c>
      <c r="L1164" s="133">
        <v>0.90625</v>
      </c>
      <c r="M1164" s="134">
        <v>0.885714285714286</v>
      </c>
      <c r="N1164" s="133">
        <v>0.937007874015748</v>
      </c>
      <c r="O1164" s="135">
        <v>0.9</v>
      </c>
      <c r="P1164" s="133">
        <v>0.981240981240981</v>
      </c>
      <c r="Q1164" s="133">
        <v>0.97483989021043</v>
      </c>
      <c r="R1164" s="133">
        <v>0.98505072076882</v>
      </c>
      <c r="S1164" s="133">
        <v>0.978081769884249</v>
      </c>
      <c r="T1164" s="135">
        <v>0.9</v>
      </c>
      <c r="U1164" s="133">
        <v>0.923520923520924</v>
      </c>
      <c r="V1164" s="133">
        <v>0.900731930466606</v>
      </c>
      <c r="W1164" s="133">
        <v>0.93379604911906</v>
      </c>
      <c r="X1164" s="133">
        <v>0.911120806919385</v>
      </c>
      <c r="Y1164" s="135">
        <v>0.92</v>
      </c>
      <c r="Z1164" s="135">
        <v>0.936948297604035</v>
      </c>
      <c r="AA1164" s="135">
        <v>0.918936035465485</v>
      </c>
      <c r="AB1164" s="135">
        <v>0.965891472868217</v>
      </c>
      <c r="AC1164" s="135">
        <v>0.952741845885247</v>
      </c>
      <c r="AD1164" s="135">
        <v>0.92</v>
      </c>
      <c r="AE1164" s="133">
        <v>0.987406648118319</v>
      </c>
      <c r="AF1164" s="133">
        <v>0.990808119494447</v>
      </c>
      <c r="AG1164" s="133">
        <v>0.985935435151973</v>
      </c>
      <c r="AH1164" s="133">
        <v>0.98704561037322</v>
      </c>
      <c r="AI1164" s="135">
        <v>0.92</v>
      </c>
      <c r="AJ1164" s="133">
        <v>0.95231465367212</v>
      </c>
      <c r="AK1164" s="133">
        <v>0.946879150066401</v>
      </c>
      <c r="AL1164" s="133">
        <v>0.97375908947202</v>
      </c>
      <c r="AM1164" s="133">
        <v>0.966322777708515</v>
      </c>
      <c r="AN1164" s="132">
        <v>0.99</v>
      </c>
      <c r="AO1164" s="137">
        <v>1</v>
      </c>
      <c r="AP1164" s="137">
        <v>1</v>
      </c>
      <c r="AQ1164" s="137">
        <v>1</v>
      </c>
      <c r="AR1164" s="137">
        <v>1</v>
      </c>
      <c r="AS1164" s="158">
        <v>0.0721861525408278</v>
      </c>
      <c r="AT1164" s="141">
        <v>0.136363636363636</v>
      </c>
      <c r="AU1164" s="141">
        <v>0.0434782608695652</v>
      </c>
      <c r="AV1164" s="141">
        <v>0.0384615384615385</v>
      </c>
      <c r="AW1164" s="141">
        <v>0.0833333333333333</v>
      </c>
      <c r="AX1164" s="95"/>
      <c r="AY1164" s="93"/>
    </row>
    <row r="1165" ht="14.5" spans="1:51">
      <c r="A1165" s="91"/>
      <c r="B1165" s="95"/>
      <c r="C1165" s="152" t="s">
        <v>1085</v>
      </c>
      <c r="D1165" s="153" t="s">
        <v>25</v>
      </c>
      <c r="E1165" s="130" t="s">
        <v>1086</v>
      </c>
      <c r="F1165" s="195" t="s">
        <v>1195</v>
      </c>
      <c r="G1165" s="195" t="s">
        <v>1195</v>
      </c>
      <c r="H1165" s="195" t="s">
        <v>1195</v>
      </c>
      <c r="I1165" s="195" t="s">
        <v>1195</v>
      </c>
      <c r="J1165" s="132">
        <v>0.9</v>
      </c>
      <c r="K1165" s="133">
        <v>0.954545454545455</v>
      </c>
      <c r="L1165" s="133">
        <v>0.888888888888889</v>
      </c>
      <c r="M1165" s="134">
        <v>0.936170212765957</v>
      </c>
      <c r="N1165" s="133">
        <v>0.968668407310705</v>
      </c>
      <c r="O1165" s="135">
        <v>0.9</v>
      </c>
      <c r="P1165" s="133">
        <v>0.833333333333333</v>
      </c>
      <c r="Q1165" s="133">
        <v>0.955406587000874</v>
      </c>
      <c r="R1165" s="133">
        <v>0.94258530183727</v>
      </c>
      <c r="S1165" s="133">
        <v>0.899682020532388</v>
      </c>
      <c r="T1165" s="135">
        <v>0.9</v>
      </c>
      <c r="U1165" s="133">
        <v>0.916968599033816</v>
      </c>
      <c r="V1165" s="133">
        <v>0.924803264354416</v>
      </c>
      <c r="W1165" s="133">
        <v>0.924540682414698</v>
      </c>
      <c r="X1165" s="133">
        <v>0.922631052966294</v>
      </c>
      <c r="Y1165" s="135">
        <v>0.92</v>
      </c>
      <c r="Z1165" s="135">
        <v>0.908366533864542</v>
      </c>
      <c r="AA1165" s="135">
        <v>0.943825665859564</v>
      </c>
      <c r="AB1165" s="135">
        <v>0.936752136752137</v>
      </c>
      <c r="AC1165" s="135">
        <v>0.941631942284968</v>
      </c>
      <c r="AD1165" s="135">
        <v>0.92</v>
      </c>
      <c r="AE1165" s="133">
        <v>0.999251497005988</v>
      </c>
      <c r="AF1165" s="133">
        <v>0.998901960784314</v>
      </c>
      <c r="AG1165" s="133">
        <v>0.995316844724133</v>
      </c>
      <c r="AH1165" s="133">
        <v>0.994234741946358</v>
      </c>
      <c r="AI1165" s="135">
        <v>0.92</v>
      </c>
      <c r="AJ1165" s="133">
        <v>0.955061385221218</v>
      </c>
      <c r="AK1165" s="133">
        <v>0.965981444424231</v>
      </c>
      <c r="AL1165" s="133">
        <v>0.961090303786933</v>
      </c>
      <c r="AM1165" s="133">
        <v>0.961918631318228</v>
      </c>
      <c r="AN1165" s="132">
        <v>0.99</v>
      </c>
      <c r="AO1165" s="137">
        <v>1</v>
      </c>
      <c r="AP1165" s="137">
        <v>1</v>
      </c>
      <c r="AQ1165" s="137">
        <v>1</v>
      </c>
      <c r="AR1165" s="137">
        <v>1</v>
      </c>
      <c r="AS1165" s="158">
        <v>0.0721861525408278</v>
      </c>
      <c r="AT1165" s="141">
        <v>0</v>
      </c>
      <c r="AU1165" s="141">
        <v>0</v>
      </c>
      <c r="AV1165" s="141">
        <v>0</v>
      </c>
      <c r="AW1165" s="141">
        <v>0.0576131687242798</v>
      </c>
      <c r="AX1165" s="95"/>
      <c r="AY1165" s="93"/>
    </row>
    <row r="1166" ht="14.5" spans="1:51">
      <c r="A1166" s="91"/>
      <c r="B1166" s="95"/>
      <c r="C1166" s="152" t="s">
        <v>1085</v>
      </c>
      <c r="D1166" s="153" t="s">
        <v>25</v>
      </c>
      <c r="E1166" s="130" t="s">
        <v>1086</v>
      </c>
      <c r="F1166" s="195" t="s">
        <v>1196</v>
      </c>
      <c r="G1166" s="195" t="s">
        <v>1196</v>
      </c>
      <c r="H1166" s="195" t="s">
        <v>1196</v>
      </c>
      <c r="I1166" s="195" t="s">
        <v>1196</v>
      </c>
      <c r="J1166" s="132">
        <v>0.9</v>
      </c>
      <c r="K1166" s="133">
        <v>0.961538461538462</v>
      </c>
      <c r="L1166" s="133">
        <v>0.91304347826087</v>
      </c>
      <c r="M1166" s="134">
        <v>0.925925925925926</v>
      </c>
      <c r="N1166" s="133">
        <v>0.892712550607287</v>
      </c>
      <c r="O1166" s="135">
        <v>0.9</v>
      </c>
      <c r="P1166" s="133">
        <v>0.904611497157296</v>
      </c>
      <c r="Q1166" s="133">
        <v>0.919148936170213</v>
      </c>
      <c r="R1166" s="133">
        <v>0.971077368040492</v>
      </c>
      <c r="S1166" s="133">
        <v>0.964565487956659</v>
      </c>
      <c r="T1166" s="135">
        <v>0.9</v>
      </c>
      <c r="U1166" s="133">
        <v>0.865445356917246</v>
      </c>
      <c r="V1166" s="133">
        <v>0.9</v>
      </c>
      <c r="W1166" s="133">
        <v>0.933477946493131</v>
      </c>
      <c r="X1166" s="133">
        <v>0.915806427996193</v>
      </c>
      <c r="Y1166" s="135">
        <v>0.92</v>
      </c>
      <c r="Z1166" s="135">
        <v>0.890151515151515</v>
      </c>
      <c r="AA1166" s="135">
        <v>0.923728813559322</v>
      </c>
      <c r="AB1166" s="135">
        <v>0.96056338028169</v>
      </c>
      <c r="AC1166" s="135">
        <v>0.950471077425128</v>
      </c>
      <c r="AD1166" s="135">
        <v>0.92</v>
      </c>
      <c r="AE1166" s="133">
        <v>0.998581057112451</v>
      </c>
      <c r="AF1166" s="133">
        <v>0.996854764107308</v>
      </c>
      <c r="AG1166" s="133">
        <v>0.996150556030795</v>
      </c>
      <c r="AH1166" s="133">
        <v>0.944551614576579</v>
      </c>
      <c r="AI1166" s="135">
        <v>0.92</v>
      </c>
      <c r="AJ1166" s="133">
        <v>0.933712121212121</v>
      </c>
      <c r="AK1166" s="133">
        <v>0.940563489000386</v>
      </c>
      <c r="AL1166" s="133">
        <v>0.970191915067374</v>
      </c>
      <c r="AM1166" s="133">
        <v>0.96425179172783</v>
      </c>
      <c r="AN1166" s="132">
        <v>0.99</v>
      </c>
      <c r="AO1166" s="137">
        <v>1</v>
      </c>
      <c r="AP1166" s="137">
        <v>1</v>
      </c>
      <c r="AQ1166" s="137">
        <v>1</v>
      </c>
      <c r="AR1166" s="137">
        <v>1</v>
      </c>
      <c r="AS1166" s="158">
        <v>0.0721861525408278</v>
      </c>
      <c r="AT1166" s="141">
        <v>0.0526315789473684</v>
      </c>
      <c r="AU1166" s="141">
        <v>0.0714285714285714</v>
      </c>
      <c r="AV1166" s="141">
        <v>0.0833333333333333</v>
      </c>
      <c r="AW1166" s="141">
        <v>0.057649667405765</v>
      </c>
      <c r="AX1166" s="95"/>
      <c r="AY1166" s="93"/>
    </row>
    <row r="1167" ht="14.5" spans="1:51">
      <c r="A1167" s="91"/>
      <c r="B1167" s="95"/>
      <c r="C1167" s="152" t="s">
        <v>1085</v>
      </c>
      <c r="D1167" s="153" t="s">
        <v>25</v>
      </c>
      <c r="E1167" s="130" t="s">
        <v>1086</v>
      </c>
      <c r="F1167" s="195" t="s">
        <v>1197</v>
      </c>
      <c r="G1167" s="195" t="s">
        <v>1197</v>
      </c>
      <c r="H1167" s="195" t="s">
        <v>1197</v>
      </c>
      <c r="I1167" s="195" t="s">
        <v>1197</v>
      </c>
      <c r="J1167" s="132">
        <v>0.9</v>
      </c>
      <c r="K1167" s="133">
        <v>0.90625</v>
      </c>
      <c r="L1167" s="133">
        <v>1</v>
      </c>
      <c r="M1167" s="134">
        <v>1</v>
      </c>
      <c r="N1167" s="133">
        <v>0.952</v>
      </c>
      <c r="O1167" s="135">
        <v>0.9</v>
      </c>
      <c r="P1167" s="133">
        <v>0.986289252543122</v>
      </c>
      <c r="Q1167" s="133">
        <v>0.991670320035072</v>
      </c>
      <c r="R1167" s="133">
        <v>0.994194484760523</v>
      </c>
      <c r="S1167" s="133">
        <v>0.989454439469012</v>
      </c>
      <c r="T1167" s="135">
        <v>0.9</v>
      </c>
      <c r="U1167" s="133">
        <v>0.941176470588235</v>
      </c>
      <c r="V1167" s="133">
        <v>0.937746602367383</v>
      </c>
      <c r="W1167" s="133">
        <v>0.956458635703919</v>
      </c>
      <c r="X1167" s="133">
        <v>0.94631832754829</v>
      </c>
      <c r="Y1167" s="135">
        <v>0.92</v>
      </c>
      <c r="Z1167" s="135">
        <v>0.946380697050938</v>
      </c>
      <c r="AA1167" s="135">
        <v>0.939839572192513</v>
      </c>
      <c r="AB1167" s="135">
        <v>0.964002879769618</v>
      </c>
      <c r="AC1167" s="135">
        <v>0.965992354252947</v>
      </c>
      <c r="AD1167" s="135">
        <v>0.92</v>
      </c>
      <c r="AE1167" s="133">
        <v>0.997008786689101</v>
      </c>
      <c r="AF1167" s="133">
        <v>0.984797297297297</v>
      </c>
      <c r="AG1167" s="133">
        <v>0.993370165745856</v>
      </c>
      <c r="AH1167" s="133">
        <v>0.991398904227576</v>
      </c>
      <c r="AI1167" s="135">
        <v>0.92</v>
      </c>
      <c r="AJ1167" s="133">
        <v>0.962753574991686</v>
      </c>
      <c r="AK1167" s="133">
        <v>0.960021180831348</v>
      </c>
      <c r="AL1167" s="133">
        <v>0.977430555555556</v>
      </c>
      <c r="AM1167" s="133">
        <v>0.978538929014604</v>
      </c>
      <c r="AN1167" s="132">
        <v>0.99</v>
      </c>
      <c r="AO1167" s="137">
        <v>1</v>
      </c>
      <c r="AP1167" s="137">
        <v>1</v>
      </c>
      <c r="AQ1167" s="137">
        <v>1</v>
      </c>
      <c r="AR1167" s="137">
        <v>1</v>
      </c>
      <c r="AS1167" s="158">
        <v>0.0721861525408278</v>
      </c>
      <c r="AT1167" s="141">
        <v>0</v>
      </c>
      <c r="AU1167" s="141">
        <v>0.0625</v>
      </c>
      <c r="AV1167" s="141">
        <v>0</v>
      </c>
      <c r="AW1167" s="141">
        <v>0.0387596899224806</v>
      </c>
      <c r="AX1167" s="95"/>
      <c r="AY1167" s="93"/>
    </row>
    <row r="1168" ht="14.5" spans="1:51">
      <c r="A1168" s="91"/>
      <c r="B1168" s="95"/>
      <c r="C1168" s="152" t="s">
        <v>1085</v>
      </c>
      <c r="D1168" s="153" t="s">
        <v>25</v>
      </c>
      <c r="E1168" s="130" t="s">
        <v>1086</v>
      </c>
      <c r="F1168" s="195" t="s">
        <v>1198</v>
      </c>
      <c r="G1168" s="195" t="s">
        <v>1198</v>
      </c>
      <c r="H1168" s="195" t="s">
        <v>1198</v>
      </c>
      <c r="I1168" s="195" t="s">
        <v>1198</v>
      </c>
      <c r="J1168" s="132">
        <v>0.9</v>
      </c>
      <c r="K1168" s="133">
        <v>0.848484848484849</v>
      </c>
      <c r="L1168" s="133">
        <v>0.84375</v>
      </c>
      <c r="M1168" s="134">
        <v>0.875</v>
      </c>
      <c r="N1168" s="133">
        <v>0.871198568872988</v>
      </c>
      <c r="O1168" s="135">
        <v>0.9</v>
      </c>
      <c r="P1168" s="133">
        <v>0.971940298507463</v>
      </c>
      <c r="Q1168" s="133">
        <v>0.967223252937539</v>
      </c>
      <c r="R1168" s="133">
        <v>0.974645786726324</v>
      </c>
      <c r="S1168" s="133">
        <v>0.97430619875819</v>
      </c>
      <c r="T1168" s="135">
        <v>0.9</v>
      </c>
      <c r="U1168" s="133">
        <v>0.888955223880597</v>
      </c>
      <c r="V1168" s="133">
        <v>0.85899814471243</v>
      </c>
      <c r="W1168" s="133">
        <v>0.935868754660701</v>
      </c>
      <c r="X1168" s="133">
        <v>0.919350965661555</v>
      </c>
      <c r="Y1168" s="135">
        <v>0.92</v>
      </c>
      <c r="Z1168" s="135">
        <v>0.907894736842105</v>
      </c>
      <c r="AA1168" s="135">
        <v>0.877425044091711</v>
      </c>
      <c r="AB1168" s="135">
        <v>0.962196219621962</v>
      </c>
      <c r="AC1168" s="135">
        <v>0.949910207251371</v>
      </c>
      <c r="AD1168" s="135">
        <v>0.92</v>
      </c>
      <c r="AE1168" s="133">
        <v>1</v>
      </c>
      <c r="AF1168" s="133">
        <v>0.998031496062992</v>
      </c>
      <c r="AG1168" s="133">
        <v>0.994739359158297</v>
      </c>
      <c r="AH1168" s="133">
        <v>0.993544273531522</v>
      </c>
      <c r="AI1168" s="135">
        <v>0.92</v>
      </c>
      <c r="AJ1168" s="133">
        <v>0.928862709560489</v>
      </c>
      <c r="AK1168" s="133">
        <v>0.903307888040712</v>
      </c>
      <c r="AL1168" s="133">
        <v>0.968597063621533</v>
      </c>
      <c r="AM1168" s="133">
        <v>0.962114360365792</v>
      </c>
      <c r="AN1168" s="132">
        <v>0.99</v>
      </c>
      <c r="AO1168" s="137">
        <v>1</v>
      </c>
      <c r="AP1168" s="137">
        <v>1</v>
      </c>
      <c r="AQ1168" s="137">
        <v>1</v>
      </c>
      <c r="AR1168" s="137">
        <v>0.999555555555556</v>
      </c>
      <c r="AS1168" s="158">
        <v>0.0721861525408278</v>
      </c>
      <c r="AT1168" s="141">
        <v>0</v>
      </c>
      <c r="AU1168" s="141">
        <v>0</v>
      </c>
      <c r="AV1168" s="141">
        <v>0</v>
      </c>
      <c r="AW1168" s="141">
        <v>0.0233333333333333</v>
      </c>
      <c r="AX1168" s="95"/>
      <c r="AY1168" s="93"/>
    </row>
    <row r="1169" ht="14.5" spans="1:51">
      <c r="A1169" s="91"/>
      <c r="B1169" s="95"/>
      <c r="C1169" s="152" t="s">
        <v>1085</v>
      </c>
      <c r="D1169" s="153" t="s">
        <v>25</v>
      </c>
      <c r="E1169" s="130" t="s">
        <v>1086</v>
      </c>
      <c r="F1169" s="195" t="s">
        <v>1199</v>
      </c>
      <c r="G1169" s="195" t="s">
        <v>1199</v>
      </c>
      <c r="H1169" s="195" t="s">
        <v>1199</v>
      </c>
      <c r="I1169" s="195" t="s">
        <v>1199</v>
      </c>
      <c r="J1169" s="132">
        <v>0.9</v>
      </c>
      <c r="K1169" s="133">
        <v>0.933333333333333</v>
      </c>
      <c r="L1169" s="133">
        <v>0.936170212765957</v>
      </c>
      <c r="M1169" s="134">
        <v>0.94</v>
      </c>
      <c r="N1169" s="133">
        <v>0.938606847697757</v>
      </c>
      <c r="O1169" s="135">
        <v>0.9</v>
      </c>
      <c r="P1169" s="133">
        <v>0.987278205557416</v>
      </c>
      <c r="Q1169" s="133">
        <v>0.972672064777328</v>
      </c>
      <c r="R1169" s="133">
        <v>0.962160302717578</v>
      </c>
      <c r="S1169" s="133">
        <v>0.981536408126946</v>
      </c>
      <c r="T1169" s="135">
        <v>0.9</v>
      </c>
      <c r="U1169" s="133">
        <v>0.949112822229662</v>
      </c>
      <c r="V1169" s="133">
        <v>0.945006747638327</v>
      </c>
      <c r="W1169" s="133">
        <v>0.928104575163399</v>
      </c>
      <c r="X1169" s="133">
        <v>0.946685451579416</v>
      </c>
      <c r="Y1169" s="135">
        <v>0.92</v>
      </c>
      <c r="Z1169" s="135">
        <v>0.939363817097415</v>
      </c>
      <c r="AA1169" s="135">
        <v>0.954086781029263</v>
      </c>
      <c r="AB1169" s="135">
        <v>0.924583741429971</v>
      </c>
      <c r="AC1169" s="135">
        <v>0.96059727457234</v>
      </c>
      <c r="AD1169" s="135">
        <v>0.92</v>
      </c>
      <c r="AE1169" s="133">
        <v>0.99872</v>
      </c>
      <c r="AF1169" s="133">
        <v>0.995865070729053</v>
      </c>
      <c r="AG1169" s="133">
        <v>0.986954828660436</v>
      </c>
      <c r="AH1169" s="133">
        <v>0.994797457014258</v>
      </c>
      <c r="AI1169" s="135">
        <v>0.92</v>
      </c>
      <c r="AJ1169" s="133">
        <v>0.965982991495748</v>
      </c>
      <c r="AK1169" s="133">
        <v>0.974125732767334</v>
      </c>
      <c r="AL1169" s="133">
        <v>0.945858585858586</v>
      </c>
      <c r="AM1169" s="133">
        <v>0.97521903792889</v>
      </c>
      <c r="AN1169" s="132">
        <v>0.99</v>
      </c>
      <c r="AO1169" s="137">
        <v>1</v>
      </c>
      <c r="AP1169" s="137">
        <v>1</v>
      </c>
      <c r="AQ1169" s="137">
        <v>1</v>
      </c>
      <c r="AR1169" s="137">
        <v>1</v>
      </c>
      <c r="AS1169" s="158">
        <v>0.0721861525408278</v>
      </c>
      <c r="AT1169" s="141">
        <v>0.117647058823529</v>
      </c>
      <c r="AU1169" s="141">
        <v>0.0833333333333333</v>
      </c>
      <c r="AV1169" s="141">
        <v>0</v>
      </c>
      <c r="AW1169" s="141">
        <v>0.0476190476190476</v>
      </c>
      <c r="AX1169" s="95"/>
      <c r="AY1169" s="93"/>
    </row>
    <row r="1170" ht="14.5" spans="1:51">
      <c r="A1170" s="91"/>
      <c r="B1170" s="95"/>
      <c r="C1170" s="152" t="s">
        <v>1085</v>
      </c>
      <c r="D1170" s="153" t="s">
        <v>25</v>
      </c>
      <c r="E1170" s="130" t="s">
        <v>1086</v>
      </c>
      <c r="F1170" s="195" t="s">
        <v>1200</v>
      </c>
      <c r="G1170" s="195" t="s">
        <v>1200</v>
      </c>
      <c r="H1170" s="195" t="s">
        <v>1200</v>
      </c>
      <c r="I1170" s="195" t="s">
        <v>1200</v>
      </c>
      <c r="J1170" s="132">
        <v>0.9</v>
      </c>
      <c r="K1170" s="133">
        <v>0.918918918918919</v>
      </c>
      <c r="L1170" s="133">
        <v>0.903225806451613</v>
      </c>
      <c r="M1170" s="134">
        <v>0.972222222222222</v>
      </c>
      <c r="N1170" s="133">
        <v>0.953177257525084</v>
      </c>
      <c r="O1170" s="135">
        <v>0.9</v>
      </c>
      <c r="P1170" s="133">
        <v>0.980027868091036</v>
      </c>
      <c r="Q1170" s="133">
        <v>0.98034398034398</v>
      </c>
      <c r="R1170" s="133">
        <v>0.984356197352587</v>
      </c>
      <c r="S1170" s="133">
        <v>0.957297204596124</v>
      </c>
      <c r="T1170" s="135">
        <v>0.9</v>
      </c>
      <c r="U1170" s="133">
        <v>0.928471899674872</v>
      </c>
      <c r="V1170" s="133">
        <v>0.922850122850123</v>
      </c>
      <c r="W1170" s="133">
        <v>0.9338146811071</v>
      </c>
      <c r="X1170" s="133">
        <v>0.926627793974733</v>
      </c>
      <c r="Y1170" s="135">
        <v>0.92</v>
      </c>
      <c r="Z1170" s="135">
        <v>0.914110429447853</v>
      </c>
      <c r="AA1170" s="135">
        <v>0.928459119496855</v>
      </c>
      <c r="AB1170" s="135">
        <v>0.95940347970174</v>
      </c>
      <c r="AC1170" s="135">
        <v>0.952208946929703</v>
      </c>
      <c r="AD1170" s="135">
        <v>0.92</v>
      </c>
      <c r="AE1170" s="133">
        <v>0.99064650576718</v>
      </c>
      <c r="AF1170" s="133">
        <v>0.964418316831683</v>
      </c>
      <c r="AG1170" s="133">
        <v>0.977945619335347</v>
      </c>
      <c r="AH1170" s="133">
        <v>0.968342103077841</v>
      </c>
      <c r="AI1170" s="135">
        <v>0.92</v>
      </c>
      <c r="AJ1170" s="133">
        <v>0.952245188880969</v>
      </c>
      <c r="AK1170" s="133">
        <v>0.95618011483832</v>
      </c>
      <c r="AL1170" s="133">
        <v>0.971090212469523</v>
      </c>
      <c r="AM1170" s="133">
        <v>0.969733378094245</v>
      </c>
      <c r="AN1170" s="132">
        <v>0.99</v>
      </c>
      <c r="AO1170" s="137">
        <v>1</v>
      </c>
      <c r="AP1170" s="137">
        <v>1</v>
      </c>
      <c r="AQ1170" s="137">
        <v>1</v>
      </c>
      <c r="AR1170" s="137">
        <v>1</v>
      </c>
      <c r="AS1170" s="158">
        <v>0.0721861525408278</v>
      </c>
      <c r="AT1170" s="141">
        <v>0</v>
      </c>
      <c r="AU1170" s="141">
        <v>0</v>
      </c>
      <c r="AV1170" s="141">
        <v>0.0714285714285714</v>
      </c>
      <c r="AW1170" s="141">
        <v>0.0245098039215686</v>
      </c>
      <c r="AX1170" s="95"/>
      <c r="AY1170" s="93"/>
    </row>
    <row r="1171" ht="14.5" spans="1:51">
      <c r="A1171" s="91"/>
      <c r="B1171" s="95"/>
      <c r="C1171" s="152" t="s">
        <v>1085</v>
      </c>
      <c r="D1171" s="153" t="s">
        <v>25</v>
      </c>
      <c r="E1171" s="130" t="s">
        <v>1086</v>
      </c>
      <c r="F1171" s="195" t="s">
        <v>1201</v>
      </c>
      <c r="G1171" s="195" t="s">
        <v>1201</v>
      </c>
      <c r="H1171" s="195" t="s">
        <v>1201</v>
      </c>
      <c r="I1171" s="195" t="s">
        <v>1201</v>
      </c>
      <c r="J1171" s="132">
        <v>0.9</v>
      </c>
      <c r="K1171" s="133">
        <v>0.938775510204082</v>
      </c>
      <c r="L1171" s="133">
        <v>0.833333333333333</v>
      </c>
      <c r="M1171" s="134">
        <v>0.914893617021277</v>
      </c>
      <c r="N1171" s="133">
        <v>0.936298076923077</v>
      </c>
      <c r="O1171" s="135">
        <v>0.9</v>
      </c>
      <c r="P1171" s="133">
        <v>0.967614249730119</v>
      </c>
      <c r="Q1171" s="133">
        <v>0.955490848585691</v>
      </c>
      <c r="R1171" s="133">
        <v>0.978809738503156</v>
      </c>
      <c r="S1171" s="133">
        <v>0.968162541933034</v>
      </c>
      <c r="T1171" s="135">
        <v>0.9</v>
      </c>
      <c r="U1171" s="133">
        <v>0.925512774379273</v>
      </c>
      <c r="V1171" s="133">
        <v>0.926372712146423</v>
      </c>
      <c r="W1171" s="133">
        <v>0.957619477006312</v>
      </c>
      <c r="X1171" s="133">
        <v>0.946494503871553</v>
      </c>
      <c r="Y1171" s="135">
        <v>0.92</v>
      </c>
      <c r="Z1171" s="135">
        <v>0.939869281045752</v>
      </c>
      <c r="AA1171" s="135">
        <v>0.941271551724138</v>
      </c>
      <c r="AB1171" s="135">
        <v>0.954814416352878</v>
      </c>
      <c r="AC1171" s="135">
        <v>0.956647869878418</v>
      </c>
      <c r="AD1171" s="135">
        <v>0.92</v>
      </c>
      <c r="AE1171" s="133">
        <v>0.99932727884292</v>
      </c>
      <c r="AF1171" s="133">
        <v>0.998269896193772</v>
      </c>
      <c r="AG1171" s="133">
        <v>0.995002342651882</v>
      </c>
      <c r="AH1171" s="133">
        <v>0.960500530965701</v>
      </c>
      <c r="AI1171" s="135">
        <v>0.92</v>
      </c>
      <c r="AJ1171" s="133">
        <v>0.96303611738149</v>
      </c>
      <c r="AK1171" s="133">
        <v>0.959154929577465</v>
      </c>
      <c r="AL1171" s="133">
        <v>0.971057149865097</v>
      </c>
      <c r="AM1171" s="133">
        <v>0.97331010988448</v>
      </c>
      <c r="AN1171" s="132">
        <v>0.99</v>
      </c>
      <c r="AO1171" s="137">
        <v>1</v>
      </c>
      <c r="AP1171" s="137">
        <v>1</v>
      </c>
      <c r="AQ1171" s="137">
        <v>1</v>
      </c>
      <c r="AR1171" s="137">
        <v>1</v>
      </c>
      <c r="AS1171" s="158">
        <v>0.0721861525408278</v>
      </c>
      <c r="AT1171" s="141">
        <v>0.12</v>
      </c>
      <c r="AU1171" s="141">
        <v>0.08</v>
      </c>
      <c r="AV1171" s="141">
        <v>0</v>
      </c>
      <c r="AW1171" s="141">
        <v>0.0374331550802139</v>
      </c>
      <c r="AX1171" s="95"/>
      <c r="AY1171" s="93"/>
    </row>
    <row r="1172" ht="14.5" spans="1:51">
      <c r="A1172" s="91"/>
      <c r="B1172" s="95"/>
      <c r="C1172" s="152" t="s">
        <v>1085</v>
      </c>
      <c r="D1172" s="153" t="s">
        <v>125</v>
      </c>
      <c r="E1172" s="130" t="s">
        <v>1086</v>
      </c>
      <c r="F1172" s="195" t="s">
        <v>1202</v>
      </c>
      <c r="G1172" s="195" t="s">
        <v>1202</v>
      </c>
      <c r="H1172" s="195" t="s">
        <v>1202</v>
      </c>
      <c r="I1172" s="195" t="s">
        <v>1202</v>
      </c>
      <c r="J1172" s="132">
        <v>0.9</v>
      </c>
      <c r="K1172" s="133" t="s">
        <v>35</v>
      </c>
      <c r="L1172" s="133" t="s">
        <v>35</v>
      </c>
      <c r="M1172" s="134" t="s">
        <v>35</v>
      </c>
      <c r="N1172" s="133" t="s">
        <v>35</v>
      </c>
      <c r="O1172" s="135">
        <v>0.9</v>
      </c>
      <c r="P1172" s="133" t="s">
        <v>35</v>
      </c>
      <c r="Q1172" s="133" t="s">
        <v>35</v>
      </c>
      <c r="R1172" s="133">
        <v>0</v>
      </c>
      <c r="S1172" s="133">
        <v>0</v>
      </c>
      <c r="T1172" s="135">
        <v>0.9</v>
      </c>
      <c r="U1172" s="133" t="s">
        <v>35</v>
      </c>
      <c r="V1172" s="133" t="s">
        <v>35</v>
      </c>
      <c r="W1172" s="133">
        <v>1</v>
      </c>
      <c r="X1172" s="133">
        <v>1</v>
      </c>
      <c r="Y1172" s="135">
        <v>0.92</v>
      </c>
      <c r="Z1172" s="135" t="s">
        <v>35</v>
      </c>
      <c r="AA1172" s="135" t="s">
        <v>35</v>
      </c>
      <c r="AB1172" s="135" t="s">
        <v>35</v>
      </c>
      <c r="AC1172" s="135">
        <v>0.75</v>
      </c>
      <c r="AD1172" s="135">
        <v>0.92</v>
      </c>
      <c r="AE1172" s="133">
        <v>0.995808642867466</v>
      </c>
      <c r="AF1172" s="133">
        <v>0.981792717086835</v>
      </c>
      <c r="AG1172" s="133">
        <v>0.992926613616269</v>
      </c>
      <c r="AH1172" s="133">
        <v>0.985751849021411</v>
      </c>
      <c r="AI1172" s="135">
        <v>0.92</v>
      </c>
      <c r="AJ1172" s="133" t="s">
        <v>35</v>
      </c>
      <c r="AK1172" s="133" t="s">
        <v>35</v>
      </c>
      <c r="AL1172" s="133">
        <v>1</v>
      </c>
      <c r="AM1172" s="133">
        <v>0.980769230769231</v>
      </c>
      <c r="AN1172" s="132">
        <v>0.99</v>
      </c>
      <c r="AO1172" s="137">
        <v>1</v>
      </c>
      <c r="AP1172" s="137">
        <v>1</v>
      </c>
      <c r="AQ1172" s="137">
        <v>1</v>
      </c>
      <c r="AR1172" s="137">
        <v>1</v>
      </c>
      <c r="AS1172" s="158">
        <v>0.0721861525408278</v>
      </c>
      <c r="AT1172" s="141" t="s">
        <v>35</v>
      </c>
      <c r="AU1172" s="141" t="s">
        <v>35</v>
      </c>
      <c r="AV1172" s="141" t="s">
        <v>35</v>
      </c>
      <c r="AW1172" s="141" t="s">
        <v>35</v>
      </c>
      <c r="AX1172" s="95"/>
      <c r="AY1172" s="93"/>
    </row>
    <row r="1173" ht="14.5" spans="1:51">
      <c r="A1173" s="91"/>
      <c r="B1173" s="95"/>
      <c r="C1173" s="152" t="s">
        <v>1085</v>
      </c>
      <c r="D1173" s="153" t="s">
        <v>25</v>
      </c>
      <c r="E1173" s="130" t="s">
        <v>1086</v>
      </c>
      <c r="F1173" s="195" t="s">
        <v>1203</v>
      </c>
      <c r="G1173" s="195" t="s">
        <v>1203</v>
      </c>
      <c r="H1173" s="195" t="s">
        <v>1203</v>
      </c>
      <c r="I1173" s="195" t="s">
        <v>1203</v>
      </c>
      <c r="J1173" s="132">
        <v>0.9</v>
      </c>
      <c r="K1173" s="133">
        <v>0.844444444444444</v>
      </c>
      <c r="L1173" s="133">
        <v>0.822222222222222</v>
      </c>
      <c r="M1173" s="134">
        <v>0.895833333333333</v>
      </c>
      <c r="N1173" s="133">
        <v>0.910780669144981</v>
      </c>
      <c r="O1173" s="135">
        <v>0.9</v>
      </c>
      <c r="P1173" s="133">
        <v>0.965553235908142</v>
      </c>
      <c r="Q1173" s="133">
        <v>0.980075187969925</v>
      </c>
      <c r="R1173" s="133">
        <v>0.934962717481359</v>
      </c>
      <c r="S1173" s="133">
        <v>0.959375616600531</v>
      </c>
      <c r="T1173" s="135">
        <v>0.9</v>
      </c>
      <c r="U1173" s="133">
        <v>0.892832289491997</v>
      </c>
      <c r="V1173" s="133">
        <v>0.907142857142857</v>
      </c>
      <c r="W1173" s="133">
        <v>0.899751449875725</v>
      </c>
      <c r="X1173" s="133">
        <v>0.903141648214325</v>
      </c>
      <c r="Y1173" s="135">
        <v>0.92</v>
      </c>
      <c r="Z1173" s="135">
        <v>0.952247191011236</v>
      </c>
      <c r="AA1173" s="135">
        <v>0.927733168622607</v>
      </c>
      <c r="AB1173" s="135">
        <v>0.948544346648612</v>
      </c>
      <c r="AC1173" s="135">
        <v>0.955429770963752</v>
      </c>
      <c r="AD1173" s="135">
        <v>0.92</v>
      </c>
      <c r="AE1173" s="133">
        <v>0.997368421052632</v>
      </c>
      <c r="AF1173" s="133">
        <v>0.996929151129634</v>
      </c>
      <c r="AG1173" s="133">
        <v>0.998174766141912</v>
      </c>
      <c r="AH1173" s="133">
        <v>0.997276536312849</v>
      </c>
      <c r="AI1173" s="135">
        <v>0.92</v>
      </c>
      <c r="AJ1173" s="133">
        <v>0.969882877858338</v>
      </c>
      <c r="AK1173" s="133">
        <v>0.961673288151437</v>
      </c>
      <c r="AL1173" s="133">
        <v>0.969673605756875</v>
      </c>
      <c r="AM1173" s="133">
        <v>0.97407914574602</v>
      </c>
      <c r="AN1173" s="132">
        <v>0.99</v>
      </c>
      <c r="AO1173" s="137">
        <v>1</v>
      </c>
      <c r="AP1173" s="137">
        <v>1</v>
      </c>
      <c r="AQ1173" s="137">
        <v>1</v>
      </c>
      <c r="AR1173" s="137">
        <v>1</v>
      </c>
      <c r="AS1173" s="158">
        <v>0.0721861525408278</v>
      </c>
      <c r="AT1173" s="141">
        <v>0.0555555555555556</v>
      </c>
      <c r="AU1173" s="141">
        <v>0</v>
      </c>
      <c r="AV1173" s="141">
        <v>0</v>
      </c>
      <c r="AW1173" s="141">
        <v>0.0334728033472803</v>
      </c>
      <c r="AX1173" s="95"/>
      <c r="AY1173" s="93"/>
    </row>
    <row r="1174" ht="14.5" spans="1:51">
      <c r="A1174" s="91"/>
      <c r="B1174" s="95"/>
      <c r="C1174" s="152" t="s">
        <v>1085</v>
      </c>
      <c r="D1174" s="153" t="s">
        <v>25</v>
      </c>
      <c r="E1174" s="130" t="s">
        <v>1086</v>
      </c>
      <c r="F1174" s="195" t="s">
        <v>1204</v>
      </c>
      <c r="G1174" s="195" t="s">
        <v>1204</v>
      </c>
      <c r="H1174" s="195" t="s">
        <v>1204</v>
      </c>
      <c r="I1174" s="195" t="s">
        <v>1204</v>
      </c>
      <c r="J1174" s="132">
        <v>0.9</v>
      </c>
      <c r="K1174" s="133">
        <v>0.9375</v>
      </c>
      <c r="L1174" s="133">
        <v>0.975609756097561</v>
      </c>
      <c r="M1174" s="134">
        <v>0.957446808510638</v>
      </c>
      <c r="N1174" s="133">
        <v>0.969426751592357</v>
      </c>
      <c r="O1174" s="135">
        <v>0.9</v>
      </c>
      <c r="P1174" s="133">
        <v>0.961252825314821</v>
      </c>
      <c r="Q1174" s="133">
        <v>0.973404255319149</v>
      </c>
      <c r="R1174" s="133">
        <v>0.969782433521354</v>
      </c>
      <c r="S1174" s="133">
        <v>0.971861342273843</v>
      </c>
      <c r="T1174" s="135">
        <v>0.9</v>
      </c>
      <c r="U1174" s="133">
        <v>0.946722634807879</v>
      </c>
      <c r="V1174" s="133">
        <v>0.94780585106383</v>
      </c>
      <c r="W1174" s="133">
        <v>0.955278001611604</v>
      </c>
      <c r="X1174" s="133">
        <v>0.948831547227045</v>
      </c>
      <c r="Y1174" s="135">
        <v>0.92</v>
      </c>
      <c r="Z1174" s="135">
        <v>0.894616265750286</v>
      </c>
      <c r="AA1174" s="135">
        <v>0.956543967280164</v>
      </c>
      <c r="AB1174" s="135">
        <v>0.968437664387165</v>
      </c>
      <c r="AC1174" s="135">
        <v>0.957534548430761</v>
      </c>
      <c r="AD1174" s="135">
        <v>0.92</v>
      </c>
      <c r="AE1174" s="133">
        <v>0.999355254674404</v>
      </c>
      <c r="AF1174" s="133">
        <v>0.997880947794259</v>
      </c>
      <c r="AG1174" s="133">
        <v>0.998034472331418</v>
      </c>
      <c r="AH1174" s="133">
        <v>0.994300872484612</v>
      </c>
      <c r="AI1174" s="135">
        <v>0.92</v>
      </c>
      <c r="AJ1174" s="133">
        <v>0.959697732997481</v>
      </c>
      <c r="AK1174" s="133">
        <v>0.970197341925091</v>
      </c>
      <c r="AL1174" s="133">
        <v>0.980606890257814</v>
      </c>
      <c r="AM1174" s="133">
        <v>0.975685115529285</v>
      </c>
      <c r="AN1174" s="132">
        <v>0.99</v>
      </c>
      <c r="AO1174" s="137">
        <v>1</v>
      </c>
      <c r="AP1174" s="137">
        <v>1</v>
      </c>
      <c r="AQ1174" s="137">
        <v>1</v>
      </c>
      <c r="AR1174" s="137">
        <v>1</v>
      </c>
      <c r="AS1174" s="158">
        <v>0.0721861525408278</v>
      </c>
      <c r="AT1174" s="141">
        <v>0.05</v>
      </c>
      <c r="AU1174" s="141">
        <v>0</v>
      </c>
      <c r="AV1174" s="141">
        <v>0</v>
      </c>
      <c r="AW1174" s="141">
        <v>0.0392857142857143</v>
      </c>
      <c r="AX1174" s="95"/>
      <c r="AY1174" s="93"/>
    </row>
    <row r="1175" ht="14.5" spans="1:51">
      <c r="A1175" s="91"/>
      <c r="B1175" s="95"/>
      <c r="C1175" s="152" t="s">
        <v>1085</v>
      </c>
      <c r="D1175" s="153" t="s">
        <v>25</v>
      </c>
      <c r="E1175" s="130" t="s">
        <v>1086</v>
      </c>
      <c r="F1175" s="195" t="s">
        <v>1205</v>
      </c>
      <c r="G1175" s="195" t="s">
        <v>1205</v>
      </c>
      <c r="H1175" s="195" t="s">
        <v>1205</v>
      </c>
      <c r="I1175" s="195" t="s">
        <v>1205</v>
      </c>
      <c r="J1175" s="132">
        <v>0.9</v>
      </c>
      <c r="K1175" s="133">
        <v>0.88</v>
      </c>
      <c r="L1175" s="133">
        <v>0.916666666666667</v>
      </c>
      <c r="M1175" s="134">
        <v>0.916666666666667</v>
      </c>
      <c r="N1175" s="133">
        <v>0.911330049261084</v>
      </c>
      <c r="O1175" s="135">
        <v>0.9</v>
      </c>
      <c r="P1175" s="133">
        <v>0.992395437262357</v>
      </c>
      <c r="Q1175" s="133">
        <v>0.993957703927492</v>
      </c>
      <c r="R1175" s="133">
        <v>0.992801771871539</v>
      </c>
      <c r="S1175" s="133">
        <v>0.983410306271269</v>
      </c>
      <c r="T1175" s="135">
        <v>0.9</v>
      </c>
      <c r="U1175" s="133">
        <v>0.950570342205323</v>
      </c>
      <c r="V1175" s="133">
        <v>0.958710976837865</v>
      </c>
      <c r="W1175" s="133">
        <v>0.957364341085271</v>
      </c>
      <c r="X1175" s="133">
        <v>0.943029897909577</v>
      </c>
      <c r="Y1175" s="135">
        <v>0.92</v>
      </c>
      <c r="Z1175" s="135">
        <v>0.94811320754717</v>
      </c>
      <c r="AA1175" s="135">
        <v>0.959587274290628</v>
      </c>
      <c r="AB1175" s="135">
        <v>0.976529756915339</v>
      </c>
      <c r="AC1175" s="135">
        <v>0.966781603613229</v>
      </c>
      <c r="AD1175" s="135">
        <v>0.92</v>
      </c>
      <c r="AE1175" s="133">
        <v>0.998821548821549</v>
      </c>
      <c r="AF1175" s="133">
        <v>0.996946564885496</v>
      </c>
      <c r="AG1175" s="133">
        <v>0.992879394748554</v>
      </c>
      <c r="AH1175" s="133">
        <v>0.994154178655591</v>
      </c>
      <c r="AI1175" s="135">
        <v>0.92</v>
      </c>
      <c r="AJ1175" s="133">
        <v>0.974162293096488</v>
      </c>
      <c r="AK1175" s="133">
        <v>0.973959987297555</v>
      </c>
      <c r="AL1175" s="133">
        <v>0.98432810936979</v>
      </c>
      <c r="AM1175" s="133">
        <v>0.978806907378336</v>
      </c>
      <c r="AN1175" s="132">
        <v>0.99</v>
      </c>
      <c r="AO1175" s="137">
        <v>1</v>
      </c>
      <c r="AP1175" s="137">
        <v>1</v>
      </c>
      <c r="AQ1175" s="137">
        <v>1</v>
      </c>
      <c r="AR1175" s="137">
        <v>1</v>
      </c>
      <c r="AS1175" s="158">
        <v>0.0721861525408278</v>
      </c>
      <c r="AT1175" s="141">
        <v>0</v>
      </c>
      <c r="AU1175" s="141">
        <v>0</v>
      </c>
      <c r="AV1175" s="141">
        <v>0.0625</v>
      </c>
      <c r="AW1175" s="141">
        <v>0.0465116279069767</v>
      </c>
      <c r="AX1175" s="95"/>
      <c r="AY1175" s="93"/>
    </row>
    <row r="1176" ht="14.5" spans="1:51">
      <c r="A1176" s="91"/>
      <c r="B1176" s="95"/>
      <c r="C1176" s="152" t="s">
        <v>1085</v>
      </c>
      <c r="D1176" s="153" t="s">
        <v>25</v>
      </c>
      <c r="E1176" s="130" t="s">
        <v>1086</v>
      </c>
      <c r="F1176" s="195" t="s">
        <v>1206</v>
      </c>
      <c r="G1176" s="195" t="s">
        <v>1206</v>
      </c>
      <c r="H1176" s="195" t="s">
        <v>1206</v>
      </c>
      <c r="I1176" s="195" t="s">
        <v>1206</v>
      </c>
      <c r="J1176" s="132">
        <v>0.9</v>
      </c>
      <c r="K1176" s="133">
        <v>0.930232558139535</v>
      </c>
      <c r="L1176" s="133">
        <v>0.951219512195122</v>
      </c>
      <c r="M1176" s="134">
        <v>0.976744186046512</v>
      </c>
      <c r="N1176" s="133">
        <v>0.94047619047619</v>
      </c>
      <c r="O1176" s="135">
        <v>0.9</v>
      </c>
      <c r="P1176" s="133">
        <v>0.944978165938865</v>
      </c>
      <c r="Q1176" s="133">
        <v>0.937809405940594</v>
      </c>
      <c r="R1176" s="133">
        <v>0.940597539543058</v>
      </c>
      <c r="S1176" s="133">
        <v>0.952256667021768</v>
      </c>
      <c r="T1176" s="135">
        <v>0.9</v>
      </c>
      <c r="U1176" s="133">
        <v>0.904803493449782</v>
      </c>
      <c r="V1176" s="133">
        <v>0.906868811881188</v>
      </c>
      <c r="W1176" s="133">
        <v>0.897715289982425</v>
      </c>
      <c r="X1176" s="133">
        <v>0.914811263804552</v>
      </c>
      <c r="Y1176" s="135">
        <v>0.92</v>
      </c>
      <c r="Z1176" s="135">
        <v>0.937823834196891</v>
      </c>
      <c r="AA1176" s="135">
        <v>0.926287744227353</v>
      </c>
      <c r="AB1176" s="135">
        <v>0.939812750780205</v>
      </c>
      <c r="AC1176" s="135">
        <v>0.951615513242354</v>
      </c>
      <c r="AD1176" s="135">
        <v>0.92</v>
      </c>
      <c r="AE1176" s="133">
        <v>0.998758997269794</v>
      </c>
      <c r="AF1176" s="133">
        <v>0.994857982370225</v>
      </c>
      <c r="AG1176" s="133">
        <v>0.999253313421691</v>
      </c>
      <c r="AH1176" s="133">
        <v>0.996062581788283</v>
      </c>
      <c r="AI1176" s="135">
        <v>0.92</v>
      </c>
      <c r="AJ1176" s="133">
        <v>0.948432530667878</v>
      </c>
      <c r="AK1176" s="133">
        <v>0.946936542669584</v>
      </c>
      <c r="AL1176" s="133">
        <v>0.960691823899371</v>
      </c>
      <c r="AM1176" s="133">
        <v>0.966234517016562</v>
      </c>
      <c r="AN1176" s="132">
        <v>0.99</v>
      </c>
      <c r="AO1176" s="137">
        <v>1</v>
      </c>
      <c r="AP1176" s="137">
        <v>1</v>
      </c>
      <c r="AQ1176" s="137">
        <v>1</v>
      </c>
      <c r="AR1176" s="137">
        <v>1</v>
      </c>
      <c r="AS1176" s="158">
        <v>0.0721861525408278</v>
      </c>
      <c r="AT1176" s="141">
        <v>0.0294117647058824</v>
      </c>
      <c r="AU1176" s="141">
        <v>0.0714285714285714</v>
      </c>
      <c r="AV1176" s="141">
        <v>0.08</v>
      </c>
      <c r="AW1176" s="141">
        <v>0.0330739299610895</v>
      </c>
      <c r="AX1176" s="95"/>
      <c r="AY1176" s="93"/>
    </row>
    <row r="1177" ht="14.5" spans="1:51">
      <c r="A1177" s="91"/>
      <c r="B1177" s="95"/>
      <c r="C1177" s="152" t="s">
        <v>1085</v>
      </c>
      <c r="D1177" s="153" t="s">
        <v>25</v>
      </c>
      <c r="E1177" s="130" t="s">
        <v>1086</v>
      </c>
      <c r="F1177" s="195" t="s">
        <v>1207</v>
      </c>
      <c r="G1177" s="195" t="s">
        <v>1207</v>
      </c>
      <c r="H1177" s="195" t="s">
        <v>1207</v>
      </c>
      <c r="I1177" s="195" t="s">
        <v>1207</v>
      </c>
      <c r="J1177" s="132">
        <v>0.9</v>
      </c>
      <c r="K1177" s="133">
        <v>0.916666666666667</v>
      </c>
      <c r="L1177" s="133">
        <v>0.951219512195122</v>
      </c>
      <c r="M1177" s="134">
        <v>0.98</v>
      </c>
      <c r="N1177" s="133">
        <v>0.924705882352941</v>
      </c>
      <c r="O1177" s="135">
        <v>0.9</v>
      </c>
      <c r="P1177" s="133">
        <v>0.860730593607306</v>
      </c>
      <c r="Q1177" s="133">
        <v>0.856559766763848</v>
      </c>
      <c r="R1177" s="133">
        <v>0.907373774064657</v>
      </c>
      <c r="S1177" s="133">
        <v>0.89361594153867</v>
      </c>
      <c r="T1177" s="135">
        <v>0.9</v>
      </c>
      <c r="U1177" s="133">
        <v>0.917808219178082</v>
      </c>
      <c r="V1177" s="133">
        <v>0.888921282798834</v>
      </c>
      <c r="W1177" s="133">
        <v>0.92916818016709</v>
      </c>
      <c r="X1177" s="133">
        <v>0.917535015900941</v>
      </c>
      <c r="Y1177" s="135">
        <v>0.92</v>
      </c>
      <c r="Z1177" s="135">
        <v>0.893756845564075</v>
      </c>
      <c r="AA1177" s="135">
        <v>0.934682612695492</v>
      </c>
      <c r="AB1177" s="135">
        <v>0.947841726618705</v>
      </c>
      <c r="AC1177" s="135">
        <v>0.941960936848832</v>
      </c>
      <c r="AD1177" s="135">
        <v>0.92</v>
      </c>
      <c r="AE1177" s="133">
        <v>0.991414835164835</v>
      </c>
      <c r="AF1177" s="133">
        <v>0.993053016453382</v>
      </c>
      <c r="AG1177" s="133">
        <v>0.992078783986298</v>
      </c>
      <c r="AH1177" s="133">
        <v>0.990221279978799</v>
      </c>
      <c r="AI1177" s="135">
        <v>0.92</v>
      </c>
      <c r="AJ1177" s="133">
        <v>0.953846153846154</v>
      </c>
      <c r="AK1177" s="133">
        <v>0.958437388512308</v>
      </c>
      <c r="AL1177" s="133">
        <v>0.969459513763311</v>
      </c>
      <c r="AM1177" s="133">
        <v>0.965869195030168</v>
      </c>
      <c r="AN1177" s="132">
        <v>0.99</v>
      </c>
      <c r="AO1177" s="137">
        <v>1</v>
      </c>
      <c r="AP1177" s="137">
        <v>1</v>
      </c>
      <c r="AQ1177" s="137">
        <v>1</v>
      </c>
      <c r="AR1177" s="137">
        <v>1</v>
      </c>
      <c r="AS1177" s="158">
        <v>0.0721861525408278</v>
      </c>
      <c r="AT1177" s="141">
        <v>0.0454545454545455</v>
      </c>
      <c r="AU1177" s="141">
        <v>0</v>
      </c>
      <c r="AV1177" s="141">
        <v>0.0384615384615385</v>
      </c>
      <c r="AW1177" s="141">
        <v>0.0204678362573099</v>
      </c>
      <c r="AX1177" s="95"/>
      <c r="AY1177" s="93"/>
    </row>
    <row r="1178" ht="14.5" spans="1:51">
      <c r="A1178" s="91"/>
      <c r="B1178" s="95"/>
      <c r="C1178" s="152" t="s">
        <v>1085</v>
      </c>
      <c r="D1178" s="153" t="s">
        <v>25</v>
      </c>
      <c r="E1178" s="130" t="s">
        <v>1086</v>
      </c>
      <c r="F1178" s="195" t="s">
        <v>1208</v>
      </c>
      <c r="G1178" s="195" t="s">
        <v>1208</v>
      </c>
      <c r="H1178" s="195" t="s">
        <v>1208</v>
      </c>
      <c r="I1178" s="195" t="s">
        <v>1208</v>
      </c>
      <c r="J1178" s="132">
        <v>0.9</v>
      </c>
      <c r="K1178" s="133">
        <v>0.891304347826087</v>
      </c>
      <c r="L1178" s="133">
        <v>1</v>
      </c>
      <c r="M1178" s="134">
        <v>0.96</v>
      </c>
      <c r="N1178" s="133">
        <v>0.94963144963145</v>
      </c>
      <c r="O1178" s="135">
        <v>0.9</v>
      </c>
      <c r="P1178" s="133">
        <v>0.917595307917889</v>
      </c>
      <c r="Q1178" s="133">
        <v>0.952304737516005</v>
      </c>
      <c r="R1178" s="133">
        <v>0.976418318523582</v>
      </c>
      <c r="S1178" s="133">
        <v>0.95512713977065</v>
      </c>
      <c r="T1178" s="135">
        <v>0.9</v>
      </c>
      <c r="U1178" s="133">
        <v>0.886510263929619</v>
      </c>
      <c r="V1178" s="133">
        <v>0.925096030729834</v>
      </c>
      <c r="W1178" s="133">
        <v>0.941558441558442</v>
      </c>
      <c r="X1178" s="133">
        <v>0.926910789799272</v>
      </c>
      <c r="Y1178" s="135">
        <v>0.92</v>
      </c>
      <c r="Z1178" s="135">
        <v>0.874157303370787</v>
      </c>
      <c r="AA1178" s="135">
        <v>0.897228637413395</v>
      </c>
      <c r="AB1178" s="135">
        <v>0.910840932117528</v>
      </c>
      <c r="AC1178" s="135">
        <v>0.922922386660416</v>
      </c>
      <c r="AD1178" s="135">
        <v>0.92</v>
      </c>
      <c r="AE1178" s="133">
        <v>0.996041412911084</v>
      </c>
      <c r="AF1178" s="133">
        <v>0.998439328911432</v>
      </c>
      <c r="AG1178" s="133">
        <v>0.995554974506471</v>
      </c>
      <c r="AH1178" s="133">
        <v>0.994220360982539</v>
      </c>
      <c r="AI1178" s="135">
        <v>0.92</v>
      </c>
      <c r="AJ1178" s="133">
        <v>0.932365897901011</v>
      </c>
      <c r="AK1178" s="133">
        <v>0.957142857142857</v>
      </c>
      <c r="AL1178" s="133">
        <v>0.958343981599796</v>
      </c>
      <c r="AM1178" s="133">
        <v>0.960927890250785</v>
      </c>
      <c r="AN1178" s="132">
        <v>0.99</v>
      </c>
      <c r="AO1178" s="137">
        <v>1</v>
      </c>
      <c r="AP1178" s="137">
        <v>1</v>
      </c>
      <c r="AQ1178" s="137">
        <v>1</v>
      </c>
      <c r="AR1178" s="137">
        <v>1</v>
      </c>
      <c r="AS1178" s="158">
        <v>0.0721861525408278</v>
      </c>
      <c r="AT1178" s="141">
        <v>0.0606060606060606</v>
      </c>
      <c r="AU1178" s="141">
        <v>0</v>
      </c>
      <c r="AV1178" s="141">
        <v>0.185185185185185</v>
      </c>
      <c r="AW1178" s="141">
        <v>0.047029702970297</v>
      </c>
      <c r="AX1178" s="95"/>
      <c r="AY1178" s="93"/>
    </row>
    <row r="1179" ht="14.5" spans="1:51">
      <c r="A1179" s="91"/>
      <c r="B1179" s="95"/>
      <c r="C1179" s="152" t="s">
        <v>1085</v>
      </c>
      <c r="D1179" s="153" t="s">
        <v>25</v>
      </c>
      <c r="E1179" s="130" t="s">
        <v>1086</v>
      </c>
      <c r="F1179" s="195" t="s">
        <v>1209</v>
      </c>
      <c r="G1179" s="195" t="s">
        <v>1209</v>
      </c>
      <c r="H1179" s="195" t="s">
        <v>1209</v>
      </c>
      <c r="I1179" s="195" t="s">
        <v>1209</v>
      </c>
      <c r="J1179" s="132">
        <v>0.9</v>
      </c>
      <c r="K1179" s="133">
        <v>0.882352941176471</v>
      </c>
      <c r="L1179" s="133">
        <v>0.882352941176471</v>
      </c>
      <c r="M1179" s="134">
        <v>0.912280701754386</v>
      </c>
      <c r="N1179" s="133">
        <v>0.924695459579181</v>
      </c>
      <c r="O1179" s="135">
        <v>0.9</v>
      </c>
      <c r="P1179" s="133">
        <v>0.96301407673199</v>
      </c>
      <c r="Q1179" s="133">
        <v>0.963499420625724</v>
      </c>
      <c r="R1179" s="133">
        <v>0.972653822249845</v>
      </c>
      <c r="S1179" s="133">
        <v>0.964581375972771</v>
      </c>
      <c r="T1179" s="135">
        <v>0.9</v>
      </c>
      <c r="U1179" s="133">
        <v>0.927408225227712</v>
      </c>
      <c r="V1179" s="133">
        <v>0.927867902665122</v>
      </c>
      <c r="W1179" s="133">
        <v>0.94686140459913</v>
      </c>
      <c r="X1179" s="133">
        <v>0.932530889365549</v>
      </c>
      <c r="Y1179" s="135">
        <v>0.92</v>
      </c>
      <c r="Z1179" s="135">
        <v>0.919540229885057</v>
      </c>
      <c r="AA1179" s="135">
        <v>0.952095808383233</v>
      </c>
      <c r="AB1179" s="135">
        <v>0.956967213114754</v>
      </c>
      <c r="AC1179" s="135">
        <v>0.957878125758679</v>
      </c>
      <c r="AD1179" s="135">
        <v>0.92</v>
      </c>
      <c r="AE1179" s="133">
        <v>0.996663886572143</v>
      </c>
      <c r="AF1179" s="133">
        <v>0.999526066350711</v>
      </c>
      <c r="AG1179" s="133">
        <v>0.980255039078568</v>
      </c>
      <c r="AH1179" s="133">
        <v>0.995919286297245</v>
      </c>
      <c r="AI1179" s="135">
        <v>0.92</v>
      </c>
      <c r="AJ1179" s="133">
        <v>0.962050271069492</v>
      </c>
      <c r="AK1179" s="133">
        <v>0.964975303098339</v>
      </c>
      <c r="AL1179" s="133">
        <v>0.975917978063901</v>
      </c>
      <c r="AM1179" s="133">
        <v>0.973274064317858</v>
      </c>
      <c r="AN1179" s="132">
        <v>0.99</v>
      </c>
      <c r="AO1179" s="137">
        <v>1</v>
      </c>
      <c r="AP1179" s="137">
        <v>1</v>
      </c>
      <c r="AQ1179" s="137">
        <v>1</v>
      </c>
      <c r="AR1179" s="137">
        <v>1</v>
      </c>
      <c r="AS1179" s="158">
        <v>0.0721861525408278</v>
      </c>
      <c r="AT1179" s="141">
        <v>0</v>
      </c>
      <c r="AU1179" s="141">
        <v>0.0588235294117647</v>
      </c>
      <c r="AV1179" s="141">
        <v>0.0909090909090909</v>
      </c>
      <c r="AW1179" s="141">
        <v>0.0351437699680511</v>
      </c>
      <c r="AX1179" s="95"/>
      <c r="AY1179" s="93"/>
    </row>
    <row r="1180" ht="14.5" spans="1:51">
      <c r="A1180" s="91"/>
      <c r="B1180" s="95"/>
      <c r="C1180" s="152" t="s">
        <v>1085</v>
      </c>
      <c r="D1180" s="153" t="s">
        <v>25</v>
      </c>
      <c r="E1180" s="130" t="s">
        <v>1086</v>
      </c>
      <c r="F1180" s="195" t="s">
        <v>1210</v>
      </c>
      <c r="G1180" s="195" t="s">
        <v>1210</v>
      </c>
      <c r="H1180" s="195" t="s">
        <v>1210</v>
      </c>
      <c r="I1180" s="195" t="s">
        <v>1210</v>
      </c>
      <c r="J1180" s="132">
        <v>0.9</v>
      </c>
      <c r="K1180" s="133">
        <v>0.921052631578947</v>
      </c>
      <c r="L1180" s="133">
        <v>0.902777777777778</v>
      </c>
      <c r="M1180" s="134">
        <v>0.917808219178082</v>
      </c>
      <c r="N1180" s="133">
        <v>0.91499227202473</v>
      </c>
      <c r="O1180" s="135">
        <v>0.9</v>
      </c>
      <c r="P1180" s="133">
        <v>0.951155308569757</v>
      </c>
      <c r="Q1180" s="133">
        <v>0.897114944283316</v>
      </c>
      <c r="R1180" s="133">
        <v>0.978104746890874</v>
      </c>
      <c r="S1180" s="133">
        <v>0.961025732312744</v>
      </c>
      <c r="T1180" s="135">
        <v>0.9</v>
      </c>
      <c r="U1180" s="133">
        <v>0.923515647850249</v>
      </c>
      <c r="V1180" s="133">
        <v>0.910242711036483</v>
      </c>
      <c r="W1180" s="133">
        <v>0.920301278682782</v>
      </c>
      <c r="X1180" s="133">
        <v>0.936420815285112</v>
      </c>
      <c r="Y1180" s="135">
        <v>0.92</v>
      </c>
      <c r="Z1180" s="135">
        <v>0.855498721227621</v>
      </c>
      <c r="AA1180" s="135">
        <v>0.887145443572722</v>
      </c>
      <c r="AB1180" s="135">
        <v>0.909770687936191</v>
      </c>
      <c r="AC1180" s="135">
        <v>0.899636114825988</v>
      </c>
      <c r="AD1180" s="135">
        <v>0.92</v>
      </c>
      <c r="AE1180" s="133">
        <v>0.988409415121255</v>
      </c>
      <c r="AF1180" s="133">
        <v>0.989712476919019</v>
      </c>
      <c r="AG1180" s="133">
        <v>0.997303613158368</v>
      </c>
      <c r="AH1180" s="133">
        <v>0.964565332996362</v>
      </c>
      <c r="AI1180" s="135">
        <v>0.92</v>
      </c>
      <c r="AJ1180" s="133">
        <v>0.956310679611651</v>
      </c>
      <c r="AK1180" s="133">
        <v>0.959673489278752</v>
      </c>
      <c r="AL1180" s="133">
        <v>0.964355152300713</v>
      </c>
      <c r="AM1180" s="133">
        <v>0.96502772421348</v>
      </c>
      <c r="AN1180" s="132">
        <v>0.99</v>
      </c>
      <c r="AO1180" s="137">
        <v>1</v>
      </c>
      <c r="AP1180" s="137">
        <v>1</v>
      </c>
      <c r="AQ1180" s="137">
        <v>1</v>
      </c>
      <c r="AR1180" s="137">
        <v>1</v>
      </c>
      <c r="AS1180" s="158">
        <v>0.0721861525408278</v>
      </c>
      <c r="AT1180" s="141">
        <v>0.0256410256410256</v>
      </c>
      <c r="AU1180" s="141">
        <v>0.03125</v>
      </c>
      <c r="AV1180" s="141">
        <v>0</v>
      </c>
      <c r="AW1180" s="141">
        <v>0.0307101727447217</v>
      </c>
      <c r="AX1180" s="95"/>
      <c r="AY1180" s="93"/>
    </row>
    <row r="1181" ht="14.5" spans="1:51">
      <c r="A1181" s="91"/>
      <c r="B1181" s="95"/>
      <c r="C1181" s="152" t="s">
        <v>1085</v>
      </c>
      <c r="D1181" s="153" t="s">
        <v>25</v>
      </c>
      <c r="E1181" s="130" t="s">
        <v>1086</v>
      </c>
      <c r="F1181" s="195" t="s">
        <v>1211</v>
      </c>
      <c r="G1181" s="195" t="s">
        <v>1211</v>
      </c>
      <c r="H1181" s="195" t="s">
        <v>1211</v>
      </c>
      <c r="I1181" s="195" t="s">
        <v>1211</v>
      </c>
      <c r="J1181" s="132">
        <v>0.9</v>
      </c>
      <c r="K1181" s="133">
        <v>0.769230769230769</v>
      </c>
      <c r="L1181" s="133">
        <v>0.896551724137931</v>
      </c>
      <c r="M1181" s="134">
        <v>0.96551724137931</v>
      </c>
      <c r="N1181" s="133">
        <v>0.91792656587473</v>
      </c>
      <c r="O1181" s="135">
        <v>0.9</v>
      </c>
      <c r="P1181" s="133">
        <v>0.931431201104464</v>
      </c>
      <c r="Q1181" s="133">
        <v>0.965867158671587</v>
      </c>
      <c r="R1181" s="133">
        <v>0.967525773195876</v>
      </c>
      <c r="S1181" s="133">
        <v>0.950058393263261</v>
      </c>
      <c r="T1181" s="135">
        <v>0.9</v>
      </c>
      <c r="U1181" s="133">
        <v>0.917625402669121</v>
      </c>
      <c r="V1181" s="133">
        <v>0.929889298892989</v>
      </c>
      <c r="W1181" s="133">
        <v>0.925257731958763</v>
      </c>
      <c r="X1181" s="133">
        <v>0.92565615587928</v>
      </c>
      <c r="Y1181" s="135">
        <v>0.92</v>
      </c>
      <c r="Z1181" s="135">
        <v>0.913793103448276</v>
      </c>
      <c r="AA1181" s="135">
        <v>0.967857142857143</v>
      </c>
      <c r="AB1181" s="135">
        <v>0.947841726618705</v>
      </c>
      <c r="AC1181" s="135">
        <v>0.959141512682199</v>
      </c>
      <c r="AD1181" s="135">
        <v>0.92</v>
      </c>
      <c r="AE1181" s="133">
        <v>0.988372093023256</v>
      </c>
      <c r="AF1181" s="133">
        <v>0.997699033594109</v>
      </c>
      <c r="AG1181" s="133">
        <v>0.984366857738405</v>
      </c>
      <c r="AH1181" s="133">
        <v>0.991213544658849</v>
      </c>
      <c r="AI1181" s="135">
        <v>0.92</v>
      </c>
      <c r="AJ1181" s="133">
        <v>0.948046550290939</v>
      </c>
      <c r="AK1181" s="133">
        <v>0.973607038123167</v>
      </c>
      <c r="AL1181" s="133">
        <v>0.970753205128205</v>
      </c>
      <c r="AM1181" s="133">
        <v>0.97588171130772</v>
      </c>
      <c r="AN1181" s="132">
        <v>0.99</v>
      </c>
      <c r="AO1181" s="137">
        <v>1</v>
      </c>
      <c r="AP1181" s="137">
        <v>1</v>
      </c>
      <c r="AQ1181" s="137">
        <v>1</v>
      </c>
      <c r="AR1181" s="137">
        <v>1</v>
      </c>
      <c r="AS1181" s="158">
        <v>0.0721861525408278</v>
      </c>
      <c r="AT1181" s="141">
        <v>0</v>
      </c>
      <c r="AU1181" s="141">
        <v>0.285714285714286</v>
      </c>
      <c r="AV1181" s="141">
        <v>0</v>
      </c>
      <c r="AW1181" s="141">
        <v>0.103092783505155</v>
      </c>
      <c r="AX1181" s="95"/>
      <c r="AY1181" s="93"/>
    </row>
    <row r="1182" ht="14.5" spans="1:51">
      <c r="A1182" s="91"/>
      <c r="B1182" s="95"/>
      <c r="C1182" s="152" t="s">
        <v>1085</v>
      </c>
      <c r="D1182" s="153" t="s">
        <v>25</v>
      </c>
      <c r="E1182" s="130" t="s">
        <v>1086</v>
      </c>
      <c r="F1182" s="195" t="s">
        <v>1212</v>
      </c>
      <c r="G1182" s="195" t="s">
        <v>1212</v>
      </c>
      <c r="H1182" s="195" t="s">
        <v>1212</v>
      </c>
      <c r="I1182" s="195" t="s">
        <v>1212</v>
      </c>
      <c r="J1182" s="132">
        <v>0.9</v>
      </c>
      <c r="K1182" s="133">
        <v>0.979591836734694</v>
      </c>
      <c r="L1182" s="133">
        <v>0.959183673469388</v>
      </c>
      <c r="M1182" s="134">
        <v>0.941176470588235</v>
      </c>
      <c r="N1182" s="133">
        <v>0.952325581395349</v>
      </c>
      <c r="O1182" s="135">
        <v>0.9</v>
      </c>
      <c r="P1182" s="133">
        <v>0.974587726412544</v>
      </c>
      <c r="Q1182" s="133">
        <v>0.967420017610801</v>
      </c>
      <c r="R1182" s="133">
        <v>0.975093399750934</v>
      </c>
      <c r="S1182" s="133">
        <v>0.97666309938896</v>
      </c>
      <c r="T1182" s="135">
        <v>0.9</v>
      </c>
      <c r="U1182" s="133">
        <v>0.91808596918086</v>
      </c>
      <c r="V1182" s="133">
        <v>0.939536248899325</v>
      </c>
      <c r="W1182" s="133">
        <v>0.946139476961395</v>
      </c>
      <c r="X1182" s="133">
        <v>0.933579590568578</v>
      </c>
      <c r="Y1182" s="135">
        <v>0.92</v>
      </c>
      <c r="Z1182" s="135">
        <v>0.846014492753623</v>
      </c>
      <c r="AA1182" s="135">
        <v>0.940584088620342</v>
      </c>
      <c r="AB1182" s="135">
        <v>0.957142857142857</v>
      </c>
      <c r="AC1182" s="135">
        <v>0.949530659514812</v>
      </c>
      <c r="AD1182" s="135">
        <v>0.92</v>
      </c>
      <c r="AE1182" s="133">
        <v>1</v>
      </c>
      <c r="AF1182" s="133">
        <v>0.995801259622113</v>
      </c>
      <c r="AG1182" s="133">
        <v>0.998316498316498</v>
      </c>
      <c r="AH1182" s="133">
        <v>0.998403193612774</v>
      </c>
      <c r="AI1182" s="135">
        <v>0.92</v>
      </c>
      <c r="AJ1182" s="133">
        <v>0.95059985885674</v>
      </c>
      <c r="AK1182" s="133">
        <v>0.968409090909091</v>
      </c>
      <c r="AL1182" s="133">
        <v>0.980349344978166</v>
      </c>
      <c r="AM1182" s="133">
        <v>0.973905089852577</v>
      </c>
      <c r="AN1182" s="132">
        <v>0.99</v>
      </c>
      <c r="AO1182" s="137">
        <v>1</v>
      </c>
      <c r="AP1182" s="137">
        <v>1</v>
      </c>
      <c r="AQ1182" s="137">
        <v>1</v>
      </c>
      <c r="AR1182" s="137">
        <v>1</v>
      </c>
      <c r="AS1182" s="158">
        <v>0.0721861525408278</v>
      </c>
      <c r="AT1182" s="141">
        <v>0</v>
      </c>
      <c r="AU1182" s="141">
        <v>0.0740740740740741</v>
      </c>
      <c r="AV1182" s="141">
        <v>0.0344827586206897</v>
      </c>
      <c r="AW1182" s="141">
        <v>0.0393258426966292</v>
      </c>
      <c r="AX1182" s="95"/>
      <c r="AY1182" s="93"/>
    </row>
    <row r="1183" ht="14.5" spans="1:51">
      <c r="A1183" s="91"/>
      <c r="B1183" s="95"/>
      <c r="C1183" s="152" t="s">
        <v>1085</v>
      </c>
      <c r="D1183" s="153" t="s">
        <v>25</v>
      </c>
      <c r="E1183" s="130" t="s">
        <v>1086</v>
      </c>
      <c r="F1183" s="195" t="s">
        <v>1213</v>
      </c>
      <c r="G1183" s="195" t="s">
        <v>1213</v>
      </c>
      <c r="H1183" s="195" t="s">
        <v>1213</v>
      </c>
      <c r="I1183" s="195" t="s">
        <v>1213</v>
      </c>
      <c r="J1183" s="132">
        <v>0.9</v>
      </c>
      <c r="K1183" s="133">
        <v>1</v>
      </c>
      <c r="L1183" s="133">
        <v>1</v>
      </c>
      <c r="M1183" s="134">
        <v>1</v>
      </c>
      <c r="N1183" s="133">
        <v>0.984149855907781</v>
      </c>
      <c r="O1183" s="135">
        <v>0.9</v>
      </c>
      <c r="P1183" s="133">
        <v>0.950431034482759</v>
      </c>
      <c r="Q1183" s="133">
        <v>0.958797327394209</v>
      </c>
      <c r="R1183" s="133">
        <v>0.938454823221301</v>
      </c>
      <c r="S1183" s="133">
        <v>0.961165759476677</v>
      </c>
      <c r="T1183" s="135">
        <v>0.9</v>
      </c>
      <c r="U1183" s="133">
        <v>0.913433908045977</v>
      </c>
      <c r="V1183" s="133">
        <v>0.87750556792873</v>
      </c>
      <c r="W1183" s="133">
        <v>0.903099083369708</v>
      </c>
      <c r="X1183" s="133">
        <v>0.914642778686324</v>
      </c>
      <c r="Y1183" s="135">
        <v>0.92</v>
      </c>
      <c r="Z1183" s="135">
        <v>0.894865525672372</v>
      </c>
      <c r="AA1183" s="135">
        <v>0.933933933933934</v>
      </c>
      <c r="AB1183" s="135">
        <v>0.935947712418301</v>
      </c>
      <c r="AC1183" s="135">
        <v>0.934358089561603</v>
      </c>
      <c r="AD1183" s="135">
        <v>0.92</v>
      </c>
      <c r="AE1183" s="133">
        <v>0.995555555555556</v>
      </c>
      <c r="AF1183" s="133">
        <v>0.999389499389499</v>
      </c>
      <c r="AG1183" s="133">
        <v>0.997969543147208</v>
      </c>
      <c r="AH1183" s="133">
        <v>0.995908752789487</v>
      </c>
      <c r="AI1183" s="135">
        <v>0.92</v>
      </c>
      <c r="AJ1183" s="133">
        <v>0.946132164108988</v>
      </c>
      <c r="AK1183" s="133">
        <v>0.951785714285714</v>
      </c>
      <c r="AL1183" s="133">
        <v>0.957133507853403</v>
      </c>
      <c r="AM1183" s="133">
        <v>0.964036410342324</v>
      </c>
      <c r="AN1183" s="132">
        <v>0.99</v>
      </c>
      <c r="AO1183" s="137">
        <v>1</v>
      </c>
      <c r="AP1183" s="137">
        <v>1</v>
      </c>
      <c r="AQ1183" s="137">
        <v>1</v>
      </c>
      <c r="AR1183" s="137">
        <v>1</v>
      </c>
      <c r="AS1183" s="158">
        <v>0.0721861525408278</v>
      </c>
      <c r="AT1183" s="141">
        <v>0</v>
      </c>
      <c r="AU1183" s="141">
        <v>0</v>
      </c>
      <c r="AV1183" s="141">
        <v>0</v>
      </c>
      <c r="AW1183" s="141">
        <v>0.0313725490196078</v>
      </c>
      <c r="AX1183" s="95"/>
      <c r="AY1183" s="93"/>
    </row>
    <row r="1184" ht="14.5" spans="1:51">
      <c r="A1184" s="91"/>
      <c r="B1184" s="95"/>
      <c r="C1184" s="152" t="s">
        <v>1085</v>
      </c>
      <c r="D1184" s="153" t="s">
        <v>25</v>
      </c>
      <c r="E1184" s="130" t="s">
        <v>1086</v>
      </c>
      <c r="F1184" s="195" t="s">
        <v>1214</v>
      </c>
      <c r="G1184" s="195" t="s">
        <v>1214</v>
      </c>
      <c r="H1184" s="195" t="s">
        <v>1214</v>
      </c>
      <c r="I1184" s="195" t="s">
        <v>1214</v>
      </c>
      <c r="J1184" s="132">
        <v>0.9</v>
      </c>
      <c r="K1184" s="133">
        <v>1</v>
      </c>
      <c r="L1184" s="133">
        <v>0.975</v>
      </c>
      <c r="M1184" s="134">
        <v>1</v>
      </c>
      <c r="N1184" s="133">
        <v>0.969044414535666</v>
      </c>
      <c r="O1184" s="135">
        <v>0.9</v>
      </c>
      <c r="P1184" s="133">
        <v>0.917168674698795</v>
      </c>
      <c r="Q1184" s="133">
        <v>0.943522654754308</v>
      </c>
      <c r="R1184" s="133">
        <v>0.949442119944212</v>
      </c>
      <c r="S1184" s="133">
        <v>0.944092520485849</v>
      </c>
      <c r="T1184" s="135">
        <v>0.9</v>
      </c>
      <c r="U1184" s="133">
        <v>0.914156626506024</v>
      </c>
      <c r="V1184" s="133">
        <v>0.888002552648373</v>
      </c>
      <c r="W1184" s="133">
        <v>0.919456066945607</v>
      </c>
      <c r="X1184" s="133">
        <v>0.913678541678774</v>
      </c>
      <c r="Y1184" s="135">
        <v>0.92</v>
      </c>
      <c r="Z1184" s="135">
        <v>0.876957494407159</v>
      </c>
      <c r="AA1184" s="135">
        <v>0.925179856115108</v>
      </c>
      <c r="AB1184" s="135">
        <v>0.947131608548931</v>
      </c>
      <c r="AC1184" s="135">
        <v>0.935869084475896</v>
      </c>
      <c r="AD1184" s="135">
        <v>0.92</v>
      </c>
      <c r="AE1184" s="133">
        <v>0.999373825923607</v>
      </c>
      <c r="AF1184" s="133">
        <v>0.99810298102981</v>
      </c>
      <c r="AG1184" s="133">
        <v>0.998541919805589</v>
      </c>
      <c r="AH1184" s="133">
        <v>0.994964173692843</v>
      </c>
      <c r="AI1184" s="135">
        <v>0.92</v>
      </c>
      <c r="AJ1184" s="133">
        <v>0.945580037164853</v>
      </c>
      <c r="AK1184" s="133">
        <v>0.955079655262471</v>
      </c>
      <c r="AL1184" s="133">
        <v>0.960606867181262</v>
      </c>
      <c r="AM1184" s="133">
        <v>0.963380824598598</v>
      </c>
      <c r="AN1184" s="132">
        <v>0.99</v>
      </c>
      <c r="AO1184" s="137">
        <v>1</v>
      </c>
      <c r="AP1184" s="137">
        <v>1</v>
      </c>
      <c r="AQ1184" s="137">
        <v>1</v>
      </c>
      <c r="AR1184" s="137">
        <v>1</v>
      </c>
      <c r="AS1184" s="158">
        <v>0.0721861525408278</v>
      </c>
      <c r="AT1184" s="141">
        <v>0.0909090909090909</v>
      </c>
      <c r="AU1184" s="141">
        <v>0.0714285714285714</v>
      </c>
      <c r="AV1184" s="141">
        <v>0</v>
      </c>
      <c r="AW1184" s="141">
        <v>0.0417827298050139</v>
      </c>
      <c r="AX1184" s="95"/>
      <c r="AY1184" s="93"/>
    </row>
    <row r="1185" ht="14.5" spans="1:51">
      <c r="A1185" s="91"/>
      <c r="B1185" s="95"/>
      <c r="C1185" s="152" t="s">
        <v>1085</v>
      </c>
      <c r="D1185" s="153" t="s">
        <v>25</v>
      </c>
      <c r="E1185" s="130" t="s">
        <v>1086</v>
      </c>
      <c r="F1185" s="195" t="s">
        <v>1215</v>
      </c>
      <c r="G1185" s="195" t="s">
        <v>1215</v>
      </c>
      <c r="H1185" s="195" t="s">
        <v>1215</v>
      </c>
      <c r="I1185" s="195" t="s">
        <v>1215</v>
      </c>
      <c r="J1185" s="132">
        <v>0.9</v>
      </c>
      <c r="K1185" s="133">
        <v>1</v>
      </c>
      <c r="L1185" s="133">
        <v>0.961538461538462</v>
      </c>
      <c r="M1185" s="134">
        <v>1</v>
      </c>
      <c r="N1185" s="133">
        <v>0.944320712694877</v>
      </c>
      <c r="O1185" s="135">
        <v>0.9</v>
      </c>
      <c r="P1185" s="133">
        <v>0.979858344400177</v>
      </c>
      <c r="Q1185" s="133">
        <v>0.989827300686066</v>
      </c>
      <c r="R1185" s="133">
        <v>0.986196697066798</v>
      </c>
      <c r="S1185" s="133">
        <v>0.985073610524739</v>
      </c>
      <c r="T1185" s="135">
        <v>0.9</v>
      </c>
      <c r="U1185" s="133">
        <v>0.961487383798141</v>
      </c>
      <c r="V1185" s="133">
        <v>0.947953631417081</v>
      </c>
      <c r="W1185" s="133">
        <v>0.958590091200394</v>
      </c>
      <c r="X1185" s="133">
        <v>0.961022512154929</v>
      </c>
      <c r="Y1185" s="135">
        <v>0.92</v>
      </c>
      <c r="Z1185" s="135">
        <v>0</v>
      </c>
      <c r="AA1185" s="135">
        <v>0</v>
      </c>
      <c r="AB1185" s="135" t="s">
        <v>35</v>
      </c>
      <c r="AC1185" s="135">
        <v>0</v>
      </c>
      <c r="AD1185" s="135">
        <v>0.92</v>
      </c>
      <c r="AE1185" s="133">
        <v>0.999391357273281</v>
      </c>
      <c r="AF1185" s="133">
        <v>1</v>
      </c>
      <c r="AG1185" s="133">
        <v>0.996754563894523</v>
      </c>
      <c r="AH1185" s="133">
        <v>0.998802586413347</v>
      </c>
      <c r="AI1185" s="135">
        <v>0.92</v>
      </c>
      <c r="AJ1185" s="133">
        <v>0.976764770967028</v>
      </c>
      <c r="AK1185" s="133">
        <v>0.979895931882687</v>
      </c>
      <c r="AL1185" s="133">
        <v>0.982499383781119</v>
      </c>
      <c r="AM1185" s="133">
        <v>0.984243497208226</v>
      </c>
      <c r="AN1185" s="132">
        <v>0.99</v>
      </c>
      <c r="AO1185" s="137">
        <v>1</v>
      </c>
      <c r="AP1185" s="137">
        <v>1</v>
      </c>
      <c r="AQ1185" s="137">
        <v>1</v>
      </c>
      <c r="AR1185" s="137">
        <v>1</v>
      </c>
      <c r="AS1185" s="158">
        <v>0.0721861525408278</v>
      </c>
      <c r="AT1185" s="141">
        <v>0.0555555555555556</v>
      </c>
      <c r="AU1185" s="141">
        <v>0.0454545454545455</v>
      </c>
      <c r="AV1185" s="141">
        <v>0</v>
      </c>
      <c r="AW1185" s="141">
        <v>0.0223048327137546</v>
      </c>
      <c r="AX1185" s="95"/>
      <c r="AY1185" s="93"/>
    </row>
    <row r="1186" ht="14.5" spans="1:51">
      <c r="A1186" s="91"/>
      <c r="B1186" s="95"/>
      <c r="C1186" s="152" t="s">
        <v>1085</v>
      </c>
      <c r="D1186" s="153" t="s">
        <v>25</v>
      </c>
      <c r="E1186" s="130" t="s">
        <v>1086</v>
      </c>
      <c r="F1186" s="195" t="s">
        <v>1216</v>
      </c>
      <c r="G1186" s="195" t="s">
        <v>1216</v>
      </c>
      <c r="H1186" s="195" t="s">
        <v>1216</v>
      </c>
      <c r="I1186" s="195" t="s">
        <v>1216</v>
      </c>
      <c r="J1186" s="132">
        <v>0.9</v>
      </c>
      <c r="K1186" s="133">
        <v>0.946666666666667</v>
      </c>
      <c r="L1186" s="133">
        <v>0.885714285714286</v>
      </c>
      <c r="M1186" s="134">
        <v>0.896103896103896</v>
      </c>
      <c r="N1186" s="133">
        <v>0.912772585669782</v>
      </c>
      <c r="O1186" s="135">
        <v>0.9</v>
      </c>
      <c r="P1186" s="133">
        <v>0.957341010206752</v>
      </c>
      <c r="Q1186" s="133">
        <v>0.955210900130454</v>
      </c>
      <c r="R1186" s="133">
        <v>0.965255157437568</v>
      </c>
      <c r="S1186" s="133">
        <v>0.954466461229755</v>
      </c>
      <c r="T1186" s="135">
        <v>0.9</v>
      </c>
      <c r="U1186" s="133">
        <v>0.9201779638838</v>
      </c>
      <c r="V1186" s="133">
        <v>0.893027975068851</v>
      </c>
      <c r="W1186" s="133">
        <v>0.926942764076315</v>
      </c>
      <c r="X1186" s="133">
        <v>0.921617457359897</v>
      </c>
      <c r="Y1186" s="135">
        <v>0.92</v>
      </c>
      <c r="Z1186" s="135">
        <v>0</v>
      </c>
      <c r="AA1186" s="135">
        <v>0</v>
      </c>
      <c r="AB1186" s="135" t="s">
        <v>35</v>
      </c>
      <c r="AC1186" s="135">
        <v>0</v>
      </c>
      <c r="AD1186" s="135">
        <v>0.92</v>
      </c>
      <c r="AE1186" s="133">
        <v>0.993377483443709</v>
      </c>
      <c r="AF1186" s="133">
        <v>0.989928057553957</v>
      </c>
      <c r="AG1186" s="133">
        <v>0.995664739884393</v>
      </c>
      <c r="AH1186" s="133">
        <v>0.984334203655353</v>
      </c>
      <c r="AI1186" s="135">
        <v>0.92</v>
      </c>
      <c r="AJ1186" s="133">
        <v>0.954866562009419</v>
      </c>
      <c r="AK1186" s="133">
        <v>0.953063885267275</v>
      </c>
      <c r="AL1186" s="133">
        <v>0.966806266480534</v>
      </c>
      <c r="AM1186" s="133">
        <v>0.959279098514843</v>
      </c>
      <c r="AN1186" s="132">
        <v>0.99</v>
      </c>
      <c r="AO1186" s="137">
        <v>1</v>
      </c>
      <c r="AP1186" s="137">
        <v>1</v>
      </c>
      <c r="AQ1186" s="137">
        <v>1</v>
      </c>
      <c r="AR1186" s="137">
        <v>1</v>
      </c>
      <c r="AS1186" s="158">
        <v>0.0721861525408278</v>
      </c>
      <c r="AT1186" s="141">
        <v>0.0833333333333333</v>
      </c>
      <c r="AU1186" s="141">
        <v>0</v>
      </c>
      <c r="AV1186" s="141">
        <v>0.0666666666666667</v>
      </c>
      <c r="AW1186" s="141">
        <v>0.0555555555555556</v>
      </c>
      <c r="AX1186" s="95"/>
      <c r="AY1186" s="93"/>
    </row>
    <row r="1187" ht="14.5" spans="1:51">
      <c r="A1187" s="91"/>
      <c r="B1187" s="95"/>
      <c r="C1187" s="152" t="s">
        <v>1085</v>
      </c>
      <c r="D1187" s="153" t="s">
        <v>25</v>
      </c>
      <c r="E1187" s="130" t="s">
        <v>1086</v>
      </c>
      <c r="F1187" s="195" t="s">
        <v>1217</v>
      </c>
      <c r="G1187" s="195" t="s">
        <v>1217</v>
      </c>
      <c r="H1187" s="195" t="s">
        <v>1217</v>
      </c>
      <c r="I1187" s="195" t="s">
        <v>1217</v>
      </c>
      <c r="J1187" s="132">
        <v>0.9</v>
      </c>
      <c r="K1187" s="133">
        <v>0.970588235294118</v>
      </c>
      <c r="L1187" s="133">
        <v>0.96969696969697</v>
      </c>
      <c r="M1187" s="134">
        <v>0.942857142857143</v>
      </c>
      <c r="N1187" s="133">
        <v>0.948364888123924</v>
      </c>
      <c r="O1187" s="135">
        <v>0.9</v>
      </c>
      <c r="P1187" s="133">
        <v>0.990394511149228</v>
      </c>
      <c r="Q1187" s="133">
        <v>0.993471164309032</v>
      </c>
      <c r="R1187" s="133">
        <v>0.987384356602187</v>
      </c>
      <c r="S1187" s="133">
        <v>0.988509262495631</v>
      </c>
      <c r="T1187" s="135">
        <v>0.9</v>
      </c>
      <c r="U1187" s="133">
        <v>0.977358490566038</v>
      </c>
      <c r="V1187" s="133">
        <v>0.973521944142184</v>
      </c>
      <c r="W1187" s="133">
        <v>0.979814970563499</v>
      </c>
      <c r="X1187" s="133">
        <v>0.971884830478854</v>
      </c>
      <c r="Y1187" s="135">
        <v>0.92</v>
      </c>
      <c r="Z1187" s="135">
        <v>0</v>
      </c>
      <c r="AA1187" s="135">
        <v>0</v>
      </c>
      <c r="AB1187" s="135" t="s">
        <v>35</v>
      </c>
      <c r="AC1187" s="135">
        <v>0</v>
      </c>
      <c r="AD1187" s="135">
        <v>0.92</v>
      </c>
      <c r="AE1187" s="133">
        <v>1</v>
      </c>
      <c r="AF1187" s="133">
        <v>1</v>
      </c>
      <c r="AG1187" s="133">
        <v>1</v>
      </c>
      <c r="AH1187" s="133">
        <v>0.998200167127338</v>
      </c>
      <c r="AI1187" s="135">
        <v>0.92</v>
      </c>
      <c r="AJ1187" s="133">
        <v>0.986282578875171</v>
      </c>
      <c r="AK1187" s="133">
        <v>0.987309644670051</v>
      </c>
      <c r="AL1187" s="133">
        <v>0.988645920941968</v>
      </c>
      <c r="AM1187" s="133">
        <v>0.990213639739613</v>
      </c>
      <c r="AN1187" s="132">
        <v>0.99</v>
      </c>
      <c r="AO1187" s="137">
        <v>1</v>
      </c>
      <c r="AP1187" s="137">
        <v>1</v>
      </c>
      <c r="AQ1187" s="137">
        <v>1</v>
      </c>
      <c r="AR1187" s="137">
        <v>1</v>
      </c>
      <c r="AS1187" s="158">
        <v>0.0721861525408278</v>
      </c>
      <c r="AT1187" s="141">
        <v>0</v>
      </c>
      <c r="AU1187" s="141">
        <v>0</v>
      </c>
      <c r="AV1187" s="141">
        <v>0.0769230769230769</v>
      </c>
      <c r="AW1187" s="141">
        <v>0.0484848484848485</v>
      </c>
      <c r="AX1187" s="95"/>
      <c r="AY1187" s="93"/>
    </row>
    <row r="1188" ht="14.5" spans="1:51">
      <c r="A1188" s="91"/>
      <c r="B1188" s="95"/>
      <c r="C1188" s="152" t="s">
        <v>1085</v>
      </c>
      <c r="D1188" s="153" t="s">
        <v>25</v>
      </c>
      <c r="E1188" s="130" t="s">
        <v>1086</v>
      </c>
      <c r="F1188" s="195" t="s">
        <v>1218</v>
      </c>
      <c r="G1188" s="195" t="s">
        <v>1218</v>
      </c>
      <c r="H1188" s="195" t="s">
        <v>1218</v>
      </c>
      <c r="I1188" s="195" t="s">
        <v>1218</v>
      </c>
      <c r="J1188" s="132">
        <v>0.9</v>
      </c>
      <c r="K1188" s="133">
        <v>0.930555555555556</v>
      </c>
      <c r="L1188" s="133">
        <v>0.942857142857143</v>
      </c>
      <c r="M1188" s="134">
        <v>0.932432432432432</v>
      </c>
      <c r="N1188" s="133">
        <v>0.923076923076923</v>
      </c>
      <c r="O1188" s="135">
        <v>0.9</v>
      </c>
      <c r="P1188" s="133">
        <v>0.897991543340381</v>
      </c>
      <c r="Q1188" s="133">
        <v>0.975881523272214</v>
      </c>
      <c r="R1188" s="133">
        <v>0.976256754543966</v>
      </c>
      <c r="S1188" s="133">
        <v>0.944358241459099</v>
      </c>
      <c r="T1188" s="135">
        <v>0.9</v>
      </c>
      <c r="U1188" s="133">
        <v>0.922832980972516</v>
      </c>
      <c r="V1188" s="133">
        <v>0.927362482369535</v>
      </c>
      <c r="W1188" s="133">
        <v>0.945472408711315</v>
      </c>
      <c r="X1188" s="133">
        <v>0.934122771199129</v>
      </c>
      <c r="Y1188" s="135">
        <v>0.92</v>
      </c>
      <c r="Z1188" s="135" t="s">
        <v>35</v>
      </c>
      <c r="AA1188" s="135">
        <v>0</v>
      </c>
      <c r="AB1188" s="135" t="s">
        <v>35</v>
      </c>
      <c r="AC1188" s="135">
        <v>0</v>
      </c>
      <c r="AD1188" s="135">
        <v>0.92</v>
      </c>
      <c r="AE1188" s="133">
        <v>0.980555555555556</v>
      </c>
      <c r="AF1188" s="133">
        <v>0.98494983277592</v>
      </c>
      <c r="AG1188" s="133">
        <v>0.986702127659574</v>
      </c>
      <c r="AH1188" s="133">
        <v>0.985644612128462</v>
      </c>
      <c r="AI1188" s="135">
        <v>0.92</v>
      </c>
      <c r="AJ1188" s="133">
        <v>0.960095137420719</v>
      </c>
      <c r="AK1188" s="133">
        <v>0.95615395460313</v>
      </c>
      <c r="AL1188" s="133">
        <v>0.974455542819715</v>
      </c>
      <c r="AM1188" s="133">
        <v>0.971054995508534</v>
      </c>
      <c r="AN1188" s="132">
        <v>0.99</v>
      </c>
      <c r="AO1188" s="137">
        <v>1</v>
      </c>
      <c r="AP1188" s="137">
        <v>1</v>
      </c>
      <c r="AQ1188" s="137">
        <v>1</v>
      </c>
      <c r="AR1188" s="137">
        <v>1</v>
      </c>
      <c r="AS1188" s="158">
        <v>0.0721861525408278</v>
      </c>
      <c r="AT1188" s="141">
        <v>0</v>
      </c>
      <c r="AU1188" s="141">
        <v>0</v>
      </c>
      <c r="AV1188" s="141">
        <v>0</v>
      </c>
      <c r="AW1188" s="141">
        <v>0.0380952380952381</v>
      </c>
      <c r="AX1188" s="95"/>
      <c r="AY1188" s="93"/>
    </row>
    <row r="1189" ht="14.5" spans="1:51">
      <c r="A1189" s="91"/>
      <c r="B1189" s="95"/>
      <c r="C1189" s="152" t="s">
        <v>1085</v>
      </c>
      <c r="D1189" s="153" t="s">
        <v>25</v>
      </c>
      <c r="E1189" s="130" t="s">
        <v>1086</v>
      </c>
      <c r="F1189" s="195" t="s">
        <v>1219</v>
      </c>
      <c r="G1189" s="195" t="s">
        <v>1219</v>
      </c>
      <c r="H1189" s="195" t="s">
        <v>1219</v>
      </c>
      <c r="I1189" s="195" t="s">
        <v>1219</v>
      </c>
      <c r="J1189" s="132">
        <v>0.9</v>
      </c>
      <c r="K1189" s="133">
        <v>1</v>
      </c>
      <c r="L1189" s="133">
        <v>1</v>
      </c>
      <c r="M1189" s="134">
        <v>1</v>
      </c>
      <c r="N1189" s="133">
        <v>0.973741794310722</v>
      </c>
      <c r="O1189" s="135">
        <v>0.9</v>
      </c>
      <c r="P1189" s="133">
        <v>0.949447077409163</v>
      </c>
      <c r="Q1189" s="133">
        <v>0.985038898862956</v>
      </c>
      <c r="R1189" s="133">
        <v>0.988610478359909</v>
      </c>
      <c r="S1189" s="133">
        <v>0.983007646559048</v>
      </c>
      <c r="T1189" s="135">
        <v>0.9</v>
      </c>
      <c r="U1189" s="133">
        <v>0.910479199578726</v>
      </c>
      <c r="V1189" s="133">
        <v>0.951526032315978</v>
      </c>
      <c r="W1189" s="133">
        <v>0.975512528473804</v>
      </c>
      <c r="X1189" s="133">
        <v>0.960256773340885</v>
      </c>
      <c r="Y1189" s="135">
        <v>0.92</v>
      </c>
      <c r="Z1189" s="135">
        <v>0.954248366013072</v>
      </c>
      <c r="AA1189" s="135">
        <v>0.959073359073359</v>
      </c>
      <c r="AB1189" s="135">
        <v>0.985133020344288</v>
      </c>
      <c r="AC1189" s="135">
        <v>0.975908296094813</v>
      </c>
      <c r="AD1189" s="135">
        <v>0.92</v>
      </c>
      <c r="AE1189" s="133">
        <v>1</v>
      </c>
      <c r="AF1189" s="133">
        <v>0.997986408255726</v>
      </c>
      <c r="AG1189" s="133">
        <v>0.996647022962812</v>
      </c>
      <c r="AH1189" s="133">
        <v>0.994431637643687</v>
      </c>
      <c r="AI1189" s="135">
        <v>0.92</v>
      </c>
      <c r="AJ1189" s="133">
        <v>0.948227797690163</v>
      </c>
      <c r="AK1189" s="133">
        <v>0.973701955495617</v>
      </c>
      <c r="AL1189" s="133">
        <v>0.988134475939354</v>
      </c>
      <c r="AM1189" s="133">
        <v>0.983826618292916</v>
      </c>
      <c r="AN1189" s="132">
        <v>0.99</v>
      </c>
      <c r="AO1189" s="137">
        <v>1</v>
      </c>
      <c r="AP1189" s="137">
        <v>1</v>
      </c>
      <c r="AQ1189" s="137">
        <v>1</v>
      </c>
      <c r="AR1189" s="137">
        <v>1</v>
      </c>
      <c r="AS1189" s="158">
        <v>0.0721861525408278</v>
      </c>
      <c r="AT1189" s="141">
        <v>0.0909090909090909</v>
      </c>
      <c r="AU1189" s="141">
        <v>0.04</v>
      </c>
      <c r="AV1189" s="141">
        <v>0</v>
      </c>
      <c r="AW1189" s="141">
        <v>0.0452961672473868</v>
      </c>
      <c r="AX1189" s="95"/>
      <c r="AY1189" s="93"/>
    </row>
    <row r="1190" ht="14.5" spans="1:51">
      <c r="A1190" s="91"/>
      <c r="B1190" s="95"/>
      <c r="C1190" s="152" t="s">
        <v>1085</v>
      </c>
      <c r="D1190" s="153" t="s">
        <v>25</v>
      </c>
      <c r="E1190" s="130" t="s">
        <v>1086</v>
      </c>
      <c r="F1190" s="195" t="s">
        <v>1220</v>
      </c>
      <c r="G1190" s="195" t="s">
        <v>1220</v>
      </c>
      <c r="H1190" s="195" t="s">
        <v>1220</v>
      </c>
      <c r="I1190" s="195" t="s">
        <v>1220</v>
      </c>
      <c r="J1190" s="132">
        <v>0.9</v>
      </c>
      <c r="K1190" s="133">
        <v>0.970588235294118</v>
      </c>
      <c r="L1190" s="133">
        <v>1</v>
      </c>
      <c r="M1190" s="134">
        <v>1</v>
      </c>
      <c r="N1190" s="133">
        <v>0.975</v>
      </c>
      <c r="O1190" s="135">
        <v>0.9</v>
      </c>
      <c r="P1190" s="133">
        <v>0.976263556374054</v>
      </c>
      <c r="Q1190" s="133">
        <v>0.984951556380128</v>
      </c>
      <c r="R1190" s="133">
        <v>0.986764358307729</v>
      </c>
      <c r="S1190" s="133">
        <v>0.98606958090085</v>
      </c>
      <c r="T1190" s="135">
        <v>0.9</v>
      </c>
      <c r="U1190" s="133">
        <v>0.957642725598527</v>
      </c>
      <c r="V1190" s="133">
        <v>0.950731807874665</v>
      </c>
      <c r="W1190" s="133">
        <v>0.964783739068778</v>
      </c>
      <c r="X1190" s="133">
        <v>0.954660876168779</v>
      </c>
      <c r="Y1190" s="135">
        <v>0.92</v>
      </c>
      <c r="Z1190" s="135">
        <v>0.906607369758577</v>
      </c>
      <c r="AA1190" s="135">
        <v>0.935938877461064</v>
      </c>
      <c r="AB1190" s="135">
        <v>0.950634696755994</v>
      </c>
      <c r="AC1190" s="135">
        <v>0.945131169408626</v>
      </c>
      <c r="AD1190" s="135">
        <v>0.92</v>
      </c>
      <c r="AE1190" s="133">
        <v>0.998622115053393</v>
      </c>
      <c r="AF1190" s="133">
        <v>0.990868985328819</v>
      </c>
      <c r="AG1190" s="133">
        <v>0.990672006251221</v>
      </c>
      <c r="AH1190" s="133">
        <v>0.992238259785212</v>
      </c>
      <c r="AI1190" s="135">
        <v>0.92</v>
      </c>
      <c r="AJ1190" s="133">
        <v>0.958069008200526</v>
      </c>
      <c r="AK1190" s="133">
        <v>0.962563605524594</v>
      </c>
      <c r="AL1190" s="133">
        <v>0.967978395061728</v>
      </c>
      <c r="AM1190" s="133">
        <v>0.968913244608925</v>
      </c>
      <c r="AN1190" s="132">
        <v>0.99</v>
      </c>
      <c r="AO1190" s="137">
        <v>1</v>
      </c>
      <c r="AP1190" s="137">
        <v>1</v>
      </c>
      <c r="AQ1190" s="137">
        <v>1</v>
      </c>
      <c r="AR1190" s="137">
        <v>1</v>
      </c>
      <c r="AS1190" s="158">
        <v>0.0721861525408278</v>
      </c>
      <c r="AT1190" s="141">
        <v>0.0263157894736842</v>
      </c>
      <c r="AU1190" s="141">
        <v>0.0222222222222222</v>
      </c>
      <c r="AV1190" s="141">
        <v>0</v>
      </c>
      <c r="AW1190" s="141">
        <v>0.0472727272727273</v>
      </c>
      <c r="AX1190" s="95"/>
      <c r="AY1190" s="93"/>
    </row>
    <row r="1191" ht="14.5" spans="1:51">
      <c r="A1191" s="91"/>
      <c r="B1191" s="95"/>
      <c r="C1191" s="152" t="s">
        <v>1085</v>
      </c>
      <c r="D1191" s="153" t="s">
        <v>25</v>
      </c>
      <c r="E1191" s="130" t="s">
        <v>1086</v>
      </c>
      <c r="F1191" s="195" t="s">
        <v>1221</v>
      </c>
      <c r="G1191" s="195" t="s">
        <v>1221</v>
      </c>
      <c r="H1191" s="195" t="s">
        <v>1221</v>
      </c>
      <c r="I1191" s="195" t="s">
        <v>1221</v>
      </c>
      <c r="J1191" s="132">
        <v>0.9</v>
      </c>
      <c r="K1191" s="133">
        <v>0.973684210526316</v>
      </c>
      <c r="L1191" s="133">
        <v>0.975609756097561</v>
      </c>
      <c r="M1191" s="134">
        <v>0.978260869565217</v>
      </c>
      <c r="N1191" s="133">
        <v>0.974324324324324</v>
      </c>
      <c r="O1191" s="135">
        <v>0.9</v>
      </c>
      <c r="P1191" s="133">
        <v>0.985066941297631</v>
      </c>
      <c r="Q1191" s="133">
        <v>0.994934143870314</v>
      </c>
      <c r="R1191" s="133">
        <v>0.987545407368967</v>
      </c>
      <c r="S1191" s="133">
        <v>0.988768426799782</v>
      </c>
      <c r="T1191" s="135">
        <v>0.9</v>
      </c>
      <c r="U1191" s="133">
        <v>0.951596292481977</v>
      </c>
      <c r="V1191" s="133">
        <v>0.960992907801418</v>
      </c>
      <c r="W1191" s="133">
        <v>0.960560456668397</v>
      </c>
      <c r="X1191" s="133">
        <v>0.960481501702935</v>
      </c>
      <c r="Y1191" s="135">
        <v>0.92</v>
      </c>
      <c r="Z1191" s="135">
        <v>0.958005249343832</v>
      </c>
      <c r="AA1191" s="135">
        <v>0.950716332378224</v>
      </c>
      <c r="AB1191" s="135">
        <v>0.965043695380774</v>
      </c>
      <c r="AC1191" s="135">
        <v>0.964064251027269</v>
      </c>
      <c r="AD1191" s="135">
        <v>0.92</v>
      </c>
      <c r="AE1191" s="133">
        <v>0.993965990126166</v>
      </c>
      <c r="AF1191" s="133">
        <v>0.992764109985528</v>
      </c>
      <c r="AG1191" s="133">
        <v>0.99139520590043</v>
      </c>
      <c r="AH1191" s="133">
        <v>0.958830944798301</v>
      </c>
      <c r="AI1191" s="135">
        <v>0.92</v>
      </c>
      <c r="AJ1191" s="133">
        <v>0.970414201183432</v>
      </c>
      <c r="AK1191" s="133">
        <v>0.970161290322581</v>
      </c>
      <c r="AL1191" s="133">
        <v>0.975637393767705</v>
      </c>
      <c r="AM1191" s="133">
        <v>0.978325848035684</v>
      </c>
      <c r="AN1191" s="132">
        <v>0.99</v>
      </c>
      <c r="AO1191" s="137">
        <v>1</v>
      </c>
      <c r="AP1191" s="137">
        <v>1</v>
      </c>
      <c r="AQ1191" s="137">
        <v>1</v>
      </c>
      <c r="AR1191" s="137">
        <v>1</v>
      </c>
      <c r="AS1191" s="158">
        <v>0.0721861525408278</v>
      </c>
      <c r="AT1191" s="141">
        <v>0</v>
      </c>
      <c r="AU1191" s="141">
        <v>0.0555555555555556</v>
      </c>
      <c r="AV1191" s="141">
        <v>0</v>
      </c>
      <c r="AW1191" s="141">
        <v>0.0196078431372549</v>
      </c>
      <c r="AX1191" s="95"/>
      <c r="AY1191" s="93"/>
    </row>
    <row r="1192" ht="14.5" spans="1:51">
      <c r="A1192" s="91"/>
      <c r="B1192" s="95"/>
      <c r="C1192" s="152" t="s">
        <v>1085</v>
      </c>
      <c r="D1192" s="153" t="s">
        <v>25</v>
      </c>
      <c r="E1192" s="130" t="s">
        <v>1086</v>
      </c>
      <c r="F1192" s="195" t="s">
        <v>1222</v>
      </c>
      <c r="G1192" s="195" t="s">
        <v>1222</v>
      </c>
      <c r="H1192" s="195" t="s">
        <v>1222</v>
      </c>
      <c r="I1192" s="195" t="s">
        <v>1222</v>
      </c>
      <c r="J1192" s="132">
        <v>0.9</v>
      </c>
      <c r="K1192" s="133">
        <v>0.983606557377049</v>
      </c>
      <c r="L1192" s="133">
        <v>0.984848484848485</v>
      </c>
      <c r="M1192" s="134">
        <v>1</v>
      </c>
      <c r="N1192" s="133">
        <v>0.992932862190813</v>
      </c>
      <c r="O1192" s="135">
        <v>0.9</v>
      </c>
      <c r="P1192" s="133">
        <v>0.948746831878344</v>
      </c>
      <c r="Q1192" s="133">
        <v>0.975257158743397</v>
      </c>
      <c r="R1192" s="133">
        <v>0.984966753396936</v>
      </c>
      <c r="S1192" s="133">
        <v>0.981464614263594</v>
      </c>
      <c r="T1192" s="135">
        <v>0.9</v>
      </c>
      <c r="U1192" s="133">
        <v>0.926217966769924</v>
      </c>
      <c r="V1192" s="133">
        <v>0.921045315540728</v>
      </c>
      <c r="W1192" s="133">
        <v>0.954032957502168</v>
      </c>
      <c r="X1192" s="133">
        <v>0.949297143030634</v>
      </c>
      <c r="Y1192" s="135">
        <v>0.92</v>
      </c>
      <c r="Z1192" s="135">
        <v>0.922824302134647</v>
      </c>
      <c r="AA1192" s="135">
        <v>0.93628912071535</v>
      </c>
      <c r="AB1192" s="135">
        <v>0.968738640494366</v>
      </c>
      <c r="AC1192" s="135">
        <v>0.965577483015205</v>
      </c>
      <c r="AD1192" s="135">
        <v>0.92</v>
      </c>
      <c r="AE1192" s="133">
        <v>0.999310503332567</v>
      </c>
      <c r="AF1192" s="133">
        <v>0.990224661293089</v>
      </c>
      <c r="AG1192" s="133">
        <v>0.966406718656269</v>
      </c>
      <c r="AH1192" s="133">
        <v>0.972164581727634</v>
      </c>
      <c r="AI1192" s="135">
        <v>0.92</v>
      </c>
      <c r="AJ1192" s="133">
        <v>0.954088050314465</v>
      </c>
      <c r="AK1192" s="133">
        <v>0.955739531921668</v>
      </c>
      <c r="AL1192" s="133">
        <v>0.97536231884058</v>
      </c>
      <c r="AM1192" s="133">
        <v>0.975982182628062</v>
      </c>
      <c r="AN1192" s="132">
        <v>0.99</v>
      </c>
      <c r="AO1192" s="137">
        <v>1</v>
      </c>
      <c r="AP1192" s="137">
        <v>1</v>
      </c>
      <c r="AQ1192" s="137">
        <v>1</v>
      </c>
      <c r="AR1192" s="137">
        <v>1</v>
      </c>
      <c r="AS1192" s="158">
        <v>0.0721861525408278</v>
      </c>
      <c r="AT1192" s="141">
        <v>0.075</v>
      </c>
      <c r="AU1192" s="141">
        <v>0.0588235294117647</v>
      </c>
      <c r="AV1192" s="141">
        <v>0.0434782608695652</v>
      </c>
      <c r="AW1192" s="141">
        <v>0.0343796711509716</v>
      </c>
      <c r="AX1192" s="95"/>
      <c r="AY1192" s="93"/>
    </row>
    <row r="1193" ht="14.5" spans="1:51">
      <c r="A1193" s="91"/>
      <c r="B1193" s="95"/>
      <c r="C1193" s="152" t="s">
        <v>1085</v>
      </c>
      <c r="D1193" s="153" t="s">
        <v>25</v>
      </c>
      <c r="E1193" s="130" t="s">
        <v>1086</v>
      </c>
      <c r="F1193" s="195" t="s">
        <v>1223</v>
      </c>
      <c r="G1193" s="195" t="s">
        <v>1223</v>
      </c>
      <c r="H1193" s="195" t="s">
        <v>1223</v>
      </c>
      <c r="I1193" s="195" t="s">
        <v>1223</v>
      </c>
      <c r="J1193" s="132">
        <v>0.9</v>
      </c>
      <c r="K1193" s="133">
        <v>0.869565217391304</v>
      </c>
      <c r="L1193" s="133">
        <v>0.88</v>
      </c>
      <c r="M1193" s="134">
        <v>0.884615384615385</v>
      </c>
      <c r="N1193" s="133">
        <v>0.87037037037037</v>
      </c>
      <c r="O1193" s="135">
        <v>0.9</v>
      </c>
      <c r="P1193" s="133">
        <v>0.943944636678201</v>
      </c>
      <c r="Q1193" s="133">
        <v>0.952667814113597</v>
      </c>
      <c r="R1193" s="133">
        <v>0.987127916331456</v>
      </c>
      <c r="S1193" s="133">
        <v>0.968564501295878</v>
      </c>
      <c r="T1193" s="135">
        <v>0.9</v>
      </c>
      <c r="U1193" s="133">
        <v>0.946020761245675</v>
      </c>
      <c r="V1193" s="133">
        <v>0.914802065404475</v>
      </c>
      <c r="W1193" s="133">
        <v>0.949316170555109</v>
      </c>
      <c r="X1193" s="133">
        <v>0.944110024245464</v>
      </c>
      <c r="Y1193" s="135">
        <v>0.92</v>
      </c>
      <c r="Z1193" s="135">
        <v>0.927875243664717</v>
      </c>
      <c r="AA1193" s="135">
        <v>0.95906976744186</v>
      </c>
      <c r="AB1193" s="135">
        <v>0.966363636363636</v>
      </c>
      <c r="AC1193" s="135">
        <v>0.963820388078063</v>
      </c>
      <c r="AD1193" s="135">
        <v>0.92</v>
      </c>
      <c r="AE1193" s="133">
        <v>0.998535871156662</v>
      </c>
      <c r="AF1193" s="133">
        <v>1</v>
      </c>
      <c r="AG1193" s="133">
        <v>0.998432601880878</v>
      </c>
      <c r="AH1193" s="133">
        <v>0.973952469342422</v>
      </c>
      <c r="AI1193" s="135">
        <v>0.92</v>
      </c>
      <c r="AJ1193" s="133">
        <v>0.964249233912155</v>
      </c>
      <c r="AK1193" s="133">
        <v>0.972731336611533</v>
      </c>
      <c r="AL1193" s="133">
        <v>0.973538198890312</v>
      </c>
      <c r="AM1193" s="133">
        <v>0.976630148782471</v>
      </c>
      <c r="AN1193" s="132">
        <v>0.99</v>
      </c>
      <c r="AO1193" s="137">
        <v>1</v>
      </c>
      <c r="AP1193" s="137">
        <v>1</v>
      </c>
      <c r="AQ1193" s="137">
        <v>1</v>
      </c>
      <c r="AR1193" s="137">
        <v>1</v>
      </c>
      <c r="AS1193" s="158">
        <v>0.0721861525408278</v>
      </c>
      <c r="AT1193" s="141">
        <v>0</v>
      </c>
      <c r="AU1193" s="141">
        <v>0</v>
      </c>
      <c r="AV1193" s="141">
        <v>0</v>
      </c>
      <c r="AW1193" s="141">
        <v>0.0921052631578947</v>
      </c>
      <c r="AX1193" s="95"/>
      <c r="AY1193" s="93"/>
    </row>
    <row r="1194" ht="14.5" spans="1:51">
      <c r="A1194" s="91"/>
      <c r="B1194" s="95"/>
      <c r="C1194" s="152" t="s">
        <v>1085</v>
      </c>
      <c r="D1194" s="153" t="s">
        <v>25</v>
      </c>
      <c r="E1194" s="130" t="s">
        <v>1086</v>
      </c>
      <c r="F1194" s="195" t="s">
        <v>1224</v>
      </c>
      <c r="G1194" s="195" t="s">
        <v>1224</v>
      </c>
      <c r="H1194" s="195" t="s">
        <v>1224</v>
      </c>
      <c r="I1194" s="195" t="s">
        <v>1224</v>
      </c>
      <c r="J1194" s="132">
        <v>0.9</v>
      </c>
      <c r="K1194" s="133">
        <v>0.931818181818182</v>
      </c>
      <c r="L1194" s="133">
        <v>0.928571428571429</v>
      </c>
      <c r="M1194" s="134">
        <v>0.916666666666667</v>
      </c>
      <c r="N1194" s="133">
        <v>0.920496894409938</v>
      </c>
      <c r="O1194" s="135">
        <v>0.9</v>
      </c>
      <c r="P1194" s="133">
        <v>0.943574958813839</v>
      </c>
      <c r="Q1194" s="133">
        <v>0.899641577060932</v>
      </c>
      <c r="R1194" s="133">
        <v>0.966815721346199</v>
      </c>
      <c r="S1194" s="133">
        <v>0.93885424834161</v>
      </c>
      <c r="T1194" s="135">
        <v>0.9</v>
      </c>
      <c r="U1194" s="133">
        <v>0.92339373970346</v>
      </c>
      <c r="V1194" s="133">
        <v>0.900274088129876</v>
      </c>
      <c r="W1194" s="133">
        <v>0.930807248764415</v>
      </c>
      <c r="X1194" s="133">
        <v>0.925711583218211</v>
      </c>
      <c r="Y1194" s="135">
        <v>0.92</v>
      </c>
      <c r="Z1194" s="135">
        <v>0</v>
      </c>
      <c r="AA1194" s="135">
        <v>1</v>
      </c>
      <c r="AB1194" s="135" t="s">
        <v>35</v>
      </c>
      <c r="AC1194" s="135">
        <v>0.8</v>
      </c>
      <c r="AD1194" s="135">
        <v>0.92</v>
      </c>
      <c r="AE1194" s="133">
        <v>0.999341383095499</v>
      </c>
      <c r="AF1194" s="133">
        <v>0.719779400804889</v>
      </c>
      <c r="AG1194" s="133">
        <v>0.676458245908519</v>
      </c>
      <c r="AH1194" s="133">
        <v>0.939660494641472</v>
      </c>
      <c r="AI1194" s="135">
        <v>0.92</v>
      </c>
      <c r="AJ1194" s="133">
        <v>0.95492899773616</v>
      </c>
      <c r="AK1194" s="133">
        <v>0.959949409780776</v>
      </c>
      <c r="AL1194" s="133">
        <v>0.967286420334196</v>
      </c>
      <c r="AM1194" s="133">
        <v>0.971218814160393</v>
      </c>
      <c r="AN1194" s="132">
        <v>0.99</v>
      </c>
      <c r="AO1194" s="137">
        <v>1</v>
      </c>
      <c r="AP1194" s="137">
        <v>1</v>
      </c>
      <c r="AQ1194" s="137">
        <v>1</v>
      </c>
      <c r="AR1194" s="137">
        <v>1</v>
      </c>
      <c r="AS1194" s="158">
        <v>0.0721861525408278</v>
      </c>
      <c r="AT1194" s="141">
        <v>0</v>
      </c>
      <c r="AU1194" s="141">
        <v>0</v>
      </c>
      <c r="AV1194" s="141">
        <v>0.0769230769230769</v>
      </c>
      <c r="AW1194" s="141">
        <v>0.032258064516129</v>
      </c>
      <c r="AX1194" s="95"/>
      <c r="AY1194" s="93"/>
    </row>
    <row r="1195" ht="14.5" spans="1:51">
      <c r="A1195" s="91"/>
      <c r="B1195" s="95"/>
      <c r="C1195" s="152" t="s">
        <v>1085</v>
      </c>
      <c r="D1195" s="153" t="s">
        <v>25</v>
      </c>
      <c r="E1195" s="130" t="s">
        <v>1086</v>
      </c>
      <c r="F1195" s="195" t="s">
        <v>1225</v>
      </c>
      <c r="G1195" s="195" t="s">
        <v>1225</v>
      </c>
      <c r="H1195" s="195" t="s">
        <v>1225</v>
      </c>
      <c r="I1195" s="195" t="s">
        <v>1225</v>
      </c>
      <c r="J1195" s="132">
        <v>0.9</v>
      </c>
      <c r="K1195" s="133">
        <v>0.953846153846154</v>
      </c>
      <c r="L1195" s="133">
        <v>0.96969696969697</v>
      </c>
      <c r="M1195" s="134">
        <v>0.985507246376812</v>
      </c>
      <c r="N1195" s="133">
        <v>0.972858354537744</v>
      </c>
      <c r="O1195" s="135">
        <v>0.9</v>
      </c>
      <c r="P1195" s="133">
        <v>0.969447138700291</v>
      </c>
      <c r="Q1195" s="133">
        <v>0.98001410768869</v>
      </c>
      <c r="R1195" s="133">
        <v>0.9800969635111</v>
      </c>
      <c r="S1195" s="133">
        <v>0.966501014908658</v>
      </c>
      <c r="T1195" s="135">
        <v>0.9</v>
      </c>
      <c r="U1195" s="133">
        <v>0.939864209505335</v>
      </c>
      <c r="V1195" s="133">
        <v>0.959793087232542</v>
      </c>
      <c r="W1195" s="133">
        <v>0.954835417198265</v>
      </c>
      <c r="X1195" s="133">
        <v>0.948932596066354</v>
      </c>
      <c r="Y1195" s="135">
        <v>0.92</v>
      </c>
      <c r="Z1195" s="135">
        <v>0.886271324126726</v>
      </c>
      <c r="AA1195" s="135">
        <v>0.938941214680091</v>
      </c>
      <c r="AB1195" s="135">
        <v>0.957389245857288</v>
      </c>
      <c r="AC1195" s="135">
        <v>0.942018136709727</v>
      </c>
      <c r="AD1195" s="135">
        <v>0.92</v>
      </c>
      <c r="AE1195" s="133">
        <v>0.996255683337791</v>
      </c>
      <c r="AF1195" s="133">
        <v>0.996632996632997</v>
      </c>
      <c r="AG1195" s="133">
        <v>0.997583993959985</v>
      </c>
      <c r="AH1195" s="133">
        <v>0.992870272134683</v>
      </c>
      <c r="AI1195" s="135">
        <v>0.92</v>
      </c>
      <c r="AJ1195" s="133">
        <v>0.951278700765354</v>
      </c>
      <c r="AK1195" s="133">
        <v>0.966993998908892</v>
      </c>
      <c r="AL1195" s="133">
        <v>0.972076788830716</v>
      </c>
      <c r="AM1195" s="133">
        <v>0.967343761897107</v>
      </c>
      <c r="AN1195" s="132">
        <v>0.99</v>
      </c>
      <c r="AO1195" s="137">
        <v>1</v>
      </c>
      <c r="AP1195" s="137">
        <v>1</v>
      </c>
      <c r="AQ1195" s="137">
        <v>1</v>
      </c>
      <c r="AR1195" s="137">
        <v>1</v>
      </c>
      <c r="AS1195" s="158">
        <v>0.0721861525408278</v>
      </c>
      <c r="AT1195" s="141">
        <v>0.037037037037037</v>
      </c>
      <c r="AU1195" s="141">
        <v>0.0526315789473684</v>
      </c>
      <c r="AV1195" s="141">
        <v>0</v>
      </c>
      <c r="AW1195" s="141">
        <v>0.039906103286385</v>
      </c>
      <c r="AX1195" s="95"/>
      <c r="AY1195" s="93"/>
    </row>
    <row r="1196" ht="14.5" spans="1:51">
      <c r="A1196" s="91"/>
      <c r="B1196" s="95"/>
      <c r="C1196" s="152" t="s">
        <v>1085</v>
      </c>
      <c r="D1196" s="153" t="s">
        <v>25</v>
      </c>
      <c r="E1196" s="130" t="s">
        <v>1086</v>
      </c>
      <c r="F1196" s="195" t="s">
        <v>1226</v>
      </c>
      <c r="G1196" s="195" t="s">
        <v>1226</v>
      </c>
      <c r="H1196" s="195" t="s">
        <v>1226</v>
      </c>
      <c r="I1196" s="195" t="s">
        <v>1226</v>
      </c>
      <c r="J1196" s="132">
        <v>0.9</v>
      </c>
      <c r="K1196" s="133">
        <v>0.974358974358974</v>
      </c>
      <c r="L1196" s="133">
        <v>0.942857142857143</v>
      </c>
      <c r="M1196" s="134">
        <v>0.948717948717949</v>
      </c>
      <c r="N1196" s="133">
        <v>0.965465465465465</v>
      </c>
      <c r="O1196" s="135">
        <v>0.9</v>
      </c>
      <c r="P1196" s="133">
        <v>0.949712643678161</v>
      </c>
      <c r="Q1196" s="133">
        <v>0.864925373134328</v>
      </c>
      <c r="R1196" s="133">
        <v>0.910167415271539</v>
      </c>
      <c r="S1196" s="133">
        <v>0.924008041477092</v>
      </c>
      <c r="T1196" s="135">
        <v>0.9</v>
      </c>
      <c r="U1196" s="133">
        <v>0.933908045977011</v>
      </c>
      <c r="V1196" s="133">
        <v>0.913432835820896</v>
      </c>
      <c r="W1196" s="133">
        <v>0.92690894242548</v>
      </c>
      <c r="X1196" s="133">
        <v>0.932176489260396</v>
      </c>
      <c r="Y1196" s="135">
        <v>0.92</v>
      </c>
      <c r="Z1196" s="135">
        <v>0.939580764488286</v>
      </c>
      <c r="AA1196" s="135">
        <v>0.914029850746269</v>
      </c>
      <c r="AB1196" s="135">
        <v>0.94636251541307</v>
      </c>
      <c r="AC1196" s="135">
        <v>0.952119222398465</v>
      </c>
      <c r="AD1196" s="135">
        <v>0.92</v>
      </c>
      <c r="AE1196" s="133">
        <v>0.987722460013517</v>
      </c>
      <c r="AF1196" s="133">
        <v>0.99913726993865</v>
      </c>
      <c r="AG1196" s="133">
        <v>0.990864029546117</v>
      </c>
      <c r="AH1196" s="133">
        <v>0.990321439625061</v>
      </c>
      <c r="AI1196" s="135">
        <v>0.92</v>
      </c>
      <c r="AJ1196" s="133">
        <v>0.964116828929068</v>
      </c>
      <c r="AK1196" s="133">
        <v>0.950172215843858</v>
      </c>
      <c r="AL1196" s="133">
        <v>0.966110019646365</v>
      </c>
      <c r="AM1196" s="133">
        <v>0.969223943207486</v>
      </c>
      <c r="AN1196" s="132">
        <v>0.99</v>
      </c>
      <c r="AO1196" s="137">
        <v>1</v>
      </c>
      <c r="AP1196" s="137">
        <v>1</v>
      </c>
      <c r="AQ1196" s="137">
        <v>1</v>
      </c>
      <c r="AR1196" s="137">
        <v>1</v>
      </c>
      <c r="AS1196" s="158">
        <v>0.0721861525408278</v>
      </c>
      <c r="AT1196" s="141">
        <v>0.0869565217391304</v>
      </c>
      <c r="AU1196" s="141">
        <v>0.0476190476190476</v>
      </c>
      <c r="AV1196" s="141">
        <v>0.0476190476190476</v>
      </c>
      <c r="AW1196" s="141">
        <v>0.054140127388535</v>
      </c>
      <c r="AX1196" s="95"/>
      <c r="AY1196" s="93"/>
    </row>
    <row r="1197" ht="14.5" spans="1:51">
      <c r="A1197" s="91"/>
      <c r="B1197" s="95"/>
      <c r="C1197" s="152" t="s">
        <v>1085</v>
      </c>
      <c r="D1197" s="153" t="s">
        <v>25</v>
      </c>
      <c r="E1197" s="130" t="s">
        <v>1086</v>
      </c>
      <c r="F1197" s="195" t="s">
        <v>1227</v>
      </c>
      <c r="G1197" s="195" t="s">
        <v>1227</v>
      </c>
      <c r="H1197" s="195" t="s">
        <v>1227</v>
      </c>
      <c r="I1197" s="195" t="s">
        <v>1227</v>
      </c>
      <c r="J1197" s="132">
        <v>0.9</v>
      </c>
      <c r="K1197" s="133">
        <v>0.96078431372549</v>
      </c>
      <c r="L1197" s="133">
        <v>0.980392156862745</v>
      </c>
      <c r="M1197" s="134">
        <v>0.98</v>
      </c>
      <c r="N1197" s="133">
        <v>0.986562150055991</v>
      </c>
      <c r="O1197" s="135">
        <v>0.9</v>
      </c>
      <c r="P1197" s="133">
        <v>0.985264735264735</v>
      </c>
      <c r="Q1197" s="133">
        <v>0.985632962862564</v>
      </c>
      <c r="R1197" s="133">
        <v>0.986674742580254</v>
      </c>
      <c r="S1197" s="133">
        <v>0.984502817004463</v>
      </c>
      <c r="T1197" s="135">
        <v>0.9</v>
      </c>
      <c r="U1197" s="133">
        <v>0.915834165834166</v>
      </c>
      <c r="V1197" s="133">
        <v>0.937381404174573</v>
      </c>
      <c r="W1197" s="133">
        <v>0.939430648092065</v>
      </c>
      <c r="X1197" s="133">
        <v>0.927109094900124</v>
      </c>
      <c r="Y1197" s="135">
        <v>0.92</v>
      </c>
      <c r="Z1197" s="135">
        <v>0.95271629778672</v>
      </c>
      <c r="AA1197" s="135">
        <v>0.955787781350482</v>
      </c>
      <c r="AB1197" s="135">
        <v>0.962996389891697</v>
      </c>
      <c r="AC1197" s="135">
        <v>0.961463915175009</v>
      </c>
      <c r="AD1197" s="135">
        <v>0.92</v>
      </c>
      <c r="AE1197" s="133">
        <v>1</v>
      </c>
      <c r="AF1197" s="133">
        <v>0.999303621169916</v>
      </c>
      <c r="AG1197" s="133">
        <v>1</v>
      </c>
      <c r="AH1197" s="133">
        <v>0.999016059317567</v>
      </c>
      <c r="AI1197" s="135">
        <v>0.92</v>
      </c>
      <c r="AJ1197" s="133">
        <v>0.96858743497399</v>
      </c>
      <c r="AK1197" s="133">
        <v>0.966170281644545</v>
      </c>
      <c r="AL1197" s="133">
        <v>0.977890540050743</v>
      </c>
      <c r="AM1197" s="133">
        <v>0.976727321949993</v>
      </c>
      <c r="AN1197" s="132">
        <v>0.99</v>
      </c>
      <c r="AO1197" s="137">
        <v>1</v>
      </c>
      <c r="AP1197" s="137">
        <v>1</v>
      </c>
      <c r="AQ1197" s="137">
        <v>1</v>
      </c>
      <c r="AR1197" s="137">
        <v>1</v>
      </c>
      <c r="AS1197" s="158">
        <v>0.0721861525408278</v>
      </c>
      <c r="AT1197" s="141">
        <v>0</v>
      </c>
      <c r="AU1197" s="141">
        <v>0</v>
      </c>
      <c r="AV1197" s="141">
        <v>0.0555555555555556</v>
      </c>
      <c r="AW1197" s="141">
        <v>0.018018018018018</v>
      </c>
      <c r="AX1197" s="95"/>
      <c r="AY1197" s="93"/>
    </row>
    <row r="1198" ht="14.5" spans="1:51">
      <c r="A1198" s="91"/>
      <c r="B1198" s="95"/>
      <c r="C1198" s="152" t="s">
        <v>1085</v>
      </c>
      <c r="D1198" s="153" t="s">
        <v>25</v>
      </c>
      <c r="E1198" s="130" t="s">
        <v>1086</v>
      </c>
      <c r="F1198" s="195" t="s">
        <v>1228</v>
      </c>
      <c r="G1198" s="195" t="s">
        <v>1228</v>
      </c>
      <c r="H1198" s="195" t="s">
        <v>1228</v>
      </c>
      <c r="I1198" s="195" t="s">
        <v>1228</v>
      </c>
      <c r="J1198" s="132">
        <v>0.9</v>
      </c>
      <c r="K1198" s="133">
        <v>0.969230769230769</v>
      </c>
      <c r="L1198" s="133">
        <v>0.954545454545455</v>
      </c>
      <c r="M1198" s="134">
        <v>0.955882352941177</v>
      </c>
      <c r="N1198" s="133">
        <v>0.967391304347826</v>
      </c>
      <c r="O1198" s="135">
        <v>0.9</v>
      </c>
      <c r="P1198" s="133">
        <v>0.954594131505676</v>
      </c>
      <c r="Q1198" s="133">
        <v>0.961165048543689</v>
      </c>
      <c r="R1198" s="133">
        <v>0.975308641975309</v>
      </c>
      <c r="S1198" s="133">
        <v>0.953708010335917</v>
      </c>
      <c r="T1198" s="135">
        <v>0.9</v>
      </c>
      <c r="U1198" s="133">
        <v>0.947526236881559</v>
      </c>
      <c r="V1198" s="133">
        <v>0.947617972454279</v>
      </c>
      <c r="W1198" s="133">
        <v>0.960987654320988</v>
      </c>
      <c r="X1198" s="133">
        <v>0.952390180878553</v>
      </c>
      <c r="Y1198" s="135">
        <v>0.92</v>
      </c>
      <c r="Z1198" s="135">
        <v>0.95655737704918</v>
      </c>
      <c r="AA1198" s="135">
        <v>0.959268208491543</v>
      </c>
      <c r="AB1198" s="135">
        <v>0.965684446102201</v>
      </c>
      <c r="AC1198" s="135">
        <v>0.970088527228829</v>
      </c>
      <c r="AD1198" s="135">
        <v>0.92</v>
      </c>
      <c r="AE1198" s="133">
        <v>0.999326599326599</v>
      </c>
      <c r="AF1198" s="133">
        <v>0.995904995904996</v>
      </c>
      <c r="AG1198" s="133">
        <v>0.998862990335418</v>
      </c>
      <c r="AH1198" s="133">
        <v>0.99697864451006</v>
      </c>
      <c r="AI1198" s="135">
        <v>0.92</v>
      </c>
      <c r="AJ1198" s="133">
        <v>0.976906096111394</v>
      </c>
      <c r="AK1198" s="133">
        <v>0.975020475020475</v>
      </c>
      <c r="AL1198" s="133">
        <v>0.981874907146041</v>
      </c>
      <c r="AM1198" s="133">
        <v>0.982880441457005</v>
      </c>
      <c r="AN1198" s="132">
        <v>0.99</v>
      </c>
      <c r="AO1198" s="137">
        <v>1</v>
      </c>
      <c r="AP1198" s="137">
        <v>1</v>
      </c>
      <c r="AQ1198" s="137">
        <v>1</v>
      </c>
      <c r="AR1198" s="137">
        <v>1</v>
      </c>
      <c r="AS1198" s="158">
        <v>0.0721861525408278</v>
      </c>
      <c r="AT1198" s="141">
        <v>0</v>
      </c>
      <c r="AU1198" s="141">
        <v>0.1</v>
      </c>
      <c r="AV1198" s="141">
        <v>0.0303030303030303</v>
      </c>
      <c r="AW1198" s="141">
        <v>0.0582750582750583</v>
      </c>
      <c r="AX1198" s="95"/>
      <c r="AY1198" s="93"/>
    </row>
    <row r="1199" ht="14.5" spans="1:51">
      <c r="A1199" s="91"/>
      <c r="B1199" s="95"/>
      <c r="C1199" s="152" t="s">
        <v>1085</v>
      </c>
      <c r="D1199" s="153" t="s">
        <v>25</v>
      </c>
      <c r="E1199" s="130" t="s">
        <v>1086</v>
      </c>
      <c r="F1199" s="195" t="s">
        <v>1229</v>
      </c>
      <c r="G1199" s="195" t="s">
        <v>1229</v>
      </c>
      <c r="H1199" s="195" t="s">
        <v>1229</v>
      </c>
      <c r="I1199" s="195" t="s">
        <v>1229</v>
      </c>
      <c r="J1199" s="132">
        <v>0.9</v>
      </c>
      <c r="K1199" s="133">
        <v>0.970588235294118</v>
      </c>
      <c r="L1199" s="133">
        <v>0.941176470588235</v>
      </c>
      <c r="M1199" s="134">
        <v>0.903225806451613</v>
      </c>
      <c r="N1199" s="133">
        <v>0.951640759930915</v>
      </c>
      <c r="O1199" s="135">
        <v>0.9</v>
      </c>
      <c r="P1199" s="133">
        <v>0.963187527067995</v>
      </c>
      <c r="Q1199" s="133">
        <v>0.967381974248927</v>
      </c>
      <c r="R1199" s="133">
        <v>0.917070805043647</v>
      </c>
      <c r="S1199" s="133">
        <v>0.952127659574468</v>
      </c>
      <c r="T1199" s="135">
        <v>0.9</v>
      </c>
      <c r="U1199" s="133">
        <v>0.940666955391945</v>
      </c>
      <c r="V1199" s="133">
        <v>0.950214592274678</v>
      </c>
      <c r="W1199" s="133">
        <v>0.946653734238603</v>
      </c>
      <c r="X1199" s="133">
        <v>0.939042553191489</v>
      </c>
      <c r="Y1199" s="135">
        <v>0.92</v>
      </c>
      <c r="Z1199" s="135">
        <v>0.912028725314183</v>
      </c>
      <c r="AA1199" s="135">
        <v>0.93267776096823</v>
      </c>
      <c r="AB1199" s="135">
        <v>0.93866866118175</v>
      </c>
      <c r="AC1199" s="135">
        <v>0.948103607770583</v>
      </c>
      <c r="AD1199" s="135">
        <v>0.92</v>
      </c>
      <c r="AE1199" s="133">
        <v>0.995677233429395</v>
      </c>
      <c r="AF1199" s="133">
        <v>0.997559487492373</v>
      </c>
      <c r="AG1199" s="133">
        <v>1</v>
      </c>
      <c r="AH1199" s="133">
        <v>0.996231447124304</v>
      </c>
      <c r="AI1199" s="135">
        <v>0.92</v>
      </c>
      <c r="AJ1199" s="133">
        <v>0.960223307745987</v>
      </c>
      <c r="AK1199" s="133">
        <v>0.962486308871851</v>
      </c>
      <c r="AL1199" s="133">
        <v>0.966754927919976</v>
      </c>
      <c r="AM1199" s="133">
        <v>0.972222222222222</v>
      </c>
      <c r="AN1199" s="132">
        <v>0.99</v>
      </c>
      <c r="AO1199" s="137">
        <v>1</v>
      </c>
      <c r="AP1199" s="137">
        <v>1</v>
      </c>
      <c r="AQ1199" s="137">
        <v>1</v>
      </c>
      <c r="AR1199" s="137">
        <v>1</v>
      </c>
      <c r="AS1199" s="158">
        <v>0.0721861525408278</v>
      </c>
      <c r="AT1199" s="141">
        <v>0</v>
      </c>
      <c r="AU1199" s="141">
        <v>0</v>
      </c>
      <c r="AV1199" s="141">
        <v>0</v>
      </c>
      <c r="AW1199" s="141">
        <v>0.0203045685279188</v>
      </c>
      <c r="AX1199" s="95"/>
      <c r="AY1199" s="93"/>
    </row>
    <row r="1200" ht="14.5" spans="1:51">
      <c r="A1200" s="91"/>
      <c r="B1200" s="95"/>
      <c r="C1200" s="152" t="s">
        <v>1085</v>
      </c>
      <c r="D1200" s="153" t="s">
        <v>25</v>
      </c>
      <c r="E1200" s="130" t="s">
        <v>1086</v>
      </c>
      <c r="F1200" s="195" t="s">
        <v>1230</v>
      </c>
      <c r="G1200" s="195" t="s">
        <v>1230</v>
      </c>
      <c r="H1200" s="195" t="s">
        <v>1230</v>
      </c>
      <c r="I1200" s="195" t="s">
        <v>1230</v>
      </c>
      <c r="J1200" s="132">
        <v>0.9</v>
      </c>
      <c r="K1200" s="133">
        <v>0.974358974358974</v>
      </c>
      <c r="L1200" s="133">
        <v>0.974358974358974</v>
      </c>
      <c r="M1200" s="134">
        <v>0.974358974358974</v>
      </c>
      <c r="N1200" s="133">
        <v>0.992378048780488</v>
      </c>
      <c r="O1200" s="135">
        <v>0.9</v>
      </c>
      <c r="P1200" s="133">
        <v>0.981895633652822</v>
      </c>
      <c r="Q1200" s="133">
        <v>0.955081001472754</v>
      </c>
      <c r="R1200" s="133">
        <v>0.984268707482993</v>
      </c>
      <c r="S1200" s="133">
        <v>0.966132533857128</v>
      </c>
      <c r="T1200" s="135">
        <v>0.9</v>
      </c>
      <c r="U1200" s="133">
        <v>0.958821441249556</v>
      </c>
      <c r="V1200" s="133">
        <v>0.938512518409426</v>
      </c>
      <c r="W1200" s="133">
        <v>0.966836734693878</v>
      </c>
      <c r="X1200" s="133">
        <v>0.947978910369069</v>
      </c>
      <c r="Y1200" s="135">
        <v>0.92</v>
      </c>
      <c r="Z1200" s="135">
        <v>0.966850828729282</v>
      </c>
      <c r="AA1200" s="135">
        <v>0.950609756097561</v>
      </c>
      <c r="AB1200" s="135">
        <v>0.948018193632229</v>
      </c>
      <c r="AC1200" s="135">
        <v>0.955079122001021</v>
      </c>
      <c r="AD1200" s="135">
        <v>0.92</v>
      </c>
      <c r="AE1200" s="133">
        <v>0.999670510708402</v>
      </c>
      <c r="AF1200" s="133">
        <v>0.997796316700771</v>
      </c>
      <c r="AG1200" s="133">
        <v>0.998888425732944</v>
      </c>
      <c r="AH1200" s="133">
        <v>0.995619848494158</v>
      </c>
      <c r="AI1200" s="135">
        <v>0.92</v>
      </c>
      <c r="AJ1200" s="133">
        <v>0.979339951703783</v>
      </c>
      <c r="AK1200" s="133">
        <v>0.970858191831115</v>
      </c>
      <c r="AL1200" s="133">
        <v>0.973285384022605</v>
      </c>
      <c r="AM1200" s="133">
        <v>0.976157595450853</v>
      </c>
      <c r="AN1200" s="132">
        <v>0.99</v>
      </c>
      <c r="AO1200" s="137">
        <v>1</v>
      </c>
      <c r="AP1200" s="137">
        <v>1</v>
      </c>
      <c r="AQ1200" s="137">
        <v>1</v>
      </c>
      <c r="AR1200" s="137">
        <v>1</v>
      </c>
      <c r="AS1200" s="158">
        <v>0.0721861525408278</v>
      </c>
      <c r="AT1200" s="141">
        <v>0</v>
      </c>
      <c r="AU1200" s="141">
        <v>0</v>
      </c>
      <c r="AV1200" s="141">
        <v>0.181818181818182</v>
      </c>
      <c r="AW1200" s="141">
        <v>0.0772357723577236</v>
      </c>
      <c r="AX1200" s="95"/>
      <c r="AY1200" s="93"/>
    </row>
    <row r="1201" ht="14.5" spans="1:51">
      <c r="A1201" s="91"/>
      <c r="B1201" s="95"/>
      <c r="C1201" s="152" t="s">
        <v>1085</v>
      </c>
      <c r="D1201" s="153" t="s">
        <v>25</v>
      </c>
      <c r="E1201" s="130" t="s">
        <v>1086</v>
      </c>
      <c r="F1201" s="195" t="s">
        <v>1231</v>
      </c>
      <c r="G1201" s="195" t="s">
        <v>1231</v>
      </c>
      <c r="H1201" s="195" t="s">
        <v>1231</v>
      </c>
      <c r="I1201" s="195" t="s">
        <v>1231</v>
      </c>
      <c r="J1201" s="132">
        <v>0.9</v>
      </c>
      <c r="K1201" s="133">
        <v>0.954545454545455</v>
      </c>
      <c r="L1201" s="133">
        <v>0.9375</v>
      </c>
      <c r="M1201" s="134">
        <v>0.96969696969697</v>
      </c>
      <c r="N1201" s="133">
        <v>0.954394693200663</v>
      </c>
      <c r="O1201" s="135">
        <v>0.9</v>
      </c>
      <c r="P1201" s="133">
        <v>0.968375361719719</v>
      </c>
      <c r="Q1201" s="133">
        <v>0.948182198077727</v>
      </c>
      <c r="R1201" s="133">
        <v>0.976043805612594</v>
      </c>
      <c r="S1201" s="133">
        <v>0.967360501567398</v>
      </c>
      <c r="T1201" s="135">
        <v>0.9</v>
      </c>
      <c r="U1201" s="133">
        <v>0.930136420008268</v>
      </c>
      <c r="V1201" s="133">
        <v>0.921855411617217</v>
      </c>
      <c r="W1201" s="133">
        <v>0.943645904631531</v>
      </c>
      <c r="X1201" s="133">
        <v>0.938319749216301</v>
      </c>
      <c r="Y1201" s="135">
        <v>0.92</v>
      </c>
      <c r="Z1201" s="135">
        <v>0.938235294117647</v>
      </c>
      <c r="AA1201" s="135">
        <v>0.95457650273224</v>
      </c>
      <c r="AB1201" s="135">
        <v>0.948573573573574</v>
      </c>
      <c r="AC1201" s="135">
        <v>0.954225816375863</v>
      </c>
      <c r="AD1201" s="135">
        <v>0.92</v>
      </c>
      <c r="AE1201" s="133">
        <v>0.99617903930131</v>
      </c>
      <c r="AF1201" s="133">
        <v>0.982889733840304</v>
      </c>
      <c r="AG1201" s="133">
        <v>0.990585345886206</v>
      </c>
      <c r="AH1201" s="133">
        <v>0.994205814304396</v>
      </c>
      <c r="AI1201" s="135">
        <v>0.92</v>
      </c>
      <c r="AJ1201" s="133">
        <v>0.970635688931914</v>
      </c>
      <c r="AK1201" s="133">
        <v>0.97005444646098</v>
      </c>
      <c r="AL1201" s="133">
        <v>0.972186746133106</v>
      </c>
      <c r="AM1201" s="133">
        <v>0.975070048135642</v>
      </c>
      <c r="AN1201" s="132">
        <v>0.99</v>
      </c>
      <c r="AO1201" s="137">
        <v>1</v>
      </c>
      <c r="AP1201" s="137">
        <v>1</v>
      </c>
      <c r="AQ1201" s="137">
        <v>1</v>
      </c>
      <c r="AR1201" s="137">
        <v>1</v>
      </c>
      <c r="AS1201" s="158">
        <v>0.0721861525408278</v>
      </c>
      <c r="AT1201" s="141">
        <v>0.0476190476190476</v>
      </c>
      <c r="AU1201" s="141">
        <v>0</v>
      </c>
      <c r="AV1201" s="141">
        <v>0.2</v>
      </c>
      <c r="AW1201" s="141">
        <v>0.0598006644518272</v>
      </c>
      <c r="AX1201" s="95"/>
      <c r="AY1201" s="93"/>
    </row>
    <row r="1202" ht="14.5" spans="1:51">
      <c r="A1202" s="91"/>
      <c r="B1202" s="95"/>
      <c r="C1202" s="152" t="s">
        <v>1085</v>
      </c>
      <c r="D1202" s="153" t="s">
        <v>25</v>
      </c>
      <c r="E1202" s="130" t="s">
        <v>1086</v>
      </c>
      <c r="F1202" s="195" t="s">
        <v>1232</v>
      </c>
      <c r="G1202" s="195" t="s">
        <v>1232</v>
      </c>
      <c r="H1202" s="195" t="s">
        <v>1232</v>
      </c>
      <c r="I1202" s="195" t="s">
        <v>1232</v>
      </c>
      <c r="J1202" s="132">
        <v>0.9</v>
      </c>
      <c r="K1202" s="133">
        <v>1</v>
      </c>
      <c r="L1202" s="133">
        <v>1</v>
      </c>
      <c r="M1202" s="134">
        <v>1</v>
      </c>
      <c r="N1202" s="133">
        <v>0.99492385786802</v>
      </c>
      <c r="O1202" s="135">
        <v>0.9</v>
      </c>
      <c r="P1202" s="133">
        <v>0.988785645626402</v>
      </c>
      <c r="Q1202" s="133">
        <v>0.988931056293485</v>
      </c>
      <c r="R1202" s="133">
        <v>0.989935064935065</v>
      </c>
      <c r="S1202" s="133">
        <v>0.988891643937515</v>
      </c>
      <c r="T1202" s="135">
        <v>0.9</v>
      </c>
      <c r="U1202" s="133">
        <v>0.958026273630247</v>
      </c>
      <c r="V1202" s="133">
        <v>0.948134092346616</v>
      </c>
      <c r="W1202" s="133">
        <v>0.964285714285714</v>
      </c>
      <c r="X1202" s="133">
        <v>0.950557897346888</v>
      </c>
      <c r="Y1202" s="135">
        <v>0.92</v>
      </c>
      <c r="Z1202" s="135">
        <v>0.973913043478261</v>
      </c>
      <c r="AA1202" s="135">
        <v>0.9702434625789</v>
      </c>
      <c r="AB1202" s="135">
        <v>0.980311355311355</v>
      </c>
      <c r="AC1202" s="135">
        <v>0.970940485904556</v>
      </c>
      <c r="AD1202" s="135">
        <v>0.92</v>
      </c>
      <c r="AE1202" s="133">
        <v>1</v>
      </c>
      <c r="AF1202" s="133">
        <v>0.989309712889432</v>
      </c>
      <c r="AG1202" s="133">
        <v>0.995749848208865</v>
      </c>
      <c r="AH1202" s="133">
        <v>0.975252896496202</v>
      </c>
      <c r="AI1202" s="135">
        <v>0.92</v>
      </c>
      <c r="AJ1202" s="133">
        <v>0.980750721847931</v>
      </c>
      <c r="AK1202" s="133">
        <v>0.978810408921933</v>
      </c>
      <c r="AL1202" s="133">
        <v>0.986702127659574</v>
      </c>
      <c r="AM1202" s="133">
        <v>0.982738838628448</v>
      </c>
      <c r="AN1202" s="132">
        <v>0.99</v>
      </c>
      <c r="AO1202" s="137">
        <v>1</v>
      </c>
      <c r="AP1202" s="137">
        <v>1</v>
      </c>
      <c r="AQ1202" s="137">
        <v>1</v>
      </c>
      <c r="AR1202" s="137">
        <v>1</v>
      </c>
      <c r="AS1202" s="158">
        <v>0.0721861525408278</v>
      </c>
      <c r="AT1202" s="141">
        <v>0</v>
      </c>
      <c r="AU1202" s="141">
        <v>0.0285714285714286</v>
      </c>
      <c r="AV1202" s="141">
        <v>0.037037037037037</v>
      </c>
      <c r="AW1202" s="141">
        <v>0.0256410256410256</v>
      </c>
      <c r="AX1202" s="95"/>
      <c r="AY1202" s="93"/>
    </row>
    <row r="1203" ht="14.5" spans="1:51">
      <c r="A1203" s="91"/>
      <c r="B1203" s="95"/>
      <c r="C1203" s="152" t="s">
        <v>1085</v>
      </c>
      <c r="D1203" s="153" t="s">
        <v>25</v>
      </c>
      <c r="E1203" s="130" t="s">
        <v>1086</v>
      </c>
      <c r="F1203" s="195" t="s">
        <v>1233</v>
      </c>
      <c r="G1203" s="195" t="s">
        <v>1233</v>
      </c>
      <c r="H1203" s="195" t="s">
        <v>1233</v>
      </c>
      <c r="I1203" s="195" t="s">
        <v>1233</v>
      </c>
      <c r="J1203" s="132">
        <v>0.9</v>
      </c>
      <c r="K1203" s="133">
        <v>0.984126984126984</v>
      </c>
      <c r="L1203" s="133">
        <v>0.983333333333333</v>
      </c>
      <c r="M1203" s="134">
        <v>0.985507246376812</v>
      </c>
      <c r="N1203" s="133">
        <v>0.983406113537118</v>
      </c>
      <c r="O1203" s="135">
        <v>0.9</v>
      </c>
      <c r="P1203" s="133">
        <v>0.980163360560093</v>
      </c>
      <c r="Q1203" s="133">
        <v>0.966982221196029</v>
      </c>
      <c r="R1203" s="133">
        <v>0.982555156490508</v>
      </c>
      <c r="S1203" s="133">
        <v>0.981224675376777</v>
      </c>
      <c r="T1203" s="135">
        <v>0.9</v>
      </c>
      <c r="U1203" s="133">
        <v>0.942357059509918</v>
      </c>
      <c r="V1203" s="133">
        <v>0.933502655275918</v>
      </c>
      <c r="W1203" s="133">
        <v>0.953822473063109</v>
      </c>
      <c r="X1203" s="133">
        <v>0.950480749943166</v>
      </c>
      <c r="Y1203" s="135">
        <v>0.92</v>
      </c>
      <c r="Z1203" s="135">
        <v>0.94150417827298</v>
      </c>
      <c r="AA1203" s="135">
        <v>0.941587967820916</v>
      </c>
      <c r="AB1203" s="135">
        <v>0.961327982488143</v>
      </c>
      <c r="AC1203" s="135">
        <v>0.964765818991352</v>
      </c>
      <c r="AD1203" s="135">
        <v>0.92</v>
      </c>
      <c r="AE1203" s="133">
        <v>0.990248844424745</v>
      </c>
      <c r="AF1203" s="133">
        <v>0.993640699523052</v>
      </c>
      <c r="AG1203" s="133">
        <v>0.979406380753138</v>
      </c>
      <c r="AH1203" s="133">
        <v>0.962953758213082</v>
      </c>
      <c r="AI1203" s="135">
        <v>0.92</v>
      </c>
      <c r="AJ1203" s="133">
        <v>0.969935325991959</v>
      </c>
      <c r="AK1203" s="133">
        <v>0.966073414905451</v>
      </c>
      <c r="AL1203" s="133">
        <v>0.979223125564589</v>
      </c>
      <c r="AM1203" s="133">
        <v>0.979894824336891</v>
      </c>
      <c r="AN1203" s="132">
        <v>0.99</v>
      </c>
      <c r="AO1203" s="137">
        <v>1</v>
      </c>
      <c r="AP1203" s="137">
        <v>1</v>
      </c>
      <c r="AQ1203" s="137">
        <v>1</v>
      </c>
      <c r="AR1203" s="137">
        <v>1</v>
      </c>
      <c r="AS1203" s="158">
        <v>0.0721861525408278</v>
      </c>
      <c r="AT1203" s="141">
        <v>0</v>
      </c>
      <c r="AU1203" s="141">
        <v>0.0526315789473684</v>
      </c>
      <c r="AV1203" s="141">
        <v>0.0227272727272727</v>
      </c>
      <c r="AW1203" s="141">
        <v>0.037953795379538</v>
      </c>
      <c r="AX1203" s="95"/>
      <c r="AY1203" s="93"/>
    </row>
    <row r="1204" ht="14.5" spans="1:51">
      <c r="A1204" s="91"/>
      <c r="B1204" s="95"/>
      <c r="C1204" s="152" t="s">
        <v>1085</v>
      </c>
      <c r="D1204" s="153" t="s">
        <v>25</v>
      </c>
      <c r="E1204" s="130" t="s">
        <v>1086</v>
      </c>
      <c r="F1204" s="195" t="s">
        <v>1234</v>
      </c>
      <c r="G1204" s="195" t="s">
        <v>1234</v>
      </c>
      <c r="H1204" s="195" t="s">
        <v>1234</v>
      </c>
      <c r="I1204" s="195" t="s">
        <v>1234</v>
      </c>
      <c r="J1204" s="132">
        <v>0.9</v>
      </c>
      <c r="K1204" s="133">
        <v>1</v>
      </c>
      <c r="L1204" s="133">
        <v>1</v>
      </c>
      <c r="M1204" s="134">
        <v>1</v>
      </c>
      <c r="N1204" s="133">
        <v>0.989224137931034</v>
      </c>
      <c r="O1204" s="135">
        <v>0.9</v>
      </c>
      <c r="P1204" s="133">
        <v>0.991853360488798</v>
      </c>
      <c r="Q1204" s="133">
        <v>0.966819221967963</v>
      </c>
      <c r="R1204" s="133">
        <v>0.99157134256472</v>
      </c>
      <c r="S1204" s="133">
        <v>0.989341209708488</v>
      </c>
      <c r="T1204" s="135">
        <v>0.9</v>
      </c>
      <c r="U1204" s="133">
        <v>0.966904276985743</v>
      </c>
      <c r="V1204" s="133">
        <v>0.955377574370709</v>
      </c>
      <c r="W1204" s="133">
        <v>0.968091511137869</v>
      </c>
      <c r="X1204" s="133">
        <v>0.964909464492102</v>
      </c>
      <c r="Y1204" s="135">
        <v>0.92</v>
      </c>
      <c r="Z1204" s="135">
        <v>0.975308641975309</v>
      </c>
      <c r="AA1204" s="135">
        <v>0.974882260596546</v>
      </c>
      <c r="AB1204" s="135">
        <v>0.975243147656941</v>
      </c>
      <c r="AC1204" s="135">
        <v>0.977188106350621</v>
      </c>
      <c r="AD1204" s="135">
        <v>0.92</v>
      </c>
      <c r="AE1204" s="133">
        <v>0.994684278350515</v>
      </c>
      <c r="AF1204" s="133">
        <v>0.998662704309064</v>
      </c>
      <c r="AG1204" s="133">
        <v>0.993688161037189</v>
      </c>
      <c r="AH1204" s="133">
        <v>0.946885599753315</v>
      </c>
      <c r="AI1204" s="135">
        <v>0.92</v>
      </c>
      <c r="AJ1204" s="133">
        <v>0.985068912710567</v>
      </c>
      <c r="AK1204" s="133">
        <v>0.98312934171353</v>
      </c>
      <c r="AL1204" s="133">
        <v>0.986389684813754</v>
      </c>
      <c r="AM1204" s="133">
        <v>0.987056949422541</v>
      </c>
      <c r="AN1204" s="132">
        <v>0.99</v>
      </c>
      <c r="AO1204" s="137">
        <v>1</v>
      </c>
      <c r="AP1204" s="137">
        <v>1</v>
      </c>
      <c r="AQ1204" s="137">
        <v>1</v>
      </c>
      <c r="AR1204" s="137">
        <v>0.996951219512195</v>
      </c>
      <c r="AS1204" s="158">
        <v>0.0721861525408278</v>
      </c>
      <c r="AT1204" s="141">
        <v>0</v>
      </c>
      <c r="AU1204" s="141">
        <v>0.0666666666666667</v>
      </c>
      <c r="AV1204" s="141">
        <v>0</v>
      </c>
      <c r="AW1204" s="141">
        <v>0.0412844036697248</v>
      </c>
      <c r="AX1204" s="95"/>
      <c r="AY1204" s="93"/>
    </row>
    <row r="1205" ht="14.5" spans="1:51">
      <c r="A1205" s="91"/>
      <c r="B1205" s="95"/>
      <c r="C1205" s="152" t="s">
        <v>1085</v>
      </c>
      <c r="D1205" s="153" t="s">
        <v>25</v>
      </c>
      <c r="E1205" s="130" t="s">
        <v>1086</v>
      </c>
      <c r="F1205" s="195" t="s">
        <v>1235</v>
      </c>
      <c r="G1205" s="195" t="s">
        <v>1235</v>
      </c>
      <c r="H1205" s="195" t="s">
        <v>1235</v>
      </c>
      <c r="I1205" s="195" t="s">
        <v>1235</v>
      </c>
      <c r="J1205" s="132">
        <v>0.9</v>
      </c>
      <c r="K1205" s="133">
        <v>0.967741935483871</v>
      </c>
      <c r="L1205" s="133">
        <v>1</v>
      </c>
      <c r="M1205" s="134">
        <v>1</v>
      </c>
      <c r="N1205" s="133">
        <v>0.984873949579832</v>
      </c>
      <c r="O1205" s="135">
        <v>0.9</v>
      </c>
      <c r="P1205" s="133">
        <v>0.98324802233597</v>
      </c>
      <c r="Q1205" s="133">
        <v>0.990300678952473</v>
      </c>
      <c r="R1205" s="133">
        <v>0.990707279297883</v>
      </c>
      <c r="S1205" s="133">
        <v>0.990787767451913</v>
      </c>
      <c r="T1205" s="135">
        <v>0.9</v>
      </c>
      <c r="U1205" s="133">
        <v>0.941833410888785</v>
      </c>
      <c r="V1205" s="133">
        <v>0.950048496605238</v>
      </c>
      <c r="W1205" s="133">
        <v>0.948890036138358</v>
      </c>
      <c r="X1205" s="133">
        <v>0.951858655716447</v>
      </c>
      <c r="Y1205" s="135">
        <v>0.92</v>
      </c>
      <c r="Z1205" s="135">
        <v>0.960505529225908</v>
      </c>
      <c r="AA1205" s="135">
        <v>0.95827633378933</v>
      </c>
      <c r="AB1205" s="135">
        <v>0.970247933884298</v>
      </c>
      <c r="AC1205" s="135">
        <v>0.969565020184152</v>
      </c>
      <c r="AD1205" s="135">
        <v>0.92</v>
      </c>
      <c r="AE1205" s="133">
        <v>1</v>
      </c>
      <c r="AF1205" s="133">
        <v>0.997244732576985</v>
      </c>
      <c r="AG1205" s="133">
        <v>0.998927531791022</v>
      </c>
      <c r="AH1205" s="133">
        <v>0.997692307692308</v>
      </c>
      <c r="AI1205" s="135">
        <v>0.92</v>
      </c>
      <c r="AJ1205" s="133">
        <v>0.978792235801582</v>
      </c>
      <c r="AK1205" s="133">
        <v>0.977014755959137</v>
      </c>
      <c r="AL1205" s="133">
        <v>0.982205274864951</v>
      </c>
      <c r="AM1205" s="133">
        <v>0.983189720844408</v>
      </c>
      <c r="AN1205" s="132">
        <v>0.99</v>
      </c>
      <c r="AO1205" s="137">
        <v>1</v>
      </c>
      <c r="AP1205" s="137">
        <v>1</v>
      </c>
      <c r="AQ1205" s="137">
        <v>1</v>
      </c>
      <c r="AR1205" s="137">
        <v>1</v>
      </c>
      <c r="AS1205" s="158">
        <v>0.0721861525408278</v>
      </c>
      <c r="AT1205" s="141">
        <v>0</v>
      </c>
      <c r="AU1205" s="141">
        <v>0.0769230769230769</v>
      </c>
      <c r="AV1205" s="141">
        <v>0.0666666666666667</v>
      </c>
      <c r="AW1205" s="141">
        <v>0.0386740331491713</v>
      </c>
      <c r="AX1205" s="95"/>
      <c r="AY1205" s="93"/>
    </row>
    <row r="1206" ht="14.5" spans="1:51">
      <c r="A1206" s="91"/>
      <c r="B1206" s="95"/>
      <c r="C1206" s="152" t="s">
        <v>1085</v>
      </c>
      <c r="D1206" s="153" t="s">
        <v>25</v>
      </c>
      <c r="E1206" s="130" t="s">
        <v>1086</v>
      </c>
      <c r="F1206" s="195" t="s">
        <v>1236</v>
      </c>
      <c r="G1206" s="195" t="s">
        <v>1236</v>
      </c>
      <c r="H1206" s="195" t="s">
        <v>1236</v>
      </c>
      <c r="I1206" s="195" t="s">
        <v>1236</v>
      </c>
      <c r="J1206" s="132">
        <v>0.9</v>
      </c>
      <c r="K1206" s="133">
        <v>1</v>
      </c>
      <c r="L1206" s="133">
        <v>0.967741935483871</v>
      </c>
      <c r="M1206" s="134">
        <v>0.974358974358974</v>
      </c>
      <c r="N1206" s="133">
        <v>0.984567901234568</v>
      </c>
      <c r="O1206" s="135">
        <v>0.9</v>
      </c>
      <c r="P1206" s="133">
        <v>0.979364424267437</v>
      </c>
      <c r="Q1206" s="133">
        <v>0.98689561680976</v>
      </c>
      <c r="R1206" s="133">
        <v>0.988695242581253</v>
      </c>
      <c r="S1206" s="133">
        <v>0.986506782945736</v>
      </c>
      <c r="T1206" s="135">
        <v>0.9</v>
      </c>
      <c r="U1206" s="133">
        <v>0.952125464300454</v>
      </c>
      <c r="V1206" s="133">
        <v>0.951197469498418</v>
      </c>
      <c r="W1206" s="133">
        <v>0.95666509656147</v>
      </c>
      <c r="X1206" s="133">
        <v>0.951937984496124</v>
      </c>
      <c r="Y1206" s="135">
        <v>0.92</v>
      </c>
      <c r="Z1206" s="135">
        <v>0.950953678474114</v>
      </c>
      <c r="AA1206" s="135">
        <v>0.952731737262124</v>
      </c>
      <c r="AB1206" s="135">
        <v>0.972382787411689</v>
      </c>
      <c r="AC1206" s="135">
        <v>0.972311302307391</v>
      </c>
      <c r="AD1206" s="135">
        <v>0.92</v>
      </c>
      <c r="AE1206" s="133">
        <v>1</v>
      </c>
      <c r="AF1206" s="133">
        <v>0.997668544783369</v>
      </c>
      <c r="AG1206" s="133">
        <v>0.994178014604302</v>
      </c>
      <c r="AH1206" s="133">
        <v>0.976740259983868</v>
      </c>
      <c r="AI1206" s="135">
        <v>0.92</v>
      </c>
      <c r="AJ1206" s="133">
        <v>0.976884103863205</v>
      </c>
      <c r="AK1206" s="133">
        <v>0.973458235753318</v>
      </c>
      <c r="AL1206" s="133">
        <v>0.985054347826087</v>
      </c>
      <c r="AM1206" s="133">
        <v>0.98459467544122</v>
      </c>
      <c r="AN1206" s="132">
        <v>0.99</v>
      </c>
      <c r="AO1206" s="137">
        <v>1</v>
      </c>
      <c r="AP1206" s="137">
        <v>1</v>
      </c>
      <c r="AQ1206" s="137">
        <v>1</v>
      </c>
      <c r="AR1206" s="137">
        <v>1</v>
      </c>
      <c r="AS1206" s="158">
        <v>0.0721861525408278</v>
      </c>
      <c r="AT1206" s="141">
        <v>0.125</v>
      </c>
      <c r="AU1206" s="141">
        <v>0</v>
      </c>
      <c r="AV1206" s="141">
        <v>0.0666666666666667</v>
      </c>
      <c r="AW1206" s="141">
        <v>0.0391061452513966</v>
      </c>
      <c r="AX1206" s="95"/>
      <c r="AY1206" s="93"/>
    </row>
    <row r="1207" ht="14.5" spans="1:51">
      <c r="A1207" s="91"/>
      <c r="B1207" s="95"/>
      <c r="C1207" s="152" t="s">
        <v>1085</v>
      </c>
      <c r="D1207" s="153" t="s">
        <v>25</v>
      </c>
      <c r="E1207" s="130" t="s">
        <v>1086</v>
      </c>
      <c r="F1207" s="195" t="s">
        <v>1237</v>
      </c>
      <c r="G1207" s="195" t="s">
        <v>1237</v>
      </c>
      <c r="H1207" s="195" t="s">
        <v>1237</v>
      </c>
      <c r="I1207" s="195" t="s">
        <v>1237</v>
      </c>
      <c r="J1207" s="132">
        <v>0.9</v>
      </c>
      <c r="K1207" s="133">
        <v>0.88</v>
      </c>
      <c r="L1207" s="133">
        <v>0.956521739130435</v>
      </c>
      <c r="M1207" s="134">
        <v>0.961538461538462</v>
      </c>
      <c r="N1207" s="133">
        <v>0.936619718309859</v>
      </c>
      <c r="O1207" s="135">
        <v>0.9</v>
      </c>
      <c r="P1207" s="133">
        <v>0.988006853226728</v>
      </c>
      <c r="Q1207" s="133">
        <v>0.996113989637306</v>
      </c>
      <c r="R1207" s="133">
        <v>0.985064494229464</v>
      </c>
      <c r="S1207" s="133">
        <v>0.986241830065359</v>
      </c>
      <c r="T1207" s="135">
        <v>0.9</v>
      </c>
      <c r="U1207" s="133">
        <v>0.933181039406054</v>
      </c>
      <c r="V1207" s="133">
        <v>0.92940414507772</v>
      </c>
      <c r="W1207" s="133">
        <v>0.945689069925322</v>
      </c>
      <c r="X1207" s="133">
        <v>0.943790849673203</v>
      </c>
      <c r="Y1207" s="135">
        <v>0.92</v>
      </c>
      <c r="Z1207" s="135">
        <v>0.936605316973415</v>
      </c>
      <c r="AA1207" s="135">
        <v>0.947513812154696</v>
      </c>
      <c r="AB1207" s="135">
        <v>0.968688845401174</v>
      </c>
      <c r="AC1207" s="135">
        <v>0.956958643122677</v>
      </c>
      <c r="AD1207" s="135">
        <v>0.92</v>
      </c>
      <c r="AE1207" s="133">
        <v>0.998538011695906</v>
      </c>
      <c r="AF1207" s="133">
        <v>0.0105861595765536</v>
      </c>
      <c r="AG1207" s="133">
        <v>0.997345132743363</v>
      </c>
      <c r="AH1207" s="133">
        <v>0.934769882294326</v>
      </c>
      <c r="AI1207" s="135">
        <v>0.92</v>
      </c>
      <c r="AJ1207" s="133">
        <v>0.965625</v>
      </c>
      <c r="AK1207" s="133">
        <v>0.962737642585551</v>
      </c>
      <c r="AL1207" s="133">
        <v>0.980761523046092</v>
      </c>
      <c r="AM1207" s="133">
        <v>0.973565886609365</v>
      </c>
      <c r="AN1207" s="132">
        <v>0.99</v>
      </c>
      <c r="AO1207" s="137">
        <v>1</v>
      </c>
      <c r="AP1207" s="137">
        <v>1</v>
      </c>
      <c r="AQ1207" s="137">
        <v>1</v>
      </c>
      <c r="AR1207" s="137">
        <v>1</v>
      </c>
      <c r="AS1207" s="158">
        <v>0.0721861525408278</v>
      </c>
      <c r="AT1207" s="141">
        <v>0.0769230769230769</v>
      </c>
      <c r="AU1207" s="141">
        <v>0</v>
      </c>
      <c r="AV1207" s="141">
        <v>0.1</v>
      </c>
      <c r="AW1207" s="141">
        <v>0.0494505494505494</v>
      </c>
      <c r="AX1207" s="95"/>
      <c r="AY1207" s="93"/>
    </row>
    <row r="1208" ht="14.5" spans="1:51">
      <c r="A1208" s="91"/>
      <c r="B1208" s="95"/>
      <c r="C1208" s="152" t="s">
        <v>1085</v>
      </c>
      <c r="D1208" s="153" t="s">
        <v>25</v>
      </c>
      <c r="E1208" s="130" t="s">
        <v>1086</v>
      </c>
      <c r="F1208" s="195" t="s">
        <v>1238</v>
      </c>
      <c r="G1208" s="195" t="s">
        <v>1238</v>
      </c>
      <c r="H1208" s="195" t="s">
        <v>1238</v>
      </c>
      <c r="I1208" s="195" t="s">
        <v>1238</v>
      </c>
      <c r="J1208" s="132">
        <v>0.9</v>
      </c>
      <c r="K1208" s="133">
        <v>0.877551020408163</v>
      </c>
      <c r="L1208" s="133">
        <v>0.888888888888889</v>
      </c>
      <c r="M1208" s="134">
        <v>0.862745098039216</v>
      </c>
      <c r="N1208" s="133">
        <v>0.908433734939759</v>
      </c>
      <c r="O1208" s="135">
        <v>0.9</v>
      </c>
      <c r="P1208" s="133">
        <v>0.917140825035562</v>
      </c>
      <c r="Q1208" s="133">
        <v>0.939831104855735</v>
      </c>
      <c r="R1208" s="133">
        <v>0.935695032730073</v>
      </c>
      <c r="S1208" s="133">
        <v>0.926863999696216</v>
      </c>
      <c r="T1208" s="135">
        <v>0.9</v>
      </c>
      <c r="U1208" s="133">
        <v>0.927453769559033</v>
      </c>
      <c r="V1208" s="133">
        <v>0.927515833919775</v>
      </c>
      <c r="W1208" s="133">
        <v>0.933769734308818</v>
      </c>
      <c r="X1208" s="133">
        <v>0.923750213598132</v>
      </c>
      <c r="Y1208" s="135">
        <v>0.92</v>
      </c>
      <c r="Z1208" s="135">
        <v>0.935272045028143</v>
      </c>
      <c r="AA1208" s="135">
        <v>0.950598023920957</v>
      </c>
      <c r="AB1208" s="135">
        <v>0.953488372093023</v>
      </c>
      <c r="AC1208" s="135">
        <v>0.957905170989592</v>
      </c>
      <c r="AD1208" s="135">
        <v>0.92</v>
      </c>
      <c r="AE1208" s="133">
        <v>0.998716302952503</v>
      </c>
      <c r="AF1208" s="133">
        <v>0.999412455934195</v>
      </c>
      <c r="AG1208" s="133">
        <v>0.995282383070495</v>
      </c>
      <c r="AH1208" s="133">
        <v>0.995022152454327</v>
      </c>
      <c r="AI1208" s="135">
        <v>0.92</v>
      </c>
      <c r="AJ1208" s="133">
        <v>0.964175257731959</v>
      </c>
      <c r="AK1208" s="133">
        <v>0.971254720939992</v>
      </c>
      <c r="AL1208" s="133">
        <v>0.97465034965035</v>
      </c>
      <c r="AM1208" s="133">
        <v>0.975948497233173</v>
      </c>
      <c r="AN1208" s="132">
        <v>0.99</v>
      </c>
      <c r="AO1208" s="137">
        <v>1</v>
      </c>
      <c r="AP1208" s="137">
        <v>1</v>
      </c>
      <c r="AQ1208" s="137">
        <v>1</v>
      </c>
      <c r="AR1208" s="137">
        <v>1</v>
      </c>
      <c r="AS1208" s="158">
        <v>0.0721861525408278</v>
      </c>
      <c r="AT1208" s="141">
        <v>0.0526315789473684</v>
      </c>
      <c r="AU1208" s="141">
        <v>0.05</v>
      </c>
      <c r="AV1208" s="141">
        <v>0.0555555555555556</v>
      </c>
      <c r="AW1208" s="141">
        <v>0.0530973451327434</v>
      </c>
      <c r="AX1208" s="95"/>
      <c r="AY1208" s="93"/>
    </row>
    <row r="1209" ht="14.5" spans="1:51">
      <c r="A1209" s="91"/>
      <c r="B1209" s="95"/>
      <c r="C1209" s="152" t="s">
        <v>1085</v>
      </c>
      <c r="D1209" s="153" t="s">
        <v>25</v>
      </c>
      <c r="E1209" s="130" t="s">
        <v>1086</v>
      </c>
      <c r="F1209" s="195" t="s">
        <v>1239</v>
      </c>
      <c r="G1209" s="195" t="s">
        <v>1239</v>
      </c>
      <c r="H1209" s="195" t="s">
        <v>1239</v>
      </c>
      <c r="I1209" s="195" t="s">
        <v>1239</v>
      </c>
      <c r="J1209" s="132">
        <v>0.9</v>
      </c>
      <c r="K1209" s="133">
        <v>0.939393939393939</v>
      </c>
      <c r="L1209" s="133">
        <v>1</v>
      </c>
      <c r="M1209" s="134">
        <v>1</v>
      </c>
      <c r="N1209" s="133">
        <v>0.990415335463259</v>
      </c>
      <c r="O1209" s="135">
        <v>0.9</v>
      </c>
      <c r="P1209" s="133">
        <v>0.934272300469484</v>
      </c>
      <c r="Q1209" s="133">
        <v>0.920848422141749</v>
      </c>
      <c r="R1209" s="133">
        <v>0.989702517162471</v>
      </c>
      <c r="S1209" s="133">
        <v>0.978142818354602</v>
      </c>
      <c r="T1209" s="135">
        <v>0.9</v>
      </c>
      <c r="U1209" s="133">
        <v>0.956181533646322</v>
      </c>
      <c r="V1209" s="133">
        <v>0.91050181065701</v>
      </c>
      <c r="W1209" s="133">
        <v>0.959382151029748</v>
      </c>
      <c r="X1209" s="133">
        <v>0.957045886505566</v>
      </c>
      <c r="Y1209" s="135">
        <v>0.92</v>
      </c>
      <c r="Z1209" s="135">
        <v>0.977611940298508</v>
      </c>
      <c r="AA1209" s="135">
        <v>0.970126960418223</v>
      </c>
      <c r="AB1209" s="135">
        <v>0.971299093655589</v>
      </c>
      <c r="AC1209" s="135">
        <v>0.977939403680784</v>
      </c>
      <c r="AD1209" s="135">
        <v>0.92</v>
      </c>
      <c r="AE1209" s="133">
        <v>1</v>
      </c>
      <c r="AF1209" s="133">
        <v>0.995893223819302</v>
      </c>
      <c r="AG1209" s="133">
        <v>0.998938428874735</v>
      </c>
      <c r="AH1209" s="133">
        <v>0.993590976094341</v>
      </c>
      <c r="AI1209" s="135">
        <v>0.92</v>
      </c>
      <c r="AJ1209" s="133">
        <v>0.977966756861229</v>
      </c>
      <c r="AK1209" s="133">
        <v>0.977689486552567</v>
      </c>
      <c r="AL1209" s="133">
        <v>0.982747395833333</v>
      </c>
      <c r="AM1209" s="133">
        <v>0.986276288927055</v>
      </c>
      <c r="AN1209" s="132">
        <v>0.99</v>
      </c>
      <c r="AO1209" s="137">
        <v>1</v>
      </c>
      <c r="AP1209" s="137">
        <v>1</v>
      </c>
      <c r="AQ1209" s="137">
        <v>1</v>
      </c>
      <c r="AR1209" s="137">
        <v>1</v>
      </c>
      <c r="AS1209" s="158">
        <v>0.0721861525408278</v>
      </c>
      <c r="AT1209" s="141">
        <v>0</v>
      </c>
      <c r="AU1209" s="141">
        <v>0</v>
      </c>
      <c r="AV1209" s="141">
        <v>0</v>
      </c>
      <c r="AW1209" s="141">
        <v>0.0408163265306122</v>
      </c>
      <c r="AX1209" s="95"/>
      <c r="AY1209" s="93"/>
    </row>
    <row r="1210" ht="14.5" spans="1:51">
      <c r="A1210" s="91"/>
      <c r="B1210" s="95"/>
      <c r="C1210" s="152" t="s">
        <v>1085</v>
      </c>
      <c r="D1210" s="153" t="s">
        <v>25</v>
      </c>
      <c r="E1210" s="130" t="s">
        <v>1086</v>
      </c>
      <c r="F1210" s="195" t="s">
        <v>1240</v>
      </c>
      <c r="G1210" s="195" t="s">
        <v>1240</v>
      </c>
      <c r="H1210" s="195" t="s">
        <v>1240</v>
      </c>
      <c r="I1210" s="195" t="s">
        <v>1240</v>
      </c>
      <c r="J1210" s="132">
        <v>0.9</v>
      </c>
      <c r="K1210" s="133">
        <v>1</v>
      </c>
      <c r="L1210" s="133">
        <v>0.96875</v>
      </c>
      <c r="M1210" s="134">
        <v>1</v>
      </c>
      <c r="N1210" s="133">
        <v>0.987410071942446</v>
      </c>
      <c r="O1210" s="135">
        <v>0.9</v>
      </c>
      <c r="P1210" s="133">
        <v>0.917871900826446</v>
      </c>
      <c r="Q1210" s="133">
        <v>0.954845814977974</v>
      </c>
      <c r="R1210" s="133">
        <v>0.943314849044978</v>
      </c>
      <c r="S1210" s="133">
        <v>0.95156380565835</v>
      </c>
      <c r="T1210" s="135">
        <v>0.9</v>
      </c>
      <c r="U1210" s="133">
        <v>0.949380165289256</v>
      </c>
      <c r="V1210" s="133">
        <v>0.929515418502203</v>
      </c>
      <c r="W1210" s="133">
        <v>0.953789279112754</v>
      </c>
      <c r="X1210" s="133">
        <v>0.943625402888862</v>
      </c>
      <c r="Y1210" s="135">
        <v>0.92</v>
      </c>
      <c r="Z1210" s="135">
        <v>0.952727272727273</v>
      </c>
      <c r="AA1210" s="135">
        <v>0.961752433936022</v>
      </c>
      <c r="AB1210" s="135">
        <v>0.973035439137134</v>
      </c>
      <c r="AC1210" s="135">
        <v>0.970321017565112</v>
      </c>
      <c r="AD1210" s="135">
        <v>0.92</v>
      </c>
      <c r="AE1210" s="133">
        <v>0.981818181818182</v>
      </c>
      <c r="AF1210" s="133">
        <v>0.998700032499187</v>
      </c>
      <c r="AG1210" s="133">
        <v>0.998729351969504</v>
      </c>
      <c r="AH1210" s="133">
        <v>0.994462129631374</v>
      </c>
      <c r="AI1210" s="135">
        <v>0.92</v>
      </c>
      <c r="AJ1210" s="133">
        <v>0.969428801287208</v>
      </c>
      <c r="AK1210" s="133">
        <v>0.973263675476337</v>
      </c>
      <c r="AL1210" s="133">
        <v>0.983224922971585</v>
      </c>
      <c r="AM1210" s="133">
        <v>0.982263697882558</v>
      </c>
      <c r="AN1210" s="132">
        <v>0.99</v>
      </c>
      <c r="AO1210" s="137">
        <v>1</v>
      </c>
      <c r="AP1210" s="137">
        <v>1</v>
      </c>
      <c r="AQ1210" s="137">
        <v>1</v>
      </c>
      <c r="AR1210" s="137">
        <v>1</v>
      </c>
      <c r="AS1210" s="158">
        <v>0.0721861525408278</v>
      </c>
      <c r="AT1210" s="141">
        <v>0</v>
      </c>
      <c r="AU1210" s="141">
        <v>0</v>
      </c>
      <c r="AV1210" s="141">
        <v>0</v>
      </c>
      <c r="AW1210" s="141">
        <v>0.0257731958762887</v>
      </c>
      <c r="AX1210" s="95"/>
      <c r="AY1210" s="93"/>
    </row>
    <row r="1211" ht="14.5" spans="1:51">
      <c r="A1211" s="91"/>
      <c r="B1211" s="95"/>
      <c r="C1211" s="152" t="s">
        <v>1085</v>
      </c>
      <c r="D1211" s="153" t="s">
        <v>25</v>
      </c>
      <c r="E1211" s="130" t="s">
        <v>1086</v>
      </c>
      <c r="F1211" s="195" t="s">
        <v>1241</v>
      </c>
      <c r="G1211" s="195" t="s">
        <v>1241</v>
      </c>
      <c r="H1211" s="195" t="s">
        <v>1241</v>
      </c>
      <c r="I1211" s="195" t="s">
        <v>1241</v>
      </c>
      <c r="J1211" s="132">
        <v>0.9</v>
      </c>
      <c r="K1211" s="133">
        <v>0.945454545454545</v>
      </c>
      <c r="L1211" s="133">
        <v>0.941176470588235</v>
      </c>
      <c r="M1211" s="134">
        <v>0.982456140350877</v>
      </c>
      <c r="N1211" s="133">
        <v>0.965005302226935</v>
      </c>
      <c r="O1211" s="135">
        <v>0.9</v>
      </c>
      <c r="P1211" s="133">
        <v>0.9877141933398</v>
      </c>
      <c r="Q1211" s="133">
        <v>0.983992467043315</v>
      </c>
      <c r="R1211" s="133">
        <v>0.986735445836404</v>
      </c>
      <c r="S1211" s="133">
        <v>0.978892807523779</v>
      </c>
      <c r="T1211" s="135">
        <v>0.9</v>
      </c>
      <c r="U1211" s="133">
        <v>0.942127384416424</v>
      </c>
      <c r="V1211" s="133">
        <v>0.943816698053986</v>
      </c>
      <c r="W1211" s="133">
        <v>0.948047162859248</v>
      </c>
      <c r="X1211" s="133">
        <v>0.938441808271882</v>
      </c>
      <c r="Y1211" s="135">
        <v>0.92</v>
      </c>
      <c r="Z1211" s="135">
        <v>0.917760279965004</v>
      </c>
      <c r="AA1211" s="135">
        <v>0.950570342205323</v>
      </c>
      <c r="AB1211" s="135">
        <v>0.966213045518536</v>
      </c>
      <c r="AC1211" s="135">
        <v>0.949352335037482</v>
      </c>
      <c r="AD1211" s="135">
        <v>0.92</v>
      </c>
      <c r="AE1211" s="133">
        <v>1</v>
      </c>
      <c r="AF1211" s="133">
        <v>0.988454706927176</v>
      </c>
      <c r="AG1211" s="133">
        <v>0.99607535321821</v>
      </c>
      <c r="AH1211" s="133">
        <v>0.991934598924613</v>
      </c>
      <c r="AI1211" s="135">
        <v>0.92</v>
      </c>
      <c r="AJ1211" s="133">
        <v>0.961756373937677</v>
      </c>
      <c r="AK1211" s="133">
        <v>0.969031328772056</v>
      </c>
      <c r="AL1211" s="133">
        <v>0.980396203054065</v>
      </c>
      <c r="AM1211" s="133">
        <v>0.972778683025017</v>
      </c>
      <c r="AN1211" s="132">
        <v>0.99</v>
      </c>
      <c r="AO1211" s="137">
        <v>1</v>
      </c>
      <c r="AP1211" s="137">
        <v>1</v>
      </c>
      <c r="AQ1211" s="137">
        <v>1</v>
      </c>
      <c r="AR1211" s="137">
        <v>1</v>
      </c>
      <c r="AS1211" s="158">
        <v>0.0721861525408278</v>
      </c>
      <c r="AT1211" s="141">
        <v>0</v>
      </c>
      <c r="AU1211" s="141">
        <v>0</v>
      </c>
      <c r="AV1211" s="141">
        <v>0</v>
      </c>
      <c r="AW1211" s="141">
        <v>0.026615969581749</v>
      </c>
      <c r="AX1211" s="95"/>
      <c r="AY1211" s="93"/>
    </row>
    <row r="1212" ht="14.5" spans="1:51">
      <c r="A1212" s="91"/>
      <c r="B1212" s="95"/>
      <c r="C1212" s="152" t="s">
        <v>1085</v>
      </c>
      <c r="D1212" s="153" t="s">
        <v>25</v>
      </c>
      <c r="E1212" s="130" t="s">
        <v>1086</v>
      </c>
      <c r="F1212" s="195" t="s">
        <v>1242</v>
      </c>
      <c r="G1212" s="195" t="s">
        <v>1242</v>
      </c>
      <c r="H1212" s="195" t="s">
        <v>1242</v>
      </c>
      <c r="I1212" s="195" t="s">
        <v>1242</v>
      </c>
      <c r="J1212" s="132">
        <v>0.9</v>
      </c>
      <c r="K1212" s="133">
        <v>0.833333333333333</v>
      </c>
      <c r="L1212" s="133">
        <v>0.785714285714286</v>
      </c>
      <c r="M1212" s="134">
        <v>0.870967741935484</v>
      </c>
      <c r="N1212" s="133">
        <v>0.898032200357782</v>
      </c>
      <c r="O1212" s="135">
        <v>0.9</v>
      </c>
      <c r="P1212" s="133">
        <v>0.921163575042159</v>
      </c>
      <c r="Q1212" s="133">
        <v>0.869711718457506</v>
      </c>
      <c r="R1212" s="133">
        <v>0.912625096227868</v>
      </c>
      <c r="S1212" s="133">
        <v>0.915109635577517</v>
      </c>
      <c r="T1212" s="135">
        <v>0.9</v>
      </c>
      <c r="U1212" s="133">
        <v>0.826306913996627</v>
      </c>
      <c r="V1212" s="133">
        <v>0.799700486709098</v>
      </c>
      <c r="W1212" s="133">
        <v>0.81986143187067</v>
      </c>
      <c r="X1212" s="133">
        <v>0.842263743051266</v>
      </c>
      <c r="Y1212" s="135">
        <v>0.92</v>
      </c>
      <c r="Z1212" s="135">
        <v>0.895408163265306</v>
      </c>
      <c r="AA1212" s="135">
        <v>0.886561954624782</v>
      </c>
      <c r="AB1212" s="135">
        <v>0.898638426626324</v>
      </c>
      <c r="AC1212" s="135">
        <v>0.927264282396656</v>
      </c>
      <c r="AD1212" s="135">
        <v>0.92</v>
      </c>
      <c r="AE1212" s="133">
        <v>1</v>
      </c>
      <c r="AF1212" s="133">
        <v>0.999377645008713</v>
      </c>
      <c r="AG1212" s="133">
        <v>0.999312714776632</v>
      </c>
      <c r="AH1212" s="133">
        <v>0.997087081453102</v>
      </c>
      <c r="AI1212" s="135">
        <v>0.92</v>
      </c>
      <c r="AJ1212" s="133">
        <v>0.922214182344428</v>
      </c>
      <c r="AK1212" s="133">
        <v>0.908166409861325</v>
      </c>
      <c r="AL1212" s="133">
        <v>0.942638036809816</v>
      </c>
      <c r="AM1212" s="133">
        <v>0.958035700017578</v>
      </c>
      <c r="AN1212" s="132">
        <v>0.99</v>
      </c>
      <c r="AO1212" s="137">
        <v>1</v>
      </c>
      <c r="AP1212" s="137">
        <v>1</v>
      </c>
      <c r="AQ1212" s="137">
        <v>1</v>
      </c>
      <c r="AR1212" s="137">
        <v>1</v>
      </c>
      <c r="AS1212" s="158">
        <v>0.0721861525408278</v>
      </c>
      <c r="AT1212" s="141">
        <v>0.04</v>
      </c>
      <c r="AU1212" s="141">
        <v>0</v>
      </c>
      <c r="AV1212" s="141">
        <v>0</v>
      </c>
      <c r="AW1212" s="141">
        <v>0.0511945392491468</v>
      </c>
      <c r="AX1212" s="95"/>
      <c r="AY1212" s="93"/>
    </row>
    <row r="1213" ht="14.5" spans="1:51">
      <c r="A1213" s="91"/>
      <c r="B1213" s="95"/>
      <c r="C1213" s="152" t="s">
        <v>1085</v>
      </c>
      <c r="D1213" s="153" t="s">
        <v>25</v>
      </c>
      <c r="E1213" s="130" t="s">
        <v>1086</v>
      </c>
      <c r="F1213" s="195" t="s">
        <v>1243</v>
      </c>
      <c r="G1213" s="195" t="s">
        <v>1243</v>
      </c>
      <c r="H1213" s="195" t="s">
        <v>1243</v>
      </c>
      <c r="I1213" s="195" t="s">
        <v>1243</v>
      </c>
      <c r="J1213" s="132">
        <v>0.9</v>
      </c>
      <c r="K1213" s="133">
        <v>0.934782608695652</v>
      </c>
      <c r="L1213" s="133">
        <v>0.934782608695652</v>
      </c>
      <c r="M1213" s="134">
        <v>0.903846153846154</v>
      </c>
      <c r="N1213" s="133">
        <v>0.873493975903614</v>
      </c>
      <c r="O1213" s="135">
        <v>0.9</v>
      </c>
      <c r="P1213" s="133">
        <v>0.94313120931826</v>
      </c>
      <c r="Q1213" s="133">
        <v>0.882611241217799</v>
      </c>
      <c r="R1213" s="133">
        <v>0.961752004935225</v>
      </c>
      <c r="S1213" s="133">
        <v>0.856656180464973</v>
      </c>
      <c r="T1213" s="135">
        <v>0.9</v>
      </c>
      <c r="U1213" s="133">
        <v>0.782459746488523</v>
      </c>
      <c r="V1213" s="133">
        <v>0.713992974238876</v>
      </c>
      <c r="W1213" s="133">
        <v>0.760024676125848</v>
      </c>
      <c r="X1213" s="133">
        <v>0.659019412261183</v>
      </c>
      <c r="Y1213" s="135">
        <v>0.92</v>
      </c>
      <c r="Z1213" s="135">
        <v>0.775898520084567</v>
      </c>
      <c r="AA1213" s="135">
        <v>0.652238805970149</v>
      </c>
      <c r="AB1213" s="135">
        <v>0.789719626168224</v>
      </c>
      <c r="AC1213" s="135">
        <v>0.665236358435243</v>
      </c>
      <c r="AD1213" s="135">
        <v>0.92</v>
      </c>
      <c r="AE1213" s="133">
        <v>1</v>
      </c>
      <c r="AF1213" s="133">
        <v>1</v>
      </c>
      <c r="AG1213" s="133">
        <v>1</v>
      </c>
      <c r="AH1213" s="133">
        <v>0.981611208406305</v>
      </c>
      <c r="AI1213" s="135">
        <v>0.92</v>
      </c>
      <c r="AJ1213" s="133">
        <v>0.892099056603774</v>
      </c>
      <c r="AK1213" s="133">
        <v>0.815392109108621</v>
      </c>
      <c r="AL1213" s="133">
        <v>0.894608441083191</v>
      </c>
      <c r="AM1213" s="133">
        <v>0.847873590077175</v>
      </c>
      <c r="AN1213" s="132">
        <v>0.99</v>
      </c>
      <c r="AO1213" s="137">
        <v>1</v>
      </c>
      <c r="AP1213" s="137">
        <v>1</v>
      </c>
      <c r="AQ1213" s="137">
        <v>1</v>
      </c>
      <c r="AR1213" s="137">
        <v>1</v>
      </c>
      <c r="AS1213" s="158">
        <v>0.0721861525408278</v>
      </c>
      <c r="AT1213" s="141">
        <v>0.03125</v>
      </c>
      <c r="AU1213" s="141">
        <v>0</v>
      </c>
      <c r="AV1213" s="141">
        <v>0.1</v>
      </c>
      <c r="AW1213" s="141">
        <v>0.0428571428571429</v>
      </c>
      <c r="AX1213" s="95"/>
      <c r="AY1213" s="93"/>
    </row>
    <row r="1214" ht="14.5" spans="1:51">
      <c r="A1214" s="91"/>
      <c r="B1214" s="95"/>
      <c r="C1214" s="152" t="s">
        <v>1085</v>
      </c>
      <c r="D1214" s="153" t="s">
        <v>25</v>
      </c>
      <c r="E1214" s="130" t="s">
        <v>1086</v>
      </c>
      <c r="F1214" s="195" t="s">
        <v>1244</v>
      </c>
      <c r="G1214" s="195" t="s">
        <v>1244</v>
      </c>
      <c r="H1214" s="195" t="s">
        <v>1244</v>
      </c>
      <c r="I1214" s="195" t="s">
        <v>1244</v>
      </c>
      <c r="J1214" s="132">
        <v>0.9</v>
      </c>
      <c r="K1214" s="133">
        <v>0.875</v>
      </c>
      <c r="L1214" s="133">
        <v>0.904761904761905</v>
      </c>
      <c r="M1214" s="134">
        <v>0.955555555555556</v>
      </c>
      <c r="N1214" s="133">
        <v>0.901726427622842</v>
      </c>
      <c r="O1214" s="135">
        <v>0.9</v>
      </c>
      <c r="P1214" s="133">
        <v>0.995641118779513</v>
      </c>
      <c r="Q1214" s="133">
        <v>0.983850129198966</v>
      </c>
      <c r="R1214" s="133">
        <v>0.995478036175711</v>
      </c>
      <c r="S1214" s="133">
        <v>0.983909580965099</v>
      </c>
      <c r="T1214" s="135">
        <v>0.9</v>
      </c>
      <c r="U1214" s="133">
        <v>0.886305848165638</v>
      </c>
      <c r="V1214" s="133">
        <v>0.882751937984496</v>
      </c>
      <c r="W1214" s="133">
        <v>0.935400516795866</v>
      </c>
      <c r="X1214" s="133">
        <v>0.899027734801231</v>
      </c>
      <c r="Y1214" s="135">
        <v>0.92</v>
      </c>
      <c r="Z1214" s="135">
        <v>0.859030837004405</v>
      </c>
      <c r="AA1214" s="135">
        <v>0.898355754857997</v>
      </c>
      <c r="AB1214" s="135">
        <v>0.928662420382166</v>
      </c>
      <c r="AC1214" s="135">
        <v>0.937083527041686</v>
      </c>
      <c r="AD1214" s="135">
        <v>0.92</v>
      </c>
      <c r="AE1214" s="133">
        <v>1</v>
      </c>
      <c r="AF1214" s="133">
        <v>0.99163179916318</v>
      </c>
      <c r="AG1214" s="133">
        <v>1</v>
      </c>
      <c r="AH1214" s="133">
        <v>0.999065202150035</v>
      </c>
      <c r="AI1214" s="135">
        <v>0.92</v>
      </c>
      <c r="AJ1214" s="133">
        <v>0.920174618023075</v>
      </c>
      <c r="AK1214" s="133">
        <v>0.924302788844621</v>
      </c>
      <c r="AL1214" s="133">
        <v>0.971914455037362</v>
      </c>
      <c r="AM1214" s="133">
        <v>0.96686852375185</v>
      </c>
      <c r="AN1214" s="132">
        <v>0.99</v>
      </c>
      <c r="AO1214" s="137">
        <v>1</v>
      </c>
      <c r="AP1214" s="137">
        <v>1</v>
      </c>
      <c r="AQ1214" s="137">
        <v>1</v>
      </c>
      <c r="AR1214" s="137">
        <v>1</v>
      </c>
      <c r="AS1214" s="158">
        <v>0.0721861525408278</v>
      </c>
      <c r="AT1214" s="141">
        <v>0.0434782608695652</v>
      </c>
      <c r="AU1214" s="141">
        <v>0</v>
      </c>
      <c r="AV1214" s="141">
        <v>0.133333333333333</v>
      </c>
      <c r="AW1214" s="141">
        <v>0.0393120393120393</v>
      </c>
      <c r="AX1214" s="95"/>
      <c r="AY1214" s="93"/>
    </row>
    <row r="1215" ht="14.5" spans="1:51">
      <c r="A1215" s="91"/>
      <c r="B1215" s="95"/>
      <c r="C1215" s="152" t="s">
        <v>1085</v>
      </c>
      <c r="D1215" s="153" t="s">
        <v>125</v>
      </c>
      <c r="E1215" s="130" t="s">
        <v>1086</v>
      </c>
      <c r="F1215" s="195" t="s">
        <v>1245</v>
      </c>
      <c r="G1215" s="195" t="s">
        <v>1245</v>
      </c>
      <c r="H1215" s="195" t="s">
        <v>1245</v>
      </c>
      <c r="I1215" s="195" t="s">
        <v>1245</v>
      </c>
      <c r="J1215" s="132">
        <v>0.9</v>
      </c>
      <c r="K1215" s="133" t="s">
        <v>35</v>
      </c>
      <c r="L1215" s="133" t="s">
        <v>35</v>
      </c>
      <c r="M1215" s="134" t="s">
        <v>35</v>
      </c>
      <c r="N1215" s="133" t="s">
        <v>35</v>
      </c>
      <c r="O1215" s="135">
        <v>0.9</v>
      </c>
      <c r="P1215" s="133" t="s">
        <v>35</v>
      </c>
      <c r="Q1215" s="133" t="s">
        <v>35</v>
      </c>
      <c r="R1215" s="133" t="s">
        <v>35</v>
      </c>
      <c r="S1215" s="133">
        <v>0</v>
      </c>
      <c r="T1215" s="135">
        <v>0.9</v>
      </c>
      <c r="U1215" s="133" t="s">
        <v>35</v>
      </c>
      <c r="V1215" s="133" t="s">
        <v>35</v>
      </c>
      <c r="W1215" s="133" t="s">
        <v>35</v>
      </c>
      <c r="X1215" s="133">
        <v>0.578947368421053</v>
      </c>
      <c r="Y1215" s="135">
        <v>0.92</v>
      </c>
      <c r="Z1215" s="135" t="s">
        <v>35</v>
      </c>
      <c r="AA1215" s="135" t="s">
        <v>35</v>
      </c>
      <c r="AB1215" s="135" t="s">
        <v>35</v>
      </c>
      <c r="AC1215" s="135">
        <v>1</v>
      </c>
      <c r="AD1215" s="135">
        <v>0.92</v>
      </c>
      <c r="AE1215" s="133">
        <v>0.99907517505615</v>
      </c>
      <c r="AF1215" s="133">
        <v>0.818654131618011</v>
      </c>
      <c r="AG1215" s="133">
        <v>0.962966190310213</v>
      </c>
      <c r="AH1215" s="133">
        <v>0.895417366339852</v>
      </c>
      <c r="AI1215" s="135">
        <v>0.92</v>
      </c>
      <c r="AJ1215" s="133">
        <v>1</v>
      </c>
      <c r="AK1215" s="133" t="s">
        <v>35</v>
      </c>
      <c r="AL1215" s="133" t="s">
        <v>35</v>
      </c>
      <c r="AM1215" s="133">
        <v>0.80952380952381</v>
      </c>
      <c r="AN1215" s="132">
        <v>0.99</v>
      </c>
      <c r="AO1215" s="137">
        <v>1</v>
      </c>
      <c r="AP1215" s="137">
        <v>1</v>
      </c>
      <c r="AQ1215" s="137">
        <v>1</v>
      </c>
      <c r="AR1215" s="137">
        <v>1</v>
      </c>
      <c r="AS1215" s="158">
        <v>0.0721861525408278</v>
      </c>
      <c r="AT1215" s="141" t="s">
        <v>35</v>
      </c>
      <c r="AU1215" s="141" t="s">
        <v>35</v>
      </c>
      <c r="AV1215" s="141" t="s">
        <v>35</v>
      </c>
      <c r="AW1215" s="141" t="s">
        <v>35</v>
      </c>
      <c r="AX1215" s="95"/>
      <c r="AY1215" s="93"/>
    </row>
    <row r="1216" ht="14.5" spans="1:51">
      <c r="A1216" s="91"/>
      <c r="B1216" s="95"/>
      <c r="C1216" s="152" t="s">
        <v>1085</v>
      </c>
      <c r="D1216" s="153" t="s">
        <v>25</v>
      </c>
      <c r="E1216" s="130" t="s">
        <v>1086</v>
      </c>
      <c r="F1216" s="195" t="s">
        <v>1246</v>
      </c>
      <c r="G1216" s="195" t="s">
        <v>1246</v>
      </c>
      <c r="H1216" s="195" t="s">
        <v>1246</v>
      </c>
      <c r="I1216" s="195" t="s">
        <v>1246</v>
      </c>
      <c r="J1216" s="132">
        <v>0.9</v>
      </c>
      <c r="K1216" s="133">
        <v>1</v>
      </c>
      <c r="L1216" s="133">
        <v>0.942857142857143</v>
      </c>
      <c r="M1216" s="134">
        <v>0.930232558139535</v>
      </c>
      <c r="N1216" s="133">
        <v>0.95983379501385</v>
      </c>
      <c r="O1216" s="135">
        <v>0.9</v>
      </c>
      <c r="P1216" s="133">
        <v>0.933488914819137</v>
      </c>
      <c r="Q1216" s="133">
        <v>0.9515625</v>
      </c>
      <c r="R1216" s="133">
        <v>0.781054332458089</v>
      </c>
      <c r="S1216" s="133">
        <v>0.908569058259962</v>
      </c>
      <c r="T1216" s="135">
        <v>0.9</v>
      </c>
      <c r="U1216" s="133">
        <v>0.793757292882147</v>
      </c>
      <c r="V1216" s="133">
        <v>0.738020833333333</v>
      </c>
      <c r="W1216" s="133">
        <v>0.883457887295496</v>
      </c>
      <c r="X1216" s="133">
        <v>0.817954344742687</v>
      </c>
      <c r="Y1216" s="135">
        <v>0.92</v>
      </c>
      <c r="Z1216" s="135">
        <v>0.853309481216458</v>
      </c>
      <c r="AA1216" s="135">
        <v>0.705747126436782</v>
      </c>
      <c r="AB1216" s="135">
        <v>0.808016877637131</v>
      </c>
      <c r="AC1216" s="135">
        <v>0.894019682059046</v>
      </c>
      <c r="AD1216" s="135">
        <v>0.92</v>
      </c>
      <c r="AE1216" s="133">
        <v>0.99942082705896</v>
      </c>
      <c r="AF1216" s="133">
        <v>0.988315874294923</v>
      </c>
      <c r="AG1216" s="133">
        <v>0.998343609091746</v>
      </c>
      <c r="AH1216" s="133">
        <v>0.99362690563907</v>
      </c>
      <c r="AI1216" s="135">
        <v>0.92</v>
      </c>
      <c r="AJ1216" s="133">
        <v>0.891647855530474</v>
      </c>
      <c r="AK1216" s="133">
        <v>0.84755838641189</v>
      </c>
      <c r="AL1216" s="133">
        <v>0.936260383115782</v>
      </c>
      <c r="AM1216" s="133">
        <v>0.939917432002826</v>
      </c>
      <c r="AN1216" s="132">
        <v>0.99</v>
      </c>
      <c r="AO1216" s="137">
        <v>1</v>
      </c>
      <c r="AP1216" s="137">
        <v>1</v>
      </c>
      <c r="AQ1216" s="137">
        <v>1</v>
      </c>
      <c r="AR1216" s="137">
        <v>1</v>
      </c>
      <c r="AS1216" s="158">
        <v>0.0721861525408278</v>
      </c>
      <c r="AT1216" s="141">
        <v>0.0483870967741935</v>
      </c>
      <c r="AU1216" s="141">
        <v>0.0263157894736842</v>
      </c>
      <c r="AV1216" s="141">
        <v>0.111111111111111</v>
      </c>
      <c r="AW1216" s="141">
        <v>0.0309555854643338</v>
      </c>
      <c r="AX1216" s="95"/>
      <c r="AY1216" s="93"/>
    </row>
    <row r="1217" ht="14.5" spans="1:51">
      <c r="A1217" s="91"/>
      <c r="B1217" s="95"/>
      <c r="C1217" s="152" t="s">
        <v>1085</v>
      </c>
      <c r="D1217" s="153" t="s">
        <v>25</v>
      </c>
      <c r="E1217" s="130" t="s">
        <v>1086</v>
      </c>
      <c r="F1217" s="196" t="s">
        <v>1247</v>
      </c>
      <c r="G1217" s="196" t="s">
        <v>1247</v>
      </c>
      <c r="H1217" s="196" t="s">
        <v>1247</v>
      </c>
      <c r="I1217" s="196" t="s">
        <v>1247</v>
      </c>
      <c r="J1217" s="132">
        <v>0.9</v>
      </c>
      <c r="K1217" s="133">
        <v>0.96551724137931</v>
      </c>
      <c r="L1217" s="133">
        <v>0.92</v>
      </c>
      <c r="M1217" s="134">
        <v>1</v>
      </c>
      <c r="N1217" s="133">
        <v>0.956087824351297</v>
      </c>
      <c r="O1217" s="135">
        <v>0.9</v>
      </c>
      <c r="P1217" s="133">
        <v>0.981277533039648</v>
      </c>
      <c r="Q1217" s="133">
        <v>0.964338055691256</v>
      </c>
      <c r="R1217" s="133">
        <v>0.731126812941614</v>
      </c>
      <c r="S1217" s="133">
        <v>0.948288123539571</v>
      </c>
      <c r="T1217" s="135">
        <v>0.9</v>
      </c>
      <c r="U1217" s="133">
        <v>0.811674008810573</v>
      </c>
      <c r="V1217" s="133">
        <v>0.787493893502687</v>
      </c>
      <c r="W1217" s="133">
        <v>0.902194124209743</v>
      </c>
      <c r="X1217" s="133">
        <v>0.867393071218125</v>
      </c>
      <c r="Y1217" s="135">
        <v>0.92</v>
      </c>
      <c r="Z1217" s="135">
        <v>0.775590551181102</v>
      </c>
      <c r="AA1217" s="135">
        <v>0.676229508196721</v>
      </c>
      <c r="AB1217" s="135">
        <v>0.838709677419355</v>
      </c>
      <c r="AC1217" s="135">
        <v>0.873474044495151</v>
      </c>
      <c r="AD1217" s="135">
        <v>0.92</v>
      </c>
      <c r="AE1217" s="133">
        <v>0.997521685254027</v>
      </c>
      <c r="AF1217" s="133">
        <v>0.998873450995118</v>
      </c>
      <c r="AG1217" s="133">
        <v>0.999432463110102</v>
      </c>
      <c r="AH1217" s="133">
        <v>0.997420846673782</v>
      </c>
      <c r="AI1217" s="135">
        <v>0.92</v>
      </c>
      <c r="AJ1217" s="133">
        <v>0.854106280193237</v>
      </c>
      <c r="AK1217" s="133">
        <v>0.841025641025641</v>
      </c>
      <c r="AL1217" s="133">
        <v>0.931868131868132</v>
      </c>
      <c r="AM1217" s="133">
        <v>0.93473067575147</v>
      </c>
      <c r="AN1217" s="132">
        <v>0.99</v>
      </c>
      <c r="AO1217" s="137">
        <v>1</v>
      </c>
      <c r="AP1217" s="137">
        <v>1</v>
      </c>
      <c r="AQ1217" s="137">
        <v>1</v>
      </c>
      <c r="AR1217" s="137">
        <v>1</v>
      </c>
      <c r="AS1217" s="158">
        <v>0.0721861525408278</v>
      </c>
      <c r="AT1217" s="141">
        <v>0.0416666666666667</v>
      </c>
      <c r="AU1217" s="141">
        <v>0.111111111111111</v>
      </c>
      <c r="AV1217" s="141">
        <v>0.0588235294117647</v>
      </c>
      <c r="AW1217" s="141">
        <v>0.0596026490066225</v>
      </c>
      <c r="AX1217" s="95"/>
      <c r="AY1217" s="93"/>
    </row>
    <row r="1218" ht="14.5" spans="1:51">
      <c r="A1218" s="91"/>
      <c r="B1218" s="95"/>
      <c r="C1218" s="152" t="s">
        <v>1085</v>
      </c>
      <c r="D1218" s="153" t="s">
        <v>125</v>
      </c>
      <c r="E1218" s="130" t="s">
        <v>1086</v>
      </c>
      <c r="F1218" s="195" t="s">
        <v>1248</v>
      </c>
      <c r="G1218" s="195" t="s">
        <v>1248</v>
      </c>
      <c r="H1218" s="195" t="s">
        <v>1248</v>
      </c>
      <c r="I1218" s="195" t="s">
        <v>1248</v>
      </c>
      <c r="J1218" s="132">
        <v>0.9</v>
      </c>
      <c r="K1218" s="133" t="s">
        <v>35</v>
      </c>
      <c r="L1218" s="133" t="s">
        <v>35</v>
      </c>
      <c r="M1218" s="134" t="s">
        <v>35</v>
      </c>
      <c r="N1218" s="133" t="s">
        <v>35</v>
      </c>
      <c r="O1218" s="135">
        <v>0.9</v>
      </c>
      <c r="P1218" s="133">
        <v>0</v>
      </c>
      <c r="Q1218" s="133" t="s">
        <v>35</v>
      </c>
      <c r="R1218" s="133">
        <v>0</v>
      </c>
      <c r="S1218" s="133">
        <v>0.1875</v>
      </c>
      <c r="T1218" s="135">
        <v>0.9</v>
      </c>
      <c r="U1218" s="133">
        <v>0</v>
      </c>
      <c r="V1218" s="133" t="s">
        <v>35</v>
      </c>
      <c r="W1218" s="133">
        <v>1</v>
      </c>
      <c r="X1218" s="133">
        <v>0.875</v>
      </c>
      <c r="Y1218" s="135">
        <v>0.92</v>
      </c>
      <c r="Z1218" s="135" t="s">
        <v>35</v>
      </c>
      <c r="AA1218" s="135" t="s">
        <v>35</v>
      </c>
      <c r="AB1218" s="135" t="s">
        <v>35</v>
      </c>
      <c r="AC1218" s="135" t="s">
        <v>35</v>
      </c>
      <c r="AD1218" s="135">
        <v>0.92</v>
      </c>
      <c r="AE1218" s="133">
        <v>0.998179481687728</v>
      </c>
      <c r="AF1218" s="133">
        <v>0.99891392886234</v>
      </c>
      <c r="AG1218" s="133">
        <v>0.998284103444049</v>
      </c>
      <c r="AH1218" s="133">
        <v>0.970361679334796</v>
      </c>
      <c r="AI1218" s="135">
        <v>0.92</v>
      </c>
      <c r="AJ1218" s="133">
        <v>0</v>
      </c>
      <c r="AK1218" s="133">
        <v>1</v>
      </c>
      <c r="AL1218" s="133">
        <v>1</v>
      </c>
      <c r="AM1218" s="133">
        <v>0.91304347826087</v>
      </c>
      <c r="AN1218" s="132">
        <v>0.99</v>
      </c>
      <c r="AO1218" s="137">
        <v>1</v>
      </c>
      <c r="AP1218" s="137">
        <v>1</v>
      </c>
      <c r="AQ1218" s="137">
        <v>1</v>
      </c>
      <c r="AR1218" s="137">
        <v>1</v>
      </c>
      <c r="AS1218" s="158">
        <v>0.0721861525408278</v>
      </c>
      <c r="AT1218" s="141" t="s">
        <v>35</v>
      </c>
      <c r="AU1218" s="141" t="s">
        <v>35</v>
      </c>
      <c r="AV1218" s="141" t="s">
        <v>35</v>
      </c>
      <c r="AW1218" s="141" t="s">
        <v>35</v>
      </c>
      <c r="AX1218" s="95"/>
      <c r="AY1218" s="93"/>
    </row>
    <row r="1219" ht="14.5" spans="1:51">
      <c r="A1219" s="91"/>
      <c r="B1219" s="95"/>
      <c r="C1219" s="152" t="s">
        <v>1085</v>
      </c>
      <c r="D1219" s="153" t="s">
        <v>125</v>
      </c>
      <c r="E1219" s="130" t="s">
        <v>1086</v>
      </c>
      <c r="F1219" s="195" t="s">
        <v>1249</v>
      </c>
      <c r="G1219" s="195" t="s">
        <v>1249</v>
      </c>
      <c r="H1219" s="195" t="s">
        <v>1249</v>
      </c>
      <c r="I1219" s="195" t="s">
        <v>1249</v>
      </c>
      <c r="J1219" s="132">
        <v>0.9</v>
      </c>
      <c r="K1219" s="133" t="s">
        <v>35</v>
      </c>
      <c r="L1219" s="133" t="s">
        <v>35</v>
      </c>
      <c r="M1219" s="134" t="s">
        <v>35</v>
      </c>
      <c r="N1219" s="133" t="s">
        <v>35</v>
      </c>
      <c r="O1219" s="135">
        <v>0.9</v>
      </c>
      <c r="P1219" s="133">
        <v>0.991319444444444</v>
      </c>
      <c r="Q1219" s="133">
        <v>0.995744680851064</v>
      </c>
      <c r="R1219" s="133">
        <v>0.995798319327731</v>
      </c>
      <c r="S1219" s="133">
        <v>0.911844412561773</v>
      </c>
      <c r="T1219" s="135">
        <v>0.9</v>
      </c>
      <c r="U1219" s="133">
        <v>0.994791666666667</v>
      </c>
      <c r="V1219" s="133">
        <v>0.995744680851064</v>
      </c>
      <c r="W1219" s="133">
        <v>0.997899159663866</v>
      </c>
      <c r="X1219" s="133">
        <v>0.99697114618205</v>
      </c>
      <c r="Y1219" s="135">
        <v>0.92</v>
      </c>
      <c r="Z1219" s="135">
        <v>1</v>
      </c>
      <c r="AA1219" s="135">
        <v>1</v>
      </c>
      <c r="AB1219" s="135">
        <v>0.988095238095238</v>
      </c>
      <c r="AC1219" s="135">
        <v>0.997870830376153</v>
      </c>
      <c r="AD1219" s="135">
        <v>0.92</v>
      </c>
      <c r="AE1219" s="133">
        <v>0.651013156631134</v>
      </c>
      <c r="AF1219" s="133">
        <v>0.999225806451613</v>
      </c>
      <c r="AG1219" s="133">
        <v>0.995330795201494</v>
      </c>
      <c r="AH1219" s="133">
        <v>0.953342199557818</v>
      </c>
      <c r="AI1219" s="135">
        <v>0.92</v>
      </c>
      <c r="AJ1219" s="133">
        <v>0.994444444444444</v>
      </c>
      <c r="AK1219" s="133">
        <v>0.996175908221797</v>
      </c>
      <c r="AL1219" s="133">
        <v>0.996434937611408</v>
      </c>
      <c r="AM1219" s="133">
        <v>0.997138769670958</v>
      </c>
      <c r="AN1219" s="132">
        <v>0.99</v>
      </c>
      <c r="AO1219" s="137">
        <v>1</v>
      </c>
      <c r="AP1219" s="137">
        <v>1</v>
      </c>
      <c r="AQ1219" s="137">
        <v>1</v>
      </c>
      <c r="AR1219" s="137">
        <v>1</v>
      </c>
      <c r="AS1219" s="158">
        <v>0.0721861525408278</v>
      </c>
      <c r="AT1219" s="141">
        <v>0</v>
      </c>
      <c r="AU1219" s="141">
        <v>0</v>
      </c>
      <c r="AV1219" s="141">
        <v>0</v>
      </c>
      <c r="AW1219" s="141">
        <v>0.00561347233360064</v>
      </c>
      <c r="AX1219" s="95"/>
      <c r="AY1219" s="93"/>
    </row>
    <row r="1220" ht="14.5" spans="1:51">
      <c r="A1220" s="91"/>
      <c r="B1220" s="95"/>
      <c r="C1220" s="152" t="s">
        <v>1085</v>
      </c>
      <c r="D1220" s="153" t="s">
        <v>25</v>
      </c>
      <c r="E1220" s="130" t="s">
        <v>1086</v>
      </c>
      <c r="F1220" s="197" t="s">
        <v>1250</v>
      </c>
      <c r="G1220" s="197" t="s">
        <v>1250</v>
      </c>
      <c r="H1220" s="197" t="s">
        <v>1250</v>
      </c>
      <c r="I1220" s="197" t="s">
        <v>1250</v>
      </c>
      <c r="J1220" s="132">
        <v>0.9</v>
      </c>
      <c r="K1220" s="133">
        <v>0.6</v>
      </c>
      <c r="L1220" s="133">
        <v>1</v>
      </c>
      <c r="M1220" s="134">
        <v>0.944444444444444</v>
      </c>
      <c r="N1220" s="133">
        <v>0.89198606271777</v>
      </c>
      <c r="O1220" s="135">
        <v>0.9</v>
      </c>
      <c r="P1220" s="133">
        <v>0.952245188880969</v>
      </c>
      <c r="Q1220" s="133">
        <v>0.950973807924782</v>
      </c>
      <c r="R1220" s="133">
        <v>0.962732919254658</v>
      </c>
      <c r="S1220" s="133">
        <v>0.944558687149712</v>
      </c>
      <c r="T1220" s="135">
        <v>0.9</v>
      </c>
      <c r="U1220" s="133">
        <v>0.893086243763364</v>
      </c>
      <c r="V1220" s="133">
        <v>0.917394224311619</v>
      </c>
      <c r="W1220" s="133">
        <v>0.954451345755694</v>
      </c>
      <c r="X1220" s="133">
        <v>0.906737631547115</v>
      </c>
      <c r="Y1220" s="135">
        <v>0.92</v>
      </c>
      <c r="Z1220" s="135">
        <v>0.89922480620155</v>
      </c>
      <c r="AA1220" s="135">
        <v>0.857908847184987</v>
      </c>
      <c r="AB1220" s="135">
        <v>0.959287531806616</v>
      </c>
      <c r="AC1220" s="135">
        <v>0.942876344086022</v>
      </c>
      <c r="AD1220" s="135">
        <v>0.92</v>
      </c>
      <c r="AE1220" s="133">
        <v>0.964492753623188</v>
      </c>
      <c r="AF1220" s="133">
        <v>0.932008905634526</v>
      </c>
      <c r="AG1220" s="133">
        <v>0.918309579381238</v>
      </c>
      <c r="AH1220" s="133">
        <v>0.882586303139668</v>
      </c>
      <c r="AI1220" s="135">
        <v>0.92</v>
      </c>
      <c r="AJ1220" s="133">
        <v>0.939795304033715</v>
      </c>
      <c r="AK1220" s="133">
        <v>0.941460794844253</v>
      </c>
      <c r="AL1220" s="133">
        <v>0.979913137893594</v>
      </c>
      <c r="AM1220" s="133">
        <v>0.971194485987385</v>
      </c>
      <c r="AN1220" s="132">
        <v>0.99</v>
      </c>
      <c r="AO1220" s="137">
        <v>1</v>
      </c>
      <c r="AP1220" s="137">
        <v>1</v>
      </c>
      <c r="AQ1220" s="137">
        <v>1</v>
      </c>
      <c r="AR1220" s="137">
        <v>1</v>
      </c>
      <c r="AS1220" s="158">
        <v>0.0721861525408278</v>
      </c>
      <c r="AT1220" s="141">
        <v>0</v>
      </c>
      <c r="AU1220" s="141">
        <v>0</v>
      </c>
      <c r="AV1220" s="141">
        <v>0</v>
      </c>
      <c r="AW1220" s="141">
        <v>0.0373134328358209</v>
      </c>
      <c r="AX1220" s="95"/>
      <c r="AY1220" s="93"/>
    </row>
    <row r="1221" ht="14.5" spans="1:51">
      <c r="A1221" s="91"/>
      <c r="B1221" s="95"/>
      <c r="C1221" s="152" t="s">
        <v>1085</v>
      </c>
      <c r="D1221" s="153" t="s">
        <v>125</v>
      </c>
      <c r="E1221" s="130" t="s">
        <v>1086</v>
      </c>
      <c r="F1221" s="195" t="s">
        <v>1251</v>
      </c>
      <c r="G1221" s="195" t="s">
        <v>1251</v>
      </c>
      <c r="H1221" s="195" t="s">
        <v>1251</v>
      </c>
      <c r="I1221" s="195" t="s">
        <v>1251</v>
      </c>
      <c r="J1221" s="132">
        <v>0.9</v>
      </c>
      <c r="K1221" s="133" t="s">
        <v>35</v>
      </c>
      <c r="L1221" s="133" t="s">
        <v>35</v>
      </c>
      <c r="M1221" s="134" t="s">
        <v>35</v>
      </c>
      <c r="N1221" s="133" t="s">
        <v>35</v>
      </c>
      <c r="O1221" s="135">
        <v>0.9</v>
      </c>
      <c r="P1221" s="133" t="s">
        <v>35</v>
      </c>
      <c r="Q1221" s="133">
        <v>0</v>
      </c>
      <c r="R1221" s="133">
        <v>0</v>
      </c>
      <c r="S1221" s="133">
        <v>0</v>
      </c>
      <c r="T1221" s="135">
        <v>0.9</v>
      </c>
      <c r="U1221" s="133" t="s">
        <v>35</v>
      </c>
      <c r="V1221" s="133">
        <v>1</v>
      </c>
      <c r="W1221" s="133">
        <v>1</v>
      </c>
      <c r="X1221" s="133">
        <v>1</v>
      </c>
      <c r="Y1221" s="135">
        <v>0.92</v>
      </c>
      <c r="Z1221" s="135" t="s">
        <v>35</v>
      </c>
      <c r="AA1221" s="135" t="s">
        <v>35</v>
      </c>
      <c r="AB1221" s="135" t="s">
        <v>35</v>
      </c>
      <c r="AC1221" s="135" t="s">
        <v>35</v>
      </c>
      <c r="AD1221" s="135">
        <v>0.92</v>
      </c>
      <c r="AE1221" s="133">
        <v>0.999408633944412</v>
      </c>
      <c r="AF1221" s="133">
        <v>0.999301675977654</v>
      </c>
      <c r="AG1221" s="133">
        <v>0.999258710155671</v>
      </c>
      <c r="AH1221" s="133">
        <v>0.924871009271365</v>
      </c>
      <c r="AI1221" s="135">
        <v>0.92</v>
      </c>
      <c r="AJ1221" s="133" t="s">
        <v>35</v>
      </c>
      <c r="AK1221" s="133">
        <v>1</v>
      </c>
      <c r="AL1221" s="133">
        <v>1</v>
      </c>
      <c r="AM1221" s="133">
        <v>1</v>
      </c>
      <c r="AN1221" s="132">
        <v>0.99</v>
      </c>
      <c r="AO1221" s="137">
        <v>1</v>
      </c>
      <c r="AP1221" s="137">
        <v>1</v>
      </c>
      <c r="AQ1221" s="137">
        <v>1</v>
      </c>
      <c r="AR1221" s="137">
        <v>1</v>
      </c>
      <c r="AS1221" s="158">
        <v>0.0721861525408278</v>
      </c>
      <c r="AT1221" s="141" t="s">
        <v>35</v>
      </c>
      <c r="AU1221" s="141" t="s">
        <v>35</v>
      </c>
      <c r="AV1221" s="141" t="s">
        <v>35</v>
      </c>
      <c r="AW1221" s="141" t="s">
        <v>35</v>
      </c>
      <c r="AX1221" s="95"/>
      <c r="AY1221" s="93"/>
    </row>
    <row r="1222" ht="14.5" spans="1:51">
      <c r="A1222" s="91"/>
      <c r="B1222" s="95"/>
      <c r="C1222" s="152" t="s">
        <v>1085</v>
      </c>
      <c r="D1222" s="153" t="s">
        <v>25</v>
      </c>
      <c r="E1222" s="130" t="s">
        <v>1086</v>
      </c>
      <c r="F1222" s="195" t="s">
        <v>1252</v>
      </c>
      <c r="G1222" s="195" t="s">
        <v>1252</v>
      </c>
      <c r="H1222" s="195" t="s">
        <v>1252</v>
      </c>
      <c r="I1222" s="195" t="s">
        <v>1252</v>
      </c>
      <c r="J1222" s="132">
        <v>0.9</v>
      </c>
      <c r="K1222" s="133">
        <v>0.964285714285714</v>
      </c>
      <c r="L1222" s="133">
        <v>1</v>
      </c>
      <c r="M1222" s="134">
        <v>0.969230769230769</v>
      </c>
      <c r="N1222" s="133">
        <v>0.965225563909774</v>
      </c>
      <c r="O1222" s="135">
        <v>0.9</v>
      </c>
      <c r="P1222" s="133">
        <v>0.981113956466069</v>
      </c>
      <c r="Q1222" s="133">
        <v>0.977870429762668</v>
      </c>
      <c r="R1222" s="133">
        <v>0.983390251474697</v>
      </c>
      <c r="S1222" s="133">
        <v>0.947666320673533</v>
      </c>
      <c r="T1222" s="135">
        <v>0.9</v>
      </c>
      <c r="U1222" s="133">
        <v>0.922055057618438</v>
      </c>
      <c r="V1222" s="133">
        <v>0.89239897370109</v>
      </c>
      <c r="W1222" s="133">
        <v>0.929524992238435</v>
      </c>
      <c r="X1222" s="133">
        <v>0.907220610544806</v>
      </c>
      <c r="Y1222" s="135">
        <v>0.92</v>
      </c>
      <c r="Z1222" s="135">
        <v>0.94722474977252</v>
      </c>
      <c r="AA1222" s="135">
        <v>0.883495145631068</v>
      </c>
      <c r="AB1222" s="135">
        <v>0.955838323353293</v>
      </c>
      <c r="AC1222" s="135">
        <v>0.936815266324051</v>
      </c>
      <c r="AD1222" s="135">
        <v>0.92</v>
      </c>
      <c r="AE1222" s="133">
        <v>0.993953898475879</v>
      </c>
      <c r="AF1222" s="133">
        <v>0.950913626862653</v>
      </c>
      <c r="AG1222" s="133">
        <v>0.981953507340946</v>
      </c>
      <c r="AH1222" s="133">
        <v>0.943354508827853</v>
      </c>
      <c r="AI1222" s="135">
        <v>0.92</v>
      </c>
      <c r="AJ1222" s="133">
        <v>0.955770277626565</v>
      </c>
      <c r="AK1222" s="133">
        <v>0.932163125247459</v>
      </c>
      <c r="AL1222" s="133">
        <v>0.962848695205039</v>
      </c>
      <c r="AM1222" s="133">
        <v>0.96405252466628</v>
      </c>
      <c r="AN1222" s="132">
        <v>0.99</v>
      </c>
      <c r="AO1222" s="137">
        <v>1</v>
      </c>
      <c r="AP1222" s="137">
        <v>1</v>
      </c>
      <c r="AQ1222" s="137">
        <v>1</v>
      </c>
      <c r="AR1222" s="137">
        <v>1</v>
      </c>
      <c r="AS1222" s="158">
        <v>0.0721861525408278</v>
      </c>
      <c r="AT1222" s="141">
        <v>0.0784313725490196</v>
      </c>
      <c r="AU1222" s="141">
        <v>0</v>
      </c>
      <c r="AV1222" s="141">
        <v>0</v>
      </c>
      <c r="AW1222" s="141">
        <v>0.0444078947368421</v>
      </c>
      <c r="AX1222" s="95"/>
      <c r="AY1222" s="93"/>
    </row>
    <row r="1223" ht="14.5" spans="1:51">
      <c r="A1223" s="91"/>
      <c r="B1223" s="95"/>
      <c r="C1223" s="152" t="s">
        <v>1085</v>
      </c>
      <c r="D1223" s="153" t="s">
        <v>25</v>
      </c>
      <c r="E1223" s="130" t="s">
        <v>1086</v>
      </c>
      <c r="F1223" s="195" t="s">
        <v>1253</v>
      </c>
      <c r="G1223" s="195" t="s">
        <v>1253</v>
      </c>
      <c r="H1223" s="195" t="s">
        <v>1253</v>
      </c>
      <c r="I1223" s="195" t="s">
        <v>1253</v>
      </c>
      <c r="J1223" s="132">
        <v>0.9</v>
      </c>
      <c r="K1223" s="133">
        <v>0.923076923076923</v>
      </c>
      <c r="L1223" s="133">
        <v>0.972222222222222</v>
      </c>
      <c r="M1223" s="134">
        <v>1</v>
      </c>
      <c r="N1223" s="133">
        <v>0.931617055510861</v>
      </c>
      <c r="O1223" s="135">
        <v>0.9</v>
      </c>
      <c r="P1223" s="133">
        <v>0.933374715497621</v>
      </c>
      <c r="Q1223" s="133">
        <v>0.921933784800602</v>
      </c>
      <c r="R1223" s="133">
        <v>0.961243284727552</v>
      </c>
      <c r="S1223" s="133">
        <v>0.952310170989034</v>
      </c>
      <c r="T1223" s="135">
        <v>0.9</v>
      </c>
      <c r="U1223" s="133">
        <v>0.879370991102835</v>
      </c>
      <c r="V1223" s="133">
        <v>0.876222723852521</v>
      </c>
      <c r="W1223" s="133">
        <v>0.910590943975441</v>
      </c>
      <c r="X1223" s="133">
        <v>0.894880723455122</v>
      </c>
      <c r="Y1223" s="135">
        <v>0.92</v>
      </c>
      <c r="Z1223" s="135">
        <v>0.869109947643979</v>
      </c>
      <c r="AA1223" s="135">
        <v>0.918918918918919</v>
      </c>
      <c r="AB1223" s="135">
        <v>0.933591231463572</v>
      </c>
      <c r="AC1223" s="135">
        <v>0.936541444080648</v>
      </c>
      <c r="AD1223" s="135">
        <v>0.92</v>
      </c>
      <c r="AE1223" s="133">
        <v>0.976905311778291</v>
      </c>
      <c r="AF1223" s="133">
        <v>0.998355263157895</v>
      </c>
      <c r="AG1223" s="133">
        <v>0.996352583586626</v>
      </c>
      <c r="AH1223" s="133">
        <v>0.994628179405864</v>
      </c>
      <c r="AI1223" s="135">
        <v>0.92</v>
      </c>
      <c r="AJ1223" s="133">
        <v>0.923530462747901</v>
      </c>
      <c r="AK1223" s="133">
        <v>0.940613313388183</v>
      </c>
      <c r="AL1223" s="133">
        <v>0.963921336684903</v>
      </c>
      <c r="AM1223" s="133">
        <v>0.96525073894513</v>
      </c>
      <c r="AN1223" s="132">
        <v>0.99</v>
      </c>
      <c r="AO1223" s="137">
        <v>1</v>
      </c>
      <c r="AP1223" s="137">
        <v>1</v>
      </c>
      <c r="AQ1223" s="137">
        <v>1</v>
      </c>
      <c r="AR1223" s="137">
        <v>1</v>
      </c>
      <c r="AS1223" s="158">
        <v>0.0721861525408278</v>
      </c>
      <c r="AT1223" s="141">
        <v>0</v>
      </c>
      <c r="AU1223" s="141">
        <v>0.1</v>
      </c>
      <c r="AV1223" s="141">
        <v>0</v>
      </c>
      <c r="AW1223" s="141">
        <v>0.0438311688311688</v>
      </c>
      <c r="AX1223" s="95"/>
      <c r="AY1223" s="93"/>
    </row>
    <row r="1224" ht="14.5" spans="1:51">
      <c r="A1224" s="91"/>
      <c r="B1224" s="95"/>
      <c r="C1224" s="152" t="s">
        <v>1085</v>
      </c>
      <c r="D1224" s="153" t="s">
        <v>125</v>
      </c>
      <c r="E1224" s="130" t="s">
        <v>1086</v>
      </c>
      <c r="F1224" s="195" t="s">
        <v>1254</v>
      </c>
      <c r="G1224" s="195" t="s">
        <v>1254</v>
      </c>
      <c r="H1224" s="195" t="s">
        <v>1254</v>
      </c>
      <c r="I1224" s="195" t="s">
        <v>1254</v>
      </c>
      <c r="J1224" s="132">
        <v>0.9</v>
      </c>
      <c r="K1224" s="133" t="s">
        <v>35</v>
      </c>
      <c r="L1224" s="133" t="s">
        <v>35</v>
      </c>
      <c r="M1224" s="134" t="s">
        <v>35</v>
      </c>
      <c r="N1224" s="133" t="s">
        <v>35</v>
      </c>
      <c r="O1224" s="135">
        <v>0.9</v>
      </c>
      <c r="P1224" s="133" t="s">
        <v>35</v>
      </c>
      <c r="Q1224" s="133" t="s">
        <v>35</v>
      </c>
      <c r="R1224" s="133" t="s">
        <v>35</v>
      </c>
      <c r="S1224" s="133">
        <v>1</v>
      </c>
      <c r="T1224" s="135">
        <v>0.9</v>
      </c>
      <c r="U1224" s="133" t="s">
        <v>35</v>
      </c>
      <c r="V1224" s="133" t="s">
        <v>35</v>
      </c>
      <c r="W1224" s="133" t="s">
        <v>35</v>
      </c>
      <c r="X1224" s="133">
        <v>1</v>
      </c>
      <c r="Y1224" s="135">
        <v>0.92</v>
      </c>
      <c r="Z1224" s="135" t="s">
        <v>35</v>
      </c>
      <c r="AA1224" s="135" t="s">
        <v>35</v>
      </c>
      <c r="AB1224" s="135" t="s">
        <v>35</v>
      </c>
      <c r="AC1224" s="135">
        <v>1</v>
      </c>
      <c r="AD1224" s="135">
        <v>0.92</v>
      </c>
      <c r="AE1224" s="133">
        <v>0.996420047732697</v>
      </c>
      <c r="AF1224" s="133">
        <v>0.998815867377146</v>
      </c>
      <c r="AG1224" s="133">
        <v>0.999578414839798</v>
      </c>
      <c r="AH1224" s="133">
        <v>0.99910095721614</v>
      </c>
      <c r="AI1224" s="135">
        <v>0.92</v>
      </c>
      <c r="AJ1224" s="133" t="s">
        <v>35</v>
      </c>
      <c r="AK1224" s="133" t="s">
        <v>35</v>
      </c>
      <c r="AL1224" s="133" t="s">
        <v>35</v>
      </c>
      <c r="AM1224" s="133">
        <v>1</v>
      </c>
      <c r="AN1224" s="132">
        <v>0.99</v>
      </c>
      <c r="AO1224" s="137">
        <v>1</v>
      </c>
      <c r="AP1224" s="137">
        <v>1</v>
      </c>
      <c r="AQ1224" s="137">
        <v>1</v>
      </c>
      <c r="AR1224" s="137">
        <v>1</v>
      </c>
      <c r="AS1224" s="158">
        <v>0.0721861525408278</v>
      </c>
      <c r="AT1224" s="141" t="s">
        <v>35</v>
      </c>
      <c r="AU1224" s="141" t="s">
        <v>35</v>
      </c>
      <c r="AV1224" s="141" t="s">
        <v>35</v>
      </c>
      <c r="AW1224" s="141" t="s">
        <v>35</v>
      </c>
      <c r="AX1224" s="95"/>
      <c r="AY1224" s="93"/>
    </row>
    <row r="1225" ht="14.5" spans="1:51">
      <c r="A1225" s="91"/>
      <c r="B1225" s="95"/>
      <c r="C1225" s="152" t="s">
        <v>1085</v>
      </c>
      <c r="D1225" s="153" t="s">
        <v>25</v>
      </c>
      <c r="E1225" s="130" t="s">
        <v>1086</v>
      </c>
      <c r="F1225" s="195" t="s">
        <v>1255</v>
      </c>
      <c r="G1225" s="195" t="s">
        <v>1255</v>
      </c>
      <c r="H1225" s="195" t="s">
        <v>1255</v>
      </c>
      <c r="I1225" s="195" t="s">
        <v>1255</v>
      </c>
      <c r="J1225" s="132">
        <v>0.9</v>
      </c>
      <c r="K1225" s="133">
        <v>1</v>
      </c>
      <c r="L1225" s="133">
        <v>0.96</v>
      </c>
      <c r="M1225" s="134">
        <v>0.979591836734694</v>
      </c>
      <c r="N1225" s="133">
        <v>0.951298701298701</v>
      </c>
      <c r="O1225" s="135">
        <v>0.9</v>
      </c>
      <c r="P1225" s="133">
        <v>0.935625859697387</v>
      </c>
      <c r="Q1225" s="133">
        <v>0.977413750310251</v>
      </c>
      <c r="R1225" s="133">
        <v>0.956490384615385</v>
      </c>
      <c r="S1225" s="133">
        <v>0.950466555099143</v>
      </c>
      <c r="T1225" s="135">
        <v>0.9</v>
      </c>
      <c r="U1225" s="133">
        <v>0.89050894085282</v>
      </c>
      <c r="V1225" s="133">
        <v>0.904690990320179</v>
      </c>
      <c r="W1225" s="133">
        <v>0.935096153846154</v>
      </c>
      <c r="X1225" s="133">
        <v>0.91414371925554</v>
      </c>
      <c r="Y1225" s="135">
        <v>0.92</v>
      </c>
      <c r="Z1225" s="135">
        <v>0.926335174953959</v>
      </c>
      <c r="AA1225" s="135">
        <v>0.919282511210762</v>
      </c>
      <c r="AB1225" s="135">
        <v>0.94681861348528</v>
      </c>
      <c r="AC1225" s="135">
        <v>0.945356515417702</v>
      </c>
      <c r="AD1225" s="135">
        <v>0.92</v>
      </c>
      <c r="AE1225" s="133">
        <v>0.999772882125823</v>
      </c>
      <c r="AF1225" s="133">
        <v>0.997538966365874</v>
      </c>
      <c r="AG1225" s="133">
        <v>0.987862440997977</v>
      </c>
      <c r="AH1225" s="133">
        <v>0.932737698359781</v>
      </c>
      <c r="AI1225" s="135">
        <v>0.92</v>
      </c>
      <c r="AJ1225" s="133">
        <v>0.939698492462312</v>
      </c>
      <c r="AK1225" s="133">
        <v>0.947197400487409</v>
      </c>
      <c r="AL1225" s="133">
        <v>0.972962607861937</v>
      </c>
      <c r="AM1225" s="133">
        <v>0.969988574064174</v>
      </c>
      <c r="AN1225" s="132">
        <v>0.99</v>
      </c>
      <c r="AO1225" s="137">
        <v>1</v>
      </c>
      <c r="AP1225" s="137">
        <v>1</v>
      </c>
      <c r="AQ1225" s="137">
        <v>1</v>
      </c>
      <c r="AR1225" s="137">
        <v>1</v>
      </c>
      <c r="AS1225" s="158">
        <v>0.0721861525408278</v>
      </c>
      <c r="AT1225" s="141">
        <v>0.0869565217391304</v>
      </c>
      <c r="AU1225" s="141">
        <v>0.024390243902439</v>
      </c>
      <c r="AV1225" s="141">
        <v>0.0512820512820513</v>
      </c>
      <c r="AW1225" s="141">
        <v>0.0358255451713396</v>
      </c>
      <c r="AX1225" s="95"/>
      <c r="AY1225" s="93"/>
    </row>
    <row r="1226" ht="14.5" spans="1:51">
      <c r="A1226" s="91"/>
      <c r="B1226" s="95"/>
      <c r="C1226" s="152" t="s">
        <v>1085</v>
      </c>
      <c r="D1226" s="153" t="s">
        <v>125</v>
      </c>
      <c r="E1226" s="130" t="s">
        <v>1086</v>
      </c>
      <c r="F1226" s="195" t="s">
        <v>1256</v>
      </c>
      <c r="G1226" s="195" t="s">
        <v>1256</v>
      </c>
      <c r="H1226" s="195" t="s">
        <v>1256</v>
      </c>
      <c r="I1226" s="195" t="s">
        <v>1256</v>
      </c>
      <c r="J1226" s="132">
        <v>0.9</v>
      </c>
      <c r="K1226" s="133" t="s">
        <v>35</v>
      </c>
      <c r="L1226" s="133" t="s">
        <v>35</v>
      </c>
      <c r="M1226" s="134" t="s">
        <v>35</v>
      </c>
      <c r="N1226" s="133" t="s">
        <v>35</v>
      </c>
      <c r="O1226" s="135">
        <v>0.9</v>
      </c>
      <c r="P1226" s="133">
        <v>0</v>
      </c>
      <c r="Q1226" s="133">
        <v>0</v>
      </c>
      <c r="R1226" s="133">
        <v>0</v>
      </c>
      <c r="S1226" s="133">
        <v>0</v>
      </c>
      <c r="T1226" s="135">
        <v>0.9</v>
      </c>
      <c r="U1226" s="133">
        <v>1</v>
      </c>
      <c r="V1226" s="133">
        <v>1</v>
      </c>
      <c r="W1226" s="133">
        <v>1</v>
      </c>
      <c r="X1226" s="133">
        <v>1</v>
      </c>
      <c r="Y1226" s="135">
        <v>0.92</v>
      </c>
      <c r="Z1226" s="135" t="s">
        <v>35</v>
      </c>
      <c r="AA1226" s="135" t="s">
        <v>35</v>
      </c>
      <c r="AB1226" s="135" t="s">
        <v>35</v>
      </c>
      <c r="AC1226" s="135">
        <v>1</v>
      </c>
      <c r="AD1226" s="135">
        <v>0.92</v>
      </c>
      <c r="AE1226" s="133">
        <v>0.990086741016109</v>
      </c>
      <c r="AF1226" s="133">
        <v>0.969812075169932</v>
      </c>
      <c r="AG1226" s="133">
        <v>0.996425024826217</v>
      </c>
      <c r="AH1226" s="133">
        <v>0.990749138400145</v>
      </c>
      <c r="AI1226" s="135">
        <v>0.92</v>
      </c>
      <c r="AJ1226" s="133">
        <v>1</v>
      </c>
      <c r="AK1226" s="133">
        <v>1</v>
      </c>
      <c r="AL1226" s="133">
        <v>1</v>
      </c>
      <c r="AM1226" s="133">
        <v>1</v>
      </c>
      <c r="AN1226" s="132">
        <v>0.99</v>
      </c>
      <c r="AO1226" s="137">
        <v>1</v>
      </c>
      <c r="AP1226" s="137">
        <v>1</v>
      </c>
      <c r="AQ1226" s="137">
        <v>1</v>
      </c>
      <c r="AR1226" s="137">
        <v>1</v>
      </c>
      <c r="AS1226" s="158">
        <v>0.0721861525408278</v>
      </c>
      <c r="AT1226" s="141" t="s">
        <v>35</v>
      </c>
      <c r="AU1226" s="141" t="s">
        <v>35</v>
      </c>
      <c r="AV1226" s="141" t="s">
        <v>35</v>
      </c>
      <c r="AW1226" s="141" t="s">
        <v>35</v>
      </c>
      <c r="AX1226" s="95"/>
      <c r="AY1226" s="93"/>
    </row>
    <row r="1227" ht="14.5" spans="1:51">
      <c r="A1227" s="91"/>
      <c r="B1227" s="95"/>
      <c r="C1227" s="152" t="s">
        <v>1085</v>
      </c>
      <c r="D1227" s="153" t="s">
        <v>125</v>
      </c>
      <c r="E1227" s="130" t="s">
        <v>1086</v>
      </c>
      <c r="F1227" s="195" t="s">
        <v>1257</v>
      </c>
      <c r="G1227" s="195" t="s">
        <v>1257</v>
      </c>
      <c r="H1227" s="195" t="s">
        <v>1257</v>
      </c>
      <c r="I1227" s="195" t="s">
        <v>1257</v>
      </c>
      <c r="J1227" s="132">
        <v>0.9</v>
      </c>
      <c r="K1227" s="133" t="s">
        <v>35</v>
      </c>
      <c r="L1227" s="133" t="s">
        <v>35</v>
      </c>
      <c r="M1227" s="134" t="s">
        <v>35</v>
      </c>
      <c r="N1227" s="133" t="s">
        <v>35</v>
      </c>
      <c r="O1227" s="135">
        <v>0.9</v>
      </c>
      <c r="P1227" s="133" t="s">
        <v>35</v>
      </c>
      <c r="Q1227" s="133" t="s">
        <v>35</v>
      </c>
      <c r="R1227" s="133" t="s">
        <v>35</v>
      </c>
      <c r="S1227" s="133">
        <v>0</v>
      </c>
      <c r="T1227" s="135">
        <v>0.9</v>
      </c>
      <c r="U1227" s="133" t="s">
        <v>35</v>
      </c>
      <c r="V1227" s="133" t="s">
        <v>35</v>
      </c>
      <c r="W1227" s="133" t="s">
        <v>35</v>
      </c>
      <c r="X1227" s="133">
        <v>1</v>
      </c>
      <c r="Y1227" s="135">
        <v>0.92</v>
      </c>
      <c r="Z1227" s="135" t="s">
        <v>35</v>
      </c>
      <c r="AA1227" s="135" t="s">
        <v>35</v>
      </c>
      <c r="AB1227" s="135" t="s">
        <v>35</v>
      </c>
      <c r="AC1227" s="135">
        <v>1</v>
      </c>
      <c r="AD1227" s="135">
        <v>0.92</v>
      </c>
      <c r="AE1227" s="133">
        <v>0.998150716597319</v>
      </c>
      <c r="AF1227" s="133">
        <v>0.998038061604866</v>
      </c>
      <c r="AG1227" s="133">
        <v>0.995798319327731</v>
      </c>
      <c r="AH1227" s="133">
        <v>0.997145822522055</v>
      </c>
      <c r="AI1227" s="135">
        <v>0.92</v>
      </c>
      <c r="AJ1227" s="133" t="s">
        <v>35</v>
      </c>
      <c r="AK1227" s="133" t="s">
        <v>35</v>
      </c>
      <c r="AL1227" s="133" t="s">
        <v>35</v>
      </c>
      <c r="AM1227" s="133">
        <v>1</v>
      </c>
      <c r="AN1227" s="132">
        <v>0.99</v>
      </c>
      <c r="AO1227" s="137">
        <v>1</v>
      </c>
      <c r="AP1227" s="137">
        <v>1</v>
      </c>
      <c r="AQ1227" s="137">
        <v>1</v>
      </c>
      <c r="AR1227" s="137">
        <v>1</v>
      </c>
      <c r="AS1227" s="158">
        <v>0.0721861525408278</v>
      </c>
      <c r="AT1227" s="141" t="s">
        <v>35</v>
      </c>
      <c r="AU1227" s="141" t="s">
        <v>35</v>
      </c>
      <c r="AV1227" s="141" t="s">
        <v>35</v>
      </c>
      <c r="AW1227" s="141" t="s">
        <v>35</v>
      </c>
      <c r="AX1227" s="95"/>
      <c r="AY1227" s="93"/>
    </row>
    <row r="1228" ht="14.5" spans="1:51">
      <c r="A1228" s="91"/>
      <c r="B1228" s="95"/>
      <c r="C1228" s="152" t="s">
        <v>1085</v>
      </c>
      <c r="D1228" s="153" t="s">
        <v>25</v>
      </c>
      <c r="E1228" s="130" t="s">
        <v>1086</v>
      </c>
      <c r="F1228" s="195" t="s">
        <v>1258</v>
      </c>
      <c r="G1228" s="195" t="s">
        <v>1258</v>
      </c>
      <c r="H1228" s="195" t="s">
        <v>1258</v>
      </c>
      <c r="I1228" s="195" t="s">
        <v>1258</v>
      </c>
      <c r="J1228" s="132">
        <v>0.9</v>
      </c>
      <c r="K1228" s="133">
        <v>0.916666666666667</v>
      </c>
      <c r="L1228" s="133">
        <v>0.782608695652174</v>
      </c>
      <c r="M1228" s="134">
        <v>0.875</v>
      </c>
      <c r="N1228" s="133">
        <v>0.924019607843137</v>
      </c>
      <c r="O1228" s="135">
        <v>0.9</v>
      </c>
      <c r="P1228" s="133">
        <v>0.975623911781776</v>
      </c>
      <c r="Q1228" s="133">
        <v>0.929721815519766</v>
      </c>
      <c r="R1228" s="133">
        <v>0.983032873806999</v>
      </c>
      <c r="S1228" s="133">
        <v>0.863278982639439</v>
      </c>
      <c r="T1228" s="135">
        <v>0.9</v>
      </c>
      <c r="U1228" s="133">
        <v>0.892048752176436</v>
      </c>
      <c r="V1228" s="133">
        <v>0.794533918984871</v>
      </c>
      <c r="W1228" s="133">
        <v>0.873806998939555</v>
      </c>
      <c r="X1228" s="133">
        <v>0.825075193921165</v>
      </c>
      <c r="Y1228" s="135">
        <v>0.92</v>
      </c>
      <c r="Z1228" s="135">
        <v>0.830985915492958</v>
      </c>
      <c r="AA1228" s="135">
        <v>0.896551724137931</v>
      </c>
      <c r="AB1228" s="135">
        <v>0.902222222222222</v>
      </c>
      <c r="AC1228" s="135">
        <v>0.862531328320802</v>
      </c>
      <c r="AD1228" s="135">
        <v>0.92</v>
      </c>
      <c r="AE1228" s="133">
        <v>0.994649227110583</v>
      </c>
      <c r="AF1228" s="133">
        <v>0.999630723781389</v>
      </c>
      <c r="AG1228" s="133">
        <v>0.999683444127889</v>
      </c>
      <c r="AH1228" s="133">
        <v>0.99754355008909</v>
      </c>
      <c r="AI1228" s="135">
        <v>0.92</v>
      </c>
      <c r="AJ1228" s="133">
        <v>0.918326693227092</v>
      </c>
      <c r="AK1228" s="133">
        <v>0.923995224830879</v>
      </c>
      <c r="AL1228" s="133">
        <v>0.949486301369863</v>
      </c>
      <c r="AM1228" s="133">
        <v>0.936186906111063</v>
      </c>
      <c r="AN1228" s="132">
        <v>0.99</v>
      </c>
      <c r="AO1228" s="137">
        <v>1</v>
      </c>
      <c r="AP1228" s="137">
        <v>1</v>
      </c>
      <c r="AQ1228" s="137">
        <v>1</v>
      </c>
      <c r="AR1228" s="137">
        <v>1</v>
      </c>
      <c r="AS1228" s="158">
        <v>0.0721861525408278</v>
      </c>
      <c r="AT1228" s="141">
        <v>0</v>
      </c>
      <c r="AU1228" s="141">
        <v>0</v>
      </c>
      <c r="AV1228" s="141">
        <v>0.0588235294117647</v>
      </c>
      <c r="AW1228" s="141">
        <v>0.00852272727272727</v>
      </c>
      <c r="AX1228" s="95"/>
      <c r="AY1228" s="93"/>
    </row>
    <row r="1229" ht="14.5" spans="1:51">
      <c r="A1229" s="91"/>
      <c r="B1229" s="95"/>
      <c r="C1229" s="152" t="s">
        <v>1085</v>
      </c>
      <c r="D1229" s="153" t="s">
        <v>25</v>
      </c>
      <c r="E1229" s="130" t="s">
        <v>1086</v>
      </c>
      <c r="F1229" s="195" t="s">
        <v>1259</v>
      </c>
      <c r="G1229" s="195" t="s">
        <v>1259</v>
      </c>
      <c r="H1229" s="195" t="s">
        <v>1259</v>
      </c>
      <c r="I1229" s="195" t="s">
        <v>1259</v>
      </c>
      <c r="J1229" s="132">
        <v>0.9</v>
      </c>
      <c r="K1229" s="133">
        <v>0.896551724137931</v>
      </c>
      <c r="L1229" s="133">
        <v>0.964285714285714</v>
      </c>
      <c r="M1229" s="134">
        <v>0.870967741935484</v>
      </c>
      <c r="N1229" s="133">
        <v>0.963178294573643</v>
      </c>
      <c r="O1229" s="135">
        <v>0.9</v>
      </c>
      <c r="P1229" s="133">
        <v>0.97105382180009</v>
      </c>
      <c r="Q1229" s="133">
        <v>0.967844382691544</v>
      </c>
      <c r="R1229" s="133">
        <v>0.959124690338563</v>
      </c>
      <c r="S1229" s="133">
        <v>0.967198992777152</v>
      </c>
      <c r="T1229" s="135">
        <v>0.9</v>
      </c>
      <c r="U1229" s="133">
        <v>0.920398009950249</v>
      </c>
      <c r="V1229" s="133">
        <v>0.910281857880111</v>
      </c>
      <c r="W1229" s="133">
        <v>0.94467382328654</v>
      </c>
      <c r="X1229" s="133">
        <v>0.93075342919621</v>
      </c>
      <c r="Y1229" s="135">
        <v>0.92</v>
      </c>
      <c r="Z1229" s="135">
        <v>0.955263157894737</v>
      </c>
      <c r="AA1229" s="135">
        <v>0.928832116788321</v>
      </c>
      <c r="AB1229" s="135">
        <v>0.962025316455696</v>
      </c>
      <c r="AC1229" s="135">
        <v>0.966262889178096</v>
      </c>
      <c r="AD1229" s="135">
        <v>0.92</v>
      </c>
      <c r="AE1229" s="133">
        <v>1</v>
      </c>
      <c r="AF1229" s="133">
        <v>0.999476165531692</v>
      </c>
      <c r="AG1229" s="133">
        <v>0.999846331156358</v>
      </c>
      <c r="AH1229" s="133">
        <v>0.998508994353506</v>
      </c>
      <c r="AI1229" s="135">
        <v>0.92</v>
      </c>
      <c r="AJ1229" s="133">
        <v>0.965703275529865</v>
      </c>
      <c r="AK1229" s="133">
        <v>0.959934853420195</v>
      </c>
      <c r="AL1229" s="133">
        <v>0.98153122901276</v>
      </c>
      <c r="AM1229" s="133">
        <v>0.981213271856071</v>
      </c>
      <c r="AN1229" s="132">
        <v>0.99</v>
      </c>
      <c r="AO1229" s="137">
        <v>1</v>
      </c>
      <c r="AP1229" s="137">
        <v>1</v>
      </c>
      <c r="AQ1229" s="137">
        <v>1</v>
      </c>
      <c r="AR1229" s="137">
        <v>1</v>
      </c>
      <c r="AS1229" s="158">
        <v>0.0721861525408278</v>
      </c>
      <c r="AT1229" s="141">
        <v>0</v>
      </c>
      <c r="AU1229" s="141">
        <v>0.04</v>
      </c>
      <c r="AV1229" s="141">
        <v>0.0416666666666667</v>
      </c>
      <c r="AW1229" s="141">
        <v>0.0174927113702624</v>
      </c>
      <c r="AX1229" s="95"/>
      <c r="AY1229" s="93"/>
    </row>
    <row r="1230" ht="14.5" spans="1:51">
      <c r="A1230" s="91"/>
      <c r="B1230" s="95"/>
      <c r="C1230" s="152" t="s">
        <v>1085</v>
      </c>
      <c r="D1230" s="153" t="s">
        <v>25</v>
      </c>
      <c r="E1230" s="130" t="s">
        <v>1086</v>
      </c>
      <c r="F1230" s="195" t="s">
        <v>1260</v>
      </c>
      <c r="G1230" s="195" t="s">
        <v>1260</v>
      </c>
      <c r="H1230" s="195" t="s">
        <v>1260</v>
      </c>
      <c r="I1230" s="195" t="s">
        <v>1260</v>
      </c>
      <c r="J1230" s="132">
        <v>0.9</v>
      </c>
      <c r="K1230" s="133">
        <v>0.983870967741935</v>
      </c>
      <c r="L1230" s="133">
        <v>0.983333333333333</v>
      </c>
      <c r="M1230" s="134">
        <v>0.985507246376812</v>
      </c>
      <c r="N1230" s="133">
        <v>0.981165919282511</v>
      </c>
      <c r="O1230" s="135">
        <v>0.9</v>
      </c>
      <c r="P1230" s="133">
        <v>0.923839746132487</v>
      </c>
      <c r="Q1230" s="133">
        <v>0.929710780017528</v>
      </c>
      <c r="R1230" s="133">
        <v>0.933573635427394</v>
      </c>
      <c r="S1230" s="133">
        <v>0.89554297196091</v>
      </c>
      <c r="T1230" s="135">
        <v>0.9</v>
      </c>
      <c r="U1230" s="133">
        <v>0.824077746925823</v>
      </c>
      <c r="V1230" s="133">
        <v>0.78510078878177</v>
      </c>
      <c r="W1230" s="133">
        <v>0.839855818743563</v>
      </c>
      <c r="X1230" s="133">
        <v>0.805260754406795</v>
      </c>
      <c r="Y1230" s="135">
        <v>0.92</v>
      </c>
      <c r="Z1230" s="135">
        <v>0.816105769230769</v>
      </c>
      <c r="AA1230" s="135">
        <v>0.797947908445146</v>
      </c>
      <c r="AB1230" s="135">
        <v>0.897435897435897</v>
      </c>
      <c r="AC1230" s="135">
        <v>0.875690720805534</v>
      </c>
      <c r="AD1230" s="135">
        <v>0.92</v>
      </c>
      <c r="AE1230" s="133">
        <v>0.997711670480549</v>
      </c>
      <c r="AF1230" s="133">
        <v>0.99822695035461</v>
      </c>
      <c r="AG1230" s="133">
        <v>0.994286703601108</v>
      </c>
      <c r="AH1230" s="133">
        <v>0.987432158955018</v>
      </c>
      <c r="AI1230" s="135">
        <v>0.92</v>
      </c>
      <c r="AJ1230" s="133">
        <v>0.916411304051754</v>
      </c>
      <c r="AK1230" s="133">
        <v>0.897016637980493</v>
      </c>
      <c r="AL1230" s="133">
        <v>0.950047638491901</v>
      </c>
      <c r="AM1230" s="133">
        <v>0.945088259012574</v>
      </c>
      <c r="AN1230" s="132">
        <v>0.99</v>
      </c>
      <c r="AO1230" s="137">
        <v>1</v>
      </c>
      <c r="AP1230" s="137">
        <v>1</v>
      </c>
      <c r="AQ1230" s="137">
        <v>1</v>
      </c>
      <c r="AR1230" s="137">
        <v>1</v>
      </c>
      <c r="AS1230" s="158">
        <v>0.0721861525408278</v>
      </c>
      <c r="AT1230" s="141">
        <v>0.0357142857142857</v>
      </c>
      <c r="AU1230" s="141">
        <v>0.0701754385964912</v>
      </c>
      <c r="AV1230" s="141">
        <v>0.0526315789473684</v>
      </c>
      <c r="AW1230" s="141">
        <v>0.0431034482758621</v>
      </c>
      <c r="AX1230" s="95"/>
      <c r="AY1230" s="93"/>
    </row>
    <row r="1231" ht="14.5" spans="1:51">
      <c r="A1231" s="91"/>
      <c r="B1231" s="95"/>
      <c r="C1231" s="152" t="s">
        <v>1085</v>
      </c>
      <c r="D1231" s="153" t="s">
        <v>125</v>
      </c>
      <c r="E1231" s="130" t="s">
        <v>1086</v>
      </c>
      <c r="F1231" s="195" t="s">
        <v>1261</v>
      </c>
      <c r="G1231" s="195" t="s">
        <v>1261</v>
      </c>
      <c r="H1231" s="195" t="s">
        <v>1261</v>
      </c>
      <c r="I1231" s="195" t="s">
        <v>1261</v>
      </c>
      <c r="J1231" s="132">
        <v>0.9</v>
      </c>
      <c r="K1231" s="133" t="s">
        <v>35</v>
      </c>
      <c r="L1231" s="133" t="s">
        <v>35</v>
      </c>
      <c r="M1231" s="134" t="s">
        <v>35</v>
      </c>
      <c r="N1231" s="133" t="s">
        <v>35</v>
      </c>
      <c r="O1231" s="135">
        <v>0.9</v>
      </c>
      <c r="P1231" s="133" t="s">
        <v>35</v>
      </c>
      <c r="Q1231" s="133" t="s">
        <v>35</v>
      </c>
      <c r="R1231" s="133" t="s">
        <v>35</v>
      </c>
      <c r="S1231" s="133">
        <v>0</v>
      </c>
      <c r="T1231" s="135">
        <v>0.9</v>
      </c>
      <c r="U1231" s="133" t="s">
        <v>35</v>
      </c>
      <c r="V1231" s="133" t="s">
        <v>35</v>
      </c>
      <c r="W1231" s="133" t="s">
        <v>35</v>
      </c>
      <c r="X1231" s="133">
        <v>0.5</v>
      </c>
      <c r="Y1231" s="135">
        <v>0.92</v>
      </c>
      <c r="Z1231" s="135" t="s">
        <v>35</v>
      </c>
      <c r="AA1231" s="135" t="s">
        <v>35</v>
      </c>
      <c r="AB1231" s="135" t="s">
        <v>35</v>
      </c>
      <c r="AC1231" s="135" t="s">
        <v>35</v>
      </c>
      <c r="AD1231" s="135">
        <v>0.92</v>
      </c>
      <c r="AE1231" s="133" t="s">
        <v>35</v>
      </c>
      <c r="AF1231" s="133" t="s">
        <v>35</v>
      </c>
      <c r="AG1231" s="133" t="s">
        <v>35</v>
      </c>
      <c r="AH1231" s="133">
        <v>0.814747794616603</v>
      </c>
      <c r="AI1231" s="135">
        <v>0.92</v>
      </c>
      <c r="AJ1231" s="133" t="s">
        <v>35</v>
      </c>
      <c r="AK1231" s="133" t="s">
        <v>35</v>
      </c>
      <c r="AL1231" s="133" t="s">
        <v>35</v>
      </c>
      <c r="AM1231" s="133">
        <v>0.666666666666667</v>
      </c>
      <c r="AN1231" s="132">
        <v>0.99</v>
      </c>
      <c r="AO1231" s="137" t="s">
        <v>35</v>
      </c>
      <c r="AP1231" s="137" t="s">
        <v>35</v>
      </c>
      <c r="AQ1231" s="137" t="s">
        <v>35</v>
      </c>
      <c r="AR1231" s="137">
        <v>1</v>
      </c>
      <c r="AS1231" s="158">
        <v>0.0721861525408278</v>
      </c>
      <c r="AT1231" s="141" t="s">
        <v>35</v>
      </c>
      <c r="AU1231" s="141" t="s">
        <v>35</v>
      </c>
      <c r="AV1231" s="141" t="s">
        <v>35</v>
      </c>
      <c r="AW1231" s="141" t="s">
        <v>35</v>
      </c>
      <c r="AX1231" s="95"/>
      <c r="AY1231" s="93"/>
    </row>
    <row r="1232" ht="14.5" spans="1:51">
      <c r="A1232" s="91"/>
      <c r="B1232" s="95"/>
      <c r="C1232" s="152" t="s">
        <v>1085</v>
      </c>
      <c r="D1232" s="153" t="s">
        <v>25</v>
      </c>
      <c r="E1232" s="130" t="s">
        <v>1086</v>
      </c>
      <c r="F1232" s="195" t="s">
        <v>1262</v>
      </c>
      <c r="G1232" s="195" t="s">
        <v>1262</v>
      </c>
      <c r="H1232" s="195" t="s">
        <v>1262</v>
      </c>
      <c r="I1232" s="195" t="s">
        <v>1262</v>
      </c>
      <c r="J1232" s="132">
        <v>0.9</v>
      </c>
      <c r="K1232" s="133">
        <v>0.814814814814815</v>
      </c>
      <c r="L1232" s="133">
        <v>0.857142857142857</v>
      </c>
      <c r="M1232" s="134">
        <v>0.741935483870968</v>
      </c>
      <c r="N1232" s="133">
        <v>0.902255639097744</v>
      </c>
      <c r="O1232" s="135">
        <v>0.9</v>
      </c>
      <c r="P1232" s="133">
        <v>0.975073933248838</v>
      </c>
      <c r="Q1232" s="133">
        <v>0.988351570773032</v>
      </c>
      <c r="R1232" s="133">
        <v>0.969675845242245</v>
      </c>
      <c r="S1232" s="133">
        <v>0.969278973617368</v>
      </c>
      <c r="T1232" s="135">
        <v>0.9</v>
      </c>
      <c r="U1232" s="133">
        <v>0.875792141951838</v>
      </c>
      <c r="V1232" s="133">
        <v>0.805506530180021</v>
      </c>
      <c r="W1232" s="133">
        <v>0.849076333217149</v>
      </c>
      <c r="X1232" s="133">
        <v>0.882362756549308</v>
      </c>
      <c r="Y1232" s="135">
        <v>0.92</v>
      </c>
      <c r="Z1232" s="135">
        <v>0.872972972972973</v>
      </c>
      <c r="AA1232" s="135">
        <v>0.86491935483871</v>
      </c>
      <c r="AB1232" s="135">
        <v>0.922958397534669</v>
      </c>
      <c r="AC1232" s="135">
        <v>0.935085981813271</v>
      </c>
      <c r="AD1232" s="135">
        <v>0.92</v>
      </c>
      <c r="AE1232" s="133">
        <v>0.989701338825953</v>
      </c>
      <c r="AF1232" s="133">
        <v>0.991727249937328</v>
      </c>
      <c r="AG1232" s="133">
        <v>0.992663242846662</v>
      </c>
      <c r="AH1232" s="133">
        <v>0.986894745036452</v>
      </c>
      <c r="AI1232" s="135">
        <v>0.92</v>
      </c>
      <c r="AJ1232" s="133">
        <v>0.923666910153397</v>
      </c>
      <c r="AK1232" s="133">
        <v>0.914689095824572</v>
      </c>
      <c r="AL1232" s="133">
        <v>0.949403069926094</v>
      </c>
      <c r="AM1232" s="133">
        <v>0.963198106101367</v>
      </c>
      <c r="AN1232" s="132">
        <v>0.99</v>
      </c>
      <c r="AO1232" s="137">
        <v>1</v>
      </c>
      <c r="AP1232" s="137">
        <v>1</v>
      </c>
      <c r="AQ1232" s="137">
        <v>1</v>
      </c>
      <c r="AR1232" s="137">
        <v>1</v>
      </c>
      <c r="AS1232" s="158">
        <v>0.0721861525408278</v>
      </c>
      <c r="AT1232" s="141">
        <v>0</v>
      </c>
      <c r="AU1232" s="141">
        <v>0.0434782608695652</v>
      </c>
      <c r="AV1232" s="141">
        <v>0</v>
      </c>
      <c r="AW1232" s="141">
        <v>0.0323974082073434</v>
      </c>
      <c r="AX1232" s="95"/>
      <c r="AY1232" s="93"/>
    </row>
    <row r="1233" ht="14.5" spans="1:51">
      <c r="A1233" s="91"/>
      <c r="B1233" s="95"/>
      <c r="C1233" s="152" t="s">
        <v>1085</v>
      </c>
      <c r="D1233" s="153" t="s">
        <v>125</v>
      </c>
      <c r="E1233" s="130" t="s">
        <v>1086</v>
      </c>
      <c r="F1233" s="195" t="s">
        <v>1263</v>
      </c>
      <c r="G1233" s="195" t="s">
        <v>1263</v>
      </c>
      <c r="H1233" s="195" t="s">
        <v>1263</v>
      </c>
      <c r="I1233" s="195" t="s">
        <v>1263</v>
      </c>
      <c r="J1233" s="132">
        <v>0.9</v>
      </c>
      <c r="K1233" s="133" t="s">
        <v>35</v>
      </c>
      <c r="L1233" s="133" t="s">
        <v>35</v>
      </c>
      <c r="M1233" s="134" t="s">
        <v>35</v>
      </c>
      <c r="N1233" s="133" t="s">
        <v>35</v>
      </c>
      <c r="O1233" s="135">
        <v>0.9</v>
      </c>
      <c r="P1233" s="133" t="s">
        <v>35</v>
      </c>
      <c r="Q1233" s="133" t="s">
        <v>35</v>
      </c>
      <c r="R1233" s="133" t="s">
        <v>35</v>
      </c>
      <c r="S1233" s="133">
        <v>0</v>
      </c>
      <c r="T1233" s="135">
        <v>0.9</v>
      </c>
      <c r="U1233" s="133" t="s">
        <v>35</v>
      </c>
      <c r="V1233" s="133" t="s">
        <v>35</v>
      </c>
      <c r="W1233" s="133" t="s">
        <v>35</v>
      </c>
      <c r="X1233" s="133">
        <v>0.888888888888889</v>
      </c>
      <c r="Y1233" s="135">
        <v>0.92</v>
      </c>
      <c r="Z1233" s="135" t="s">
        <v>35</v>
      </c>
      <c r="AA1233" s="135" t="s">
        <v>35</v>
      </c>
      <c r="AB1233" s="135" t="s">
        <v>35</v>
      </c>
      <c r="AC1233" s="135">
        <v>1</v>
      </c>
      <c r="AD1233" s="135">
        <v>0.92</v>
      </c>
      <c r="AE1233" s="133">
        <v>1</v>
      </c>
      <c r="AF1233" s="133">
        <v>0.998296422487223</v>
      </c>
      <c r="AG1233" s="133">
        <v>0.998281786941581</v>
      </c>
      <c r="AH1233" s="133">
        <v>0.862480912602174</v>
      </c>
      <c r="AI1233" s="135">
        <v>0.92</v>
      </c>
      <c r="AJ1233" s="133" t="s">
        <v>35</v>
      </c>
      <c r="AK1233" s="133" t="s">
        <v>35</v>
      </c>
      <c r="AL1233" s="133" t="s">
        <v>35</v>
      </c>
      <c r="AM1233" s="133">
        <v>1</v>
      </c>
      <c r="AN1233" s="132">
        <v>0.99</v>
      </c>
      <c r="AO1233" s="137">
        <v>1</v>
      </c>
      <c r="AP1233" s="137">
        <v>1</v>
      </c>
      <c r="AQ1233" s="137">
        <v>1</v>
      </c>
      <c r="AR1233" s="137">
        <v>1</v>
      </c>
      <c r="AS1233" s="158">
        <v>0.0721861525408278</v>
      </c>
      <c r="AT1233" s="141" t="s">
        <v>35</v>
      </c>
      <c r="AU1233" s="141" t="s">
        <v>35</v>
      </c>
      <c r="AV1233" s="141" t="s">
        <v>35</v>
      </c>
      <c r="AW1233" s="141" t="s">
        <v>35</v>
      </c>
      <c r="AX1233" s="95"/>
      <c r="AY1233" s="93"/>
    </row>
    <row r="1234" ht="14.5" spans="1:51">
      <c r="A1234" s="91"/>
      <c r="B1234" s="95"/>
      <c r="C1234" s="152" t="s">
        <v>1085</v>
      </c>
      <c r="D1234" s="153" t="s">
        <v>25</v>
      </c>
      <c r="E1234" s="130" t="s">
        <v>1086</v>
      </c>
      <c r="F1234" s="195" t="s">
        <v>1264</v>
      </c>
      <c r="G1234" s="195" t="s">
        <v>1264</v>
      </c>
      <c r="H1234" s="195" t="s">
        <v>1264</v>
      </c>
      <c r="I1234" s="195" t="s">
        <v>1264</v>
      </c>
      <c r="J1234" s="132">
        <v>0.9</v>
      </c>
      <c r="K1234" s="133">
        <v>0.890909090909091</v>
      </c>
      <c r="L1234" s="133">
        <v>0.944444444444444</v>
      </c>
      <c r="M1234" s="134">
        <v>0.886792452830189</v>
      </c>
      <c r="N1234" s="133">
        <v>0.929752066115702</v>
      </c>
      <c r="O1234" s="135">
        <v>0.9</v>
      </c>
      <c r="P1234" s="133">
        <v>0.951579432787641</v>
      </c>
      <c r="Q1234" s="133">
        <v>0.945852063751533</v>
      </c>
      <c r="R1234" s="133">
        <v>0.974143367668699</v>
      </c>
      <c r="S1234" s="133">
        <v>0.956532039594986</v>
      </c>
      <c r="T1234" s="135">
        <v>0.9</v>
      </c>
      <c r="U1234" s="133">
        <v>0.884482361079087</v>
      </c>
      <c r="V1234" s="133">
        <v>0.888026154474867</v>
      </c>
      <c r="W1234" s="133">
        <v>0.915703174269498</v>
      </c>
      <c r="X1234" s="133">
        <v>0.905709547500592</v>
      </c>
      <c r="Y1234" s="135">
        <v>0.92</v>
      </c>
      <c r="Z1234" s="135">
        <v>0.943251533742331</v>
      </c>
      <c r="AA1234" s="135">
        <v>0.872113676731794</v>
      </c>
      <c r="AB1234" s="135">
        <v>0.933709449929478</v>
      </c>
      <c r="AC1234" s="135">
        <v>0.943806757940349</v>
      </c>
      <c r="AD1234" s="135">
        <v>0.92</v>
      </c>
      <c r="AE1234" s="133">
        <v>0.999694842844065</v>
      </c>
      <c r="AF1234" s="133">
        <v>0.992963940193492</v>
      </c>
      <c r="AG1234" s="133">
        <v>0.993220662656354</v>
      </c>
      <c r="AH1234" s="133">
        <v>0.979796208182224</v>
      </c>
      <c r="AI1234" s="135">
        <v>0.92</v>
      </c>
      <c r="AJ1234" s="133">
        <v>0.944878733213069</v>
      </c>
      <c r="AK1234" s="133">
        <v>0.927290836653386</v>
      </c>
      <c r="AL1234" s="133">
        <v>0.969407575267077</v>
      </c>
      <c r="AM1234" s="133">
        <v>0.970543418781833</v>
      </c>
      <c r="AN1234" s="132">
        <v>0.99</v>
      </c>
      <c r="AO1234" s="137">
        <v>1</v>
      </c>
      <c r="AP1234" s="137">
        <v>1</v>
      </c>
      <c r="AQ1234" s="137">
        <v>1</v>
      </c>
      <c r="AR1234" s="137">
        <v>1</v>
      </c>
      <c r="AS1234" s="158">
        <v>0.0721861525408278</v>
      </c>
      <c r="AT1234" s="141">
        <v>0</v>
      </c>
      <c r="AU1234" s="141">
        <v>0.0588235294117647</v>
      </c>
      <c r="AV1234" s="141">
        <v>0</v>
      </c>
      <c r="AW1234" s="141">
        <v>0.0218487394957983</v>
      </c>
      <c r="AX1234" s="95"/>
      <c r="AY1234" s="93"/>
    </row>
    <row r="1235" ht="14.5" spans="1:51">
      <c r="A1235" s="91"/>
      <c r="B1235" s="95"/>
      <c r="C1235" s="152" t="s">
        <v>1085</v>
      </c>
      <c r="D1235" s="153" t="s">
        <v>25</v>
      </c>
      <c r="E1235" s="130" t="s">
        <v>1086</v>
      </c>
      <c r="F1235" s="195" t="s">
        <v>1265</v>
      </c>
      <c r="G1235" s="195" t="s">
        <v>1265</v>
      </c>
      <c r="H1235" s="195" t="s">
        <v>1265</v>
      </c>
      <c r="I1235" s="195" t="s">
        <v>1265</v>
      </c>
      <c r="J1235" s="132">
        <v>0.9</v>
      </c>
      <c r="K1235" s="133">
        <v>0.941176470588235</v>
      </c>
      <c r="L1235" s="133">
        <v>0.96969696969697</v>
      </c>
      <c r="M1235" s="134">
        <v>0.947368421052632</v>
      </c>
      <c r="N1235" s="133">
        <v>0.950871632329635</v>
      </c>
      <c r="O1235" s="135">
        <v>0.9</v>
      </c>
      <c r="P1235" s="133">
        <v>0.972593800978793</v>
      </c>
      <c r="Q1235" s="133">
        <v>0.965361445783133</v>
      </c>
      <c r="R1235" s="133">
        <v>0.971839249046641</v>
      </c>
      <c r="S1235" s="133">
        <v>0.953655154828119</v>
      </c>
      <c r="T1235" s="135">
        <v>0.9</v>
      </c>
      <c r="U1235" s="133">
        <v>0.908972267536705</v>
      </c>
      <c r="V1235" s="133">
        <v>0.892168674698795</v>
      </c>
      <c r="W1235" s="133">
        <v>0.930184804928131</v>
      </c>
      <c r="X1235" s="133">
        <v>0.907613112977513</v>
      </c>
      <c r="Y1235" s="135">
        <v>0.92</v>
      </c>
      <c r="Z1235" s="135">
        <v>0.939622641509434</v>
      </c>
      <c r="AA1235" s="135">
        <v>0.916230366492147</v>
      </c>
      <c r="AB1235" s="135">
        <v>0.925790754257908</v>
      </c>
      <c r="AC1235" s="135">
        <v>0.938935912938331</v>
      </c>
      <c r="AD1235" s="135">
        <v>0.92</v>
      </c>
      <c r="AE1235" s="133">
        <v>0.997712044451708</v>
      </c>
      <c r="AF1235" s="133">
        <v>0.998498498498498</v>
      </c>
      <c r="AG1235" s="133">
        <v>0.998335745296671</v>
      </c>
      <c r="AH1235" s="133">
        <v>0.950298372454723</v>
      </c>
      <c r="AI1235" s="135">
        <v>0.92</v>
      </c>
      <c r="AJ1235" s="133">
        <v>0.957719054242003</v>
      </c>
      <c r="AK1235" s="133">
        <v>0.943437806072478</v>
      </c>
      <c r="AL1235" s="133">
        <v>0.965492791302293</v>
      </c>
      <c r="AM1235" s="133">
        <v>0.96650478409076</v>
      </c>
      <c r="AN1235" s="132">
        <v>0.99</v>
      </c>
      <c r="AO1235" s="137">
        <v>1</v>
      </c>
      <c r="AP1235" s="137">
        <v>1</v>
      </c>
      <c r="AQ1235" s="137">
        <v>1</v>
      </c>
      <c r="AR1235" s="137">
        <v>1</v>
      </c>
      <c r="AS1235" s="158">
        <v>0.0721861525408278</v>
      </c>
      <c r="AT1235" s="141">
        <v>0.0588235294117647</v>
      </c>
      <c r="AU1235" s="141">
        <v>0.04</v>
      </c>
      <c r="AV1235" s="141">
        <v>0.0606060606060606</v>
      </c>
      <c r="AW1235" s="141">
        <v>0.0728744939271255</v>
      </c>
      <c r="AX1235" s="95"/>
      <c r="AY1235" s="93"/>
    </row>
    <row r="1236" ht="14.5" spans="1:51">
      <c r="A1236" s="91"/>
      <c r="B1236" s="95"/>
      <c r="C1236" s="152" t="s">
        <v>1085</v>
      </c>
      <c r="D1236" s="153" t="s">
        <v>125</v>
      </c>
      <c r="E1236" s="130" t="s">
        <v>1086</v>
      </c>
      <c r="F1236" s="195" t="s">
        <v>1266</v>
      </c>
      <c r="G1236" s="195" t="s">
        <v>1266</v>
      </c>
      <c r="H1236" s="195" t="s">
        <v>1266</v>
      </c>
      <c r="I1236" s="195" t="s">
        <v>1266</v>
      </c>
      <c r="J1236" s="132">
        <v>0.9</v>
      </c>
      <c r="K1236" s="133" t="s">
        <v>35</v>
      </c>
      <c r="L1236" s="133" t="s">
        <v>35</v>
      </c>
      <c r="M1236" s="134" t="s">
        <v>35</v>
      </c>
      <c r="N1236" s="133" t="s">
        <v>35</v>
      </c>
      <c r="O1236" s="135">
        <v>0.9</v>
      </c>
      <c r="P1236" s="133">
        <v>0</v>
      </c>
      <c r="Q1236" s="133">
        <v>0</v>
      </c>
      <c r="R1236" s="133">
        <v>0</v>
      </c>
      <c r="S1236" s="133">
        <v>0.270833333333333</v>
      </c>
      <c r="T1236" s="135">
        <v>0.9</v>
      </c>
      <c r="U1236" s="133">
        <v>1</v>
      </c>
      <c r="V1236" s="133">
        <v>0</v>
      </c>
      <c r="W1236" s="133">
        <v>0.571428571428571</v>
      </c>
      <c r="X1236" s="133">
        <v>0.791666666666667</v>
      </c>
      <c r="Y1236" s="135">
        <v>0.92</v>
      </c>
      <c r="Z1236" s="135" t="s">
        <v>35</v>
      </c>
      <c r="AA1236" s="135" t="s">
        <v>35</v>
      </c>
      <c r="AB1236" s="135" t="s">
        <v>35</v>
      </c>
      <c r="AC1236" s="135">
        <v>1</v>
      </c>
      <c r="AD1236" s="135">
        <v>0.92</v>
      </c>
      <c r="AE1236" s="133">
        <v>0.998771660451854</v>
      </c>
      <c r="AF1236" s="133">
        <v>0.997658862876254</v>
      </c>
      <c r="AG1236" s="133">
        <v>0.995180127294074</v>
      </c>
      <c r="AH1236" s="133">
        <v>0.969088766692851</v>
      </c>
      <c r="AI1236" s="135">
        <v>0.92</v>
      </c>
      <c r="AJ1236" s="133">
        <v>1</v>
      </c>
      <c r="AK1236" s="133">
        <v>0</v>
      </c>
      <c r="AL1236" s="133">
        <v>0.571428571428571</v>
      </c>
      <c r="AM1236" s="133">
        <v>0.793103448275862</v>
      </c>
      <c r="AN1236" s="132">
        <v>0.99</v>
      </c>
      <c r="AO1236" s="137">
        <v>1</v>
      </c>
      <c r="AP1236" s="137">
        <v>1</v>
      </c>
      <c r="AQ1236" s="137">
        <v>1</v>
      </c>
      <c r="AR1236" s="137">
        <v>1</v>
      </c>
      <c r="AS1236" s="158">
        <v>0.0721861525408278</v>
      </c>
      <c r="AT1236" s="141" t="s">
        <v>35</v>
      </c>
      <c r="AU1236" s="141" t="s">
        <v>35</v>
      </c>
      <c r="AV1236" s="141" t="s">
        <v>35</v>
      </c>
      <c r="AW1236" s="141">
        <v>0</v>
      </c>
      <c r="AX1236" s="95"/>
      <c r="AY1236" s="93"/>
    </row>
    <row r="1237" ht="14.5" spans="1:51">
      <c r="A1237" s="91"/>
      <c r="B1237" s="95"/>
      <c r="C1237" s="152" t="s">
        <v>1085</v>
      </c>
      <c r="D1237" s="153" t="s">
        <v>25</v>
      </c>
      <c r="E1237" s="130" t="s">
        <v>1086</v>
      </c>
      <c r="F1237" s="195" t="s">
        <v>1267</v>
      </c>
      <c r="G1237" s="195" t="s">
        <v>1267</v>
      </c>
      <c r="H1237" s="195" t="s">
        <v>1267</v>
      </c>
      <c r="I1237" s="195" t="s">
        <v>1267</v>
      </c>
      <c r="J1237" s="132">
        <v>0.9</v>
      </c>
      <c r="K1237" s="133">
        <v>0.956521739130435</v>
      </c>
      <c r="L1237" s="133">
        <v>0.956521739130435</v>
      </c>
      <c r="M1237" s="134">
        <v>0.947368421052632</v>
      </c>
      <c r="N1237" s="133">
        <v>0.961622807017544</v>
      </c>
      <c r="O1237" s="135">
        <v>0.9</v>
      </c>
      <c r="P1237" s="133">
        <v>0.963339640491958</v>
      </c>
      <c r="Q1237" s="133">
        <v>0.828249336870027</v>
      </c>
      <c r="R1237" s="133">
        <v>0.93954283272805</v>
      </c>
      <c r="S1237" s="133">
        <v>0.847876501332595</v>
      </c>
      <c r="T1237" s="135">
        <v>0.9</v>
      </c>
      <c r="U1237" s="133">
        <v>0.815988647114475</v>
      </c>
      <c r="V1237" s="133">
        <v>0.735853227232538</v>
      </c>
      <c r="W1237" s="133">
        <v>0.844050416577654</v>
      </c>
      <c r="X1237" s="133">
        <v>0.811233025278922</v>
      </c>
      <c r="Y1237" s="135">
        <v>0.92</v>
      </c>
      <c r="Z1237" s="135">
        <v>0.883152173913043</v>
      </c>
      <c r="AA1237" s="135">
        <v>0.841986455981941</v>
      </c>
      <c r="AB1237" s="135">
        <v>0.919130434782609</v>
      </c>
      <c r="AC1237" s="135">
        <v>0.927899349427389</v>
      </c>
      <c r="AD1237" s="135">
        <v>0.92</v>
      </c>
      <c r="AE1237" s="133">
        <v>0.998641730226727</v>
      </c>
      <c r="AF1237" s="133">
        <v>0.992568597560976</v>
      </c>
      <c r="AG1237" s="133">
        <v>0.995789975375328</v>
      </c>
      <c r="AH1237" s="133">
        <v>0.969792028589864</v>
      </c>
      <c r="AI1237" s="135">
        <v>0.92</v>
      </c>
      <c r="AJ1237" s="133">
        <v>0.916398066075745</v>
      </c>
      <c r="AK1237" s="133">
        <v>0.897800776196636</v>
      </c>
      <c r="AL1237" s="133">
        <v>0.955410735722861</v>
      </c>
      <c r="AM1237" s="133">
        <v>0.957502588409624</v>
      </c>
      <c r="AN1237" s="132">
        <v>0.99</v>
      </c>
      <c r="AO1237" s="137">
        <v>1</v>
      </c>
      <c r="AP1237" s="137">
        <v>1</v>
      </c>
      <c r="AQ1237" s="137">
        <v>1</v>
      </c>
      <c r="AR1237" s="137">
        <v>1</v>
      </c>
      <c r="AS1237" s="158">
        <v>0.0721861525408278</v>
      </c>
      <c r="AT1237" s="141">
        <v>0</v>
      </c>
      <c r="AU1237" s="141">
        <v>0.0434782608695652</v>
      </c>
      <c r="AV1237" s="141">
        <v>0</v>
      </c>
      <c r="AW1237" s="141">
        <v>0.0125944584382872</v>
      </c>
      <c r="AX1237" s="95"/>
      <c r="AY1237" s="93"/>
    </row>
    <row r="1238" ht="14.5" spans="1:51">
      <c r="A1238" s="91"/>
      <c r="B1238" s="95"/>
      <c r="C1238" s="152" t="s">
        <v>1085</v>
      </c>
      <c r="D1238" s="153" t="s">
        <v>125</v>
      </c>
      <c r="E1238" s="130" t="s">
        <v>1086</v>
      </c>
      <c r="F1238" s="195" t="s">
        <v>1268</v>
      </c>
      <c r="G1238" s="195" t="s">
        <v>1268</v>
      </c>
      <c r="H1238" s="195" t="s">
        <v>1268</v>
      </c>
      <c r="I1238" s="195" t="s">
        <v>1268</v>
      </c>
      <c r="J1238" s="132">
        <v>0.9</v>
      </c>
      <c r="K1238" s="133" t="s">
        <v>35</v>
      </c>
      <c r="L1238" s="133" t="s">
        <v>35</v>
      </c>
      <c r="M1238" s="134" t="s">
        <v>35</v>
      </c>
      <c r="N1238" s="133" t="s">
        <v>35</v>
      </c>
      <c r="O1238" s="135">
        <v>0.9</v>
      </c>
      <c r="P1238" s="133" t="s">
        <v>35</v>
      </c>
      <c r="Q1238" s="133">
        <v>0</v>
      </c>
      <c r="R1238" s="133">
        <v>0</v>
      </c>
      <c r="S1238" s="133">
        <v>0</v>
      </c>
      <c r="T1238" s="135">
        <v>0.9</v>
      </c>
      <c r="U1238" s="133" t="s">
        <v>35</v>
      </c>
      <c r="V1238" s="133">
        <v>1</v>
      </c>
      <c r="W1238" s="133">
        <v>1</v>
      </c>
      <c r="X1238" s="133">
        <v>1</v>
      </c>
      <c r="Y1238" s="135">
        <v>0.92</v>
      </c>
      <c r="Z1238" s="135" t="s">
        <v>35</v>
      </c>
      <c r="AA1238" s="135" t="s">
        <v>35</v>
      </c>
      <c r="AB1238" s="135" t="s">
        <v>35</v>
      </c>
      <c r="AC1238" s="135">
        <v>1</v>
      </c>
      <c r="AD1238" s="135">
        <v>0.92</v>
      </c>
      <c r="AE1238" s="133">
        <v>1</v>
      </c>
      <c r="AF1238" s="133">
        <v>1</v>
      </c>
      <c r="AG1238" s="133">
        <v>0.998980632008155</v>
      </c>
      <c r="AH1238" s="133">
        <v>0.903452566096423</v>
      </c>
      <c r="AI1238" s="135">
        <v>0.92</v>
      </c>
      <c r="AJ1238" s="133" t="s">
        <v>35</v>
      </c>
      <c r="AK1238" s="133">
        <v>1</v>
      </c>
      <c r="AL1238" s="133">
        <v>1</v>
      </c>
      <c r="AM1238" s="133">
        <v>1</v>
      </c>
      <c r="AN1238" s="132">
        <v>0.99</v>
      </c>
      <c r="AO1238" s="137">
        <v>1</v>
      </c>
      <c r="AP1238" s="137">
        <v>1</v>
      </c>
      <c r="AQ1238" s="137">
        <v>1</v>
      </c>
      <c r="AR1238" s="137">
        <v>1</v>
      </c>
      <c r="AS1238" s="158">
        <v>0.0721861525408278</v>
      </c>
      <c r="AT1238" s="141" t="s">
        <v>35</v>
      </c>
      <c r="AU1238" s="141" t="s">
        <v>35</v>
      </c>
      <c r="AV1238" s="141" t="s">
        <v>35</v>
      </c>
      <c r="AW1238" s="141" t="s">
        <v>35</v>
      </c>
      <c r="AX1238" s="95"/>
      <c r="AY1238" s="93"/>
    </row>
    <row r="1239" ht="14.5" spans="1:51">
      <c r="A1239" s="91"/>
      <c r="B1239" s="95"/>
      <c r="C1239" s="152" t="s">
        <v>1085</v>
      </c>
      <c r="D1239" s="153" t="s">
        <v>125</v>
      </c>
      <c r="E1239" s="130" t="s">
        <v>1086</v>
      </c>
      <c r="F1239" s="195" t="s">
        <v>1269</v>
      </c>
      <c r="G1239" s="195" t="s">
        <v>1269</v>
      </c>
      <c r="H1239" s="195" t="s">
        <v>1269</v>
      </c>
      <c r="I1239" s="195" t="s">
        <v>1269</v>
      </c>
      <c r="J1239" s="132">
        <v>0.9</v>
      </c>
      <c r="K1239" s="133" t="s">
        <v>35</v>
      </c>
      <c r="L1239" s="133" t="s">
        <v>35</v>
      </c>
      <c r="M1239" s="134" t="s">
        <v>35</v>
      </c>
      <c r="N1239" s="133" t="s">
        <v>35</v>
      </c>
      <c r="O1239" s="135">
        <v>0.9</v>
      </c>
      <c r="P1239" s="133">
        <v>0</v>
      </c>
      <c r="Q1239" s="133">
        <v>0</v>
      </c>
      <c r="R1239" s="133">
        <v>0</v>
      </c>
      <c r="S1239" s="133">
        <v>0</v>
      </c>
      <c r="T1239" s="135">
        <v>0.9</v>
      </c>
      <c r="U1239" s="133">
        <v>1</v>
      </c>
      <c r="V1239" s="133">
        <v>1</v>
      </c>
      <c r="W1239" s="133">
        <v>1</v>
      </c>
      <c r="X1239" s="133">
        <v>1</v>
      </c>
      <c r="Y1239" s="135">
        <v>0.92</v>
      </c>
      <c r="Z1239" s="135" t="s">
        <v>35</v>
      </c>
      <c r="AA1239" s="135">
        <v>1</v>
      </c>
      <c r="AB1239" s="135">
        <v>1</v>
      </c>
      <c r="AC1239" s="135">
        <v>1</v>
      </c>
      <c r="AD1239" s="135">
        <v>0.92</v>
      </c>
      <c r="AE1239" s="133">
        <v>0.98947528981086</v>
      </c>
      <c r="AF1239" s="133">
        <v>0.99926321606189</v>
      </c>
      <c r="AG1239" s="133">
        <v>0.975343010538875</v>
      </c>
      <c r="AH1239" s="133">
        <v>0.961231113867796</v>
      </c>
      <c r="AI1239" s="135">
        <v>0.92</v>
      </c>
      <c r="AJ1239" s="133">
        <v>1</v>
      </c>
      <c r="AK1239" s="133">
        <v>1</v>
      </c>
      <c r="AL1239" s="133">
        <v>1</v>
      </c>
      <c r="AM1239" s="133">
        <v>1</v>
      </c>
      <c r="AN1239" s="132">
        <v>0.99</v>
      </c>
      <c r="AO1239" s="137">
        <v>1</v>
      </c>
      <c r="AP1239" s="137">
        <v>1</v>
      </c>
      <c r="AQ1239" s="137">
        <v>1</v>
      </c>
      <c r="AR1239" s="137">
        <v>1</v>
      </c>
      <c r="AS1239" s="158">
        <v>0.0721861525408278</v>
      </c>
      <c r="AT1239" s="141" t="s">
        <v>35</v>
      </c>
      <c r="AU1239" s="141" t="s">
        <v>35</v>
      </c>
      <c r="AV1239" s="141" t="s">
        <v>35</v>
      </c>
      <c r="AW1239" s="141" t="s">
        <v>35</v>
      </c>
      <c r="AX1239" s="95"/>
      <c r="AY1239" s="93"/>
    </row>
    <row r="1240" ht="14.5" spans="1:51">
      <c r="A1240" s="91"/>
      <c r="B1240" s="95"/>
      <c r="C1240" s="152" t="s">
        <v>1085</v>
      </c>
      <c r="D1240" s="153" t="s">
        <v>81</v>
      </c>
      <c r="E1240" s="130" t="s">
        <v>1086</v>
      </c>
      <c r="F1240" s="195" t="s">
        <v>1270</v>
      </c>
      <c r="G1240" s="195" t="s">
        <v>1270</v>
      </c>
      <c r="H1240" s="195" t="s">
        <v>1270</v>
      </c>
      <c r="I1240" s="195" t="s">
        <v>1270</v>
      </c>
      <c r="J1240" s="132">
        <v>0.9</v>
      </c>
      <c r="K1240" s="133" t="s">
        <v>35</v>
      </c>
      <c r="L1240" s="133" t="s">
        <v>35</v>
      </c>
      <c r="M1240" s="134" t="s">
        <v>35</v>
      </c>
      <c r="N1240" s="133" t="s">
        <v>35</v>
      </c>
      <c r="O1240" s="135">
        <v>0.9</v>
      </c>
      <c r="P1240" s="133" t="s">
        <v>35</v>
      </c>
      <c r="Q1240" s="133">
        <v>0</v>
      </c>
      <c r="R1240" s="133">
        <v>0</v>
      </c>
      <c r="S1240" s="133">
        <v>0</v>
      </c>
      <c r="T1240" s="135">
        <v>0.9</v>
      </c>
      <c r="U1240" s="133" t="s">
        <v>35</v>
      </c>
      <c r="V1240" s="133">
        <v>1</v>
      </c>
      <c r="W1240" s="133">
        <v>1</v>
      </c>
      <c r="X1240" s="133">
        <v>1</v>
      </c>
      <c r="Y1240" s="135">
        <v>0.92</v>
      </c>
      <c r="Z1240" s="135" t="s">
        <v>35</v>
      </c>
      <c r="AA1240" s="135" t="s">
        <v>35</v>
      </c>
      <c r="AB1240" s="135" t="s">
        <v>35</v>
      </c>
      <c r="AC1240" s="135">
        <v>1</v>
      </c>
      <c r="AD1240" s="135">
        <v>0.92</v>
      </c>
      <c r="AE1240" s="133">
        <v>0.977011494252874</v>
      </c>
      <c r="AF1240" s="133">
        <v>0.998116169544741</v>
      </c>
      <c r="AG1240" s="133">
        <v>0.997051390058972</v>
      </c>
      <c r="AH1240" s="133">
        <v>0.936051736075306</v>
      </c>
      <c r="AI1240" s="135">
        <v>0.92</v>
      </c>
      <c r="AJ1240" s="133" t="s">
        <v>35</v>
      </c>
      <c r="AK1240" s="133">
        <v>1</v>
      </c>
      <c r="AL1240" s="133">
        <v>1</v>
      </c>
      <c r="AM1240" s="133">
        <v>1</v>
      </c>
      <c r="AN1240" s="132">
        <v>0.99</v>
      </c>
      <c r="AO1240" s="137">
        <v>1</v>
      </c>
      <c r="AP1240" s="137">
        <v>1</v>
      </c>
      <c r="AQ1240" s="137">
        <v>1</v>
      </c>
      <c r="AR1240" s="137">
        <v>1</v>
      </c>
      <c r="AS1240" s="158">
        <v>0.0721861525408278</v>
      </c>
      <c r="AT1240" s="141" t="s">
        <v>35</v>
      </c>
      <c r="AU1240" s="141" t="s">
        <v>35</v>
      </c>
      <c r="AV1240" s="141" t="s">
        <v>35</v>
      </c>
      <c r="AW1240" s="141" t="s">
        <v>35</v>
      </c>
      <c r="AX1240" s="95"/>
      <c r="AY1240" s="93"/>
    </row>
    <row r="1241" ht="14.5" spans="1:51">
      <c r="A1241" s="91"/>
      <c r="B1241" s="95"/>
      <c r="C1241" s="152" t="s">
        <v>1085</v>
      </c>
      <c r="D1241" s="153" t="s">
        <v>25</v>
      </c>
      <c r="E1241" s="130" t="s">
        <v>1086</v>
      </c>
      <c r="F1241" s="195" t="s">
        <v>1271</v>
      </c>
      <c r="G1241" s="195" t="s">
        <v>1271</v>
      </c>
      <c r="H1241" s="195" t="s">
        <v>1271</v>
      </c>
      <c r="I1241" s="195" t="s">
        <v>1271</v>
      </c>
      <c r="J1241" s="132">
        <v>0.9</v>
      </c>
      <c r="K1241" s="133">
        <v>0.984615384615385</v>
      </c>
      <c r="L1241" s="133">
        <v>0.909090909090909</v>
      </c>
      <c r="M1241" s="134">
        <v>0.958904109589041</v>
      </c>
      <c r="N1241" s="133">
        <v>0.964516129032258</v>
      </c>
      <c r="O1241" s="135">
        <v>0.9</v>
      </c>
      <c r="P1241" s="133">
        <v>0.961896243291592</v>
      </c>
      <c r="Q1241" s="133">
        <v>0.95173170349475</v>
      </c>
      <c r="R1241" s="133">
        <v>0.969078637576519</v>
      </c>
      <c r="S1241" s="133">
        <v>0.943547804592259</v>
      </c>
      <c r="T1241" s="135">
        <v>0.9</v>
      </c>
      <c r="U1241" s="133">
        <v>0.902325581395349</v>
      </c>
      <c r="V1241" s="133">
        <v>0.860523428929635</v>
      </c>
      <c r="W1241" s="133">
        <v>0.926856066551562</v>
      </c>
      <c r="X1241" s="133">
        <v>0.895490405373954</v>
      </c>
      <c r="Y1241" s="135">
        <v>0.92</v>
      </c>
      <c r="Z1241" s="135">
        <v>0.849347568208778</v>
      </c>
      <c r="AA1241" s="135">
        <v>0.834849545136459</v>
      </c>
      <c r="AB1241" s="135">
        <v>0.908429351121892</v>
      </c>
      <c r="AC1241" s="135">
        <v>0.910937835324415</v>
      </c>
      <c r="AD1241" s="135">
        <v>0.92</v>
      </c>
      <c r="AE1241" s="133">
        <v>0.999108734402852</v>
      </c>
      <c r="AF1241" s="133">
        <v>0.998717948717949</v>
      </c>
      <c r="AG1241" s="133">
        <v>0.996545768566494</v>
      </c>
      <c r="AH1241" s="133">
        <v>0.99240482736126</v>
      </c>
      <c r="AI1241" s="135">
        <v>0.92</v>
      </c>
      <c r="AJ1241" s="133">
        <v>0.93006993006993</v>
      </c>
      <c r="AK1241" s="133">
        <v>0.919098822324629</v>
      </c>
      <c r="AL1241" s="133">
        <v>0.960239311978063</v>
      </c>
      <c r="AM1241" s="133">
        <v>0.959253360598255</v>
      </c>
      <c r="AN1241" s="132">
        <v>0.99</v>
      </c>
      <c r="AO1241" s="137">
        <v>1</v>
      </c>
      <c r="AP1241" s="137">
        <v>1</v>
      </c>
      <c r="AQ1241" s="137">
        <v>1</v>
      </c>
      <c r="AR1241" s="137">
        <v>1</v>
      </c>
      <c r="AS1241" s="158">
        <v>0.0721861525408278</v>
      </c>
      <c r="AT1241" s="141">
        <v>0.0238095238095238</v>
      </c>
      <c r="AU1241" s="141">
        <v>0.0422535211267606</v>
      </c>
      <c r="AV1241" s="141">
        <v>0.0151515151515152</v>
      </c>
      <c r="AW1241" s="141">
        <v>0.0390567428150332</v>
      </c>
      <c r="AX1241" s="95"/>
      <c r="AY1241" s="93"/>
    </row>
    <row r="1242" ht="14.5" spans="1:51">
      <c r="A1242" s="91"/>
      <c r="B1242" s="95"/>
      <c r="C1242" s="152" t="s">
        <v>1085</v>
      </c>
      <c r="D1242" s="153" t="s">
        <v>25</v>
      </c>
      <c r="E1242" s="130" t="s">
        <v>1086</v>
      </c>
      <c r="F1242" s="198" t="s">
        <v>1272</v>
      </c>
      <c r="G1242" s="198" t="s">
        <v>1272</v>
      </c>
      <c r="H1242" s="198" t="s">
        <v>1272</v>
      </c>
      <c r="I1242" s="198" t="s">
        <v>1272</v>
      </c>
      <c r="J1242" s="132">
        <v>0.9</v>
      </c>
      <c r="K1242" s="133" t="s">
        <v>35</v>
      </c>
      <c r="L1242" s="133" t="s">
        <v>35</v>
      </c>
      <c r="M1242" s="134" t="s">
        <v>35</v>
      </c>
      <c r="N1242" s="133" t="s">
        <v>35</v>
      </c>
      <c r="O1242" s="135">
        <v>0.9</v>
      </c>
      <c r="P1242" s="133">
        <v>0</v>
      </c>
      <c r="Q1242" s="133">
        <v>0</v>
      </c>
      <c r="R1242" s="133">
        <v>0</v>
      </c>
      <c r="S1242" s="133">
        <v>0</v>
      </c>
      <c r="T1242" s="135">
        <v>0.9</v>
      </c>
      <c r="U1242" s="133">
        <v>1</v>
      </c>
      <c r="V1242" s="133">
        <v>1</v>
      </c>
      <c r="W1242" s="133">
        <v>1</v>
      </c>
      <c r="X1242" s="133">
        <v>0.990925589836661</v>
      </c>
      <c r="Y1242" s="135">
        <v>0.92</v>
      </c>
      <c r="Z1242" s="135">
        <v>1</v>
      </c>
      <c r="AA1242" s="135">
        <v>1</v>
      </c>
      <c r="AB1242" s="135">
        <v>1</v>
      </c>
      <c r="AC1242" s="135">
        <v>0.981981981981982</v>
      </c>
      <c r="AD1242" s="135">
        <v>0.92</v>
      </c>
      <c r="AE1242" s="133">
        <v>0.998965873836608</v>
      </c>
      <c r="AF1242" s="133">
        <v>0.999516674722088</v>
      </c>
      <c r="AG1242" s="133">
        <v>0.999215070643642</v>
      </c>
      <c r="AH1242" s="133">
        <v>0.98667373630258</v>
      </c>
      <c r="AI1242" s="135">
        <v>0.92</v>
      </c>
      <c r="AJ1242" s="133">
        <v>1</v>
      </c>
      <c r="AK1242" s="133">
        <v>1</v>
      </c>
      <c r="AL1242" s="133">
        <v>1</v>
      </c>
      <c r="AM1242" s="133">
        <v>0.989425981873112</v>
      </c>
      <c r="AN1242" s="132">
        <v>0.99</v>
      </c>
      <c r="AO1242" s="137">
        <v>1</v>
      </c>
      <c r="AP1242" s="137">
        <v>1</v>
      </c>
      <c r="AQ1242" s="137">
        <v>1</v>
      </c>
      <c r="AR1242" s="137">
        <v>0.994984954864594</v>
      </c>
      <c r="AS1242" s="158">
        <v>0.0721861525408278</v>
      </c>
      <c r="AT1242" s="141" t="s">
        <v>35</v>
      </c>
      <c r="AU1242" s="141" t="s">
        <v>35</v>
      </c>
      <c r="AV1242" s="141" t="s">
        <v>35</v>
      </c>
      <c r="AW1242" s="141" t="s">
        <v>35</v>
      </c>
      <c r="AX1242" s="95"/>
      <c r="AY1242" s="93"/>
    </row>
    <row r="1243" ht="14.5" spans="1:51">
      <c r="A1243" s="91"/>
      <c r="B1243" s="95"/>
      <c r="C1243" s="152" t="s">
        <v>1085</v>
      </c>
      <c r="D1243" s="153" t="s">
        <v>25</v>
      </c>
      <c r="E1243" s="130" t="s">
        <v>1086</v>
      </c>
      <c r="F1243" s="195" t="s">
        <v>1273</v>
      </c>
      <c r="G1243" s="195" t="s">
        <v>1273</v>
      </c>
      <c r="H1243" s="195" t="s">
        <v>1273</v>
      </c>
      <c r="I1243" s="195" t="s">
        <v>1273</v>
      </c>
      <c r="J1243" s="132">
        <v>0.9</v>
      </c>
      <c r="K1243" s="133">
        <v>0.977777777777778</v>
      </c>
      <c r="L1243" s="133">
        <v>1</v>
      </c>
      <c r="M1243" s="134">
        <v>0.936170212765957</v>
      </c>
      <c r="N1243" s="133">
        <v>0.984615384615385</v>
      </c>
      <c r="O1243" s="135">
        <v>0.9</v>
      </c>
      <c r="P1243" s="133">
        <v>0.951738103273709</v>
      </c>
      <c r="Q1243" s="133">
        <v>0.984511132623427</v>
      </c>
      <c r="R1243" s="133">
        <v>0.98284466625078</v>
      </c>
      <c r="S1243" s="133">
        <v>0.972054279188499</v>
      </c>
      <c r="T1243" s="135">
        <v>0.9</v>
      </c>
      <c r="U1243" s="133">
        <v>0.83091461356733</v>
      </c>
      <c r="V1243" s="133">
        <v>0.795095191997419</v>
      </c>
      <c r="W1243" s="133">
        <v>0.908608858390518</v>
      </c>
      <c r="X1243" s="133">
        <v>0.874815262662905</v>
      </c>
      <c r="Y1243" s="135">
        <v>0.92</v>
      </c>
      <c r="Z1243" s="135">
        <v>0.764485981308411</v>
      </c>
      <c r="AA1243" s="135">
        <v>0.718432510885341</v>
      </c>
      <c r="AB1243" s="135">
        <v>0.915317559153176</v>
      </c>
      <c r="AC1243" s="135">
        <v>0.895362752430815</v>
      </c>
      <c r="AD1243" s="135">
        <v>0.92</v>
      </c>
      <c r="AE1243" s="133">
        <v>0.99937177473637</v>
      </c>
      <c r="AF1243" s="133">
        <v>0.974982027318476</v>
      </c>
      <c r="AG1243" s="133">
        <v>0.99861916597625</v>
      </c>
      <c r="AH1243" s="133">
        <v>0.954805012570404</v>
      </c>
      <c r="AI1243" s="135">
        <v>0.92</v>
      </c>
      <c r="AJ1243" s="133">
        <v>0.860611253927449</v>
      </c>
      <c r="AK1243" s="133">
        <v>0.835533262935586</v>
      </c>
      <c r="AL1243" s="133">
        <v>0.960339236717386</v>
      </c>
      <c r="AM1243" s="133">
        <v>0.94380527939664</v>
      </c>
      <c r="AN1243" s="132">
        <v>0.99</v>
      </c>
      <c r="AO1243" s="137">
        <v>1</v>
      </c>
      <c r="AP1243" s="137">
        <v>1</v>
      </c>
      <c r="AQ1243" s="137">
        <v>1</v>
      </c>
      <c r="AR1243" s="137">
        <v>1</v>
      </c>
      <c r="AS1243" s="158">
        <v>0.0721861525408278</v>
      </c>
      <c r="AT1243" s="141">
        <v>0.15</v>
      </c>
      <c r="AU1243" s="141">
        <v>0</v>
      </c>
      <c r="AV1243" s="141">
        <v>0.05</v>
      </c>
      <c r="AW1243" s="141">
        <v>0.00294985250737463</v>
      </c>
      <c r="AX1243" s="95"/>
      <c r="AY1243" s="93"/>
    </row>
    <row r="1244" ht="14.5" spans="1:51">
      <c r="A1244" s="91"/>
      <c r="B1244" s="95"/>
      <c r="C1244" s="152" t="s">
        <v>1085</v>
      </c>
      <c r="D1244" s="153" t="s">
        <v>25</v>
      </c>
      <c r="E1244" s="130" t="s">
        <v>1086</v>
      </c>
      <c r="F1244" s="195" t="s">
        <v>1274</v>
      </c>
      <c r="G1244" s="195" t="s">
        <v>1274</v>
      </c>
      <c r="H1244" s="195" t="s">
        <v>1274</v>
      </c>
      <c r="I1244" s="195" t="s">
        <v>1274</v>
      </c>
      <c r="J1244" s="132">
        <v>0.9</v>
      </c>
      <c r="K1244" s="133">
        <v>0.96</v>
      </c>
      <c r="L1244" s="133">
        <v>0.978260869565217</v>
      </c>
      <c r="M1244" s="134">
        <v>0.943396226415094</v>
      </c>
      <c r="N1244" s="133">
        <v>0.965669988925803</v>
      </c>
      <c r="O1244" s="135">
        <v>0.9</v>
      </c>
      <c r="P1244" s="133">
        <v>0.957012951226233</v>
      </c>
      <c r="Q1244" s="133">
        <v>0.887437663262883</v>
      </c>
      <c r="R1244" s="133">
        <v>0.960018925952212</v>
      </c>
      <c r="S1244" s="133">
        <v>0.937200571363562</v>
      </c>
      <c r="T1244" s="135">
        <v>0.9</v>
      </c>
      <c r="U1244" s="133">
        <v>0.87214108569854</v>
      </c>
      <c r="V1244" s="133">
        <v>0.83828069342199</v>
      </c>
      <c r="W1244" s="133">
        <v>0.912467471019636</v>
      </c>
      <c r="X1244" s="133">
        <v>0.887699250401345</v>
      </c>
      <c r="Y1244" s="135">
        <v>0.92</v>
      </c>
      <c r="Z1244" s="135">
        <v>0.87719298245614</v>
      </c>
      <c r="AA1244" s="135">
        <v>0.84037558685446</v>
      </c>
      <c r="AB1244" s="135">
        <v>0.912512716174975</v>
      </c>
      <c r="AC1244" s="135">
        <v>0.907646048109966</v>
      </c>
      <c r="AD1244" s="135">
        <v>0.92</v>
      </c>
      <c r="AE1244" s="133">
        <v>0.960245464247599</v>
      </c>
      <c r="AF1244" s="133">
        <v>0.993951612903226</v>
      </c>
      <c r="AG1244" s="133">
        <v>0.99806131103841</v>
      </c>
      <c r="AH1244" s="133">
        <v>0.988834857588931</v>
      </c>
      <c r="AI1244" s="135">
        <v>0.92</v>
      </c>
      <c r="AJ1244" s="133">
        <v>0.925238095238095</v>
      </c>
      <c r="AK1244" s="133">
        <v>0.905787082757258</v>
      </c>
      <c r="AL1244" s="133">
        <v>0.962387257724045</v>
      </c>
      <c r="AM1244" s="133">
        <v>0.954935599828126</v>
      </c>
      <c r="AN1244" s="132">
        <v>0.99</v>
      </c>
      <c r="AO1244" s="137">
        <v>1</v>
      </c>
      <c r="AP1244" s="137">
        <v>1</v>
      </c>
      <c r="AQ1244" s="137">
        <v>1</v>
      </c>
      <c r="AR1244" s="137">
        <v>1</v>
      </c>
      <c r="AS1244" s="158">
        <v>0.0721861525408278</v>
      </c>
      <c r="AT1244" s="141">
        <v>0.04</v>
      </c>
      <c r="AU1244" s="141">
        <v>0.05</v>
      </c>
      <c r="AV1244" s="141">
        <v>0.032258064516129</v>
      </c>
      <c r="AW1244" s="141">
        <v>0.076271186440678</v>
      </c>
      <c r="AX1244" s="95"/>
      <c r="AY1244" s="93"/>
    </row>
    <row r="1245" ht="14.5" spans="1:51">
      <c r="A1245" s="91"/>
      <c r="B1245" s="95"/>
      <c r="C1245" s="152" t="s">
        <v>1085</v>
      </c>
      <c r="D1245" s="153" t="s">
        <v>25</v>
      </c>
      <c r="E1245" s="130" t="s">
        <v>1086</v>
      </c>
      <c r="F1245" s="195" t="s">
        <v>1275</v>
      </c>
      <c r="G1245" s="195" t="s">
        <v>1275</v>
      </c>
      <c r="H1245" s="195" t="s">
        <v>1275</v>
      </c>
      <c r="I1245" s="195" t="s">
        <v>1275</v>
      </c>
      <c r="J1245" s="132">
        <v>0.9</v>
      </c>
      <c r="K1245" s="133">
        <v>0.95</v>
      </c>
      <c r="L1245" s="133">
        <v>0.95</v>
      </c>
      <c r="M1245" s="134">
        <v>1</v>
      </c>
      <c r="N1245" s="133">
        <v>0.989690721649485</v>
      </c>
      <c r="O1245" s="135">
        <v>0.9</v>
      </c>
      <c r="P1245" s="133">
        <v>0.950681070925317</v>
      </c>
      <c r="Q1245" s="133">
        <v>0.955435235318617</v>
      </c>
      <c r="R1245" s="133">
        <v>0.97371998187585</v>
      </c>
      <c r="S1245" s="133">
        <v>0.940986704150056</v>
      </c>
      <c r="T1245" s="135">
        <v>0.9</v>
      </c>
      <c r="U1245" s="133">
        <v>0.890558947862846</v>
      </c>
      <c r="V1245" s="133">
        <v>0.892128279883382</v>
      </c>
      <c r="W1245" s="133">
        <v>0.913910285455369</v>
      </c>
      <c r="X1245" s="133">
        <v>0.901606101804272</v>
      </c>
      <c r="Y1245" s="135">
        <v>0.92</v>
      </c>
      <c r="Z1245" s="135">
        <v>0.782467532467532</v>
      </c>
      <c r="AA1245" s="135">
        <v>0.900778210116732</v>
      </c>
      <c r="AB1245" s="135">
        <v>0.912476722532588</v>
      </c>
      <c r="AC1245" s="135">
        <v>0.921594393342094</v>
      </c>
      <c r="AD1245" s="135">
        <v>0.92</v>
      </c>
      <c r="AE1245" s="133">
        <v>0.993163853877377</v>
      </c>
      <c r="AF1245" s="133">
        <v>0.947319491788038</v>
      </c>
      <c r="AG1245" s="133">
        <v>0.99148665819568</v>
      </c>
      <c r="AH1245" s="133">
        <v>0.954557590278966</v>
      </c>
      <c r="AI1245" s="135">
        <v>0.92</v>
      </c>
      <c r="AJ1245" s="133">
        <v>0.919162905211325</v>
      </c>
      <c r="AK1245" s="133">
        <v>0.944768439108062</v>
      </c>
      <c r="AL1245" s="133">
        <v>0.953386744355426</v>
      </c>
      <c r="AM1245" s="133">
        <v>0.963833634719711</v>
      </c>
      <c r="AN1245" s="132">
        <v>0.99</v>
      </c>
      <c r="AO1245" s="137">
        <v>1</v>
      </c>
      <c r="AP1245" s="137">
        <v>1</v>
      </c>
      <c r="AQ1245" s="137">
        <v>1</v>
      </c>
      <c r="AR1245" s="137">
        <v>1</v>
      </c>
      <c r="AS1245" s="158">
        <v>0.0721861525408278</v>
      </c>
      <c r="AT1245" s="141">
        <v>0</v>
      </c>
      <c r="AU1245" s="141">
        <v>0.0208333333333333</v>
      </c>
      <c r="AV1245" s="141">
        <v>0.0454545454545455</v>
      </c>
      <c r="AW1245" s="141">
        <v>0.0318118948824343</v>
      </c>
      <c r="AX1245" s="95"/>
      <c r="AY1245" s="93"/>
    </row>
    <row r="1246" ht="14.5" spans="1:51">
      <c r="A1246" s="91"/>
      <c r="B1246" s="95"/>
      <c r="C1246" s="152" t="s">
        <v>1085</v>
      </c>
      <c r="D1246" s="153" t="s">
        <v>125</v>
      </c>
      <c r="E1246" s="130" t="s">
        <v>1086</v>
      </c>
      <c r="F1246" s="195" t="s">
        <v>1276</v>
      </c>
      <c r="G1246" s="195" t="s">
        <v>1276</v>
      </c>
      <c r="H1246" s="195" t="s">
        <v>1276</v>
      </c>
      <c r="I1246" s="195" t="s">
        <v>1276</v>
      </c>
      <c r="J1246" s="132">
        <v>0.9</v>
      </c>
      <c r="K1246" s="133" t="s">
        <v>35</v>
      </c>
      <c r="L1246" s="133" t="s">
        <v>35</v>
      </c>
      <c r="M1246" s="134" t="s">
        <v>35</v>
      </c>
      <c r="N1246" s="133" t="s">
        <v>35</v>
      </c>
      <c r="O1246" s="135">
        <v>0.9</v>
      </c>
      <c r="P1246" s="133">
        <v>0.494983277591973</v>
      </c>
      <c r="Q1246" s="133">
        <v>0.459183673469388</v>
      </c>
      <c r="R1246" s="133">
        <v>0.287581699346405</v>
      </c>
      <c r="S1246" s="133">
        <v>0.464341898269533</v>
      </c>
      <c r="T1246" s="135">
        <v>0.9</v>
      </c>
      <c r="U1246" s="133">
        <v>0.989966555183946</v>
      </c>
      <c r="V1246" s="133">
        <v>1</v>
      </c>
      <c r="W1246" s="133">
        <v>0.996732026143791</v>
      </c>
      <c r="X1246" s="133">
        <v>0.994231777661248</v>
      </c>
      <c r="Y1246" s="135">
        <v>0.92</v>
      </c>
      <c r="Z1246" s="135">
        <v>0.984615384615385</v>
      </c>
      <c r="AA1246" s="135">
        <v>1</v>
      </c>
      <c r="AB1246" s="135">
        <v>1</v>
      </c>
      <c r="AC1246" s="135">
        <v>0.986815415821501</v>
      </c>
      <c r="AD1246" s="135">
        <v>0.92</v>
      </c>
      <c r="AE1246" s="133">
        <v>1</v>
      </c>
      <c r="AF1246" s="133">
        <v>0.978380669775329</v>
      </c>
      <c r="AG1246" s="133">
        <v>0.915681463305822</v>
      </c>
      <c r="AH1246" s="133">
        <v>0.966464490442679</v>
      </c>
      <c r="AI1246" s="135">
        <v>0.92</v>
      </c>
      <c r="AJ1246" s="133">
        <v>0.989100817438692</v>
      </c>
      <c r="AK1246" s="133">
        <v>1</v>
      </c>
      <c r="AL1246" s="133">
        <v>0.997245179063361</v>
      </c>
      <c r="AM1246" s="133">
        <v>0.99297520661157</v>
      </c>
      <c r="AN1246" s="132">
        <v>0.99</v>
      </c>
      <c r="AO1246" s="137">
        <v>1</v>
      </c>
      <c r="AP1246" s="137">
        <v>1</v>
      </c>
      <c r="AQ1246" s="137">
        <v>1</v>
      </c>
      <c r="AR1246" s="137">
        <v>1</v>
      </c>
      <c r="AS1246" s="158">
        <v>0.0721861525408278</v>
      </c>
      <c r="AT1246" s="141">
        <v>0</v>
      </c>
      <c r="AU1246" s="141" t="s">
        <v>35</v>
      </c>
      <c r="AV1246" s="141" t="s">
        <v>35</v>
      </c>
      <c r="AW1246" s="141">
        <v>0</v>
      </c>
      <c r="AX1246" s="95"/>
      <c r="AY1246" s="93"/>
    </row>
    <row r="1247" ht="14.5" spans="1:51">
      <c r="A1247" s="91"/>
      <c r="B1247" s="95"/>
      <c r="C1247" s="152" t="s">
        <v>1085</v>
      </c>
      <c r="D1247" s="153" t="s">
        <v>125</v>
      </c>
      <c r="E1247" s="130" t="s">
        <v>1086</v>
      </c>
      <c r="F1247" s="195" t="s">
        <v>1277</v>
      </c>
      <c r="G1247" s="195" t="s">
        <v>1277</v>
      </c>
      <c r="H1247" s="195" t="s">
        <v>1277</v>
      </c>
      <c r="I1247" s="195" t="s">
        <v>1277</v>
      </c>
      <c r="J1247" s="132">
        <v>0.9</v>
      </c>
      <c r="K1247" s="133" t="s">
        <v>35</v>
      </c>
      <c r="L1247" s="133" t="s">
        <v>35</v>
      </c>
      <c r="M1247" s="134" t="s">
        <v>35</v>
      </c>
      <c r="N1247" s="133" t="s">
        <v>35</v>
      </c>
      <c r="O1247" s="135">
        <v>0.9</v>
      </c>
      <c r="P1247" s="133">
        <v>0</v>
      </c>
      <c r="Q1247" s="133" t="s">
        <v>35</v>
      </c>
      <c r="R1247" s="133">
        <v>0</v>
      </c>
      <c r="S1247" s="133">
        <v>0</v>
      </c>
      <c r="T1247" s="135">
        <v>0.9</v>
      </c>
      <c r="U1247" s="133">
        <v>1</v>
      </c>
      <c r="V1247" s="133" t="s">
        <v>35</v>
      </c>
      <c r="W1247" s="133">
        <v>1</v>
      </c>
      <c r="X1247" s="133">
        <v>1</v>
      </c>
      <c r="Y1247" s="135">
        <v>0.92</v>
      </c>
      <c r="Z1247" s="135" t="s">
        <v>35</v>
      </c>
      <c r="AA1247" s="135" t="s">
        <v>35</v>
      </c>
      <c r="AB1247" s="135" t="s">
        <v>35</v>
      </c>
      <c r="AC1247" s="135">
        <v>1</v>
      </c>
      <c r="AD1247" s="135">
        <v>0.92</v>
      </c>
      <c r="AE1247" s="133">
        <v>0.997226074895978</v>
      </c>
      <c r="AF1247" s="133">
        <v>0.96562112351586</v>
      </c>
      <c r="AG1247" s="133">
        <v>0.9852078891258</v>
      </c>
      <c r="AH1247" s="133">
        <v>0.975158207131323</v>
      </c>
      <c r="AI1247" s="135">
        <v>0.92</v>
      </c>
      <c r="AJ1247" s="133">
        <v>1</v>
      </c>
      <c r="AK1247" s="133" t="s">
        <v>35</v>
      </c>
      <c r="AL1247" s="133">
        <v>1</v>
      </c>
      <c r="AM1247" s="133">
        <v>1</v>
      </c>
      <c r="AN1247" s="132">
        <v>0.99</v>
      </c>
      <c r="AO1247" s="137">
        <v>1</v>
      </c>
      <c r="AP1247" s="137">
        <v>1</v>
      </c>
      <c r="AQ1247" s="137">
        <v>1</v>
      </c>
      <c r="AR1247" s="137">
        <v>1</v>
      </c>
      <c r="AS1247" s="158">
        <v>0.0721861525408278</v>
      </c>
      <c r="AT1247" s="141" t="s">
        <v>35</v>
      </c>
      <c r="AU1247" s="141" t="s">
        <v>35</v>
      </c>
      <c r="AV1247" s="141" t="s">
        <v>35</v>
      </c>
      <c r="AW1247" s="141" t="s">
        <v>35</v>
      </c>
      <c r="AX1247" s="95"/>
      <c r="AY1247" s="93"/>
    </row>
    <row r="1248" ht="14.5" spans="1:51">
      <c r="A1248" s="91"/>
      <c r="B1248" s="95"/>
      <c r="C1248" s="152" t="s">
        <v>1085</v>
      </c>
      <c r="D1248" s="153" t="s">
        <v>25</v>
      </c>
      <c r="E1248" s="130" t="s">
        <v>1086</v>
      </c>
      <c r="F1248" s="195" t="s">
        <v>1278</v>
      </c>
      <c r="G1248" s="195" t="s">
        <v>1278</v>
      </c>
      <c r="H1248" s="195" t="s">
        <v>1278</v>
      </c>
      <c r="I1248" s="195" t="s">
        <v>1278</v>
      </c>
      <c r="J1248" s="132">
        <v>0.9</v>
      </c>
      <c r="K1248" s="133">
        <v>1</v>
      </c>
      <c r="L1248" s="133">
        <v>0.96969696969697</v>
      </c>
      <c r="M1248" s="134">
        <v>0.928571428571429</v>
      </c>
      <c r="N1248" s="133">
        <v>0.943028485757121</v>
      </c>
      <c r="O1248" s="135">
        <v>0.9</v>
      </c>
      <c r="P1248" s="133">
        <v>0.970039292730845</v>
      </c>
      <c r="Q1248" s="133">
        <v>0.96891862723937</v>
      </c>
      <c r="R1248" s="133">
        <v>0.982418059474712</v>
      </c>
      <c r="S1248" s="133">
        <v>0.94294365686115</v>
      </c>
      <c r="T1248" s="135">
        <v>0.9</v>
      </c>
      <c r="U1248" s="133">
        <v>0.859774066797642</v>
      </c>
      <c r="V1248" s="133">
        <v>0.86186056550831</v>
      </c>
      <c r="W1248" s="133">
        <v>0.925331018016063</v>
      </c>
      <c r="X1248" s="133">
        <v>0.865404587029692</v>
      </c>
      <c r="Y1248" s="135">
        <v>0.92</v>
      </c>
      <c r="Z1248" s="135">
        <v>0.86195652173913</v>
      </c>
      <c r="AA1248" s="135">
        <v>0.833333333333333</v>
      </c>
      <c r="AB1248" s="135">
        <v>0.909626719056974</v>
      </c>
      <c r="AC1248" s="135">
        <v>0.898279406990585</v>
      </c>
      <c r="AD1248" s="135">
        <v>0.92</v>
      </c>
      <c r="AE1248" s="133">
        <v>0.997574251567862</v>
      </c>
      <c r="AF1248" s="133">
        <v>0.986568226294254</v>
      </c>
      <c r="AG1248" s="133">
        <v>0.9716266047528</v>
      </c>
      <c r="AH1248" s="133">
        <v>0.989283000838092</v>
      </c>
      <c r="AI1248" s="135">
        <v>0.92</v>
      </c>
      <c r="AJ1248" s="133">
        <v>0.913330664531625</v>
      </c>
      <c r="AK1248" s="133">
        <v>0.915646258503401</v>
      </c>
      <c r="AL1248" s="133">
        <v>0.965872733736225</v>
      </c>
      <c r="AM1248" s="133">
        <v>0.951180366502783</v>
      </c>
      <c r="AN1248" s="132">
        <v>0.99</v>
      </c>
      <c r="AO1248" s="137">
        <v>1</v>
      </c>
      <c r="AP1248" s="137">
        <v>1</v>
      </c>
      <c r="AQ1248" s="137">
        <v>1</v>
      </c>
      <c r="AR1248" s="137">
        <v>1</v>
      </c>
      <c r="AS1248" s="158">
        <v>0.0721861525408278</v>
      </c>
      <c r="AT1248" s="141">
        <v>0</v>
      </c>
      <c r="AU1248" s="141">
        <v>0.05</v>
      </c>
      <c r="AV1248" s="141">
        <v>0.0256410256410256</v>
      </c>
      <c r="AW1248" s="141">
        <v>0.0217917675544794</v>
      </c>
      <c r="AX1248" s="95"/>
      <c r="AY1248" s="93"/>
    </row>
    <row r="1249" ht="14.5" spans="1:51">
      <c r="A1249" s="91"/>
      <c r="B1249" s="95"/>
      <c r="C1249" s="152" t="s">
        <v>1085</v>
      </c>
      <c r="D1249" s="153" t="s">
        <v>125</v>
      </c>
      <c r="E1249" s="130" t="s">
        <v>1086</v>
      </c>
      <c r="F1249" s="195" t="s">
        <v>1279</v>
      </c>
      <c r="G1249" s="195" t="s">
        <v>1279</v>
      </c>
      <c r="H1249" s="195" t="s">
        <v>1279</v>
      </c>
      <c r="I1249" s="195" t="s">
        <v>1279</v>
      </c>
      <c r="J1249" s="132">
        <v>0.9</v>
      </c>
      <c r="K1249" s="133" t="s">
        <v>35</v>
      </c>
      <c r="L1249" s="133" t="s">
        <v>35</v>
      </c>
      <c r="M1249" s="134" t="s">
        <v>35</v>
      </c>
      <c r="N1249" s="133" t="s">
        <v>35</v>
      </c>
      <c r="O1249" s="135">
        <v>0.9</v>
      </c>
      <c r="P1249" s="133">
        <v>0</v>
      </c>
      <c r="Q1249" s="133">
        <v>0</v>
      </c>
      <c r="R1249" s="133">
        <v>0</v>
      </c>
      <c r="S1249" s="133">
        <v>0</v>
      </c>
      <c r="T1249" s="135">
        <v>0.9</v>
      </c>
      <c r="U1249" s="133">
        <v>1</v>
      </c>
      <c r="V1249" s="133">
        <v>1</v>
      </c>
      <c r="W1249" s="133">
        <v>1</v>
      </c>
      <c r="X1249" s="133">
        <v>0.9375</v>
      </c>
      <c r="Y1249" s="135">
        <v>0.92</v>
      </c>
      <c r="Z1249" s="135" t="s">
        <v>35</v>
      </c>
      <c r="AA1249" s="135" t="s">
        <v>35</v>
      </c>
      <c r="AB1249" s="135" t="s">
        <v>35</v>
      </c>
      <c r="AC1249" s="135">
        <v>1</v>
      </c>
      <c r="AD1249" s="135">
        <v>0.92</v>
      </c>
      <c r="AE1249" s="133">
        <v>0.996958174904943</v>
      </c>
      <c r="AF1249" s="133">
        <v>0.999092558983666</v>
      </c>
      <c r="AG1249" s="133">
        <v>0.993344425956739</v>
      </c>
      <c r="AH1249" s="133">
        <v>0.995834257109184</v>
      </c>
      <c r="AI1249" s="135">
        <v>0.92</v>
      </c>
      <c r="AJ1249" s="133">
        <v>1</v>
      </c>
      <c r="AK1249" s="133">
        <v>1</v>
      </c>
      <c r="AL1249" s="133">
        <v>1</v>
      </c>
      <c r="AM1249" s="133">
        <v>0.936619718309859</v>
      </c>
      <c r="AN1249" s="132">
        <v>0.99</v>
      </c>
      <c r="AO1249" s="137">
        <v>1</v>
      </c>
      <c r="AP1249" s="137">
        <v>1</v>
      </c>
      <c r="AQ1249" s="137">
        <v>1</v>
      </c>
      <c r="AR1249" s="137">
        <v>1</v>
      </c>
      <c r="AS1249" s="158">
        <v>0.0721861525408278</v>
      </c>
      <c r="AT1249" s="141" t="s">
        <v>35</v>
      </c>
      <c r="AU1249" s="141" t="s">
        <v>35</v>
      </c>
      <c r="AV1249" s="141" t="s">
        <v>35</v>
      </c>
      <c r="AW1249" s="141" t="s">
        <v>35</v>
      </c>
      <c r="AX1249" s="95"/>
      <c r="AY1249" s="93"/>
    </row>
    <row r="1250" ht="14.5" spans="1:51">
      <c r="A1250" s="91"/>
      <c r="B1250" s="95"/>
      <c r="C1250" s="152" t="s">
        <v>1085</v>
      </c>
      <c r="D1250" s="153" t="s">
        <v>25</v>
      </c>
      <c r="E1250" s="130" t="s">
        <v>1086</v>
      </c>
      <c r="F1250" s="195" t="s">
        <v>1280</v>
      </c>
      <c r="G1250" s="195" t="s">
        <v>1280</v>
      </c>
      <c r="H1250" s="195" t="s">
        <v>1280</v>
      </c>
      <c r="I1250" s="195" t="s">
        <v>1280</v>
      </c>
      <c r="J1250" s="132">
        <v>0.9</v>
      </c>
      <c r="K1250" s="133">
        <v>1</v>
      </c>
      <c r="L1250" s="133">
        <v>1</v>
      </c>
      <c r="M1250" s="134">
        <v>0.929577464788732</v>
      </c>
      <c r="N1250" s="133">
        <v>0.99051724137931</v>
      </c>
      <c r="O1250" s="135">
        <v>0.9</v>
      </c>
      <c r="P1250" s="133">
        <v>0.94100771023848</v>
      </c>
      <c r="Q1250" s="133">
        <v>0.964744645799012</v>
      </c>
      <c r="R1250" s="133">
        <v>0.956875</v>
      </c>
      <c r="S1250" s="133">
        <v>0.940455828087693</v>
      </c>
      <c r="T1250" s="135">
        <v>0.9</v>
      </c>
      <c r="U1250" s="133">
        <v>0.814237045006276</v>
      </c>
      <c r="V1250" s="133">
        <v>0.767545304777595</v>
      </c>
      <c r="W1250" s="133">
        <v>0.90890625</v>
      </c>
      <c r="X1250" s="133">
        <v>0.869850227914044</v>
      </c>
      <c r="Y1250" s="135">
        <v>0.92</v>
      </c>
      <c r="Z1250" s="135">
        <v>0.758974358974359</v>
      </c>
      <c r="AA1250" s="135">
        <v>0.701464035646085</v>
      </c>
      <c r="AB1250" s="135">
        <v>0.879331683168317</v>
      </c>
      <c r="AC1250" s="135">
        <v>0.877560760701961</v>
      </c>
      <c r="AD1250" s="135">
        <v>0.92</v>
      </c>
      <c r="AE1250" s="133">
        <v>0.996528599605523</v>
      </c>
      <c r="AF1250" s="133">
        <v>0.996493864262459</v>
      </c>
      <c r="AG1250" s="133">
        <v>0.990639974920507</v>
      </c>
      <c r="AH1250" s="133">
        <v>0.98005212454557</v>
      </c>
      <c r="AI1250" s="135">
        <v>0.92</v>
      </c>
      <c r="AJ1250" s="133">
        <v>0.863394441159077</v>
      </c>
      <c r="AK1250" s="133">
        <v>0.809498887871255</v>
      </c>
      <c r="AL1250" s="133">
        <v>0.947742579196807</v>
      </c>
      <c r="AM1250" s="133">
        <v>0.934299754299754</v>
      </c>
      <c r="AN1250" s="132">
        <v>0.99</v>
      </c>
      <c r="AO1250" s="137">
        <v>1</v>
      </c>
      <c r="AP1250" s="137">
        <v>1</v>
      </c>
      <c r="AQ1250" s="137">
        <v>1</v>
      </c>
      <c r="AR1250" s="137">
        <v>1</v>
      </c>
      <c r="AS1250" s="158">
        <v>0.0721861525408278</v>
      </c>
      <c r="AT1250" s="141">
        <v>0.0158730158730159</v>
      </c>
      <c r="AU1250" s="141">
        <v>0.0408163265306122</v>
      </c>
      <c r="AV1250" s="141">
        <v>0.0317460317460317</v>
      </c>
      <c r="AW1250" s="141">
        <v>0.0334101382488479</v>
      </c>
      <c r="AX1250" s="95"/>
      <c r="AY1250" s="93"/>
    </row>
    <row r="1251" ht="14.5" spans="1:51">
      <c r="A1251" s="91"/>
      <c r="B1251" s="95"/>
      <c r="C1251" s="152" t="s">
        <v>1085</v>
      </c>
      <c r="D1251" s="153" t="s">
        <v>25</v>
      </c>
      <c r="E1251" s="130" t="s">
        <v>1086</v>
      </c>
      <c r="F1251" s="195" t="s">
        <v>1281</v>
      </c>
      <c r="G1251" s="195" t="s">
        <v>1281</v>
      </c>
      <c r="H1251" s="195" t="s">
        <v>1281</v>
      </c>
      <c r="I1251" s="195" t="s">
        <v>1281</v>
      </c>
      <c r="J1251" s="132">
        <v>0.9</v>
      </c>
      <c r="K1251" s="133">
        <v>0.760869565217391</v>
      </c>
      <c r="L1251" s="133">
        <v>0.869565217391304</v>
      </c>
      <c r="M1251" s="134">
        <v>0.882352941176471</v>
      </c>
      <c r="N1251" s="133">
        <v>0.860335195530726</v>
      </c>
      <c r="O1251" s="135">
        <v>0.9</v>
      </c>
      <c r="P1251" s="133">
        <v>0.941259731068648</v>
      </c>
      <c r="Q1251" s="133">
        <v>0.936314363143631</v>
      </c>
      <c r="R1251" s="133">
        <v>0.962521663778163</v>
      </c>
      <c r="S1251" s="133">
        <v>0.940599957946873</v>
      </c>
      <c r="T1251" s="135">
        <v>0.9</v>
      </c>
      <c r="U1251" s="133">
        <v>0.787213965557915</v>
      </c>
      <c r="V1251" s="133">
        <v>0.749322493224932</v>
      </c>
      <c r="W1251" s="133">
        <v>0.845753899480069</v>
      </c>
      <c r="X1251" s="133">
        <v>0.802245169731094</v>
      </c>
      <c r="Y1251" s="135">
        <v>0.92</v>
      </c>
      <c r="Z1251" s="135">
        <v>0.669811320754717</v>
      </c>
      <c r="AA1251" s="135">
        <v>0.681286549707602</v>
      </c>
      <c r="AB1251" s="135">
        <v>0.873913043478261</v>
      </c>
      <c r="AC1251" s="135">
        <v>0.857058634365956</v>
      </c>
      <c r="AD1251" s="135">
        <v>0.92</v>
      </c>
      <c r="AE1251" s="133">
        <v>0.999271866751616</v>
      </c>
      <c r="AF1251" s="133">
        <v>0.995498392282958</v>
      </c>
      <c r="AG1251" s="133">
        <v>0.729191235801626</v>
      </c>
      <c r="AH1251" s="133">
        <v>0.960530081151453</v>
      </c>
      <c r="AI1251" s="135">
        <v>0.92</v>
      </c>
      <c r="AJ1251" s="133">
        <v>0.841228422320353</v>
      </c>
      <c r="AK1251" s="133">
        <v>0.828047662694775</v>
      </c>
      <c r="AL1251" s="133">
        <v>0.930627818244884</v>
      </c>
      <c r="AM1251" s="133">
        <v>0.925390310330277</v>
      </c>
      <c r="AN1251" s="132">
        <v>0.99</v>
      </c>
      <c r="AO1251" s="137">
        <v>1</v>
      </c>
      <c r="AP1251" s="137">
        <v>1</v>
      </c>
      <c r="AQ1251" s="137">
        <v>1</v>
      </c>
      <c r="AR1251" s="137">
        <v>1</v>
      </c>
      <c r="AS1251" s="158">
        <v>0.0721861525408278</v>
      </c>
      <c r="AT1251" s="141">
        <v>0.0204081632653061</v>
      </c>
      <c r="AU1251" s="141">
        <v>0.0882352941176471</v>
      </c>
      <c r="AV1251" s="141">
        <v>0.0869565217391304</v>
      </c>
      <c r="AW1251" s="141">
        <v>0.0377643504531722</v>
      </c>
      <c r="AX1251" s="95"/>
      <c r="AY1251" s="93"/>
    </row>
    <row r="1252" ht="14.5" spans="1:51">
      <c r="A1252" s="91"/>
      <c r="B1252" s="95"/>
      <c r="C1252" s="152" t="s">
        <v>1085</v>
      </c>
      <c r="D1252" s="153" t="s">
        <v>25</v>
      </c>
      <c r="E1252" s="130" t="s">
        <v>1086</v>
      </c>
      <c r="F1252" s="195" t="s">
        <v>1282</v>
      </c>
      <c r="G1252" s="195" t="s">
        <v>1282</v>
      </c>
      <c r="H1252" s="195" t="s">
        <v>1282</v>
      </c>
      <c r="I1252" s="195" t="s">
        <v>1282</v>
      </c>
      <c r="J1252" s="132">
        <v>0.9</v>
      </c>
      <c r="K1252" s="133">
        <v>1</v>
      </c>
      <c r="L1252" s="133">
        <v>1</v>
      </c>
      <c r="M1252" s="134">
        <v>1</v>
      </c>
      <c r="N1252" s="133">
        <v>0.992047713717694</v>
      </c>
      <c r="O1252" s="135">
        <v>0.9</v>
      </c>
      <c r="P1252" s="133">
        <v>0.9808</v>
      </c>
      <c r="Q1252" s="133">
        <v>0.980139026812314</v>
      </c>
      <c r="R1252" s="133">
        <v>0.981366459627329</v>
      </c>
      <c r="S1252" s="133">
        <v>0.979301292407108</v>
      </c>
      <c r="T1252" s="135">
        <v>0.9</v>
      </c>
      <c r="U1252" s="133">
        <v>0.823466666666667</v>
      </c>
      <c r="V1252" s="133">
        <v>0.805858987090367</v>
      </c>
      <c r="W1252" s="133">
        <v>0.942666029622551</v>
      </c>
      <c r="X1252" s="133">
        <v>0.914933360258481</v>
      </c>
      <c r="Y1252" s="135">
        <v>0.92</v>
      </c>
      <c r="Z1252" s="135">
        <v>0.810457516339869</v>
      </c>
      <c r="AA1252" s="135">
        <v>0.826530612244898</v>
      </c>
      <c r="AB1252" s="135">
        <v>0.918819188191882</v>
      </c>
      <c r="AC1252" s="135">
        <v>0.913759800022725</v>
      </c>
      <c r="AD1252" s="135">
        <v>0.92</v>
      </c>
      <c r="AE1252" s="133">
        <v>0.997369409996242</v>
      </c>
      <c r="AF1252" s="133">
        <v>0.983870967741935</v>
      </c>
      <c r="AG1252" s="133">
        <v>0.999512551791372</v>
      </c>
      <c r="AH1252" s="133">
        <v>0.989432934791669</v>
      </c>
      <c r="AI1252" s="135">
        <v>0.92</v>
      </c>
      <c r="AJ1252" s="133">
        <v>0.866636113657195</v>
      </c>
      <c r="AK1252" s="133">
        <v>0.86118038237739</v>
      </c>
      <c r="AL1252" s="133">
        <v>0.96092564491654</v>
      </c>
      <c r="AM1252" s="133">
        <v>0.945088077979473</v>
      </c>
      <c r="AN1252" s="132">
        <v>0.99</v>
      </c>
      <c r="AO1252" s="137">
        <v>1</v>
      </c>
      <c r="AP1252" s="137">
        <v>1</v>
      </c>
      <c r="AQ1252" s="137">
        <v>1</v>
      </c>
      <c r="AR1252" s="137">
        <v>1</v>
      </c>
      <c r="AS1252" s="158">
        <v>0.0721861525408278</v>
      </c>
      <c r="AT1252" s="141">
        <v>0.0666666666666667</v>
      </c>
      <c r="AU1252" s="141">
        <v>0.0769230769230769</v>
      </c>
      <c r="AV1252" s="141">
        <v>0</v>
      </c>
      <c r="AW1252" s="141">
        <v>0.0528455284552846</v>
      </c>
      <c r="AX1252" s="95"/>
      <c r="AY1252" s="93"/>
    </row>
    <row r="1253" ht="14.5" spans="1:51">
      <c r="A1253" s="91"/>
      <c r="B1253" s="95"/>
      <c r="C1253" s="152" t="s">
        <v>1085</v>
      </c>
      <c r="D1253" s="153" t="s">
        <v>25</v>
      </c>
      <c r="E1253" s="130" t="s">
        <v>1086</v>
      </c>
      <c r="F1253" s="195" t="s">
        <v>1283</v>
      </c>
      <c r="G1253" s="195" t="s">
        <v>1283</v>
      </c>
      <c r="H1253" s="195" t="s">
        <v>1283</v>
      </c>
      <c r="I1253" s="195" t="s">
        <v>1283</v>
      </c>
      <c r="J1253" s="132">
        <v>0.9</v>
      </c>
      <c r="K1253" s="133">
        <v>0.87719298245614</v>
      </c>
      <c r="L1253" s="133">
        <v>0.907407407407407</v>
      </c>
      <c r="M1253" s="134">
        <v>0.935483870967742</v>
      </c>
      <c r="N1253" s="133">
        <v>0.952620967741935</v>
      </c>
      <c r="O1253" s="135">
        <v>0.9</v>
      </c>
      <c r="P1253" s="133">
        <v>0.988478027867095</v>
      </c>
      <c r="Q1253" s="133">
        <v>0.988487220815105</v>
      </c>
      <c r="R1253" s="133">
        <v>0.988369333016853</v>
      </c>
      <c r="S1253" s="133">
        <v>0.984964395992186</v>
      </c>
      <c r="T1253" s="135">
        <v>0.9</v>
      </c>
      <c r="U1253" s="133">
        <v>0.822347266881029</v>
      </c>
      <c r="V1253" s="133">
        <v>0.831452912733134</v>
      </c>
      <c r="W1253" s="133">
        <v>0.91170187514835</v>
      </c>
      <c r="X1253" s="133">
        <v>0.887592160816687</v>
      </c>
      <c r="Y1253" s="135">
        <v>0.92</v>
      </c>
      <c r="Z1253" s="135">
        <v>0.825347758887172</v>
      </c>
      <c r="AA1253" s="135">
        <v>0.828012358393409</v>
      </c>
      <c r="AB1253" s="135">
        <v>0.939035486806187</v>
      </c>
      <c r="AC1253" s="135">
        <v>0.928868841082581</v>
      </c>
      <c r="AD1253" s="135">
        <v>0.92</v>
      </c>
      <c r="AE1253" s="133">
        <v>1</v>
      </c>
      <c r="AF1253" s="133">
        <v>0.999261447562777</v>
      </c>
      <c r="AG1253" s="133">
        <v>0.998245100906698</v>
      </c>
      <c r="AH1253" s="133">
        <v>0.998716608914068</v>
      </c>
      <c r="AI1253" s="135">
        <v>0.92</v>
      </c>
      <c r="AJ1253" s="133">
        <v>0.873030372231103</v>
      </c>
      <c r="AK1253" s="133">
        <v>0.870342491531803</v>
      </c>
      <c r="AL1253" s="133">
        <v>0.967055722891566</v>
      </c>
      <c r="AM1253" s="133">
        <v>0.950032655111781</v>
      </c>
      <c r="AN1253" s="132">
        <v>0.99</v>
      </c>
      <c r="AO1253" s="137">
        <v>1</v>
      </c>
      <c r="AP1253" s="137">
        <v>1</v>
      </c>
      <c r="AQ1253" s="137">
        <v>1</v>
      </c>
      <c r="AR1253" s="137">
        <v>1</v>
      </c>
      <c r="AS1253" s="158">
        <v>0.0721861525408278</v>
      </c>
      <c r="AT1253" s="141">
        <v>0.105263157894737</v>
      </c>
      <c r="AU1253" s="141">
        <v>0.0833333333333333</v>
      </c>
      <c r="AV1253" s="141">
        <v>0</v>
      </c>
      <c r="AW1253" s="141">
        <v>0.0584070796460177</v>
      </c>
      <c r="AX1253" s="95"/>
      <c r="AY1253" s="93"/>
    </row>
    <row r="1254" ht="14.5" spans="1:51">
      <c r="A1254" s="91"/>
      <c r="B1254" s="95"/>
      <c r="C1254" s="152" t="s">
        <v>1085</v>
      </c>
      <c r="D1254" s="153" t="s">
        <v>25</v>
      </c>
      <c r="E1254" s="130" t="s">
        <v>1086</v>
      </c>
      <c r="F1254" s="195" t="s">
        <v>1284</v>
      </c>
      <c r="G1254" s="195" t="s">
        <v>1284</v>
      </c>
      <c r="H1254" s="195" t="s">
        <v>1284</v>
      </c>
      <c r="I1254" s="195" t="s">
        <v>1284</v>
      </c>
      <c r="J1254" s="132">
        <v>0.9</v>
      </c>
      <c r="K1254" s="133">
        <v>1</v>
      </c>
      <c r="L1254" s="133">
        <v>0.96551724137931</v>
      </c>
      <c r="M1254" s="134">
        <v>1</v>
      </c>
      <c r="N1254" s="133">
        <v>0.992619926199262</v>
      </c>
      <c r="O1254" s="135">
        <v>0.9</v>
      </c>
      <c r="P1254" s="133">
        <v>0.976911236531555</v>
      </c>
      <c r="Q1254" s="133">
        <v>0.980700179533214</v>
      </c>
      <c r="R1254" s="133">
        <v>0.981335952848723</v>
      </c>
      <c r="S1254" s="133">
        <v>0.982826682758794</v>
      </c>
      <c r="T1254" s="135">
        <v>0.9</v>
      </c>
      <c r="U1254" s="133">
        <v>0.851718830169318</v>
      </c>
      <c r="V1254" s="133">
        <v>0.858168761220826</v>
      </c>
      <c r="W1254" s="133">
        <v>0.93762278978389</v>
      </c>
      <c r="X1254" s="133">
        <v>0.911669306781323</v>
      </c>
      <c r="Y1254" s="135">
        <v>0.92</v>
      </c>
      <c r="Z1254" s="135">
        <v>0.765472312703583</v>
      </c>
      <c r="AA1254" s="135">
        <v>0.825757575757576</v>
      </c>
      <c r="AB1254" s="135">
        <v>0.954710144927536</v>
      </c>
      <c r="AC1254" s="135">
        <v>0.928956834532374</v>
      </c>
      <c r="AD1254" s="135">
        <v>0.92</v>
      </c>
      <c r="AE1254" s="133">
        <v>0.991893076248904</v>
      </c>
      <c r="AF1254" s="133">
        <v>0.998552298226565</v>
      </c>
      <c r="AG1254" s="133">
        <v>0.971495779714958</v>
      </c>
      <c r="AH1254" s="133">
        <v>0.992177371316444</v>
      </c>
      <c r="AI1254" s="135">
        <v>0.92</v>
      </c>
      <c r="AJ1254" s="133">
        <v>0.865750996898538</v>
      </c>
      <c r="AK1254" s="133">
        <v>0.89626405513239</v>
      </c>
      <c r="AL1254" s="133">
        <v>0.972983404091085</v>
      </c>
      <c r="AM1254" s="133">
        <v>0.957331854225728</v>
      </c>
      <c r="AN1254" s="132">
        <v>0.99</v>
      </c>
      <c r="AO1254" s="137">
        <v>1</v>
      </c>
      <c r="AP1254" s="137">
        <v>1</v>
      </c>
      <c r="AQ1254" s="137">
        <v>1</v>
      </c>
      <c r="AR1254" s="137">
        <v>1</v>
      </c>
      <c r="AS1254" s="158">
        <v>0.0721861525408278</v>
      </c>
      <c r="AT1254" s="141">
        <v>0.157894736842105</v>
      </c>
      <c r="AU1254" s="141">
        <v>0.176470588235294</v>
      </c>
      <c r="AV1254" s="141">
        <v>0</v>
      </c>
      <c r="AW1254" s="141">
        <v>0.0707070707070707</v>
      </c>
      <c r="AX1254" s="95"/>
      <c r="AY1254" s="93"/>
    </row>
    <row r="1255" ht="14.5" spans="1:51">
      <c r="A1255" s="91"/>
      <c r="B1255" s="95"/>
      <c r="C1255" s="152" t="s">
        <v>1085</v>
      </c>
      <c r="D1255" s="153" t="s">
        <v>25</v>
      </c>
      <c r="E1255" s="130" t="s">
        <v>1086</v>
      </c>
      <c r="F1255" s="195" t="s">
        <v>1285</v>
      </c>
      <c r="G1255" s="195" t="s">
        <v>1285</v>
      </c>
      <c r="H1255" s="195" t="s">
        <v>1285</v>
      </c>
      <c r="I1255" s="195" t="s">
        <v>1285</v>
      </c>
      <c r="J1255" s="132">
        <v>0.9</v>
      </c>
      <c r="K1255" s="133">
        <v>0.950819672131147</v>
      </c>
      <c r="L1255" s="133">
        <v>0.847457627118644</v>
      </c>
      <c r="M1255" s="134">
        <v>0.920634920634921</v>
      </c>
      <c r="N1255" s="133">
        <v>0.940733772342427</v>
      </c>
      <c r="O1255" s="135">
        <v>0.9</v>
      </c>
      <c r="P1255" s="133">
        <v>0.94275092936803</v>
      </c>
      <c r="Q1255" s="133">
        <v>0.910341766533511</v>
      </c>
      <c r="R1255" s="133">
        <v>0.966486993203656</v>
      </c>
      <c r="S1255" s="133">
        <v>0.952059293779359</v>
      </c>
      <c r="T1255" s="135">
        <v>0.9</v>
      </c>
      <c r="U1255" s="133">
        <v>0.867905824039653</v>
      </c>
      <c r="V1255" s="133">
        <v>0.868397691966267</v>
      </c>
      <c r="W1255" s="133">
        <v>0.911881884227795</v>
      </c>
      <c r="X1255" s="133">
        <v>0.90659742448843</v>
      </c>
      <c r="Y1255" s="135">
        <v>0.92</v>
      </c>
      <c r="Z1255" s="135">
        <v>0.880131362889984</v>
      </c>
      <c r="AA1255" s="135">
        <v>0.898336414048059</v>
      </c>
      <c r="AB1255" s="135">
        <v>0.941228070175439</v>
      </c>
      <c r="AC1255" s="135">
        <v>0.932583665124287</v>
      </c>
      <c r="AD1255" s="135">
        <v>0.92</v>
      </c>
      <c r="AE1255" s="133">
        <v>0.995787700084246</v>
      </c>
      <c r="AF1255" s="133">
        <v>0.996261682242991</v>
      </c>
      <c r="AG1255" s="133">
        <v>0.87565331010453</v>
      </c>
      <c r="AH1255" s="133">
        <v>0.975580006606866</v>
      </c>
      <c r="AI1255" s="135">
        <v>0.92</v>
      </c>
      <c r="AJ1255" s="133">
        <v>0.922049956933678</v>
      </c>
      <c r="AK1255" s="133">
        <v>0.926999463231347</v>
      </c>
      <c r="AL1255" s="133">
        <v>0.961538461538462</v>
      </c>
      <c r="AM1255" s="133">
        <v>0.963556880678499</v>
      </c>
      <c r="AN1255" s="132">
        <v>0.99</v>
      </c>
      <c r="AO1255" s="137">
        <v>1</v>
      </c>
      <c r="AP1255" s="137">
        <v>1</v>
      </c>
      <c r="AQ1255" s="137">
        <v>1</v>
      </c>
      <c r="AR1255" s="137">
        <v>1</v>
      </c>
      <c r="AS1255" s="158">
        <v>0.0721861525408278</v>
      </c>
      <c r="AT1255" s="141">
        <v>0.032258064516129</v>
      </c>
      <c r="AU1255" s="141">
        <v>0.0625</v>
      </c>
      <c r="AV1255" s="141">
        <v>0.037037037037037</v>
      </c>
      <c r="AW1255" s="141">
        <v>0.0207373271889401</v>
      </c>
      <c r="AX1255" s="95"/>
      <c r="AY1255" s="93"/>
    </row>
    <row r="1256" ht="14.5" spans="1:51">
      <c r="A1256" s="91"/>
      <c r="B1256" s="95"/>
      <c r="C1256" s="152" t="s">
        <v>1085</v>
      </c>
      <c r="D1256" s="153" t="s">
        <v>125</v>
      </c>
      <c r="E1256" s="130" t="s">
        <v>1086</v>
      </c>
      <c r="F1256" s="195" t="s">
        <v>1286</v>
      </c>
      <c r="G1256" s="195" t="s">
        <v>1286</v>
      </c>
      <c r="H1256" s="195" t="s">
        <v>1286</v>
      </c>
      <c r="I1256" s="195" t="s">
        <v>1286</v>
      </c>
      <c r="J1256" s="132">
        <v>0.9</v>
      </c>
      <c r="K1256" s="133" t="s">
        <v>35</v>
      </c>
      <c r="L1256" s="133" t="s">
        <v>35</v>
      </c>
      <c r="M1256" s="134" t="s">
        <v>35</v>
      </c>
      <c r="N1256" s="133" t="s">
        <v>35</v>
      </c>
      <c r="O1256" s="135">
        <v>0.9</v>
      </c>
      <c r="P1256" s="133">
        <v>1</v>
      </c>
      <c r="Q1256" s="133">
        <v>1</v>
      </c>
      <c r="R1256" s="133" t="s">
        <v>35</v>
      </c>
      <c r="S1256" s="133">
        <v>0.863636363636364</v>
      </c>
      <c r="T1256" s="135">
        <v>0.9</v>
      </c>
      <c r="U1256" s="133">
        <v>1</v>
      </c>
      <c r="V1256" s="133">
        <v>1</v>
      </c>
      <c r="W1256" s="133" t="s">
        <v>35</v>
      </c>
      <c r="X1256" s="133">
        <v>0.909090909090909</v>
      </c>
      <c r="Y1256" s="135">
        <v>0.92</v>
      </c>
      <c r="Z1256" s="135" t="s">
        <v>35</v>
      </c>
      <c r="AA1256" s="135" t="s">
        <v>35</v>
      </c>
      <c r="AB1256" s="135" t="s">
        <v>35</v>
      </c>
      <c r="AC1256" s="135" t="s">
        <v>35</v>
      </c>
      <c r="AD1256" s="135">
        <v>0.92</v>
      </c>
      <c r="AE1256" s="133">
        <v>0.999005784526392</v>
      </c>
      <c r="AF1256" s="133">
        <v>0.997717112146866</v>
      </c>
      <c r="AG1256" s="133">
        <v>0.990561729334754</v>
      </c>
      <c r="AH1256" s="133">
        <v>0.985289573677398</v>
      </c>
      <c r="AI1256" s="135">
        <v>0.92</v>
      </c>
      <c r="AJ1256" s="133">
        <v>1</v>
      </c>
      <c r="AK1256" s="133">
        <v>1</v>
      </c>
      <c r="AL1256" s="133" t="s">
        <v>35</v>
      </c>
      <c r="AM1256" s="133">
        <v>0.944444444444444</v>
      </c>
      <c r="AN1256" s="132">
        <v>0.99</v>
      </c>
      <c r="AO1256" s="137">
        <v>1</v>
      </c>
      <c r="AP1256" s="137">
        <v>1</v>
      </c>
      <c r="AQ1256" s="137">
        <v>1</v>
      </c>
      <c r="AR1256" s="137">
        <v>1</v>
      </c>
      <c r="AS1256" s="158">
        <v>0.0721861525408278</v>
      </c>
      <c r="AT1256" s="141" t="s">
        <v>35</v>
      </c>
      <c r="AU1256" s="141" t="s">
        <v>35</v>
      </c>
      <c r="AV1256" s="141" t="s">
        <v>35</v>
      </c>
      <c r="AW1256" s="141">
        <v>0.285714285714286</v>
      </c>
      <c r="AX1256" s="95"/>
      <c r="AY1256" s="93"/>
    </row>
    <row r="1257" ht="14.5" spans="1:51">
      <c r="A1257" s="91"/>
      <c r="B1257" s="95"/>
      <c r="C1257" s="152" t="s">
        <v>1085</v>
      </c>
      <c r="D1257" s="153" t="s">
        <v>25</v>
      </c>
      <c r="E1257" s="130" t="s">
        <v>1086</v>
      </c>
      <c r="F1257" s="195" t="s">
        <v>1287</v>
      </c>
      <c r="G1257" s="195" t="s">
        <v>1287</v>
      </c>
      <c r="H1257" s="195" t="s">
        <v>1287</v>
      </c>
      <c r="I1257" s="195" t="s">
        <v>1287</v>
      </c>
      <c r="J1257" s="132">
        <v>0.9</v>
      </c>
      <c r="K1257" s="133">
        <v>0.916666666666667</v>
      </c>
      <c r="L1257" s="133">
        <v>0.942857142857143</v>
      </c>
      <c r="M1257" s="134">
        <v>0.972222222222222</v>
      </c>
      <c r="N1257" s="133">
        <v>0.957860615883306</v>
      </c>
      <c r="O1257" s="135">
        <v>0.9</v>
      </c>
      <c r="P1257" s="133">
        <v>0.985038414880712</v>
      </c>
      <c r="Q1257" s="133">
        <v>0.987449574181981</v>
      </c>
      <c r="R1257" s="133">
        <v>0.987281976744186</v>
      </c>
      <c r="S1257" s="133">
        <v>0.977546166759933</v>
      </c>
      <c r="T1257" s="135">
        <v>0.9</v>
      </c>
      <c r="U1257" s="133">
        <v>0.965224423776789</v>
      </c>
      <c r="V1257" s="133">
        <v>0.958762886597938</v>
      </c>
      <c r="W1257" s="133">
        <v>0.972383720930233</v>
      </c>
      <c r="X1257" s="133">
        <v>0.97003823913449</v>
      </c>
      <c r="Y1257" s="135">
        <v>0.92</v>
      </c>
      <c r="Z1257" s="135">
        <v>0.973026973026973</v>
      </c>
      <c r="AA1257" s="135">
        <v>0.962571196094386</v>
      </c>
      <c r="AB1257" s="135">
        <v>0.973904939422181</v>
      </c>
      <c r="AC1257" s="135">
        <v>0.975960295714212</v>
      </c>
      <c r="AD1257" s="135">
        <v>0.92</v>
      </c>
      <c r="AE1257" s="133">
        <v>0.999442586399108</v>
      </c>
      <c r="AF1257" s="133">
        <v>0.996111975116641</v>
      </c>
      <c r="AG1257" s="133">
        <v>0.991817650496785</v>
      </c>
      <c r="AH1257" s="133">
        <v>0.99621098813441</v>
      </c>
      <c r="AI1257" s="135">
        <v>0.92</v>
      </c>
      <c r="AJ1257" s="133">
        <v>0.979850316637881</v>
      </c>
      <c r="AK1257" s="133">
        <v>0.976589595375723</v>
      </c>
      <c r="AL1257" s="133">
        <v>0.984052287581699</v>
      </c>
      <c r="AM1257" s="133">
        <v>0.985458810675322</v>
      </c>
      <c r="AN1257" s="132">
        <v>0.99</v>
      </c>
      <c r="AO1257" s="137">
        <v>1</v>
      </c>
      <c r="AP1257" s="137">
        <v>1</v>
      </c>
      <c r="AQ1257" s="137">
        <v>1</v>
      </c>
      <c r="AR1257" s="137">
        <v>1</v>
      </c>
      <c r="AS1257" s="158">
        <v>0.0721861525408278</v>
      </c>
      <c r="AT1257" s="141">
        <v>0.0714285714285714</v>
      </c>
      <c r="AU1257" s="141">
        <v>0.153846153846154</v>
      </c>
      <c r="AV1257" s="141">
        <v>0</v>
      </c>
      <c r="AW1257" s="141">
        <v>0.037344398340249</v>
      </c>
      <c r="AX1257" s="95"/>
      <c r="AY1257" s="93"/>
    </row>
    <row r="1258" ht="14.5" spans="1:51">
      <c r="A1258" s="91"/>
      <c r="B1258" s="95"/>
      <c r="C1258" s="152" t="s">
        <v>1085</v>
      </c>
      <c r="D1258" s="153" t="s">
        <v>25</v>
      </c>
      <c r="E1258" s="130" t="s">
        <v>1086</v>
      </c>
      <c r="F1258" s="195" t="s">
        <v>1288</v>
      </c>
      <c r="G1258" s="195" t="s">
        <v>1288</v>
      </c>
      <c r="H1258" s="195" t="s">
        <v>1288</v>
      </c>
      <c r="I1258" s="195" t="s">
        <v>1288</v>
      </c>
      <c r="J1258" s="132">
        <v>0.9</v>
      </c>
      <c r="K1258" s="133">
        <v>0.842105263157895</v>
      </c>
      <c r="L1258" s="133">
        <v>1</v>
      </c>
      <c r="M1258" s="134">
        <v>0.921052631578947</v>
      </c>
      <c r="N1258" s="133">
        <v>0.952451708766716</v>
      </c>
      <c r="O1258" s="135">
        <v>0.9</v>
      </c>
      <c r="P1258" s="133">
        <v>0.963513513513514</v>
      </c>
      <c r="Q1258" s="133">
        <v>0.990102778835173</v>
      </c>
      <c r="R1258" s="133">
        <v>0.97986798679868</v>
      </c>
      <c r="S1258" s="133">
        <v>0.972907366645409</v>
      </c>
      <c r="T1258" s="135">
        <v>0.9</v>
      </c>
      <c r="U1258" s="133">
        <v>0.92027027027027</v>
      </c>
      <c r="V1258" s="133">
        <v>0.939474685953559</v>
      </c>
      <c r="W1258" s="133">
        <v>0.921122112211221</v>
      </c>
      <c r="X1258" s="133">
        <v>0.934973565653864</v>
      </c>
      <c r="Y1258" s="135">
        <v>0.92</v>
      </c>
      <c r="Z1258" s="135">
        <v>0.940060698027314</v>
      </c>
      <c r="AA1258" s="135">
        <v>0.952029520295203</v>
      </c>
      <c r="AB1258" s="135">
        <v>0.965299684542587</v>
      </c>
      <c r="AC1258" s="135">
        <v>0.961288848263254</v>
      </c>
      <c r="AD1258" s="135">
        <v>0.92</v>
      </c>
      <c r="AE1258" s="133">
        <v>1</v>
      </c>
      <c r="AF1258" s="133">
        <v>0.996073298429319</v>
      </c>
      <c r="AG1258" s="133">
        <v>0.997888067581837</v>
      </c>
      <c r="AH1258" s="133">
        <v>0.99685455910212</v>
      </c>
      <c r="AI1258" s="135">
        <v>0.92</v>
      </c>
      <c r="AJ1258" s="133">
        <v>0.962365591397849</v>
      </c>
      <c r="AK1258" s="133">
        <v>0.969613259668508</v>
      </c>
      <c r="AL1258" s="133">
        <v>0.980921358771522</v>
      </c>
      <c r="AM1258" s="133">
        <v>0.978127039064938</v>
      </c>
      <c r="AN1258" s="132">
        <v>0.99</v>
      </c>
      <c r="AO1258" s="137">
        <v>1</v>
      </c>
      <c r="AP1258" s="137">
        <v>1</v>
      </c>
      <c r="AQ1258" s="137">
        <v>1</v>
      </c>
      <c r="AR1258" s="137">
        <v>1</v>
      </c>
      <c r="AS1258" s="158">
        <v>0.0721861525408278</v>
      </c>
      <c r="AT1258" s="141">
        <v>0</v>
      </c>
      <c r="AU1258" s="141">
        <v>0</v>
      </c>
      <c r="AV1258" s="141">
        <v>0.0714285714285714</v>
      </c>
      <c r="AW1258" s="141">
        <v>0.0636363636363636</v>
      </c>
      <c r="AX1258" s="95"/>
      <c r="AY1258" s="93"/>
    </row>
    <row r="1259" ht="14.5" spans="1:51">
      <c r="A1259" s="91"/>
      <c r="B1259" s="95"/>
      <c r="C1259" s="152" t="s">
        <v>1085</v>
      </c>
      <c r="D1259" s="153" t="s">
        <v>25</v>
      </c>
      <c r="E1259" s="130" t="s">
        <v>1086</v>
      </c>
      <c r="F1259" s="195" t="s">
        <v>1289</v>
      </c>
      <c r="G1259" s="195" t="s">
        <v>1289</v>
      </c>
      <c r="H1259" s="195" t="s">
        <v>1289</v>
      </c>
      <c r="I1259" s="195" t="s">
        <v>1289</v>
      </c>
      <c r="J1259" s="132">
        <v>0.9</v>
      </c>
      <c r="K1259" s="133">
        <v>0.878048780487805</v>
      </c>
      <c r="L1259" s="133">
        <v>0.925</v>
      </c>
      <c r="M1259" s="134">
        <v>0.857142857142857</v>
      </c>
      <c r="N1259" s="133">
        <v>0.896503496503496</v>
      </c>
      <c r="O1259" s="135">
        <v>0.9</v>
      </c>
      <c r="P1259" s="133">
        <v>0.918373680943513</v>
      </c>
      <c r="Q1259" s="133">
        <v>0.986577181208054</v>
      </c>
      <c r="R1259" s="133">
        <v>0.977797001153403</v>
      </c>
      <c r="S1259" s="133">
        <v>0.959515017701473</v>
      </c>
      <c r="T1259" s="135">
        <v>0.9</v>
      </c>
      <c r="U1259" s="133">
        <v>0.946927374301676</v>
      </c>
      <c r="V1259" s="133">
        <v>0.946308724832215</v>
      </c>
      <c r="W1259" s="133">
        <v>0.94636678200692</v>
      </c>
      <c r="X1259" s="133">
        <v>0.939110738893753</v>
      </c>
      <c r="Y1259" s="135">
        <v>0.92</v>
      </c>
      <c r="Z1259" s="135">
        <v>0.922964049889949</v>
      </c>
      <c r="AA1259" s="135">
        <v>0.935633709356337</v>
      </c>
      <c r="AB1259" s="135">
        <v>0.949486977111286</v>
      </c>
      <c r="AC1259" s="135">
        <v>0.945912696729309</v>
      </c>
      <c r="AD1259" s="135">
        <v>0.92</v>
      </c>
      <c r="AE1259" s="133">
        <v>0.999274135010888</v>
      </c>
      <c r="AF1259" s="133">
        <v>0.995224450811843</v>
      </c>
      <c r="AG1259" s="133">
        <v>0.995626822157434</v>
      </c>
      <c r="AH1259" s="133">
        <v>0.998474980142971</v>
      </c>
      <c r="AI1259" s="135">
        <v>0.92</v>
      </c>
      <c r="AJ1259" s="133">
        <v>0.961832061068702</v>
      </c>
      <c r="AK1259" s="133">
        <v>0.963125144042406</v>
      </c>
      <c r="AL1259" s="133">
        <v>0.975295608108108</v>
      </c>
      <c r="AM1259" s="133">
        <v>0.971979559397291</v>
      </c>
      <c r="AN1259" s="132">
        <v>0.99</v>
      </c>
      <c r="AO1259" s="137">
        <v>1</v>
      </c>
      <c r="AP1259" s="137">
        <v>1</v>
      </c>
      <c r="AQ1259" s="137">
        <v>1</v>
      </c>
      <c r="AR1259" s="137">
        <v>1</v>
      </c>
      <c r="AS1259" s="158">
        <v>0.0721861525408278</v>
      </c>
      <c r="AT1259" s="141">
        <v>0.0588235294117647</v>
      </c>
      <c r="AU1259" s="141">
        <v>0</v>
      </c>
      <c r="AV1259" s="141">
        <v>0</v>
      </c>
      <c r="AW1259" s="141">
        <v>0.0379746835443038</v>
      </c>
      <c r="AX1259" s="95"/>
      <c r="AY1259" s="93"/>
    </row>
    <row r="1260" ht="14.5" spans="1:51">
      <c r="A1260" s="91"/>
      <c r="B1260" s="95"/>
      <c r="C1260" s="152" t="s">
        <v>1085</v>
      </c>
      <c r="D1260" s="153" t="s">
        <v>25</v>
      </c>
      <c r="E1260" s="130" t="s">
        <v>1086</v>
      </c>
      <c r="F1260" s="195" t="s">
        <v>1290</v>
      </c>
      <c r="G1260" s="195" t="s">
        <v>1290</v>
      </c>
      <c r="H1260" s="195" t="s">
        <v>1290</v>
      </c>
      <c r="I1260" s="195" t="s">
        <v>1290</v>
      </c>
      <c r="J1260" s="132">
        <v>0.9</v>
      </c>
      <c r="K1260" s="133">
        <v>0.947368421052632</v>
      </c>
      <c r="L1260" s="133">
        <v>0.942857142857143</v>
      </c>
      <c r="M1260" s="134">
        <v>0.951219512195122</v>
      </c>
      <c r="N1260" s="133">
        <v>0.920236336779911</v>
      </c>
      <c r="O1260" s="135">
        <v>0.9</v>
      </c>
      <c r="P1260" s="133">
        <v>0.982339220259913</v>
      </c>
      <c r="Q1260" s="133">
        <v>0.984819734345351</v>
      </c>
      <c r="R1260" s="133">
        <v>0.986350341241469</v>
      </c>
      <c r="S1260" s="133">
        <v>0.98029799549791</v>
      </c>
      <c r="T1260" s="135">
        <v>0.9</v>
      </c>
      <c r="U1260" s="133">
        <v>0.954348550483172</v>
      </c>
      <c r="V1260" s="133">
        <v>0.949146110056926</v>
      </c>
      <c r="W1260" s="133">
        <v>0.976600584985375</v>
      </c>
      <c r="X1260" s="133">
        <v>0.966705970629221</v>
      </c>
      <c r="Y1260" s="135">
        <v>0.92</v>
      </c>
      <c r="Z1260" s="135">
        <v>0.901185770750988</v>
      </c>
      <c r="AA1260" s="135">
        <v>0.961029923451635</v>
      </c>
      <c r="AB1260" s="135">
        <v>0.971026490066225</v>
      </c>
      <c r="AC1260" s="135">
        <v>0.967869037009241</v>
      </c>
      <c r="AD1260" s="135">
        <v>0.92</v>
      </c>
      <c r="AE1260" s="133">
        <v>0.998060135790495</v>
      </c>
      <c r="AF1260" s="133">
        <v>0.995967741935484</v>
      </c>
      <c r="AG1260" s="133">
        <v>1</v>
      </c>
      <c r="AH1260" s="133">
        <v>0.997316293929712</v>
      </c>
      <c r="AI1260" s="135">
        <v>0.92</v>
      </c>
      <c r="AJ1260" s="133">
        <v>0.961087669948429</v>
      </c>
      <c r="AK1260" s="133">
        <v>0.974214145383104</v>
      </c>
      <c r="AL1260" s="133">
        <v>0.986464410735122</v>
      </c>
      <c r="AM1260" s="133">
        <v>0.982670354242674</v>
      </c>
      <c r="AN1260" s="132">
        <v>0.99</v>
      </c>
      <c r="AO1260" s="137">
        <v>1</v>
      </c>
      <c r="AP1260" s="137">
        <v>1</v>
      </c>
      <c r="AQ1260" s="137">
        <v>1</v>
      </c>
      <c r="AR1260" s="137">
        <v>1</v>
      </c>
      <c r="AS1260" s="158">
        <v>0.0721861525408278</v>
      </c>
      <c r="AT1260" s="141">
        <v>0</v>
      </c>
      <c r="AU1260" s="141">
        <v>0</v>
      </c>
      <c r="AV1260" s="141">
        <v>0.125</v>
      </c>
      <c r="AW1260" s="141">
        <v>0.0324324324324324</v>
      </c>
      <c r="AX1260" s="95"/>
      <c r="AY1260" s="93"/>
    </row>
    <row r="1261" ht="14.5" spans="1:51">
      <c r="A1261" s="91"/>
      <c r="B1261" s="95"/>
      <c r="C1261" s="152" t="s">
        <v>1085</v>
      </c>
      <c r="D1261" s="153" t="s">
        <v>25</v>
      </c>
      <c r="E1261" s="130" t="s">
        <v>1086</v>
      </c>
      <c r="F1261" s="195" t="s">
        <v>1291</v>
      </c>
      <c r="G1261" s="195" t="s">
        <v>1291</v>
      </c>
      <c r="H1261" s="195" t="s">
        <v>1291</v>
      </c>
      <c r="I1261" s="195" t="s">
        <v>1291</v>
      </c>
      <c r="J1261" s="132">
        <v>0.9</v>
      </c>
      <c r="K1261" s="133">
        <v>0.96</v>
      </c>
      <c r="L1261" s="133">
        <v>0.925925925925926</v>
      </c>
      <c r="M1261" s="134">
        <v>0.961538461538462</v>
      </c>
      <c r="N1261" s="133">
        <v>0.955654101995565</v>
      </c>
      <c r="O1261" s="135">
        <v>0.9</v>
      </c>
      <c r="P1261" s="133">
        <v>0.945071868583162</v>
      </c>
      <c r="Q1261" s="133">
        <v>0.952296819787986</v>
      </c>
      <c r="R1261" s="133">
        <v>0.988494247123562</v>
      </c>
      <c r="S1261" s="133">
        <v>0.97786895838718</v>
      </c>
      <c r="T1261" s="135">
        <v>0.9</v>
      </c>
      <c r="U1261" s="133">
        <v>0.961498973305955</v>
      </c>
      <c r="V1261" s="133">
        <v>0.949941107184923</v>
      </c>
      <c r="W1261" s="133">
        <v>0.962981490745373</v>
      </c>
      <c r="X1261" s="133">
        <v>0.963233393641768</v>
      </c>
      <c r="Y1261" s="135">
        <v>0.92</v>
      </c>
      <c r="Z1261" s="135">
        <v>0.948379351740696</v>
      </c>
      <c r="AA1261" s="135">
        <v>0.948888888888889</v>
      </c>
      <c r="AB1261" s="135">
        <v>0.957420924574209</v>
      </c>
      <c r="AC1261" s="135">
        <v>0.963225298705015</v>
      </c>
      <c r="AD1261" s="135">
        <v>0.92</v>
      </c>
      <c r="AE1261" s="133">
        <v>1</v>
      </c>
      <c r="AF1261" s="133">
        <v>0.991778006166495</v>
      </c>
      <c r="AG1261" s="133">
        <v>0.995379728559053</v>
      </c>
      <c r="AH1261" s="133">
        <v>0.995664517264905</v>
      </c>
      <c r="AI1261" s="135">
        <v>0.92</v>
      </c>
      <c r="AJ1261" s="133">
        <v>0.972312117943186</v>
      </c>
      <c r="AK1261" s="133">
        <v>0.965742879137798</v>
      </c>
      <c r="AL1261" s="133">
        <v>0.97660404112017</v>
      </c>
      <c r="AM1261" s="133">
        <v>0.979546415615054</v>
      </c>
      <c r="AN1261" s="132">
        <v>0.99</v>
      </c>
      <c r="AO1261" s="137">
        <v>1</v>
      </c>
      <c r="AP1261" s="137">
        <v>1</v>
      </c>
      <c r="AQ1261" s="137">
        <v>1</v>
      </c>
      <c r="AR1261" s="137">
        <v>1</v>
      </c>
      <c r="AS1261" s="158">
        <v>0.0721861525408278</v>
      </c>
      <c r="AT1261" s="141">
        <v>0.0588235294117647</v>
      </c>
      <c r="AU1261" s="141">
        <v>0</v>
      </c>
      <c r="AV1261" s="141">
        <v>0</v>
      </c>
      <c r="AW1261" s="141">
        <v>0</v>
      </c>
      <c r="AX1261" s="95"/>
      <c r="AY1261" s="93"/>
    </row>
    <row r="1262" ht="14.5" spans="1:51">
      <c r="A1262" s="91"/>
      <c r="B1262" s="95"/>
      <c r="C1262" s="152" t="s">
        <v>1085</v>
      </c>
      <c r="D1262" s="153" t="s">
        <v>25</v>
      </c>
      <c r="E1262" s="130" t="s">
        <v>1086</v>
      </c>
      <c r="F1262" s="195" t="s">
        <v>1292</v>
      </c>
      <c r="G1262" s="195" t="s">
        <v>1292</v>
      </c>
      <c r="H1262" s="195" t="s">
        <v>1292</v>
      </c>
      <c r="I1262" s="195" t="s">
        <v>1292</v>
      </c>
      <c r="J1262" s="132">
        <v>0.9</v>
      </c>
      <c r="K1262" s="133">
        <v>0.923076923076923</v>
      </c>
      <c r="L1262" s="133">
        <v>0.947368421052632</v>
      </c>
      <c r="M1262" s="134">
        <v>0.95</v>
      </c>
      <c r="N1262" s="133">
        <v>0.944858420268256</v>
      </c>
      <c r="O1262" s="135">
        <v>0.9</v>
      </c>
      <c r="P1262" s="133">
        <v>0.96551724137931</v>
      </c>
      <c r="Q1262" s="133">
        <v>0.962548428755919</v>
      </c>
      <c r="R1262" s="133">
        <v>0.969172932330827</v>
      </c>
      <c r="S1262" s="133">
        <v>0.955267330950747</v>
      </c>
      <c r="T1262" s="135">
        <v>0.9</v>
      </c>
      <c r="U1262" s="133">
        <v>0.970729751403368</v>
      </c>
      <c r="V1262" s="133">
        <v>0.972449418854929</v>
      </c>
      <c r="W1262" s="133">
        <v>0.973308270676692</v>
      </c>
      <c r="X1262" s="133">
        <v>0.973894109015171</v>
      </c>
      <c r="Y1262" s="135">
        <v>0.92</v>
      </c>
      <c r="Z1262" s="135">
        <v>0.963944076526858</v>
      </c>
      <c r="AA1262" s="135">
        <v>0.968849840255591</v>
      </c>
      <c r="AB1262" s="135">
        <v>0.967959527824621</v>
      </c>
      <c r="AC1262" s="135">
        <v>0.971812725090036</v>
      </c>
      <c r="AD1262" s="135">
        <v>0.92</v>
      </c>
      <c r="AE1262" s="133">
        <v>0.999832719973235</v>
      </c>
      <c r="AF1262" s="133">
        <v>0.997473684210526</v>
      </c>
      <c r="AG1262" s="133">
        <v>0.997264645543652</v>
      </c>
      <c r="AH1262" s="133">
        <v>0.959326342548459</v>
      </c>
      <c r="AI1262" s="135">
        <v>0.92</v>
      </c>
      <c r="AJ1262" s="133">
        <v>0.977679730080457</v>
      </c>
      <c r="AK1262" s="133">
        <v>0.981538461538462</v>
      </c>
      <c r="AL1262" s="133">
        <v>0.985179407176287</v>
      </c>
      <c r="AM1262" s="133">
        <v>0.985098996560087</v>
      </c>
      <c r="AN1262" s="132">
        <v>0.99</v>
      </c>
      <c r="AO1262" s="137">
        <v>1</v>
      </c>
      <c r="AP1262" s="137">
        <v>1</v>
      </c>
      <c r="AQ1262" s="137">
        <v>1</v>
      </c>
      <c r="AR1262" s="137">
        <v>1</v>
      </c>
      <c r="AS1262" s="158">
        <v>0.0721861525408278</v>
      </c>
      <c r="AT1262" s="141">
        <v>0.0714285714285714</v>
      </c>
      <c r="AU1262" s="141">
        <v>0</v>
      </c>
      <c r="AV1262" s="141">
        <v>0</v>
      </c>
      <c r="AW1262" s="141">
        <v>0.0261437908496732</v>
      </c>
      <c r="AX1262" s="95"/>
      <c r="AY1262" s="93"/>
    </row>
    <row r="1263" ht="14.5" spans="1:51">
      <c r="A1263" s="91"/>
      <c r="B1263" s="95"/>
      <c r="C1263" s="152" t="s">
        <v>1085</v>
      </c>
      <c r="D1263" s="153" t="s">
        <v>25</v>
      </c>
      <c r="E1263" s="130" t="s">
        <v>1086</v>
      </c>
      <c r="F1263" s="195" t="s">
        <v>1293</v>
      </c>
      <c r="G1263" s="195" t="s">
        <v>1293</v>
      </c>
      <c r="H1263" s="195" t="s">
        <v>1293</v>
      </c>
      <c r="I1263" s="195" t="s">
        <v>1293</v>
      </c>
      <c r="J1263" s="132">
        <v>0.9</v>
      </c>
      <c r="K1263" s="133">
        <v>0.857142857142857</v>
      </c>
      <c r="L1263" s="133">
        <v>0.939393939393939</v>
      </c>
      <c r="M1263" s="134">
        <v>0.944444444444444</v>
      </c>
      <c r="N1263" s="133">
        <v>0.930915371329879</v>
      </c>
      <c r="O1263" s="135">
        <v>0.9</v>
      </c>
      <c r="P1263" s="133">
        <v>0.992116673236106</v>
      </c>
      <c r="Q1263" s="133">
        <v>0.990031717263253</v>
      </c>
      <c r="R1263" s="133">
        <v>0.984465317919075</v>
      </c>
      <c r="S1263" s="133">
        <v>0.971631375173271</v>
      </c>
      <c r="T1263" s="135">
        <v>0.9</v>
      </c>
      <c r="U1263" s="133">
        <v>0.966101694915254</v>
      </c>
      <c r="V1263" s="133">
        <v>0.954236520163117</v>
      </c>
      <c r="W1263" s="133">
        <v>0.970014450867052</v>
      </c>
      <c r="X1263" s="133">
        <v>0.965465321925338</v>
      </c>
      <c r="Y1263" s="135">
        <v>0.92</v>
      </c>
      <c r="Z1263" s="135">
        <v>0.961832061068702</v>
      </c>
      <c r="AA1263" s="135">
        <v>0.960560911481157</v>
      </c>
      <c r="AB1263" s="135">
        <v>0.955615942028985</v>
      </c>
      <c r="AC1263" s="135">
        <v>0.966007778784165</v>
      </c>
      <c r="AD1263" s="135">
        <v>0.92</v>
      </c>
      <c r="AE1263" s="133">
        <v>1</v>
      </c>
      <c r="AF1263" s="133">
        <v>1</v>
      </c>
      <c r="AG1263" s="133">
        <v>0.995065789473684</v>
      </c>
      <c r="AH1263" s="133">
        <v>0.994560185185185</v>
      </c>
      <c r="AI1263" s="135">
        <v>0.92</v>
      </c>
      <c r="AJ1263" s="133">
        <v>0.977996525767226</v>
      </c>
      <c r="AK1263" s="133">
        <v>0.9778972520908</v>
      </c>
      <c r="AL1263" s="133">
        <v>0.982179752066116</v>
      </c>
      <c r="AM1263" s="133">
        <v>0.982892305661871</v>
      </c>
      <c r="AN1263" s="132">
        <v>0.99</v>
      </c>
      <c r="AO1263" s="137">
        <v>1</v>
      </c>
      <c r="AP1263" s="137">
        <v>1</v>
      </c>
      <c r="AQ1263" s="137">
        <v>1</v>
      </c>
      <c r="AR1263" s="137">
        <v>1</v>
      </c>
      <c r="AS1263" s="158">
        <v>0.0721861525408278</v>
      </c>
      <c r="AT1263" s="141">
        <v>0.0769230769230769</v>
      </c>
      <c r="AU1263" s="141">
        <v>0.0769230769230769</v>
      </c>
      <c r="AV1263" s="141">
        <v>0</v>
      </c>
      <c r="AW1263" s="141">
        <v>0.0388349514563107</v>
      </c>
      <c r="AX1263" s="95"/>
      <c r="AY1263" s="93"/>
    </row>
    <row r="1264" ht="14.5" spans="1:51">
      <c r="A1264" s="91"/>
      <c r="B1264" s="95"/>
      <c r="C1264" s="152" t="s">
        <v>1085</v>
      </c>
      <c r="D1264" s="153" t="s">
        <v>25</v>
      </c>
      <c r="E1264" s="130" t="s">
        <v>1086</v>
      </c>
      <c r="F1264" s="195" t="s">
        <v>1294</v>
      </c>
      <c r="G1264" s="195" t="s">
        <v>1294</v>
      </c>
      <c r="H1264" s="195" t="s">
        <v>1294</v>
      </c>
      <c r="I1264" s="195" t="s">
        <v>1294</v>
      </c>
      <c r="J1264" s="132">
        <v>0.9</v>
      </c>
      <c r="K1264" s="133">
        <v>0.894736842105263</v>
      </c>
      <c r="L1264" s="133">
        <v>0.894736842105263</v>
      </c>
      <c r="M1264" s="134">
        <v>0.904761904761905</v>
      </c>
      <c r="N1264" s="133">
        <v>0.934131736526946</v>
      </c>
      <c r="O1264" s="135">
        <v>0.9</v>
      </c>
      <c r="P1264" s="133">
        <v>0.994303797468354</v>
      </c>
      <c r="Q1264" s="133">
        <v>0.99110452186805</v>
      </c>
      <c r="R1264" s="133">
        <v>0.986136226642556</v>
      </c>
      <c r="S1264" s="133">
        <v>0.968984335126222</v>
      </c>
      <c r="T1264" s="135">
        <v>0.9</v>
      </c>
      <c r="U1264" s="133">
        <v>0.965189873417722</v>
      </c>
      <c r="V1264" s="133">
        <v>0.972572275759822</v>
      </c>
      <c r="W1264" s="133">
        <v>0.965641952983725</v>
      </c>
      <c r="X1264" s="133">
        <v>0.962624160810333</v>
      </c>
      <c r="Y1264" s="135">
        <v>0.92</v>
      </c>
      <c r="Z1264" s="135">
        <v>0.950980392156863</v>
      </c>
      <c r="AA1264" s="135">
        <v>0.969788519637462</v>
      </c>
      <c r="AB1264" s="135">
        <v>0.966613672496025</v>
      </c>
      <c r="AC1264" s="135">
        <v>0.970536344389555</v>
      </c>
      <c r="AD1264" s="135">
        <v>0.92</v>
      </c>
      <c r="AE1264" s="133">
        <v>1</v>
      </c>
      <c r="AF1264" s="133">
        <v>0.998468606431853</v>
      </c>
      <c r="AG1264" s="133">
        <v>0.998027613412229</v>
      </c>
      <c r="AH1264" s="133">
        <v>0.998234082213284</v>
      </c>
      <c r="AI1264" s="135">
        <v>0.92</v>
      </c>
      <c r="AJ1264" s="133">
        <v>0.97764598540146</v>
      </c>
      <c r="AK1264" s="133">
        <v>0.984087518647439</v>
      </c>
      <c r="AL1264" s="133">
        <v>0.984265734265734</v>
      </c>
      <c r="AM1264" s="133">
        <v>0.985138696443611</v>
      </c>
      <c r="AN1264" s="132">
        <v>0.99</v>
      </c>
      <c r="AO1264" s="137">
        <v>1</v>
      </c>
      <c r="AP1264" s="137">
        <v>1</v>
      </c>
      <c r="AQ1264" s="137">
        <v>1</v>
      </c>
      <c r="AR1264" s="137">
        <v>1</v>
      </c>
      <c r="AS1264" s="158">
        <v>0.0721861525408278</v>
      </c>
      <c r="AT1264" s="141">
        <v>0</v>
      </c>
      <c r="AU1264" s="141">
        <v>0</v>
      </c>
      <c r="AV1264" s="141">
        <v>0.125</v>
      </c>
      <c r="AW1264" s="141">
        <v>0.0618556701030928</v>
      </c>
      <c r="AX1264" s="95"/>
      <c r="AY1264" s="93"/>
    </row>
    <row r="1265" ht="14.5" spans="1:51">
      <c r="A1265" s="91"/>
      <c r="B1265" s="95"/>
      <c r="C1265" s="152" t="s">
        <v>1085</v>
      </c>
      <c r="D1265" s="153" t="s">
        <v>25</v>
      </c>
      <c r="E1265" s="130" t="s">
        <v>1086</v>
      </c>
      <c r="F1265" s="195" t="s">
        <v>1295</v>
      </c>
      <c r="G1265" s="195" t="s">
        <v>1295</v>
      </c>
      <c r="H1265" s="195" t="s">
        <v>1295</v>
      </c>
      <c r="I1265" s="195" t="s">
        <v>1295</v>
      </c>
      <c r="J1265" s="132">
        <v>0.9</v>
      </c>
      <c r="K1265" s="133">
        <v>0.85</v>
      </c>
      <c r="L1265" s="133">
        <v>0.871794871794872</v>
      </c>
      <c r="M1265" s="134">
        <v>0.9</v>
      </c>
      <c r="N1265" s="133">
        <v>0.869117647058824</v>
      </c>
      <c r="O1265" s="135">
        <v>0.9</v>
      </c>
      <c r="P1265" s="133">
        <v>0.965156794425087</v>
      </c>
      <c r="Q1265" s="133">
        <v>0.983791085096803</v>
      </c>
      <c r="R1265" s="133">
        <v>0.985645933014354</v>
      </c>
      <c r="S1265" s="133">
        <v>0.971815731202465</v>
      </c>
      <c r="T1265" s="135">
        <v>0.9</v>
      </c>
      <c r="U1265" s="133">
        <v>0.941540843979868</v>
      </c>
      <c r="V1265" s="133">
        <v>0.936515083295813</v>
      </c>
      <c r="W1265" s="133">
        <v>0.93006993006993</v>
      </c>
      <c r="X1265" s="133">
        <v>0.940093385963223</v>
      </c>
      <c r="Y1265" s="135">
        <v>0.92</v>
      </c>
      <c r="Z1265" s="135">
        <v>0.935153583617747</v>
      </c>
      <c r="AA1265" s="135">
        <v>0.914893617021277</v>
      </c>
      <c r="AB1265" s="135">
        <v>0.929423459244533</v>
      </c>
      <c r="AC1265" s="135">
        <v>0.929903057419836</v>
      </c>
      <c r="AD1265" s="135">
        <v>0.92</v>
      </c>
      <c r="AE1265" s="133">
        <v>1</v>
      </c>
      <c r="AF1265" s="133">
        <v>1</v>
      </c>
      <c r="AG1265" s="133">
        <v>1</v>
      </c>
      <c r="AH1265" s="133">
        <v>0.999083549717428</v>
      </c>
      <c r="AI1265" s="135">
        <v>0.92</v>
      </c>
      <c r="AJ1265" s="133">
        <v>0.965654952076677</v>
      </c>
      <c r="AK1265" s="133">
        <v>0.957014231774615</v>
      </c>
      <c r="AL1265" s="133">
        <v>0.964544721998388</v>
      </c>
      <c r="AM1265" s="133">
        <v>0.966948450190618</v>
      </c>
      <c r="AN1265" s="132">
        <v>0.99</v>
      </c>
      <c r="AO1265" s="137">
        <v>1</v>
      </c>
      <c r="AP1265" s="137">
        <v>1</v>
      </c>
      <c r="AQ1265" s="137">
        <v>1</v>
      </c>
      <c r="AR1265" s="137">
        <v>1</v>
      </c>
      <c r="AS1265" s="158">
        <v>0.0721861525408278</v>
      </c>
      <c r="AT1265" s="141">
        <v>0</v>
      </c>
      <c r="AU1265" s="141">
        <v>0</v>
      </c>
      <c r="AV1265" s="141">
        <v>0</v>
      </c>
      <c r="AW1265" s="141">
        <v>0.046242774566474</v>
      </c>
      <c r="AX1265" s="95"/>
      <c r="AY1265" s="93"/>
    </row>
    <row r="1266" ht="14.5" spans="1:51">
      <c r="A1266" s="91"/>
      <c r="B1266" s="95"/>
      <c r="C1266" s="152" t="s">
        <v>1085</v>
      </c>
      <c r="D1266" s="153" t="s">
        <v>25</v>
      </c>
      <c r="E1266" s="130" t="s">
        <v>1086</v>
      </c>
      <c r="F1266" s="195" t="s">
        <v>1296</v>
      </c>
      <c r="G1266" s="195" t="s">
        <v>1296</v>
      </c>
      <c r="H1266" s="195" t="s">
        <v>1296</v>
      </c>
      <c r="I1266" s="195" t="s">
        <v>1296</v>
      </c>
      <c r="J1266" s="132">
        <v>0.9</v>
      </c>
      <c r="K1266" s="133">
        <v>0.962962962962963</v>
      </c>
      <c r="L1266" s="133">
        <v>0.956521739130435</v>
      </c>
      <c r="M1266" s="134">
        <v>0.961538461538462</v>
      </c>
      <c r="N1266" s="133">
        <v>0.97136563876652</v>
      </c>
      <c r="O1266" s="135">
        <v>0.9</v>
      </c>
      <c r="P1266" s="133">
        <v>0.991913746630728</v>
      </c>
      <c r="Q1266" s="133">
        <v>0.992168674698795</v>
      </c>
      <c r="R1266" s="133">
        <v>0.99398249452954</v>
      </c>
      <c r="S1266" s="133">
        <v>0.989595176571921</v>
      </c>
      <c r="T1266" s="135">
        <v>0.9</v>
      </c>
      <c r="U1266" s="133">
        <v>0.985983827493261</v>
      </c>
      <c r="V1266" s="133">
        <v>0.983734939759036</v>
      </c>
      <c r="W1266" s="133">
        <v>0.980853391684901</v>
      </c>
      <c r="X1266" s="133">
        <v>0.981498708010336</v>
      </c>
      <c r="Y1266" s="135">
        <v>0.92</v>
      </c>
      <c r="Z1266" s="135">
        <v>0.984375</v>
      </c>
      <c r="AA1266" s="135">
        <v>0.98562874251497</v>
      </c>
      <c r="AB1266" s="135">
        <v>0.98868778280543</v>
      </c>
      <c r="AC1266" s="135">
        <v>0.98644849708066</v>
      </c>
      <c r="AD1266" s="135">
        <v>0.92</v>
      </c>
      <c r="AE1266" s="133">
        <v>1</v>
      </c>
      <c r="AF1266" s="133">
        <v>1</v>
      </c>
      <c r="AG1266" s="133">
        <v>0.998204667863555</v>
      </c>
      <c r="AH1266" s="133">
        <v>0.997430249632893</v>
      </c>
      <c r="AI1266" s="135">
        <v>0.92</v>
      </c>
      <c r="AJ1266" s="133">
        <v>0.99236641221374</v>
      </c>
      <c r="AK1266" s="133">
        <v>0.989579158316633</v>
      </c>
      <c r="AL1266" s="133">
        <v>0.99188790560472</v>
      </c>
      <c r="AM1266" s="133">
        <v>0.992540966411039</v>
      </c>
      <c r="AN1266" s="132">
        <v>0.99</v>
      </c>
      <c r="AO1266" s="137">
        <v>1</v>
      </c>
      <c r="AP1266" s="137">
        <v>1</v>
      </c>
      <c r="AQ1266" s="137">
        <v>1</v>
      </c>
      <c r="AR1266" s="137">
        <v>1</v>
      </c>
      <c r="AS1266" s="158">
        <v>0.0721861525408278</v>
      </c>
      <c r="AT1266" s="141">
        <v>0</v>
      </c>
      <c r="AU1266" s="141">
        <v>0</v>
      </c>
      <c r="AV1266" s="141">
        <v>0</v>
      </c>
      <c r="AW1266" s="141">
        <v>0.0232558139534884</v>
      </c>
      <c r="AX1266" s="95"/>
      <c r="AY1266" s="93"/>
    </row>
    <row r="1267" ht="14.5" spans="1:51">
      <c r="A1267" s="91"/>
      <c r="B1267" s="95"/>
      <c r="C1267" s="152" t="s">
        <v>1085</v>
      </c>
      <c r="D1267" s="153" t="s">
        <v>25</v>
      </c>
      <c r="E1267" s="130" t="s">
        <v>1086</v>
      </c>
      <c r="F1267" s="195" t="s">
        <v>1297</v>
      </c>
      <c r="G1267" s="195" t="s">
        <v>1297</v>
      </c>
      <c r="H1267" s="195" t="s">
        <v>1297</v>
      </c>
      <c r="I1267" s="195" t="s">
        <v>1297</v>
      </c>
      <c r="J1267" s="132">
        <v>0.9</v>
      </c>
      <c r="K1267" s="133">
        <v>0.973684210526316</v>
      </c>
      <c r="L1267" s="133">
        <v>0.971428571428571</v>
      </c>
      <c r="M1267" s="134">
        <v>0.972222222222222</v>
      </c>
      <c r="N1267" s="133">
        <v>0.955290611028316</v>
      </c>
      <c r="O1267" s="135">
        <v>0.9</v>
      </c>
      <c r="P1267" s="133">
        <v>0.985457328740911</v>
      </c>
      <c r="Q1267" s="133">
        <v>0.987096774193548</v>
      </c>
      <c r="R1267" s="133">
        <v>0.990434436030291</v>
      </c>
      <c r="S1267" s="133">
        <v>0.985681018679086</v>
      </c>
      <c r="T1267" s="135">
        <v>0.9</v>
      </c>
      <c r="U1267" s="133">
        <v>0.867585151167241</v>
      </c>
      <c r="V1267" s="133">
        <v>0.867096774193548</v>
      </c>
      <c r="W1267" s="133">
        <v>0.901952969310482</v>
      </c>
      <c r="X1267" s="133">
        <v>0.905762275182084</v>
      </c>
      <c r="Y1267" s="135">
        <v>0.92</v>
      </c>
      <c r="Z1267" s="135">
        <v>0.881453154875717</v>
      </c>
      <c r="AA1267" s="135">
        <v>0.877430262045647</v>
      </c>
      <c r="AB1267" s="135">
        <v>0.899419729206963</v>
      </c>
      <c r="AC1267" s="135">
        <v>0.914471852553037</v>
      </c>
      <c r="AD1267" s="135">
        <v>0.92</v>
      </c>
      <c r="AE1267" s="133">
        <v>1</v>
      </c>
      <c r="AF1267" s="133">
        <v>1</v>
      </c>
      <c r="AG1267" s="133">
        <v>0.990243902439024</v>
      </c>
      <c r="AH1267" s="133">
        <v>0.993871513102282</v>
      </c>
      <c r="AI1267" s="135">
        <v>0.92</v>
      </c>
      <c r="AJ1267" s="133">
        <v>0.929488931402022</v>
      </c>
      <c r="AK1267" s="133">
        <v>0.931014823261117</v>
      </c>
      <c r="AL1267" s="133">
        <v>0.94806661021733</v>
      </c>
      <c r="AM1267" s="133">
        <v>0.953124732104586</v>
      </c>
      <c r="AN1267" s="132">
        <v>0.99</v>
      </c>
      <c r="AO1267" s="137">
        <v>1</v>
      </c>
      <c r="AP1267" s="137">
        <v>1</v>
      </c>
      <c r="AQ1267" s="137">
        <v>1</v>
      </c>
      <c r="AR1267" s="137">
        <v>1</v>
      </c>
      <c r="AS1267" s="158">
        <v>0.0721861525408278</v>
      </c>
      <c r="AT1267" s="141">
        <v>0</v>
      </c>
      <c r="AU1267" s="141">
        <v>0</v>
      </c>
      <c r="AV1267" s="141">
        <v>0.25</v>
      </c>
      <c r="AW1267" s="141">
        <v>0.0707964601769911</v>
      </c>
      <c r="AX1267" s="95"/>
      <c r="AY1267" s="93"/>
    </row>
    <row r="1268" ht="14.5" spans="1:51">
      <c r="A1268" s="91"/>
      <c r="B1268" s="95"/>
      <c r="C1268" s="152" t="s">
        <v>1085</v>
      </c>
      <c r="D1268" s="153" t="s">
        <v>25</v>
      </c>
      <c r="E1268" s="130" t="s">
        <v>1086</v>
      </c>
      <c r="F1268" s="195" t="s">
        <v>1298</v>
      </c>
      <c r="G1268" s="195" t="s">
        <v>1298</v>
      </c>
      <c r="H1268" s="195" t="s">
        <v>1298</v>
      </c>
      <c r="I1268" s="195" t="s">
        <v>1298</v>
      </c>
      <c r="J1268" s="132">
        <v>0.9</v>
      </c>
      <c r="K1268" s="133">
        <v>1</v>
      </c>
      <c r="L1268" s="133">
        <v>1</v>
      </c>
      <c r="M1268" s="134">
        <v>0.928571428571429</v>
      </c>
      <c r="N1268" s="133">
        <v>0.977035490605428</v>
      </c>
      <c r="O1268" s="135">
        <v>0.9</v>
      </c>
      <c r="P1268" s="133">
        <v>0.984984984984985</v>
      </c>
      <c r="Q1268" s="133">
        <v>0.987403100775194</v>
      </c>
      <c r="R1268" s="133">
        <v>0.983751160631383</v>
      </c>
      <c r="S1268" s="133">
        <v>0.986162162162162</v>
      </c>
      <c r="T1268" s="135">
        <v>0.9</v>
      </c>
      <c r="U1268" s="133">
        <v>0.95967395967396</v>
      </c>
      <c r="V1268" s="133">
        <v>0.946220930232558</v>
      </c>
      <c r="W1268" s="133">
        <v>0.95125348189415</v>
      </c>
      <c r="X1268" s="133">
        <v>0.967351351351351</v>
      </c>
      <c r="Y1268" s="135">
        <v>0.92</v>
      </c>
      <c r="Z1268" s="135" t="s">
        <v>35</v>
      </c>
      <c r="AA1268" s="135" t="s">
        <v>35</v>
      </c>
      <c r="AB1268" s="135" t="s">
        <v>35</v>
      </c>
      <c r="AC1268" s="135" t="s">
        <v>35</v>
      </c>
      <c r="AD1268" s="135">
        <v>0.92</v>
      </c>
      <c r="AE1268" s="133">
        <v>1</v>
      </c>
      <c r="AF1268" s="133">
        <v>1</v>
      </c>
      <c r="AG1268" s="133">
        <v>0.995983935742972</v>
      </c>
      <c r="AH1268" s="133">
        <v>0.997681607418856</v>
      </c>
      <c r="AI1268" s="135">
        <v>0.92</v>
      </c>
      <c r="AJ1268" s="133">
        <v>0.97039897039897</v>
      </c>
      <c r="AK1268" s="133">
        <v>0.962209302325581</v>
      </c>
      <c r="AL1268" s="133">
        <v>0.971680594243268</v>
      </c>
      <c r="AM1268" s="133">
        <v>0.980703224237183</v>
      </c>
      <c r="AN1268" s="132">
        <v>0.99</v>
      </c>
      <c r="AO1268" s="137">
        <v>1</v>
      </c>
      <c r="AP1268" s="137">
        <v>1</v>
      </c>
      <c r="AQ1268" s="137">
        <v>1</v>
      </c>
      <c r="AR1268" s="137">
        <v>1</v>
      </c>
      <c r="AS1268" s="158">
        <v>0.0721861525408278</v>
      </c>
      <c r="AT1268" s="141">
        <v>0.0588235294117647</v>
      </c>
      <c r="AU1268" s="141">
        <v>0.25</v>
      </c>
      <c r="AV1268" s="141">
        <v>0</v>
      </c>
      <c r="AW1268" s="141">
        <v>0.0504201680672269</v>
      </c>
      <c r="AX1268" s="95"/>
      <c r="AY1268" s="93"/>
    </row>
    <row r="1269" ht="14.5" spans="1:51">
      <c r="A1269" s="91"/>
      <c r="B1269" s="95"/>
      <c r="C1269" s="152" t="s">
        <v>1085</v>
      </c>
      <c r="D1269" s="153" t="s">
        <v>25</v>
      </c>
      <c r="E1269" s="130" t="s">
        <v>1086</v>
      </c>
      <c r="F1269" s="195" t="s">
        <v>1299</v>
      </c>
      <c r="G1269" s="195" t="s">
        <v>1299</v>
      </c>
      <c r="H1269" s="195" t="s">
        <v>1299</v>
      </c>
      <c r="I1269" s="195" t="s">
        <v>1299</v>
      </c>
      <c r="J1269" s="132">
        <v>0.9</v>
      </c>
      <c r="K1269" s="133">
        <v>1</v>
      </c>
      <c r="L1269" s="133">
        <v>0.923076923076923</v>
      </c>
      <c r="M1269" s="134">
        <v>1</v>
      </c>
      <c r="N1269" s="133">
        <v>0.967889908256881</v>
      </c>
      <c r="O1269" s="135">
        <v>0.9</v>
      </c>
      <c r="P1269" s="133">
        <v>0.991117690599556</v>
      </c>
      <c r="Q1269" s="133">
        <v>0.986577181208054</v>
      </c>
      <c r="R1269" s="133">
        <v>0.992295839753467</v>
      </c>
      <c r="S1269" s="133">
        <v>0.984060704022989</v>
      </c>
      <c r="T1269" s="135">
        <v>0.9</v>
      </c>
      <c r="U1269" s="133">
        <v>0.930421909696521</v>
      </c>
      <c r="V1269" s="133">
        <v>0.973154362416107</v>
      </c>
      <c r="W1269" s="133">
        <v>0.939137134052388</v>
      </c>
      <c r="X1269" s="133">
        <v>0.925511853448276</v>
      </c>
      <c r="Y1269" s="135">
        <v>0.92</v>
      </c>
      <c r="Z1269" s="135">
        <v>0</v>
      </c>
      <c r="AA1269" s="135" t="s">
        <v>35</v>
      </c>
      <c r="AB1269" s="135" t="s">
        <v>35</v>
      </c>
      <c r="AC1269" s="135">
        <v>0.5</v>
      </c>
      <c r="AD1269" s="135">
        <v>0.92</v>
      </c>
      <c r="AE1269" s="133">
        <v>1</v>
      </c>
      <c r="AF1269" s="133">
        <v>1</v>
      </c>
      <c r="AG1269" s="133">
        <v>0.991666666666667</v>
      </c>
      <c r="AH1269" s="133">
        <v>0.998071359691418</v>
      </c>
      <c r="AI1269" s="135">
        <v>0.92</v>
      </c>
      <c r="AJ1269" s="133">
        <v>0.981508875739645</v>
      </c>
      <c r="AK1269" s="133">
        <v>0.98489932885906</v>
      </c>
      <c r="AL1269" s="133">
        <v>0.9884437596302</v>
      </c>
      <c r="AM1269" s="133">
        <v>0.979707282032863</v>
      </c>
      <c r="AN1269" s="132">
        <v>0.99</v>
      </c>
      <c r="AO1269" s="137">
        <v>1</v>
      </c>
      <c r="AP1269" s="137">
        <v>1</v>
      </c>
      <c r="AQ1269" s="137">
        <v>1</v>
      </c>
      <c r="AR1269" s="137">
        <v>1</v>
      </c>
      <c r="AS1269" s="158">
        <v>0.0721861525408278</v>
      </c>
      <c r="AT1269" s="141">
        <v>0.5</v>
      </c>
      <c r="AU1269" s="141">
        <v>0</v>
      </c>
      <c r="AV1269" s="141">
        <v>0.2</v>
      </c>
      <c r="AW1269" s="141">
        <v>0.0701754385964912</v>
      </c>
      <c r="AX1269" s="95"/>
      <c r="AY1269" s="93"/>
    </row>
    <row r="1270" ht="14.5" spans="1:51">
      <c r="A1270" s="91"/>
      <c r="B1270" s="95"/>
      <c r="C1270" s="152" t="s">
        <v>1085</v>
      </c>
      <c r="D1270" s="153" t="s">
        <v>25</v>
      </c>
      <c r="E1270" s="130" t="s">
        <v>1086</v>
      </c>
      <c r="F1270" s="195" t="s">
        <v>1300</v>
      </c>
      <c r="G1270" s="195" t="s">
        <v>1300</v>
      </c>
      <c r="H1270" s="195" t="s">
        <v>1300</v>
      </c>
      <c r="I1270" s="195" t="s">
        <v>1300</v>
      </c>
      <c r="J1270" s="132">
        <v>0.9</v>
      </c>
      <c r="K1270" s="133">
        <v>0.909090909090909</v>
      </c>
      <c r="L1270" s="133">
        <v>0.9</v>
      </c>
      <c r="M1270" s="134">
        <v>0.909090909090909</v>
      </c>
      <c r="N1270" s="133">
        <v>0.965714285714286</v>
      </c>
      <c r="O1270" s="135">
        <v>0.9</v>
      </c>
      <c r="P1270" s="133">
        <v>0.958502024291498</v>
      </c>
      <c r="Q1270" s="133">
        <v>0.958333333333333</v>
      </c>
      <c r="R1270" s="133">
        <v>0.924406047516199</v>
      </c>
      <c r="S1270" s="133">
        <v>0.953999336209758</v>
      </c>
      <c r="T1270" s="135">
        <v>0.9</v>
      </c>
      <c r="U1270" s="133">
        <v>0.913967611336032</v>
      </c>
      <c r="V1270" s="133">
        <v>0.919270833333333</v>
      </c>
      <c r="W1270" s="133">
        <v>0.926565874730022</v>
      </c>
      <c r="X1270" s="133">
        <v>0.903684035844673</v>
      </c>
      <c r="Y1270" s="135">
        <v>0.92</v>
      </c>
      <c r="Z1270" s="135">
        <v>0</v>
      </c>
      <c r="AA1270" s="135" t="s">
        <v>35</v>
      </c>
      <c r="AB1270" s="135" t="s">
        <v>35</v>
      </c>
      <c r="AC1270" s="135">
        <v>0</v>
      </c>
      <c r="AD1270" s="135">
        <v>0.92</v>
      </c>
      <c r="AE1270" s="133">
        <v>0.999018645731109</v>
      </c>
      <c r="AF1270" s="133">
        <v>0.998902305159166</v>
      </c>
      <c r="AG1270" s="133">
        <v>0.99859022556391</v>
      </c>
      <c r="AH1270" s="133">
        <v>0.985693741941882</v>
      </c>
      <c r="AI1270" s="135">
        <v>0.92</v>
      </c>
      <c r="AJ1270" s="133">
        <v>0.961616161616162</v>
      </c>
      <c r="AK1270" s="133">
        <v>0.946614583333333</v>
      </c>
      <c r="AL1270" s="133">
        <v>0.952483801295896</v>
      </c>
      <c r="AM1270" s="133">
        <v>0.954675160926405</v>
      </c>
      <c r="AN1270" s="132">
        <v>0.99</v>
      </c>
      <c r="AO1270" s="137">
        <v>1</v>
      </c>
      <c r="AP1270" s="137">
        <v>1</v>
      </c>
      <c r="AQ1270" s="137">
        <v>1</v>
      </c>
      <c r="AR1270" s="137">
        <v>1</v>
      </c>
      <c r="AS1270" s="158">
        <v>0.0721861525408278</v>
      </c>
      <c r="AT1270" s="141">
        <v>0.2</v>
      </c>
      <c r="AU1270" s="141">
        <v>0</v>
      </c>
      <c r="AV1270" s="141">
        <v>0</v>
      </c>
      <c r="AW1270" s="141">
        <v>0.0175438596491228</v>
      </c>
      <c r="AX1270" s="95"/>
      <c r="AY1270" s="93"/>
    </row>
    <row r="1271" ht="14.5" spans="1:51">
      <c r="A1271" s="91"/>
      <c r="B1271" s="95"/>
      <c r="C1271" s="152" t="s">
        <v>1085</v>
      </c>
      <c r="D1271" s="153" t="s">
        <v>25</v>
      </c>
      <c r="E1271" s="130" t="s">
        <v>1086</v>
      </c>
      <c r="F1271" s="195" t="s">
        <v>1301</v>
      </c>
      <c r="G1271" s="195" t="s">
        <v>1301</v>
      </c>
      <c r="H1271" s="195" t="s">
        <v>1301</v>
      </c>
      <c r="I1271" s="195" t="s">
        <v>1301</v>
      </c>
      <c r="J1271" s="132">
        <v>0.9</v>
      </c>
      <c r="K1271" s="133">
        <v>0.872727272727273</v>
      </c>
      <c r="L1271" s="133">
        <v>0.898305084745763</v>
      </c>
      <c r="M1271" s="134">
        <v>0.857142857142857</v>
      </c>
      <c r="N1271" s="133">
        <v>0.876106194690266</v>
      </c>
      <c r="O1271" s="135">
        <v>0.9</v>
      </c>
      <c r="P1271" s="133">
        <v>0.988776249094859</v>
      </c>
      <c r="Q1271" s="133">
        <v>0.968905472636816</v>
      </c>
      <c r="R1271" s="133">
        <v>0.991901272657154</v>
      </c>
      <c r="S1271" s="133">
        <v>0.982558988588238</v>
      </c>
      <c r="T1271" s="135">
        <v>0.9</v>
      </c>
      <c r="U1271" s="133">
        <v>0.897538015930485</v>
      </c>
      <c r="V1271" s="133">
        <v>0.912106135986733</v>
      </c>
      <c r="W1271" s="133">
        <v>0.913613575009641</v>
      </c>
      <c r="X1271" s="133">
        <v>0.926042601130745</v>
      </c>
      <c r="Y1271" s="135">
        <v>0.92</v>
      </c>
      <c r="Z1271" s="135">
        <v>0.917976760082023</v>
      </c>
      <c r="AA1271" s="135">
        <v>0.932702801018552</v>
      </c>
      <c r="AB1271" s="135">
        <v>0.927716849451645</v>
      </c>
      <c r="AC1271" s="135">
        <v>0.946612972817489</v>
      </c>
      <c r="AD1271" s="135">
        <v>0.92</v>
      </c>
      <c r="AE1271" s="133">
        <v>0.9958071278826</v>
      </c>
      <c r="AF1271" s="133">
        <v>0.999298245614035</v>
      </c>
      <c r="AG1271" s="133">
        <v>1</v>
      </c>
      <c r="AH1271" s="133">
        <v>0.998586738900012</v>
      </c>
      <c r="AI1271" s="135">
        <v>0.92</v>
      </c>
      <c r="AJ1271" s="133">
        <v>0.948165680473373</v>
      </c>
      <c r="AK1271" s="133">
        <v>0.949825648973266</v>
      </c>
      <c r="AL1271" s="133">
        <v>0.945422918025658</v>
      </c>
      <c r="AM1271" s="133">
        <v>0.965927502236839</v>
      </c>
      <c r="AN1271" s="132">
        <v>0.99</v>
      </c>
      <c r="AO1271" s="137">
        <v>1</v>
      </c>
      <c r="AP1271" s="137">
        <v>1</v>
      </c>
      <c r="AQ1271" s="137">
        <v>1</v>
      </c>
      <c r="AR1271" s="137">
        <v>1</v>
      </c>
      <c r="AS1271" s="158">
        <v>0.0721861525408278</v>
      </c>
      <c r="AT1271" s="141">
        <v>0.0714285714285714</v>
      </c>
      <c r="AU1271" s="141">
        <v>0.153846153846154</v>
      </c>
      <c r="AV1271" s="141">
        <v>0.142857142857143</v>
      </c>
      <c r="AW1271" s="141">
        <v>0.0335820895522388</v>
      </c>
      <c r="AX1271" s="95"/>
      <c r="AY1271" s="93"/>
    </row>
    <row r="1272" ht="14.5" spans="1:51">
      <c r="A1272" s="91"/>
      <c r="B1272" s="95"/>
      <c r="C1272" s="152" t="s">
        <v>1085</v>
      </c>
      <c r="D1272" s="153" t="s">
        <v>25</v>
      </c>
      <c r="E1272" s="130" t="s">
        <v>1086</v>
      </c>
      <c r="F1272" s="195" t="s">
        <v>1302</v>
      </c>
      <c r="G1272" s="195" t="s">
        <v>1302</v>
      </c>
      <c r="H1272" s="195" t="s">
        <v>1302</v>
      </c>
      <c r="I1272" s="195" t="s">
        <v>1302</v>
      </c>
      <c r="J1272" s="132">
        <v>0.9</v>
      </c>
      <c r="K1272" s="133">
        <v>0.923076923076923</v>
      </c>
      <c r="L1272" s="133">
        <v>0.911111111111111</v>
      </c>
      <c r="M1272" s="134">
        <v>0.916666666666667</v>
      </c>
      <c r="N1272" s="133">
        <v>0.941736028537455</v>
      </c>
      <c r="O1272" s="135">
        <v>0.9</v>
      </c>
      <c r="P1272" s="133">
        <v>0.987414187643021</v>
      </c>
      <c r="Q1272" s="133">
        <v>0.994436717663421</v>
      </c>
      <c r="R1272" s="133">
        <v>0.991762767710049</v>
      </c>
      <c r="S1272" s="133">
        <v>0.981424474993675</v>
      </c>
      <c r="T1272" s="135">
        <v>0.9</v>
      </c>
      <c r="U1272" s="133">
        <v>0.942410373760488</v>
      </c>
      <c r="V1272" s="133">
        <v>0.943439962911451</v>
      </c>
      <c r="W1272" s="133">
        <v>0.955107084019769</v>
      </c>
      <c r="X1272" s="133">
        <v>0.957514548368053</v>
      </c>
      <c r="Y1272" s="135">
        <v>0.92</v>
      </c>
      <c r="Z1272" s="135">
        <v>0.942758620689655</v>
      </c>
      <c r="AA1272" s="135">
        <v>0.945083014048531</v>
      </c>
      <c r="AB1272" s="135">
        <v>0.97085201793722</v>
      </c>
      <c r="AC1272" s="135">
        <v>0.971502359960816</v>
      </c>
      <c r="AD1272" s="135">
        <v>0.92</v>
      </c>
      <c r="AE1272" s="133">
        <v>0.999209486166008</v>
      </c>
      <c r="AF1272" s="133">
        <v>1</v>
      </c>
      <c r="AG1272" s="133">
        <v>1</v>
      </c>
      <c r="AH1272" s="133">
        <v>0.99958529884402</v>
      </c>
      <c r="AI1272" s="135">
        <v>0.92</v>
      </c>
      <c r="AJ1272" s="133">
        <v>0.957995578481945</v>
      </c>
      <c r="AK1272" s="133">
        <v>0.95849977807368</v>
      </c>
      <c r="AL1272" s="133">
        <v>0.979107312440646</v>
      </c>
      <c r="AM1272" s="133">
        <v>0.981323504031165</v>
      </c>
      <c r="AN1272" s="132">
        <v>0.99</v>
      </c>
      <c r="AO1272" s="137">
        <v>1</v>
      </c>
      <c r="AP1272" s="137">
        <v>1</v>
      </c>
      <c r="AQ1272" s="137">
        <v>1</v>
      </c>
      <c r="AR1272" s="137">
        <v>1</v>
      </c>
      <c r="AS1272" s="158">
        <v>0.0721861525408278</v>
      </c>
      <c r="AT1272" s="141">
        <v>0.0526315789473684</v>
      </c>
      <c r="AU1272" s="141">
        <v>0.0476190476190476</v>
      </c>
      <c r="AV1272" s="141">
        <v>0.0666666666666667</v>
      </c>
      <c r="AW1272" s="141">
        <v>0.0407608695652174</v>
      </c>
      <c r="AX1272" s="95"/>
      <c r="AY1272" s="93"/>
    </row>
    <row r="1273" ht="14.5" spans="1:51">
      <c r="A1273" s="91"/>
      <c r="B1273" s="95"/>
      <c r="C1273" s="152" t="s">
        <v>1085</v>
      </c>
      <c r="D1273" s="153" t="s">
        <v>25</v>
      </c>
      <c r="E1273" s="130" t="s">
        <v>1086</v>
      </c>
      <c r="F1273" s="195" t="s">
        <v>1303</v>
      </c>
      <c r="G1273" s="195" t="s">
        <v>1303</v>
      </c>
      <c r="H1273" s="195" t="s">
        <v>1303</v>
      </c>
      <c r="I1273" s="195" t="s">
        <v>1303</v>
      </c>
      <c r="J1273" s="132">
        <v>0.9</v>
      </c>
      <c r="K1273" s="133">
        <v>0.962962962962963</v>
      </c>
      <c r="L1273" s="133">
        <v>0.96</v>
      </c>
      <c r="M1273" s="134">
        <v>0.92</v>
      </c>
      <c r="N1273" s="133">
        <v>0.873893805309734</v>
      </c>
      <c r="O1273" s="135">
        <v>0.9</v>
      </c>
      <c r="P1273" s="133">
        <v>0.990251218597675</v>
      </c>
      <c r="Q1273" s="133">
        <v>0.993167398731088</v>
      </c>
      <c r="R1273" s="133">
        <v>0.992979376919702</v>
      </c>
      <c r="S1273" s="133">
        <v>0.985902067027895</v>
      </c>
      <c r="T1273" s="135">
        <v>0.9</v>
      </c>
      <c r="U1273" s="133">
        <v>0.910761154855643</v>
      </c>
      <c r="V1273" s="133">
        <v>0.920448999511957</v>
      </c>
      <c r="W1273" s="133">
        <v>0.906976744186046</v>
      </c>
      <c r="X1273" s="133">
        <v>0.910094320690347</v>
      </c>
      <c r="Y1273" s="135">
        <v>0.92</v>
      </c>
      <c r="Z1273" s="135" t="s">
        <v>35</v>
      </c>
      <c r="AA1273" s="135" t="s">
        <v>35</v>
      </c>
      <c r="AB1273" s="135">
        <v>0</v>
      </c>
      <c r="AC1273" s="135">
        <v>0.666666666666667</v>
      </c>
      <c r="AD1273" s="135">
        <v>0.92</v>
      </c>
      <c r="AE1273" s="133">
        <v>1</v>
      </c>
      <c r="AF1273" s="133">
        <v>0.997888067581837</v>
      </c>
      <c r="AG1273" s="133">
        <v>1</v>
      </c>
      <c r="AH1273" s="133">
        <v>0.999333111037012</v>
      </c>
      <c r="AI1273" s="135">
        <v>0.92</v>
      </c>
      <c r="AJ1273" s="133">
        <v>0.967379077615298</v>
      </c>
      <c r="AK1273" s="133">
        <v>0.972181551976574</v>
      </c>
      <c r="AL1273" s="133">
        <v>0.970175438596491</v>
      </c>
      <c r="AM1273" s="133">
        <v>0.980460029598415</v>
      </c>
      <c r="AN1273" s="132">
        <v>0.99</v>
      </c>
      <c r="AO1273" s="137">
        <v>1</v>
      </c>
      <c r="AP1273" s="137">
        <v>1</v>
      </c>
      <c r="AQ1273" s="137">
        <v>1</v>
      </c>
      <c r="AR1273" s="137">
        <v>1</v>
      </c>
      <c r="AS1273" s="158">
        <v>0.0721861525408278</v>
      </c>
      <c r="AT1273" s="141">
        <v>0</v>
      </c>
      <c r="AU1273" s="141">
        <v>0</v>
      </c>
      <c r="AV1273" s="141">
        <v>0</v>
      </c>
      <c r="AW1273" s="141">
        <v>0.0078740157480315</v>
      </c>
      <c r="AX1273" s="95"/>
      <c r="AY1273" s="93"/>
    </row>
    <row r="1274" ht="14.5" spans="1:51">
      <c r="A1274" s="91"/>
      <c r="B1274" s="95"/>
      <c r="C1274" s="152" t="s">
        <v>1085</v>
      </c>
      <c r="D1274" s="153" t="s">
        <v>25</v>
      </c>
      <c r="E1274" s="130" t="s">
        <v>1086</v>
      </c>
      <c r="F1274" s="195" t="s">
        <v>1304</v>
      </c>
      <c r="G1274" s="195" t="s">
        <v>1304</v>
      </c>
      <c r="H1274" s="195" t="s">
        <v>1304</v>
      </c>
      <c r="I1274" s="195" t="s">
        <v>1304</v>
      </c>
      <c r="J1274" s="132">
        <v>0.9</v>
      </c>
      <c r="K1274" s="133">
        <v>1</v>
      </c>
      <c r="L1274" s="133">
        <v>0.976744186046512</v>
      </c>
      <c r="M1274" s="134">
        <v>1</v>
      </c>
      <c r="N1274" s="133">
        <v>0.995896032831737</v>
      </c>
      <c r="O1274" s="135">
        <v>0.9</v>
      </c>
      <c r="P1274" s="133">
        <v>0.991770639766392</v>
      </c>
      <c r="Q1274" s="133">
        <v>0.992450456118276</v>
      </c>
      <c r="R1274" s="133">
        <v>0.992728330424665</v>
      </c>
      <c r="S1274" s="133">
        <v>0.991031688035607</v>
      </c>
      <c r="T1274" s="135">
        <v>0.9</v>
      </c>
      <c r="U1274" s="133">
        <v>0.963631537032121</v>
      </c>
      <c r="V1274" s="133">
        <v>0.977351368354829</v>
      </c>
      <c r="W1274" s="133">
        <v>0.975858057009889</v>
      </c>
      <c r="X1274" s="133">
        <v>0.97578555769614</v>
      </c>
      <c r="Y1274" s="135">
        <v>0.92</v>
      </c>
      <c r="Z1274" s="135" t="s">
        <v>35</v>
      </c>
      <c r="AA1274" s="135" t="s">
        <v>35</v>
      </c>
      <c r="AB1274" s="135" t="s">
        <v>35</v>
      </c>
      <c r="AC1274" s="135" t="s">
        <v>35</v>
      </c>
      <c r="AD1274" s="135">
        <v>0.92</v>
      </c>
      <c r="AE1274" s="133">
        <v>0.998796630565584</v>
      </c>
      <c r="AF1274" s="133">
        <v>0.999105545617174</v>
      </c>
      <c r="AG1274" s="133">
        <v>0.999054820415879</v>
      </c>
      <c r="AH1274" s="133">
        <v>0.998481595895073</v>
      </c>
      <c r="AI1274" s="135">
        <v>0.92</v>
      </c>
      <c r="AJ1274" s="133">
        <v>0.975842845765861</v>
      </c>
      <c r="AK1274" s="133">
        <v>0.984586347908147</v>
      </c>
      <c r="AL1274" s="133">
        <v>0.984874927283304</v>
      </c>
      <c r="AM1274" s="133">
        <v>0.987527403175447</v>
      </c>
      <c r="AN1274" s="132">
        <v>0.99</v>
      </c>
      <c r="AO1274" s="137">
        <v>1</v>
      </c>
      <c r="AP1274" s="137">
        <v>1</v>
      </c>
      <c r="AQ1274" s="137">
        <v>1</v>
      </c>
      <c r="AR1274" s="137">
        <v>1</v>
      </c>
      <c r="AS1274" s="158">
        <v>0.0721861525408278</v>
      </c>
      <c r="AT1274" s="141">
        <v>0</v>
      </c>
      <c r="AU1274" s="141">
        <v>0</v>
      </c>
      <c r="AV1274" s="141">
        <v>0</v>
      </c>
      <c r="AW1274" s="141">
        <v>0.0366492146596859</v>
      </c>
      <c r="AX1274" s="95"/>
      <c r="AY1274" s="93"/>
    </row>
    <row r="1275" ht="14.5" spans="1:51">
      <c r="A1275" s="91"/>
      <c r="B1275" s="95"/>
      <c r="C1275" s="152" t="s">
        <v>1085</v>
      </c>
      <c r="D1275" s="153" t="s">
        <v>25</v>
      </c>
      <c r="E1275" s="130" t="s">
        <v>1086</v>
      </c>
      <c r="F1275" s="195" t="s">
        <v>1305</v>
      </c>
      <c r="G1275" s="195" t="s">
        <v>1305</v>
      </c>
      <c r="H1275" s="195" t="s">
        <v>1305</v>
      </c>
      <c r="I1275" s="195" t="s">
        <v>1305</v>
      </c>
      <c r="J1275" s="132">
        <v>0.9</v>
      </c>
      <c r="K1275" s="133">
        <v>0.826086956521739</v>
      </c>
      <c r="L1275" s="133">
        <v>0.894736842105263</v>
      </c>
      <c r="M1275" s="134">
        <v>0.739130434782609</v>
      </c>
      <c r="N1275" s="133">
        <v>0.853846153846154</v>
      </c>
      <c r="O1275" s="135">
        <v>0.9</v>
      </c>
      <c r="P1275" s="133">
        <v>0.983838383838384</v>
      </c>
      <c r="Q1275" s="133">
        <v>0.700819672131147</v>
      </c>
      <c r="R1275" s="133">
        <v>0.930483795209018</v>
      </c>
      <c r="S1275" s="133">
        <v>0.930325603432392</v>
      </c>
      <c r="T1275" s="135">
        <v>0.9</v>
      </c>
      <c r="U1275" s="133">
        <v>0.767676767676768</v>
      </c>
      <c r="V1275" s="133">
        <v>0.760758196721312</v>
      </c>
      <c r="W1275" s="133">
        <v>0.868952559887271</v>
      </c>
      <c r="X1275" s="133">
        <v>0.820562764865363</v>
      </c>
      <c r="Y1275" s="135">
        <v>0.92</v>
      </c>
      <c r="Z1275" s="135" t="s">
        <v>35</v>
      </c>
      <c r="AA1275" s="135" t="s">
        <v>35</v>
      </c>
      <c r="AB1275" s="135" t="s">
        <v>35</v>
      </c>
      <c r="AC1275" s="135">
        <v>0</v>
      </c>
      <c r="AD1275" s="135">
        <v>0.92</v>
      </c>
      <c r="AE1275" s="133">
        <v>1</v>
      </c>
      <c r="AF1275" s="133">
        <v>0.999215070643642</v>
      </c>
      <c r="AG1275" s="133">
        <v>0.990154711673699</v>
      </c>
      <c r="AH1275" s="133">
        <v>0.991439838414927</v>
      </c>
      <c r="AI1275" s="135">
        <v>0.92</v>
      </c>
      <c r="AJ1275" s="133">
        <v>0.932929292929293</v>
      </c>
      <c r="AK1275" s="133">
        <v>0.947233606557377</v>
      </c>
      <c r="AL1275" s="133">
        <v>0.936120244246125</v>
      </c>
      <c r="AM1275" s="133">
        <v>0.953178049743387</v>
      </c>
      <c r="AN1275" s="132">
        <v>0.99</v>
      </c>
      <c r="AO1275" s="137">
        <v>1</v>
      </c>
      <c r="AP1275" s="137">
        <v>1</v>
      </c>
      <c r="AQ1275" s="137">
        <v>1</v>
      </c>
      <c r="AR1275" s="137">
        <v>1</v>
      </c>
      <c r="AS1275" s="158">
        <v>0.0721861525408278</v>
      </c>
      <c r="AT1275" s="141">
        <v>0</v>
      </c>
      <c r="AU1275" s="141">
        <v>0</v>
      </c>
      <c r="AV1275" s="141">
        <v>0.03125</v>
      </c>
      <c r="AW1275" s="141">
        <v>0.0257510729613734</v>
      </c>
      <c r="AX1275" s="95"/>
      <c r="AY1275" s="93"/>
    </row>
    <row r="1276" ht="14.5" spans="1:51">
      <c r="A1276" s="91"/>
      <c r="B1276" s="95"/>
      <c r="C1276" s="152" t="s">
        <v>1085</v>
      </c>
      <c r="D1276" s="153" t="s">
        <v>25</v>
      </c>
      <c r="E1276" s="130" t="s">
        <v>1086</v>
      </c>
      <c r="F1276" s="195" t="s">
        <v>1306</v>
      </c>
      <c r="G1276" s="195" t="s">
        <v>1306</v>
      </c>
      <c r="H1276" s="195" t="s">
        <v>1306</v>
      </c>
      <c r="I1276" s="195" t="s">
        <v>1306</v>
      </c>
      <c r="J1276" s="132">
        <v>0.9</v>
      </c>
      <c r="K1276" s="133">
        <v>0.9375</v>
      </c>
      <c r="L1276" s="133">
        <v>1</v>
      </c>
      <c r="M1276" s="134">
        <v>0.928571428571429</v>
      </c>
      <c r="N1276" s="133">
        <v>0.934653465346535</v>
      </c>
      <c r="O1276" s="135">
        <v>0.9</v>
      </c>
      <c r="P1276" s="133">
        <v>0.987723214285714</v>
      </c>
      <c r="Q1276" s="133">
        <v>0.985116279069767</v>
      </c>
      <c r="R1276" s="133">
        <v>0.960542540073983</v>
      </c>
      <c r="S1276" s="133">
        <v>0.967890586495811</v>
      </c>
      <c r="T1276" s="135">
        <v>0.9</v>
      </c>
      <c r="U1276" s="133">
        <v>0.741071428571429</v>
      </c>
      <c r="V1276" s="133">
        <v>0.765581395348837</v>
      </c>
      <c r="W1276" s="133">
        <v>0.745992601726264</v>
      </c>
      <c r="X1276" s="133">
        <v>0.758132084770823</v>
      </c>
      <c r="Y1276" s="135">
        <v>0.92</v>
      </c>
      <c r="Z1276" s="135" t="s">
        <v>35</v>
      </c>
      <c r="AA1276" s="135" t="s">
        <v>35</v>
      </c>
      <c r="AB1276" s="135">
        <v>1</v>
      </c>
      <c r="AC1276" s="135">
        <v>1</v>
      </c>
      <c r="AD1276" s="135">
        <v>0.92</v>
      </c>
      <c r="AE1276" s="133">
        <v>1</v>
      </c>
      <c r="AF1276" s="133">
        <v>0.999249249249249</v>
      </c>
      <c r="AG1276" s="133">
        <v>0.998904109589041</v>
      </c>
      <c r="AH1276" s="133">
        <v>0.998045523026182</v>
      </c>
      <c r="AI1276" s="135">
        <v>0.92</v>
      </c>
      <c r="AJ1276" s="133">
        <v>0.891369047619048</v>
      </c>
      <c r="AK1276" s="133">
        <v>0.913953488372093</v>
      </c>
      <c r="AL1276" s="133">
        <v>0.914543960558751</v>
      </c>
      <c r="AM1276" s="133">
        <v>0.926517335698972</v>
      </c>
      <c r="AN1276" s="132">
        <v>0.99</v>
      </c>
      <c r="AO1276" s="137">
        <v>1</v>
      </c>
      <c r="AP1276" s="137">
        <v>1</v>
      </c>
      <c r="AQ1276" s="137">
        <v>1</v>
      </c>
      <c r="AR1276" s="137">
        <v>1</v>
      </c>
      <c r="AS1276" s="158">
        <v>0.0721861525408278</v>
      </c>
      <c r="AT1276" s="141">
        <v>0</v>
      </c>
      <c r="AU1276" s="141">
        <v>0.0909090909090909</v>
      </c>
      <c r="AV1276" s="141">
        <v>0</v>
      </c>
      <c r="AW1276" s="141">
        <v>0.0666666666666667</v>
      </c>
      <c r="AX1276" s="95"/>
      <c r="AY1276" s="93"/>
    </row>
    <row r="1277" ht="14.5" spans="1:51">
      <c r="A1277" s="91"/>
      <c r="B1277" s="95"/>
      <c r="C1277" s="152" t="s">
        <v>1085</v>
      </c>
      <c r="D1277" s="153" t="s">
        <v>25</v>
      </c>
      <c r="E1277" s="130" t="s">
        <v>1086</v>
      </c>
      <c r="F1277" s="195" t="s">
        <v>1307</v>
      </c>
      <c r="G1277" s="195" t="s">
        <v>1307</v>
      </c>
      <c r="H1277" s="195" t="s">
        <v>1307</v>
      </c>
      <c r="I1277" s="195" t="s">
        <v>1307</v>
      </c>
      <c r="J1277" s="132">
        <v>0.9</v>
      </c>
      <c r="K1277" s="133">
        <v>1</v>
      </c>
      <c r="L1277" s="133">
        <v>1</v>
      </c>
      <c r="M1277" s="134">
        <v>1</v>
      </c>
      <c r="N1277" s="133">
        <v>0.973190348525469</v>
      </c>
      <c r="O1277" s="135">
        <v>0.9</v>
      </c>
      <c r="P1277" s="133">
        <v>0.937073938122706</v>
      </c>
      <c r="Q1277" s="133">
        <v>0.988567990373045</v>
      </c>
      <c r="R1277" s="133">
        <v>0.988066825775656</v>
      </c>
      <c r="S1277" s="133">
        <v>0.96821390812046</v>
      </c>
      <c r="T1277" s="135">
        <v>0.9</v>
      </c>
      <c r="U1277" s="133">
        <v>0.94441531200839</v>
      </c>
      <c r="V1277" s="133">
        <v>0.897111913357401</v>
      </c>
      <c r="W1277" s="133">
        <v>0.93019093078759</v>
      </c>
      <c r="X1277" s="133">
        <v>0.915623614474268</v>
      </c>
      <c r="Y1277" s="135">
        <v>0.92</v>
      </c>
      <c r="Z1277" s="135" t="s">
        <v>35</v>
      </c>
      <c r="AA1277" s="135" t="s">
        <v>35</v>
      </c>
      <c r="AB1277" s="135" t="s">
        <v>35</v>
      </c>
      <c r="AC1277" s="135" t="s">
        <v>35</v>
      </c>
      <c r="AD1277" s="135">
        <v>0.92</v>
      </c>
      <c r="AE1277" s="133">
        <v>0.989010989010989</v>
      </c>
      <c r="AF1277" s="133">
        <v>0.996428571428571</v>
      </c>
      <c r="AG1277" s="133">
        <v>1</v>
      </c>
      <c r="AH1277" s="133">
        <v>0.998439937597504</v>
      </c>
      <c r="AI1277" s="135">
        <v>0.92</v>
      </c>
      <c r="AJ1277" s="133">
        <v>0.977975878342947</v>
      </c>
      <c r="AK1277" s="133">
        <v>0.975932611311673</v>
      </c>
      <c r="AL1277" s="133">
        <v>0.977923627684964</v>
      </c>
      <c r="AM1277" s="133">
        <v>0.973227379693735</v>
      </c>
      <c r="AN1277" s="132">
        <v>0.99</v>
      </c>
      <c r="AO1277" s="137">
        <v>1</v>
      </c>
      <c r="AP1277" s="137">
        <v>1</v>
      </c>
      <c r="AQ1277" s="137">
        <v>1</v>
      </c>
      <c r="AR1277" s="137">
        <v>1</v>
      </c>
      <c r="AS1277" s="158">
        <v>0.0721861525408278</v>
      </c>
      <c r="AT1277" s="141">
        <v>0.125</v>
      </c>
      <c r="AU1277" s="141">
        <v>0</v>
      </c>
      <c r="AV1277" s="141">
        <v>0.25</v>
      </c>
      <c r="AW1277" s="141">
        <v>0.04</v>
      </c>
      <c r="AX1277" s="95"/>
      <c r="AY1277" s="93"/>
    </row>
    <row r="1278" ht="14.5" spans="1:51">
      <c r="A1278" s="91"/>
      <c r="B1278" s="95"/>
      <c r="C1278" s="152" t="s">
        <v>1085</v>
      </c>
      <c r="D1278" s="153" t="s">
        <v>25</v>
      </c>
      <c r="E1278" s="130" t="s">
        <v>1086</v>
      </c>
      <c r="F1278" s="195" t="s">
        <v>1308</v>
      </c>
      <c r="G1278" s="195" t="s">
        <v>1308</v>
      </c>
      <c r="H1278" s="195" t="s">
        <v>1308</v>
      </c>
      <c r="I1278" s="195" t="s">
        <v>1308</v>
      </c>
      <c r="J1278" s="132">
        <v>0.9</v>
      </c>
      <c r="K1278" s="133">
        <v>0.84</v>
      </c>
      <c r="L1278" s="133">
        <v>0.846153846153846</v>
      </c>
      <c r="M1278" s="134">
        <v>0.821428571428571</v>
      </c>
      <c r="N1278" s="133">
        <v>0.882086167800454</v>
      </c>
      <c r="O1278" s="135">
        <v>0.9</v>
      </c>
      <c r="P1278" s="133">
        <v>0.878158338012353</v>
      </c>
      <c r="Q1278" s="133">
        <v>0.976522842639594</v>
      </c>
      <c r="R1278" s="133">
        <v>0.93211334120425</v>
      </c>
      <c r="S1278" s="133">
        <v>0.825410026947004</v>
      </c>
      <c r="T1278" s="135">
        <v>0.9</v>
      </c>
      <c r="U1278" s="133">
        <v>0.792251544076362</v>
      </c>
      <c r="V1278" s="133">
        <v>0.859137055837564</v>
      </c>
      <c r="W1278" s="133">
        <v>0.905548996458087</v>
      </c>
      <c r="X1278" s="133">
        <v>0.822149772114841</v>
      </c>
      <c r="Y1278" s="135">
        <v>0.92</v>
      </c>
      <c r="Z1278" s="135" t="s">
        <v>35</v>
      </c>
      <c r="AA1278" s="135" t="s">
        <v>35</v>
      </c>
      <c r="AB1278" s="135" t="s">
        <v>35</v>
      </c>
      <c r="AC1278" s="135" t="s">
        <v>35</v>
      </c>
      <c r="AD1278" s="135">
        <v>0.92</v>
      </c>
      <c r="AE1278" s="133">
        <v>1</v>
      </c>
      <c r="AF1278" s="133">
        <v>1</v>
      </c>
      <c r="AG1278" s="133">
        <v>0.997297297297297</v>
      </c>
      <c r="AH1278" s="133">
        <v>0.938489748291382</v>
      </c>
      <c r="AI1278" s="135">
        <v>0.92</v>
      </c>
      <c r="AJ1278" s="133">
        <v>0.951712521055587</v>
      </c>
      <c r="AK1278" s="133">
        <v>0.966370558375635</v>
      </c>
      <c r="AL1278" s="133">
        <v>0.968122786304604</v>
      </c>
      <c r="AM1278" s="133">
        <v>0.957683222994777</v>
      </c>
      <c r="AN1278" s="132">
        <v>0.99</v>
      </c>
      <c r="AO1278" s="137">
        <v>1</v>
      </c>
      <c r="AP1278" s="137">
        <v>1</v>
      </c>
      <c r="AQ1278" s="137">
        <v>1</v>
      </c>
      <c r="AR1278" s="137">
        <v>1</v>
      </c>
      <c r="AS1278" s="158">
        <v>0.0721861525408278</v>
      </c>
      <c r="AT1278" s="141">
        <v>0.0833333333333333</v>
      </c>
      <c r="AU1278" s="141">
        <v>0</v>
      </c>
      <c r="AV1278" s="141">
        <v>0.0714285714285714</v>
      </c>
      <c r="AW1278" s="141">
        <v>0.0579710144927536</v>
      </c>
      <c r="AX1278" s="95"/>
      <c r="AY1278" s="93"/>
    </row>
    <row r="1279" ht="14.5" spans="1:51">
      <c r="A1279" s="91"/>
      <c r="B1279" s="95"/>
      <c r="C1279" s="152" t="s">
        <v>1085</v>
      </c>
      <c r="D1279" s="153" t="s">
        <v>25</v>
      </c>
      <c r="E1279" s="130" t="s">
        <v>1086</v>
      </c>
      <c r="F1279" s="195" t="s">
        <v>1309</v>
      </c>
      <c r="G1279" s="195" t="s">
        <v>1309</v>
      </c>
      <c r="H1279" s="195" t="s">
        <v>1309</v>
      </c>
      <c r="I1279" s="195" t="s">
        <v>1309</v>
      </c>
      <c r="J1279" s="132">
        <v>0.9</v>
      </c>
      <c r="K1279" s="133">
        <v>1</v>
      </c>
      <c r="L1279" s="133">
        <v>1</v>
      </c>
      <c r="M1279" s="134">
        <v>0.928571428571429</v>
      </c>
      <c r="N1279" s="133">
        <v>0.981481481481482</v>
      </c>
      <c r="O1279" s="135">
        <v>0.9</v>
      </c>
      <c r="P1279" s="133">
        <v>0.979808177688036</v>
      </c>
      <c r="Q1279" s="133">
        <v>0.974278544542033</v>
      </c>
      <c r="R1279" s="133">
        <v>0.970276008492569</v>
      </c>
      <c r="S1279" s="133">
        <v>0.980814909556002</v>
      </c>
      <c r="T1279" s="135">
        <v>0.9</v>
      </c>
      <c r="U1279" s="133">
        <v>0.939424533064109</v>
      </c>
      <c r="V1279" s="133">
        <v>0.946675031367629</v>
      </c>
      <c r="W1279" s="133">
        <v>0.945859872611465</v>
      </c>
      <c r="X1279" s="133">
        <v>0.954625738473719</v>
      </c>
      <c r="Y1279" s="135">
        <v>0.92</v>
      </c>
      <c r="Z1279" s="135" t="s">
        <v>35</v>
      </c>
      <c r="AA1279" s="135" t="s">
        <v>35</v>
      </c>
      <c r="AB1279" s="135" t="s">
        <v>35</v>
      </c>
      <c r="AC1279" s="135" t="s">
        <v>35</v>
      </c>
      <c r="AD1279" s="135">
        <v>0.92</v>
      </c>
      <c r="AE1279" s="133">
        <v>1</v>
      </c>
      <c r="AF1279" s="133">
        <v>1</v>
      </c>
      <c r="AG1279" s="133">
        <v>1</v>
      </c>
      <c r="AH1279" s="133">
        <v>0.998703543647364</v>
      </c>
      <c r="AI1279" s="135">
        <v>0.92</v>
      </c>
      <c r="AJ1279" s="133">
        <v>0.963149924280666</v>
      </c>
      <c r="AK1279" s="133">
        <v>0.965495608531995</v>
      </c>
      <c r="AL1279" s="133">
        <v>0.979830148619958</v>
      </c>
      <c r="AM1279" s="133">
        <v>0.979809976247031</v>
      </c>
      <c r="AN1279" s="132">
        <v>0.99</v>
      </c>
      <c r="AO1279" s="137">
        <v>1</v>
      </c>
      <c r="AP1279" s="137">
        <v>1</v>
      </c>
      <c r="AQ1279" s="137">
        <v>1</v>
      </c>
      <c r="AR1279" s="137">
        <v>1</v>
      </c>
      <c r="AS1279" s="158">
        <v>0.0721861525408278</v>
      </c>
      <c r="AT1279" s="141">
        <v>0.142857142857143</v>
      </c>
      <c r="AU1279" s="141">
        <v>0</v>
      </c>
      <c r="AV1279" s="141">
        <v>0</v>
      </c>
      <c r="AW1279" s="141">
        <v>0.0300751879699248</v>
      </c>
      <c r="AX1279" s="95"/>
      <c r="AY1279" s="93"/>
    </row>
    <row r="1280" ht="14.5" spans="1:51">
      <c r="A1280" s="91"/>
      <c r="B1280" s="95"/>
      <c r="C1280" s="152" t="s">
        <v>1085</v>
      </c>
      <c r="D1280" s="153" t="s">
        <v>25</v>
      </c>
      <c r="E1280" s="130" t="s">
        <v>1086</v>
      </c>
      <c r="F1280" s="195" t="s">
        <v>1310</v>
      </c>
      <c r="G1280" s="195" t="s">
        <v>1310</v>
      </c>
      <c r="H1280" s="195" t="s">
        <v>1310</v>
      </c>
      <c r="I1280" s="195" t="s">
        <v>1310</v>
      </c>
      <c r="J1280" s="132">
        <v>0.9</v>
      </c>
      <c r="K1280" s="133">
        <v>0.980769230769231</v>
      </c>
      <c r="L1280" s="133">
        <v>0.96</v>
      </c>
      <c r="M1280" s="134">
        <v>0.924528301886792</v>
      </c>
      <c r="N1280" s="133">
        <v>0.933030646992055</v>
      </c>
      <c r="O1280" s="135">
        <v>0.9</v>
      </c>
      <c r="P1280" s="133">
        <v>0.980690679539547</v>
      </c>
      <c r="Q1280" s="133">
        <v>0.990430622009569</v>
      </c>
      <c r="R1280" s="133">
        <v>0.989437947944172</v>
      </c>
      <c r="S1280" s="133">
        <v>0.980686431295362</v>
      </c>
      <c r="T1280" s="135">
        <v>0.9</v>
      </c>
      <c r="U1280" s="133">
        <v>0.924619383587078</v>
      </c>
      <c r="V1280" s="133">
        <v>0.912135711178773</v>
      </c>
      <c r="W1280" s="133">
        <v>0.929460580912863</v>
      </c>
      <c r="X1280" s="133">
        <v>0.922499692459097</v>
      </c>
      <c r="Y1280" s="135">
        <v>0.92</v>
      </c>
      <c r="Z1280" s="135">
        <v>0.926624737945493</v>
      </c>
      <c r="AA1280" s="135">
        <v>0.925491837588949</v>
      </c>
      <c r="AB1280" s="135">
        <v>0.936787564766839</v>
      </c>
      <c r="AC1280" s="135">
        <v>0.93917438429402</v>
      </c>
      <c r="AD1280" s="135">
        <v>0.92</v>
      </c>
      <c r="AE1280" s="133">
        <v>1</v>
      </c>
      <c r="AF1280" s="133">
        <v>1</v>
      </c>
      <c r="AG1280" s="133">
        <v>0.998941798941799</v>
      </c>
      <c r="AH1280" s="133">
        <v>0.99873047414031</v>
      </c>
      <c r="AI1280" s="135">
        <v>0.92</v>
      </c>
      <c r="AJ1280" s="133">
        <v>0.954655674102813</v>
      </c>
      <c r="AK1280" s="133">
        <v>0.946257197696737</v>
      </c>
      <c r="AL1280" s="133">
        <v>0.961580440951757</v>
      </c>
      <c r="AM1280" s="133">
        <v>0.962281652812914</v>
      </c>
      <c r="AN1280" s="132">
        <v>0.99</v>
      </c>
      <c r="AO1280" s="137">
        <v>1</v>
      </c>
      <c r="AP1280" s="137">
        <v>1</v>
      </c>
      <c r="AQ1280" s="137">
        <v>1</v>
      </c>
      <c r="AR1280" s="137">
        <v>1</v>
      </c>
      <c r="AS1280" s="158">
        <v>0.0721861525408278</v>
      </c>
      <c r="AT1280" s="141">
        <v>0</v>
      </c>
      <c r="AU1280" s="141">
        <v>0</v>
      </c>
      <c r="AV1280" s="141">
        <v>0</v>
      </c>
      <c r="AW1280" s="141">
        <v>0.0386740331491713</v>
      </c>
      <c r="AX1280" s="95"/>
      <c r="AY1280" s="93"/>
    </row>
    <row r="1281" ht="14.5" spans="1:51">
      <c r="A1281" s="91"/>
      <c r="B1281" s="95"/>
      <c r="C1281" s="152" t="s">
        <v>1085</v>
      </c>
      <c r="D1281" s="153" t="s">
        <v>25</v>
      </c>
      <c r="E1281" s="130" t="s">
        <v>1086</v>
      </c>
      <c r="F1281" s="195" t="s">
        <v>1311</v>
      </c>
      <c r="G1281" s="195" t="s">
        <v>1311</v>
      </c>
      <c r="H1281" s="195" t="s">
        <v>1311</v>
      </c>
      <c r="I1281" s="195" t="s">
        <v>1311</v>
      </c>
      <c r="J1281" s="132">
        <v>0.9</v>
      </c>
      <c r="K1281" s="133">
        <v>0.907894736842105</v>
      </c>
      <c r="L1281" s="133">
        <v>0.961038961038961</v>
      </c>
      <c r="M1281" s="134">
        <v>0.938271604938272</v>
      </c>
      <c r="N1281" s="133">
        <v>0.950413223140496</v>
      </c>
      <c r="O1281" s="135">
        <v>0.9</v>
      </c>
      <c r="P1281" s="133">
        <v>0.984466019417476</v>
      </c>
      <c r="Q1281" s="133">
        <v>0.987704918032787</v>
      </c>
      <c r="R1281" s="133">
        <v>0.977893691008445</v>
      </c>
      <c r="S1281" s="133">
        <v>0.983639281380876</v>
      </c>
      <c r="T1281" s="135">
        <v>0.9</v>
      </c>
      <c r="U1281" s="133">
        <v>0.947330097087379</v>
      </c>
      <c r="V1281" s="133">
        <v>0.939344262295082</v>
      </c>
      <c r="W1281" s="133">
        <v>0.94709388971684</v>
      </c>
      <c r="X1281" s="133">
        <v>0.94746043550302</v>
      </c>
      <c r="Y1281" s="135">
        <v>0.92</v>
      </c>
      <c r="Z1281" s="135">
        <v>0.940088105726872</v>
      </c>
      <c r="AA1281" s="135">
        <v>0.948985042735043</v>
      </c>
      <c r="AB1281" s="135">
        <v>0.970494134376111</v>
      </c>
      <c r="AC1281" s="135">
        <v>0.961530416262574</v>
      </c>
      <c r="AD1281" s="135">
        <v>0.92</v>
      </c>
      <c r="AE1281" s="133">
        <v>0.999395770392749</v>
      </c>
      <c r="AF1281" s="133">
        <v>1</v>
      </c>
      <c r="AG1281" s="133">
        <v>0.995643431635389</v>
      </c>
      <c r="AH1281" s="133">
        <v>0.988576099943405</v>
      </c>
      <c r="AI1281" s="135">
        <v>0.92</v>
      </c>
      <c r="AJ1281" s="133">
        <v>0.96056338028169</v>
      </c>
      <c r="AK1281" s="133">
        <v>0.960831982712048</v>
      </c>
      <c r="AL1281" s="133">
        <v>0.979967831554321</v>
      </c>
      <c r="AM1281" s="133">
        <v>0.974984331355086</v>
      </c>
      <c r="AN1281" s="132">
        <v>0.99</v>
      </c>
      <c r="AO1281" s="137">
        <v>1</v>
      </c>
      <c r="AP1281" s="137">
        <v>1</v>
      </c>
      <c r="AQ1281" s="137">
        <v>1</v>
      </c>
      <c r="AR1281" s="137">
        <v>1</v>
      </c>
      <c r="AS1281" s="158">
        <v>0.0721861525408278</v>
      </c>
      <c r="AT1281" s="141">
        <v>0.0588235294117647</v>
      </c>
      <c r="AU1281" s="141">
        <v>0.0303030303030303</v>
      </c>
      <c r="AV1281" s="141">
        <v>0.0454545454545455</v>
      </c>
      <c r="AW1281" s="141">
        <v>0.0420841683366733</v>
      </c>
      <c r="AX1281" s="95"/>
      <c r="AY1281" s="93"/>
    </row>
    <row r="1282" ht="14.5" spans="1:51">
      <c r="A1282" s="91"/>
      <c r="B1282" s="95"/>
      <c r="C1282" s="152" t="s">
        <v>1085</v>
      </c>
      <c r="D1282" s="153" t="s">
        <v>25</v>
      </c>
      <c r="E1282" s="130" t="s">
        <v>1086</v>
      </c>
      <c r="F1282" s="195" t="s">
        <v>1312</v>
      </c>
      <c r="G1282" s="195" t="s">
        <v>1312</v>
      </c>
      <c r="H1282" s="195" t="s">
        <v>1312</v>
      </c>
      <c r="I1282" s="195" t="s">
        <v>1312</v>
      </c>
      <c r="J1282" s="132">
        <v>0.9</v>
      </c>
      <c r="K1282" s="133">
        <v>0.896551724137931</v>
      </c>
      <c r="L1282" s="133">
        <v>0.875</v>
      </c>
      <c r="M1282" s="134">
        <v>1</v>
      </c>
      <c r="N1282" s="133">
        <v>0.909465020576132</v>
      </c>
      <c r="O1282" s="135">
        <v>0.9</v>
      </c>
      <c r="P1282" s="133">
        <v>0.974852071005917</v>
      </c>
      <c r="Q1282" s="133">
        <v>0.900780891134589</v>
      </c>
      <c r="R1282" s="133">
        <v>0.992914501653283</v>
      </c>
      <c r="S1282" s="133">
        <v>0.964746848312322</v>
      </c>
      <c r="T1282" s="135">
        <v>0.9</v>
      </c>
      <c r="U1282" s="133">
        <v>0.719304733727811</v>
      </c>
      <c r="V1282" s="133">
        <v>0.705098759761139</v>
      </c>
      <c r="W1282" s="133">
        <v>0.692017005196032</v>
      </c>
      <c r="X1282" s="133">
        <v>0.708418056120374</v>
      </c>
      <c r="Y1282" s="135">
        <v>0.92</v>
      </c>
      <c r="Z1282" s="135" t="s">
        <v>35</v>
      </c>
      <c r="AA1282" s="135" t="s">
        <v>35</v>
      </c>
      <c r="AB1282" s="135" t="s">
        <v>35</v>
      </c>
      <c r="AC1282" s="135">
        <v>0</v>
      </c>
      <c r="AD1282" s="135">
        <v>0.92</v>
      </c>
      <c r="AE1282" s="133">
        <v>1</v>
      </c>
      <c r="AF1282" s="133">
        <v>1</v>
      </c>
      <c r="AG1282" s="133">
        <v>1</v>
      </c>
      <c r="AH1282" s="133">
        <v>0.998862774829416</v>
      </c>
      <c r="AI1282" s="135">
        <v>0.92</v>
      </c>
      <c r="AJ1282" s="133">
        <v>0.94008875739645</v>
      </c>
      <c r="AK1282" s="133">
        <v>0.827744602664217</v>
      </c>
      <c r="AL1282" s="133">
        <v>0.948984411903637</v>
      </c>
      <c r="AM1282" s="133">
        <v>0.923119932904669</v>
      </c>
      <c r="AN1282" s="132">
        <v>0.99</v>
      </c>
      <c r="AO1282" s="137">
        <v>1</v>
      </c>
      <c r="AP1282" s="137">
        <v>1</v>
      </c>
      <c r="AQ1282" s="137">
        <v>1</v>
      </c>
      <c r="AR1282" s="137">
        <v>1</v>
      </c>
      <c r="AS1282" s="158">
        <v>0.0721861525408278</v>
      </c>
      <c r="AT1282" s="141">
        <v>0</v>
      </c>
      <c r="AU1282" s="141">
        <v>0</v>
      </c>
      <c r="AV1282" s="141">
        <v>0</v>
      </c>
      <c r="AW1282" s="141">
        <v>0.0593220338983051</v>
      </c>
      <c r="AX1282" s="95"/>
      <c r="AY1282" s="93"/>
    </row>
    <row r="1283" ht="14.5" spans="1:51">
      <c r="A1283" s="91"/>
      <c r="B1283" s="95"/>
      <c r="C1283" s="152" t="s">
        <v>1085</v>
      </c>
      <c r="D1283" s="153" t="s">
        <v>25</v>
      </c>
      <c r="E1283" s="130" t="s">
        <v>1086</v>
      </c>
      <c r="F1283" s="195" t="s">
        <v>1313</v>
      </c>
      <c r="G1283" s="195" t="s">
        <v>1313</v>
      </c>
      <c r="H1283" s="195" t="s">
        <v>1313</v>
      </c>
      <c r="I1283" s="195" t="s">
        <v>1313</v>
      </c>
      <c r="J1283" s="132">
        <v>0.9</v>
      </c>
      <c r="K1283" s="133">
        <v>0.882352941176471</v>
      </c>
      <c r="L1283" s="133">
        <v>0.862745098039216</v>
      </c>
      <c r="M1283" s="134">
        <v>0.905660377358491</v>
      </c>
      <c r="N1283" s="133">
        <v>0.882352941176471</v>
      </c>
      <c r="O1283" s="135">
        <v>0.9</v>
      </c>
      <c r="P1283" s="133">
        <v>0.96931659693166</v>
      </c>
      <c r="Q1283" s="133">
        <v>0.957782672540382</v>
      </c>
      <c r="R1283" s="133">
        <v>0.956269217628972</v>
      </c>
      <c r="S1283" s="133">
        <v>0.96777550784412</v>
      </c>
      <c r="T1283" s="135">
        <v>0.9</v>
      </c>
      <c r="U1283" s="133">
        <v>0.822873082287308</v>
      </c>
      <c r="V1283" s="133">
        <v>0.833700440528634</v>
      </c>
      <c r="W1283" s="133">
        <v>0.854116843184148</v>
      </c>
      <c r="X1283" s="133">
        <v>0.832131981652083</v>
      </c>
      <c r="Y1283" s="135">
        <v>0.92</v>
      </c>
      <c r="Z1283" s="135">
        <v>0.914762198888203</v>
      </c>
      <c r="AA1283" s="135">
        <v>0.902286902286902</v>
      </c>
      <c r="AB1283" s="135">
        <v>0.904739990796134</v>
      </c>
      <c r="AC1283" s="135">
        <v>0.929497479084714</v>
      </c>
      <c r="AD1283" s="135">
        <v>0.92</v>
      </c>
      <c r="AE1283" s="133">
        <v>1</v>
      </c>
      <c r="AF1283" s="133">
        <v>0.999154691462384</v>
      </c>
      <c r="AG1283" s="133">
        <v>0.996696944673823</v>
      </c>
      <c r="AH1283" s="133">
        <v>0.99615151373793</v>
      </c>
      <c r="AI1283" s="135">
        <v>0.92</v>
      </c>
      <c r="AJ1283" s="133">
        <v>0.938029424877396</v>
      </c>
      <c r="AK1283" s="133">
        <v>0.926381461675579</v>
      </c>
      <c r="AL1283" s="133">
        <v>0.9453155625245</v>
      </c>
      <c r="AM1283" s="133">
        <v>0.952553043992136</v>
      </c>
      <c r="AN1283" s="132">
        <v>0.99</v>
      </c>
      <c r="AO1283" s="137">
        <v>1</v>
      </c>
      <c r="AP1283" s="137">
        <v>1</v>
      </c>
      <c r="AQ1283" s="137">
        <v>1</v>
      </c>
      <c r="AR1283" s="137">
        <v>1</v>
      </c>
      <c r="AS1283" s="158">
        <v>0.0721861525408278</v>
      </c>
      <c r="AT1283" s="141">
        <v>0.133333333333333</v>
      </c>
      <c r="AU1283" s="141">
        <v>0.0769230769230769</v>
      </c>
      <c r="AV1283" s="141">
        <v>0</v>
      </c>
      <c r="AW1283" s="141">
        <v>0.0419075144508671</v>
      </c>
      <c r="AX1283" s="95"/>
      <c r="AY1283" s="93"/>
    </row>
    <row r="1284" ht="14.5" spans="1:51">
      <c r="A1284" s="91"/>
      <c r="B1284" s="95"/>
      <c r="C1284" s="152" t="s">
        <v>1085</v>
      </c>
      <c r="D1284" s="153" t="s">
        <v>25</v>
      </c>
      <c r="E1284" s="130" t="s">
        <v>1086</v>
      </c>
      <c r="F1284" s="195" t="s">
        <v>1314</v>
      </c>
      <c r="G1284" s="195" t="s">
        <v>1314</v>
      </c>
      <c r="H1284" s="195" t="s">
        <v>1314</v>
      </c>
      <c r="I1284" s="195" t="s">
        <v>1314</v>
      </c>
      <c r="J1284" s="132">
        <v>0.9</v>
      </c>
      <c r="K1284" s="133">
        <v>0.96969696969697</v>
      </c>
      <c r="L1284" s="133">
        <v>1</v>
      </c>
      <c r="M1284" s="134">
        <v>0.939393939393939</v>
      </c>
      <c r="N1284" s="133">
        <v>0.97887323943662</v>
      </c>
      <c r="O1284" s="135">
        <v>0.9</v>
      </c>
      <c r="P1284" s="133">
        <v>0.995524296675192</v>
      </c>
      <c r="Q1284" s="133">
        <v>0.998532648569332</v>
      </c>
      <c r="R1284" s="133">
        <v>1</v>
      </c>
      <c r="S1284" s="133">
        <v>0.99723973292551</v>
      </c>
      <c r="T1284" s="135">
        <v>0.9</v>
      </c>
      <c r="U1284" s="133">
        <v>0.978260869565217</v>
      </c>
      <c r="V1284" s="133">
        <v>0.972120322817315</v>
      </c>
      <c r="W1284" s="133">
        <v>0.975155279503106</v>
      </c>
      <c r="X1284" s="133">
        <v>0.975082994516767</v>
      </c>
      <c r="Y1284" s="135">
        <v>0.92</v>
      </c>
      <c r="Z1284" s="135">
        <v>0.970554926387316</v>
      </c>
      <c r="AA1284" s="135">
        <v>0.981432360742706</v>
      </c>
      <c r="AB1284" s="135">
        <v>0.987477638640429</v>
      </c>
      <c r="AC1284" s="135">
        <v>0.986600171276006</v>
      </c>
      <c r="AD1284" s="135">
        <v>0.92</v>
      </c>
      <c r="AE1284" s="133">
        <v>1</v>
      </c>
      <c r="AF1284" s="133">
        <v>0.995771670190275</v>
      </c>
      <c r="AG1284" s="133">
        <v>0.993031358885017</v>
      </c>
      <c r="AH1284" s="133">
        <v>0.997773411918795</v>
      </c>
      <c r="AI1284" s="135">
        <v>0.92</v>
      </c>
      <c r="AJ1284" s="133">
        <v>0.98283612586841</v>
      </c>
      <c r="AK1284" s="133">
        <v>0.98571926158133</v>
      </c>
      <c r="AL1284" s="133">
        <v>0.991040124659135</v>
      </c>
      <c r="AM1284" s="133">
        <v>0.990935002035874</v>
      </c>
      <c r="AN1284" s="132">
        <v>0.99</v>
      </c>
      <c r="AO1284" s="137">
        <v>1</v>
      </c>
      <c r="AP1284" s="137">
        <v>1</v>
      </c>
      <c r="AQ1284" s="137">
        <v>1</v>
      </c>
      <c r="AR1284" s="137">
        <v>1</v>
      </c>
      <c r="AS1284" s="158">
        <v>0.0721861525408278</v>
      </c>
      <c r="AT1284" s="141">
        <v>0.153846153846154</v>
      </c>
      <c r="AU1284" s="141">
        <v>0</v>
      </c>
      <c r="AV1284" s="141">
        <v>0</v>
      </c>
      <c r="AW1284" s="141">
        <v>0.0388349514563107</v>
      </c>
      <c r="AX1284" s="95"/>
      <c r="AY1284" s="93"/>
    </row>
    <row r="1285" ht="14.5" spans="1:51">
      <c r="A1285" s="91"/>
      <c r="B1285" s="95"/>
      <c r="C1285" s="152" t="s">
        <v>1085</v>
      </c>
      <c r="D1285" s="153" t="s">
        <v>25</v>
      </c>
      <c r="E1285" s="130" t="s">
        <v>1086</v>
      </c>
      <c r="F1285" s="195" t="s">
        <v>1315</v>
      </c>
      <c r="G1285" s="195" t="s">
        <v>1315</v>
      </c>
      <c r="H1285" s="195" t="s">
        <v>1315</v>
      </c>
      <c r="I1285" s="195" t="s">
        <v>1315</v>
      </c>
      <c r="J1285" s="132">
        <v>0.9</v>
      </c>
      <c r="K1285" s="133">
        <v>0.966101694915254</v>
      </c>
      <c r="L1285" s="133">
        <v>0.842105263157895</v>
      </c>
      <c r="M1285" s="134">
        <v>0.813559322033898</v>
      </c>
      <c r="N1285" s="133">
        <v>0.895693779904306</v>
      </c>
      <c r="O1285" s="135">
        <v>0.9</v>
      </c>
      <c r="P1285" s="133">
        <v>0.98068107400131</v>
      </c>
      <c r="Q1285" s="133">
        <v>0.964134207481681</v>
      </c>
      <c r="R1285" s="133">
        <v>0.974433893352812</v>
      </c>
      <c r="S1285" s="133">
        <v>0.961729992549896</v>
      </c>
      <c r="T1285" s="135">
        <v>0.9</v>
      </c>
      <c r="U1285" s="133">
        <v>0.944990176817289</v>
      </c>
      <c r="V1285" s="133">
        <v>0.930582337061319</v>
      </c>
      <c r="W1285" s="133">
        <v>0.93644996347699</v>
      </c>
      <c r="X1285" s="133">
        <v>0.941065756969768</v>
      </c>
      <c r="Y1285" s="135">
        <v>0.92</v>
      </c>
      <c r="Z1285" s="135">
        <v>0.932070542129327</v>
      </c>
      <c r="AA1285" s="135">
        <v>0.950588235294118</v>
      </c>
      <c r="AB1285" s="135">
        <v>0.962981490745373</v>
      </c>
      <c r="AC1285" s="135">
        <v>0.962568661872133</v>
      </c>
      <c r="AD1285" s="135">
        <v>0.92</v>
      </c>
      <c r="AE1285" s="133">
        <v>0.995222929936306</v>
      </c>
      <c r="AF1285" s="133">
        <v>0.991432068543452</v>
      </c>
      <c r="AG1285" s="133">
        <v>0.998755444928438</v>
      </c>
      <c r="AH1285" s="133">
        <v>0.996457305565672</v>
      </c>
      <c r="AI1285" s="135">
        <v>0.92</v>
      </c>
      <c r="AJ1285" s="133">
        <v>0.964449291166848</v>
      </c>
      <c r="AK1285" s="133">
        <v>0.966951788491446</v>
      </c>
      <c r="AL1285" s="133">
        <v>0.976567447751742</v>
      </c>
      <c r="AM1285" s="133">
        <v>0.977052636456306</v>
      </c>
      <c r="AN1285" s="132">
        <v>0.99</v>
      </c>
      <c r="AO1285" s="137">
        <v>1</v>
      </c>
      <c r="AP1285" s="137">
        <v>1</v>
      </c>
      <c r="AQ1285" s="137">
        <v>1</v>
      </c>
      <c r="AR1285" s="137">
        <v>1</v>
      </c>
      <c r="AS1285" s="158">
        <v>0.0721861525408278</v>
      </c>
      <c r="AT1285" s="141">
        <v>0</v>
      </c>
      <c r="AU1285" s="141">
        <v>0</v>
      </c>
      <c r="AV1285" s="141">
        <v>0.037037037037037</v>
      </c>
      <c r="AW1285" s="141">
        <v>0.0423452768729642</v>
      </c>
      <c r="AX1285" s="95"/>
      <c r="AY1285" s="93"/>
    </row>
    <row r="1286" ht="14.5" spans="1:51">
      <c r="A1286" s="91"/>
      <c r="B1286" s="95"/>
      <c r="C1286" s="152" t="s">
        <v>1085</v>
      </c>
      <c r="D1286" s="153" t="s">
        <v>25</v>
      </c>
      <c r="E1286" s="130" t="s">
        <v>1086</v>
      </c>
      <c r="F1286" s="195" t="s">
        <v>1316</v>
      </c>
      <c r="G1286" s="195" t="s">
        <v>1316</v>
      </c>
      <c r="H1286" s="195" t="s">
        <v>1316</v>
      </c>
      <c r="I1286" s="195" t="s">
        <v>1316</v>
      </c>
      <c r="J1286" s="132">
        <v>0.9</v>
      </c>
      <c r="K1286" s="133">
        <v>1</v>
      </c>
      <c r="L1286" s="133">
        <v>1</v>
      </c>
      <c r="M1286" s="134">
        <v>0.911764705882353</v>
      </c>
      <c r="N1286" s="133">
        <v>0.953068592057762</v>
      </c>
      <c r="O1286" s="135">
        <v>0.9</v>
      </c>
      <c r="P1286" s="133">
        <v>0.986609860012173</v>
      </c>
      <c r="Q1286" s="133">
        <v>0.995738636363636</v>
      </c>
      <c r="R1286" s="133">
        <v>0.993256911665543</v>
      </c>
      <c r="S1286" s="133">
        <v>0.98474815861915</v>
      </c>
      <c r="T1286" s="135">
        <v>0.9</v>
      </c>
      <c r="U1286" s="133">
        <v>0.946439440048691</v>
      </c>
      <c r="V1286" s="133">
        <v>0.958806818181818</v>
      </c>
      <c r="W1286" s="133">
        <v>0.960890087660148</v>
      </c>
      <c r="X1286" s="133">
        <v>0.952719291719366</v>
      </c>
      <c r="Y1286" s="135">
        <v>0.92</v>
      </c>
      <c r="Z1286" s="135">
        <v>0.944380069524913</v>
      </c>
      <c r="AA1286" s="135">
        <v>0.972328977709454</v>
      </c>
      <c r="AB1286" s="135">
        <v>0.976765799256506</v>
      </c>
      <c r="AC1286" s="135">
        <v>0.976236718839255</v>
      </c>
      <c r="AD1286" s="135">
        <v>0.92</v>
      </c>
      <c r="AE1286" s="133">
        <v>1</v>
      </c>
      <c r="AF1286" s="133">
        <v>1</v>
      </c>
      <c r="AG1286" s="133">
        <v>0.998053527980535</v>
      </c>
      <c r="AH1286" s="133">
        <v>0.998858600778837</v>
      </c>
      <c r="AI1286" s="135">
        <v>0.92</v>
      </c>
      <c r="AJ1286" s="133">
        <v>0.964485235434956</v>
      </c>
      <c r="AK1286" s="133">
        <v>0.980066445182724</v>
      </c>
      <c r="AL1286" s="133">
        <v>0.982805783509183</v>
      </c>
      <c r="AM1286" s="133">
        <v>0.983758700696056</v>
      </c>
      <c r="AN1286" s="132">
        <v>0.99</v>
      </c>
      <c r="AO1286" s="137">
        <v>1</v>
      </c>
      <c r="AP1286" s="137">
        <v>1</v>
      </c>
      <c r="AQ1286" s="137">
        <v>1</v>
      </c>
      <c r="AR1286" s="137">
        <v>1</v>
      </c>
      <c r="AS1286" s="158">
        <v>0.0721861525408278</v>
      </c>
      <c r="AT1286" s="141">
        <v>0</v>
      </c>
      <c r="AU1286" s="141">
        <v>0.111111111111111</v>
      </c>
      <c r="AV1286" s="141">
        <v>0</v>
      </c>
      <c r="AW1286" s="141">
        <v>0.0350877192982456</v>
      </c>
      <c r="AX1286" s="95"/>
      <c r="AY1286" s="93"/>
    </row>
    <row r="1287" ht="14.5" spans="1:51">
      <c r="A1287" s="91"/>
      <c r="B1287" s="95"/>
      <c r="C1287" s="152" t="s">
        <v>1085</v>
      </c>
      <c r="D1287" s="153" t="s">
        <v>25</v>
      </c>
      <c r="E1287" s="130" t="s">
        <v>1086</v>
      </c>
      <c r="F1287" s="195" t="s">
        <v>1317</v>
      </c>
      <c r="G1287" s="195" t="s">
        <v>1317</v>
      </c>
      <c r="H1287" s="195" t="s">
        <v>1317</v>
      </c>
      <c r="I1287" s="195" t="s">
        <v>1317</v>
      </c>
      <c r="J1287" s="132">
        <v>0.9</v>
      </c>
      <c r="K1287" s="133">
        <v>0.967741935483871</v>
      </c>
      <c r="L1287" s="133">
        <v>0.903225806451613</v>
      </c>
      <c r="M1287" s="134">
        <v>1</v>
      </c>
      <c r="N1287" s="133">
        <v>0.943181818181818</v>
      </c>
      <c r="O1287" s="135">
        <v>0.9</v>
      </c>
      <c r="P1287" s="133">
        <v>0.981039555410265</v>
      </c>
      <c r="Q1287" s="133">
        <v>0.994711147274207</v>
      </c>
      <c r="R1287" s="133">
        <v>0.994550408719346</v>
      </c>
      <c r="S1287" s="133">
        <v>0.992273255563687</v>
      </c>
      <c r="T1287" s="135">
        <v>0.9</v>
      </c>
      <c r="U1287" s="133">
        <v>0.946060804184374</v>
      </c>
      <c r="V1287" s="133">
        <v>0.973555736371033</v>
      </c>
      <c r="W1287" s="133">
        <v>0.978980147917478</v>
      </c>
      <c r="X1287" s="133">
        <v>0.963583143213809</v>
      </c>
      <c r="Y1287" s="135">
        <v>0.92</v>
      </c>
      <c r="Z1287" s="135" t="s">
        <v>35</v>
      </c>
      <c r="AA1287" s="135" t="s">
        <v>35</v>
      </c>
      <c r="AB1287" s="135" t="s">
        <v>35</v>
      </c>
      <c r="AC1287" s="135" t="s">
        <v>35</v>
      </c>
      <c r="AD1287" s="135">
        <v>0.92</v>
      </c>
      <c r="AE1287" s="133">
        <v>0.996376811594203</v>
      </c>
      <c r="AF1287" s="133">
        <v>0.998553868402025</v>
      </c>
      <c r="AG1287" s="133">
        <v>0.99935107073329</v>
      </c>
      <c r="AH1287" s="133">
        <v>0.998021802264405</v>
      </c>
      <c r="AI1287" s="135">
        <v>0.92</v>
      </c>
      <c r="AJ1287" s="133">
        <v>0.978097417456685</v>
      </c>
      <c r="AK1287" s="133">
        <v>0.976403580146461</v>
      </c>
      <c r="AL1287" s="133">
        <v>0.986765278318412</v>
      </c>
      <c r="AM1287" s="133">
        <v>0.982243553871981</v>
      </c>
      <c r="AN1287" s="132">
        <v>0.99</v>
      </c>
      <c r="AO1287" s="137">
        <v>1</v>
      </c>
      <c r="AP1287" s="137">
        <v>1</v>
      </c>
      <c r="AQ1287" s="137">
        <v>1</v>
      </c>
      <c r="AR1287" s="137">
        <v>1</v>
      </c>
      <c r="AS1287" s="158">
        <v>0.0721861525408278</v>
      </c>
      <c r="AT1287" s="141">
        <v>0.222222222222222</v>
      </c>
      <c r="AU1287" s="141">
        <v>0</v>
      </c>
      <c r="AV1287" s="141">
        <v>0.166666666666667</v>
      </c>
      <c r="AW1287" s="141">
        <v>0.0681818181818182</v>
      </c>
      <c r="AX1287" s="95"/>
      <c r="AY1287" s="93"/>
    </row>
    <row r="1288" ht="14.5" spans="1:51">
      <c r="A1288" s="91"/>
      <c r="B1288" s="95"/>
      <c r="C1288" s="152" t="s">
        <v>1085</v>
      </c>
      <c r="D1288" s="153" t="s">
        <v>25</v>
      </c>
      <c r="E1288" s="130" t="s">
        <v>1086</v>
      </c>
      <c r="F1288" s="195" t="s">
        <v>1318</v>
      </c>
      <c r="G1288" s="195" t="s">
        <v>1318</v>
      </c>
      <c r="H1288" s="195" t="s">
        <v>1318</v>
      </c>
      <c r="I1288" s="195" t="s">
        <v>1318</v>
      </c>
      <c r="J1288" s="132">
        <v>0.9</v>
      </c>
      <c r="K1288" s="133">
        <v>0.897435897435897</v>
      </c>
      <c r="L1288" s="133">
        <v>0.916666666666667</v>
      </c>
      <c r="M1288" s="134">
        <v>0.975</v>
      </c>
      <c r="N1288" s="133">
        <v>0.956390977443609</v>
      </c>
      <c r="O1288" s="135">
        <v>0.9</v>
      </c>
      <c r="P1288" s="133">
        <v>0.980274442538594</v>
      </c>
      <c r="Q1288" s="133">
        <v>0.972574911122397</v>
      </c>
      <c r="R1288" s="133">
        <v>0.988857938718663</v>
      </c>
      <c r="S1288" s="133">
        <v>0.968547375026145</v>
      </c>
      <c r="T1288" s="135">
        <v>0.9</v>
      </c>
      <c r="U1288" s="133">
        <v>0.960977701543739</v>
      </c>
      <c r="V1288" s="133">
        <v>0.947181310309802</v>
      </c>
      <c r="W1288" s="133">
        <v>0.9661095636026</v>
      </c>
      <c r="X1288" s="133">
        <v>0.949696716168166</v>
      </c>
      <c r="Y1288" s="135">
        <v>0.92</v>
      </c>
      <c r="Z1288" s="135">
        <v>0.948494453248811</v>
      </c>
      <c r="AA1288" s="135">
        <v>0.943532818532819</v>
      </c>
      <c r="AB1288" s="135">
        <v>0.958360442420299</v>
      </c>
      <c r="AC1288" s="135">
        <v>0.956301078478934</v>
      </c>
      <c r="AD1288" s="135">
        <v>0.92</v>
      </c>
      <c r="AE1288" s="133">
        <v>0.997453851050286</v>
      </c>
      <c r="AF1288" s="133">
        <v>1</v>
      </c>
      <c r="AG1288" s="133">
        <v>0.998733108108108</v>
      </c>
      <c r="AH1288" s="133">
        <v>0.998587285570131</v>
      </c>
      <c r="AI1288" s="135">
        <v>0.92</v>
      </c>
      <c r="AJ1288" s="133">
        <v>0.968836950473011</v>
      </c>
      <c r="AK1288" s="133">
        <v>0.959920831271648</v>
      </c>
      <c r="AL1288" s="133">
        <v>0.974803576266594</v>
      </c>
      <c r="AM1288" s="133">
        <v>0.973005795452799</v>
      </c>
      <c r="AN1288" s="132">
        <v>0.99</v>
      </c>
      <c r="AO1288" s="137">
        <v>1</v>
      </c>
      <c r="AP1288" s="137">
        <v>1</v>
      </c>
      <c r="AQ1288" s="137">
        <v>1</v>
      </c>
      <c r="AR1288" s="137">
        <v>1</v>
      </c>
      <c r="AS1288" s="158">
        <v>0.0721861525408278</v>
      </c>
      <c r="AT1288" s="141">
        <v>0.142857142857143</v>
      </c>
      <c r="AU1288" s="141">
        <v>0</v>
      </c>
      <c r="AV1288" s="141">
        <v>0</v>
      </c>
      <c r="AW1288" s="141">
        <v>0.047244094488189</v>
      </c>
      <c r="AX1288" s="95"/>
      <c r="AY1288" s="93"/>
    </row>
    <row r="1289" ht="14.5" spans="1:51">
      <c r="A1289" s="91"/>
      <c r="B1289" s="95"/>
      <c r="C1289" s="152" t="s">
        <v>1085</v>
      </c>
      <c r="D1289" s="153" t="s">
        <v>25</v>
      </c>
      <c r="E1289" s="130" t="s">
        <v>1086</v>
      </c>
      <c r="F1289" s="195" t="s">
        <v>1319</v>
      </c>
      <c r="G1289" s="195" t="s">
        <v>1319</v>
      </c>
      <c r="H1289" s="195" t="s">
        <v>1319</v>
      </c>
      <c r="I1289" s="195" t="s">
        <v>1319</v>
      </c>
      <c r="J1289" s="132">
        <v>0.9</v>
      </c>
      <c r="K1289" s="133">
        <v>0.80952380952381</v>
      </c>
      <c r="L1289" s="133">
        <v>0.791666666666667</v>
      </c>
      <c r="M1289" s="134">
        <v>0.76</v>
      </c>
      <c r="N1289" s="133">
        <v>0.8875</v>
      </c>
      <c r="O1289" s="135">
        <v>0.9</v>
      </c>
      <c r="P1289" s="133">
        <v>0.980147058823529</v>
      </c>
      <c r="Q1289" s="133">
        <v>0.9824</v>
      </c>
      <c r="R1289" s="133">
        <v>0.966587112171838</v>
      </c>
      <c r="S1289" s="133">
        <v>0.964044099223252</v>
      </c>
      <c r="T1289" s="135">
        <v>0.9</v>
      </c>
      <c r="U1289" s="133">
        <v>0.911029411764706</v>
      </c>
      <c r="V1289" s="133">
        <v>0.92</v>
      </c>
      <c r="W1289" s="133">
        <v>0.895783611774065</v>
      </c>
      <c r="X1289" s="133">
        <v>0.905370416771068</v>
      </c>
      <c r="Y1289" s="135">
        <v>0.92</v>
      </c>
      <c r="Z1289" s="135">
        <v>0.939353099730458</v>
      </c>
      <c r="AA1289" s="135">
        <v>0.954363490792634</v>
      </c>
      <c r="AB1289" s="135">
        <v>0.958686440677966</v>
      </c>
      <c r="AC1289" s="135">
        <v>0.955931409843741</v>
      </c>
      <c r="AD1289" s="135">
        <v>0.92</v>
      </c>
      <c r="AE1289" s="133">
        <v>0.998685939553219</v>
      </c>
      <c r="AF1289" s="133">
        <v>0.993494423791822</v>
      </c>
      <c r="AG1289" s="133">
        <v>0.999074930619796</v>
      </c>
      <c r="AH1289" s="133">
        <v>0.996713750360334</v>
      </c>
      <c r="AI1289" s="135">
        <v>0.92</v>
      </c>
      <c r="AJ1289" s="133">
        <v>0.962416745956232</v>
      </c>
      <c r="AK1289" s="133">
        <v>0.97078831532613</v>
      </c>
      <c r="AL1289" s="133">
        <v>0.971830985915493</v>
      </c>
      <c r="AM1289" s="133">
        <v>0.970976703382396</v>
      </c>
      <c r="AN1289" s="132">
        <v>0.99</v>
      </c>
      <c r="AO1289" s="137">
        <v>1</v>
      </c>
      <c r="AP1289" s="137">
        <v>1</v>
      </c>
      <c r="AQ1289" s="137">
        <v>1</v>
      </c>
      <c r="AR1289" s="137">
        <v>1</v>
      </c>
      <c r="AS1289" s="158">
        <v>0.0721861525408278</v>
      </c>
      <c r="AT1289" s="141">
        <v>0</v>
      </c>
      <c r="AU1289" s="141">
        <v>0</v>
      </c>
      <c r="AV1289" s="141">
        <v>0.125</v>
      </c>
      <c r="AW1289" s="141">
        <v>0.0412371134020619</v>
      </c>
      <c r="AX1289" s="95"/>
      <c r="AY1289" s="93"/>
    </row>
    <row r="1290" ht="14.5" spans="1:51">
      <c r="A1290" s="91"/>
      <c r="B1290" s="95"/>
      <c r="C1290" s="152" t="s">
        <v>1085</v>
      </c>
      <c r="D1290" s="153" t="s">
        <v>25</v>
      </c>
      <c r="E1290" s="130" t="s">
        <v>1086</v>
      </c>
      <c r="F1290" s="195" t="s">
        <v>1320</v>
      </c>
      <c r="G1290" s="195" t="s">
        <v>1320</v>
      </c>
      <c r="H1290" s="195" t="s">
        <v>1320</v>
      </c>
      <c r="I1290" s="195" t="s">
        <v>1320</v>
      </c>
      <c r="J1290" s="132">
        <v>0.9</v>
      </c>
      <c r="K1290" s="133">
        <v>0.956521739130435</v>
      </c>
      <c r="L1290" s="133">
        <v>0.976190476190476</v>
      </c>
      <c r="M1290" s="134">
        <v>0.933333333333333</v>
      </c>
      <c r="N1290" s="133">
        <v>0.862467866323907</v>
      </c>
      <c r="O1290" s="135">
        <v>0.9</v>
      </c>
      <c r="P1290" s="133">
        <v>0.985905044510386</v>
      </c>
      <c r="Q1290" s="133">
        <v>0.99161230195713</v>
      </c>
      <c r="R1290" s="133">
        <v>0.990560799555802</v>
      </c>
      <c r="S1290" s="133">
        <v>0.985356255846208</v>
      </c>
      <c r="T1290" s="135">
        <v>0.9</v>
      </c>
      <c r="U1290" s="133">
        <v>0.85435212660732</v>
      </c>
      <c r="V1290" s="133">
        <v>0.87977632805219</v>
      </c>
      <c r="W1290" s="133">
        <v>0.914491948917268</v>
      </c>
      <c r="X1290" s="133">
        <v>0.882946811598878</v>
      </c>
      <c r="Y1290" s="135">
        <v>0.92</v>
      </c>
      <c r="Z1290" s="135" t="s">
        <v>35</v>
      </c>
      <c r="AA1290" s="135" t="s">
        <v>35</v>
      </c>
      <c r="AB1290" s="135" t="s">
        <v>35</v>
      </c>
      <c r="AC1290" s="135" t="s">
        <v>35</v>
      </c>
      <c r="AD1290" s="135">
        <v>0.92</v>
      </c>
      <c r="AE1290" s="133">
        <v>0.993421052631579</v>
      </c>
      <c r="AF1290" s="133">
        <v>1</v>
      </c>
      <c r="AG1290" s="133">
        <v>0.996774193548387</v>
      </c>
      <c r="AH1290" s="133">
        <v>0.997184540568211</v>
      </c>
      <c r="AI1290" s="135">
        <v>0.92</v>
      </c>
      <c r="AJ1290" s="133">
        <v>0.958209693372898</v>
      </c>
      <c r="AK1290" s="133">
        <v>0.96551724137931</v>
      </c>
      <c r="AL1290" s="133">
        <v>0.981676846196557</v>
      </c>
      <c r="AM1290" s="133">
        <v>0.973712221397929</v>
      </c>
      <c r="AN1290" s="132">
        <v>0.99</v>
      </c>
      <c r="AO1290" s="137">
        <v>1</v>
      </c>
      <c r="AP1290" s="137">
        <v>1</v>
      </c>
      <c r="AQ1290" s="137">
        <v>1</v>
      </c>
      <c r="AR1290" s="137">
        <v>1</v>
      </c>
      <c r="AS1290" s="158">
        <v>0.0721861525408278</v>
      </c>
      <c r="AT1290" s="141">
        <v>0</v>
      </c>
      <c r="AU1290" s="141">
        <v>0.142857142857143</v>
      </c>
      <c r="AV1290" s="141">
        <v>0</v>
      </c>
      <c r="AW1290" s="141">
        <v>0.0342857142857143</v>
      </c>
      <c r="AX1290" s="95"/>
      <c r="AY1290" s="93"/>
    </row>
    <row r="1291" ht="14.5" spans="1:51">
      <c r="A1291" s="91"/>
      <c r="B1291" s="95"/>
      <c r="C1291" s="152" t="s">
        <v>1085</v>
      </c>
      <c r="D1291" s="153" t="s">
        <v>25</v>
      </c>
      <c r="E1291" s="130" t="s">
        <v>1086</v>
      </c>
      <c r="F1291" s="195" t="s">
        <v>1321</v>
      </c>
      <c r="G1291" s="195" t="s">
        <v>1321</v>
      </c>
      <c r="H1291" s="195" t="s">
        <v>1321</v>
      </c>
      <c r="I1291" s="195" t="s">
        <v>1321</v>
      </c>
      <c r="J1291" s="132">
        <v>0.9</v>
      </c>
      <c r="K1291" s="133">
        <v>0.882352941176471</v>
      </c>
      <c r="L1291" s="133">
        <v>0.882352941176471</v>
      </c>
      <c r="M1291" s="134">
        <v>0.888888888888889</v>
      </c>
      <c r="N1291" s="133">
        <v>0.877076411960133</v>
      </c>
      <c r="O1291" s="135">
        <v>0.9</v>
      </c>
      <c r="P1291" s="133">
        <v>0.983224603914259</v>
      </c>
      <c r="Q1291" s="133">
        <v>0.950939457202505</v>
      </c>
      <c r="R1291" s="133">
        <v>0.99390243902439</v>
      </c>
      <c r="S1291" s="133">
        <v>0.966981963456906</v>
      </c>
      <c r="T1291" s="135">
        <v>0.9</v>
      </c>
      <c r="U1291" s="133">
        <v>0.952469711090401</v>
      </c>
      <c r="V1291" s="133">
        <v>0.931106471816284</v>
      </c>
      <c r="W1291" s="133">
        <v>0.934959349593496</v>
      </c>
      <c r="X1291" s="133">
        <v>0.935608953645497</v>
      </c>
      <c r="Y1291" s="135">
        <v>0.92</v>
      </c>
      <c r="Z1291" s="135">
        <v>0.949652777777778</v>
      </c>
      <c r="AA1291" s="135">
        <v>0.949786324786325</v>
      </c>
      <c r="AB1291" s="135">
        <v>0.959641255605381</v>
      </c>
      <c r="AC1291" s="135">
        <v>0.961968292471628</v>
      </c>
      <c r="AD1291" s="135">
        <v>0.92</v>
      </c>
      <c r="AE1291" s="133">
        <v>1</v>
      </c>
      <c r="AF1291" s="133">
        <v>1</v>
      </c>
      <c r="AG1291" s="133">
        <v>1</v>
      </c>
      <c r="AH1291" s="133">
        <v>0.995115143056525</v>
      </c>
      <c r="AI1291" s="135">
        <v>0.92</v>
      </c>
      <c r="AJ1291" s="133">
        <v>0.97089144936325</v>
      </c>
      <c r="AK1291" s="133">
        <v>0.967265047518479</v>
      </c>
      <c r="AL1291" s="133">
        <v>0.972776769509982</v>
      </c>
      <c r="AM1291" s="133">
        <v>0.976545543653294</v>
      </c>
      <c r="AN1291" s="132">
        <v>0.99</v>
      </c>
      <c r="AO1291" s="137">
        <v>1</v>
      </c>
      <c r="AP1291" s="137">
        <v>1</v>
      </c>
      <c r="AQ1291" s="137">
        <v>1</v>
      </c>
      <c r="AR1291" s="137">
        <v>1</v>
      </c>
      <c r="AS1291" s="158">
        <v>0.0721861525408278</v>
      </c>
      <c r="AT1291" s="141">
        <v>0</v>
      </c>
      <c r="AU1291" s="141">
        <v>0</v>
      </c>
      <c r="AV1291" s="141">
        <v>0.25</v>
      </c>
      <c r="AW1291" s="141">
        <v>0.0566037735849057</v>
      </c>
      <c r="AX1291" s="95"/>
      <c r="AY1291" s="93"/>
    </row>
    <row r="1292" ht="14.5" spans="1:51">
      <c r="A1292" s="91"/>
      <c r="B1292" s="95"/>
      <c r="C1292" s="152" t="s">
        <v>1085</v>
      </c>
      <c r="D1292" s="153" t="s">
        <v>125</v>
      </c>
      <c r="E1292" s="130" t="s">
        <v>1086</v>
      </c>
      <c r="F1292" s="195" t="s">
        <v>1322</v>
      </c>
      <c r="G1292" s="195" t="s">
        <v>1322</v>
      </c>
      <c r="H1292" s="195" t="s">
        <v>1322</v>
      </c>
      <c r="I1292" s="195" t="s">
        <v>1322</v>
      </c>
      <c r="J1292" s="132">
        <v>0.9</v>
      </c>
      <c r="K1292" s="133" t="s">
        <v>35</v>
      </c>
      <c r="L1292" s="133" t="s">
        <v>35</v>
      </c>
      <c r="M1292" s="134" t="s">
        <v>35</v>
      </c>
      <c r="N1292" s="133" t="s">
        <v>35</v>
      </c>
      <c r="O1292" s="135">
        <v>0.9</v>
      </c>
      <c r="P1292" s="133" t="s">
        <v>35</v>
      </c>
      <c r="Q1292" s="133" t="s">
        <v>35</v>
      </c>
      <c r="R1292" s="133" t="s">
        <v>35</v>
      </c>
      <c r="S1292" s="133">
        <v>0</v>
      </c>
      <c r="T1292" s="135">
        <v>0.9</v>
      </c>
      <c r="U1292" s="133" t="s">
        <v>35</v>
      </c>
      <c r="V1292" s="133" t="s">
        <v>35</v>
      </c>
      <c r="W1292" s="133" t="s">
        <v>35</v>
      </c>
      <c r="X1292" s="133">
        <v>0</v>
      </c>
      <c r="Y1292" s="135">
        <v>0.92</v>
      </c>
      <c r="Z1292" s="135" t="s">
        <v>35</v>
      </c>
      <c r="AA1292" s="135" t="s">
        <v>35</v>
      </c>
      <c r="AB1292" s="135" t="s">
        <v>35</v>
      </c>
      <c r="AC1292" s="135" t="s">
        <v>35</v>
      </c>
      <c r="AD1292" s="135">
        <v>0.92</v>
      </c>
      <c r="AE1292" s="133">
        <v>1</v>
      </c>
      <c r="AF1292" s="133">
        <v>0.997536945812808</v>
      </c>
      <c r="AG1292" s="133">
        <v>0.972383720930233</v>
      </c>
      <c r="AH1292" s="133">
        <v>0.995552954944412</v>
      </c>
      <c r="AI1292" s="135">
        <v>0.92</v>
      </c>
      <c r="AJ1292" s="133" t="s">
        <v>35</v>
      </c>
      <c r="AK1292" s="133" t="s">
        <v>35</v>
      </c>
      <c r="AL1292" s="133" t="s">
        <v>35</v>
      </c>
      <c r="AM1292" s="133">
        <v>0</v>
      </c>
      <c r="AN1292" s="132">
        <v>0.99</v>
      </c>
      <c r="AO1292" s="137">
        <v>1</v>
      </c>
      <c r="AP1292" s="137">
        <v>1</v>
      </c>
      <c r="AQ1292" s="137">
        <v>1</v>
      </c>
      <c r="AR1292" s="137">
        <v>1</v>
      </c>
      <c r="AS1292" s="158">
        <v>0.0721861525408278</v>
      </c>
      <c r="AT1292" s="141" t="s">
        <v>35</v>
      </c>
      <c r="AU1292" s="141" t="s">
        <v>35</v>
      </c>
      <c r="AV1292" s="141" t="s">
        <v>35</v>
      </c>
      <c r="AW1292" s="141" t="s">
        <v>35</v>
      </c>
      <c r="AX1292" s="95"/>
      <c r="AY1292" s="93"/>
    </row>
    <row r="1293" ht="14.5" spans="1:51">
      <c r="A1293" s="91"/>
      <c r="B1293" s="95"/>
      <c r="C1293" s="152" t="s">
        <v>1085</v>
      </c>
      <c r="D1293" s="153" t="s">
        <v>25</v>
      </c>
      <c r="E1293" s="130" t="s">
        <v>1086</v>
      </c>
      <c r="F1293" s="195" t="s">
        <v>1323</v>
      </c>
      <c r="G1293" s="195" t="s">
        <v>1323</v>
      </c>
      <c r="H1293" s="195" t="s">
        <v>1323</v>
      </c>
      <c r="I1293" s="195" t="s">
        <v>1323</v>
      </c>
      <c r="J1293" s="132">
        <v>0.9</v>
      </c>
      <c r="K1293" s="133">
        <v>0.963636363636364</v>
      </c>
      <c r="L1293" s="133">
        <v>0.901960784313726</v>
      </c>
      <c r="M1293" s="134">
        <v>0.96078431372549</v>
      </c>
      <c r="N1293" s="133">
        <v>0.938461538461538</v>
      </c>
      <c r="O1293" s="135">
        <v>0.9</v>
      </c>
      <c r="P1293" s="133">
        <v>0.98408736349454</v>
      </c>
      <c r="Q1293" s="133">
        <v>0.984735666418466</v>
      </c>
      <c r="R1293" s="133">
        <v>0.0309144158802473</v>
      </c>
      <c r="S1293" s="133">
        <v>0.921631744103654</v>
      </c>
      <c r="T1293" s="135">
        <v>0.9</v>
      </c>
      <c r="U1293" s="133">
        <v>0.953510140405616</v>
      </c>
      <c r="V1293" s="133">
        <v>0.955696202531646</v>
      </c>
      <c r="W1293" s="133">
        <v>0.782297429222258</v>
      </c>
      <c r="X1293" s="133">
        <v>0.945379086952121</v>
      </c>
      <c r="Y1293" s="135">
        <v>0.92</v>
      </c>
      <c r="Z1293" s="135">
        <v>0.952171522814733</v>
      </c>
      <c r="AA1293" s="135">
        <v>0.958651399491094</v>
      </c>
      <c r="AB1293" s="135">
        <v>0.959915611814346</v>
      </c>
      <c r="AC1293" s="135">
        <v>0.964303767935607</v>
      </c>
      <c r="AD1293" s="135">
        <v>0.92</v>
      </c>
      <c r="AE1293" s="133">
        <v>1</v>
      </c>
      <c r="AF1293" s="133">
        <v>0.990990990990991</v>
      </c>
      <c r="AG1293" s="133">
        <v>1</v>
      </c>
      <c r="AH1293" s="133">
        <v>0.995456610631531</v>
      </c>
      <c r="AI1293" s="135">
        <v>0.92</v>
      </c>
      <c r="AJ1293" s="133">
        <v>0.967754777070064</v>
      </c>
      <c r="AK1293" s="133">
        <v>0.970643494598403</v>
      </c>
      <c r="AL1293" s="133">
        <v>0.975973303670745</v>
      </c>
      <c r="AM1293" s="133">
        <v>0.978913176602146</v>
      </c>
      <c r="AN1293" s="132">
        <v>0.99</v>
      </c>
      <c r="AO1293" s="137">
        <v>1</v>
      </c>
      <c r="AP1293" s="137">
        <v>1</v>
      </c>
      <c r="AQ1293" s="137">
        <v>1</v>
      </c>
      <c r="AR1293" s="137">
        <v>1</v>
      </c>
      <c r="AS1293" s="158">
        <v>0.0721861525408278</v>
      </c>
      <c r="AT1293" s="141">
        <v>0</v>
      </c>
      <c r="AU1293" s="141">
        <v>0</v>
      </c>
      <c r="AV1293" s="141">
        <v>0</v>
      </c>
      <c r="AW1293" s="141">
        <v>0.0246305418719212</v>
      </c>
      <c r="AX1293" s="95"/>
      <c r="AY1293" s="93"/>
    </row>
    <row r="1294" ht="14.5" spans="1:51">
      <c r="A1294" s="91"/>
      <c r="B1294" s="95"/>
      <c r="C1294" s="152" t="s">
        <v>1085</v>
      </c>
      <c r="D1294" s="153" t="s">
        <v>25</v>
      </c>
      <c r="E1294" s="130" t="s">
        <v>1086</v>
      </c>
      <c r="F1294" s="195" t="s">
        <v>1324</v>
      </c>
      <c r="G1294" s="195" t="s">
        <v>1324</v>
      </c>
      <c r="H1294" s="195" t="s">
        <v>1324</v>
      </c>
      <c r="I1294" s="195" t="s">
        <v>1324</v>
      </c>
      <c r="J1294" s="132">
        <v>0.9</v>
      </c>
      <c r="K1294" s="133">
        <v>0.948275862068966</v>
      </c>
      <c r="L1294" s="133">
        <v>0.851851851851852</v>
      </c>
      <c r="M1294" s="134">
        <v>0.857142857142857</v>
      </c>
      <c r="N1294" s="133">
        <v>0.886847195357834</v>
      </c>
      <c r="O1294" s="135">
        <v>0.9</v>
      </c>
      <c r="P1294" s="133">
        <v>0.978425655976676</v>
      </c>
      <c r="Q1294" s="133">
        <v>0.988070892978868</v>
      </c>
      <c r="R1294" s="133">
        <v>0.983731019522777</v>
      </c>
      <c r="S1294" s="133">
        <v>0.985974973931178</v>
      </c>
      <c r="T1294" s="135">
        <v>0.9</v>
      </c>
      <c r="U1294" s="133">
        <v>0.933527696793003</v>
      </c>
      <c r="V1294" s="133">
        <v>0.938309475119291</v>
      </c>
      <c r="W1294" s="133">
        <v>0.941160520607375</v>
      </c>
      <c r="X1294" s="133">
        <v>0.945968022245395</v>
      </c>
      <c r="Y1294" s="135">
        <v>0.92</v>
      </c>
      <c r="Z1294" s="135">
        <v>0.949848024316109</v>
      </c>
      <c r="AA1294" s="135">
        <v>0.955448201825013</v>
      </c>
      <c r="AB1294" s="135">
        <v>0.955726092089728</v>
      </c>
      <c r="AC1294" s="135">
        <v>0.963589374509291</v>
      </c>
      <c r="AD1294" s="135">
        <v>0.92</v>
      </c>
      <c r="AE1294" s="133">
        <v>0.995435743831123</v>
      </c>
      <c r="AF1294" s="133">
        <v>0.987202487740701</v>
      </c>
      <c r="AG1294" s="133">
        <v>0.953858568075117</v>
      </c>
      <c r="AH1294" s="133">
        <v>0.955039939922949</v>
      </c>
      <c r="AI1294" s="135">
        <v>0.92</v>
      </c>
      <c r="AJ1294" s="133">
        <v>0.964292321924144</v>
      </c>
      <c r="AK1294" s="133">
        <v>0.96748645268862</v>
      </c>
      <c r="AL1294" s="133">
        <v>0.975659606094389</v>
      </c>
      <c r="AM1294" s="133">
        <v>0.978142944687805</v>
      </c>
      <c r="AN1294" s="132">
        <v>0.99</v>
      </c>
      <c r="AO1294" s="137">
        <v>1</v>
      </c>
      <c r="AP1294" s="137">
        <v>1</v>
      </c>
      <c r="AQ1294" s="137">
        <v>1</v>
      </c>
      <c r="AR1294" s="137">
        <v>1</v>
      </c>
      <c r="AS1294" s="158">
        <v>0.0721861525408278</v>
      </c>
      <c r="AT1294" s="141">
        <v>0</v>
      </c>
      <c r="AU1294" s="141">
        <v>0.0434782608695652</v>
      </c>
      <c r="AV1294" s="141">
        <v>0.032258064516129</v>
      </c>
      <c r="AW1294" s="141">
        <v>0.0152671755725191</v>
      </c>
      <c r="AX1294" s="95"/>
      <c r="AY1294" s="93"/>
    </row>
    <row r="1295" ht="14.5" spans="1:51">
      <c r="A1295" s="91"/>
      <c r="B1295" s="95"/>
      <c r="C1295" s="152" t="s">
        <v>1085</v>
      </c>
      <c r="D1295" s="153" t="s">
        <v>25</v>
      </c>
      <c r="E1295" s="130" t="s">
        <v>1086</v>
      </c>
      <c r="F1295" s="195" t="s">
        <v>1325</v>
      </c>
      <c r="G1295" s="195" t="s">
        <v>1325</v>
      </c>
      <c r="H1295" s="195" t="s">
        <v>1325</v>
      </c>
      <c r="I1295" s="195" t="s">
        <v>1325</v>
      </c>
      <c r="J1295" s="132">
        <v>0.9</v>
      </c>
      <c r="K1295" s="133">
        <v>0.903508771929825</v>
      </c>
      <c r="L1295" s="133">
        <v>0.881188118811881</v>
      </c>
      <c r="M1295" s="134">
        <v>0.889908256880734</v>
      </c>
      <c r="N1295" s="133">
        <v>0.893766937669377</v>
      </c>
      <c r="O1295" s="135">
        <v>0.9</v>
      </c>
      <c r="P1295" s="133">
        <v>0.982697674418605</v>
      </c>
      <c r="Q1295" s="133">
        <v>0.991509233708342</v>
      </c>
      <c r="R1295" s="133">
        <v>0.99076343072573</v>
      </c>
      <c r="S1295" s="133">
        <v>0.990586081414009</v>
      </c>
      <c r="T1295" s="135">
        <v>0.9</v>
      </c>
      <c r="U1295" s="133">
        <v>0.952372093023256</v>
      </c>
      <c r="V1295" s="133">
        <v>0.943748673317767</v>
      </c>
      <c r="W1295" s="133">
        <v>0.958529688972667</v>
      </c>
      <c r="X1295" s="133">
        <v>0.958264584228013</v>
      </c>
      <c r="Y1295" s="135">
        <v>0.92</v>
      </c>
      <c r="Z1295" s="135">
        <v>0.95837275307474</v>
      </c>
      <c r="AA1295" s="135">
        <v>0.953452046235551</v>
      </c>
      <c r="AB1295" s="135">
        <v>0.975863349424434</v>
      </c>
      <c r="AC1295" s="135">
        <v>0.972335382564254</v>
      </c>
      <c r="AD1295" s="135">
        <v>0.92</v>
      </c>
      <c r="AE1295" s="133">
        <v>0.999476302697041</v>
      </c>
      <c r="AF1295" s="133">
        <v>0.988728866624922</v>
      </c>
      <c r="AG1295" s="133">
        <v>0.988515901060071</v>
      </c>
      <c r="AH1295" s="133">
        <v>0.984573592360882</v>
      </c>
      <c r="AI1295" s="135">
        <v>0.92</v>
      </c>
      <c r="AJ1295" s="133">
        <v>0.974964904071128</v>
      </c>
      <c r="AK1295" s="133">
        <v>0.969551484523058</v>
      </c>
      <c r="AL1295" s="133">
        <v>0.986621655413853</v>
      </c>
      <c r="AM1295" s="133">
        <v>0.983483019927028</v>
      </c>
      <c r="AN1295" s="132">
        <v>0.99</v>
      </c>
      <c r="AO1295" s="137">
        <v>1</v>
      </c>
      <c r="AP1295" s="137">
        <v>1</v>
      </c>
      <c r="AQ1295" s="137">
        <v>1</v>
      </c>
      <c r="AR1295" s="137">
        <v>1</v>
      </c>
      <c r="AS1295" s="158">
        <v>0.0721861525408278</v>
      </c>
      <c r="AT1295" s="141">
        <v>0</v>
      </c>
      <c r="AU1295" s="141">
        <v>0.0227272727272727</v>
      </c>
      <c r="AV1295" s="141">
        <v>0.0377358490566038</v>
      </c>
      <c r="AW1295" s="141">
        <v>0.0037359900373599</v>
      </c>
      <c r="AX1295" s="95"/>
      <c r="AY1295" s="93"/>
    </row>
    <row r="1296" ht="14.5" spans="1:51">
      <c r="A1296" s="91"/>
      <c r="B1296" s="95"/>
      <c r="C1296" s="152" t="s">
        <v>1085</v>
      </c>
      <c r="D1296" s="153" t="s">
        <v>25</v>
      </c>
      <c r="E1296" s="130" t="s">
        <v>1086</v>
      </c>
      <c r="F1296" s="195" t="s">
        <v>1326</v>
      </c>
      <c r="G1296" s="195" t="s">
        <v>1326</v>
      </c>
      <c r="H1296" s="195" t="s">
        <v>1326</v>
      </c>
      <c r="I1296" s="195" t="s">
        <v>1326</v>
      </c>
      <c r="J1296" s="132">
        <v>0.9</v>
      </c>
      <c r="K1296" s="133">
        <v>0.925373134328358</v>
      </c>
      <c r="L1296" s="133">
        <v>0.926470588235294</v>
      </c>
      <c r="M1296" s="134">
        <v>0.945205479452055</v>
      </c>
      <c r="N1296" s="133">
        <v>0.949238578680203</v>
      </c>
      <c r="O1296" s="135">
        <v>0.9</v>
      </c>
      <c r="P1296" s="133">
        <v>0.967517921146953</v>
      </c>
      <c r="Q1296" s="133">
        <v>0.971211724679403</v>
      </c>
      <c r="R1296" s="133">
        <v>0.976306465899026</v>
      </c>
      <c r="S1296" s="133">
        <v>0.968583549056016</v>
      </c>
      <c r="T1296" s="135">
        <v>0.9</v>
      </c>
      <c r="U1296" s="133">
        <v>0.952060931899642</v>
      </c>
      <c r="V1296" s="133">
        <v>0.956555875425281</v>
      </c>
      <c r="W1296" s="133">
        <v>0.95881310894597</v>
      </c>
      <c r="X1296" s="133">
        <v>0.948850006098966</v>
      </c>
      <c r="Y1296" s="135">
        <v>0.92</v>
      </c>
      <c r="Z1296" s="135">
        <v>0.946766561514196</v>
      </c>
      <c r="AA1296" s="135">
        <v>0.949400798934754</v>
      </c>
      <c r="AB1296" s="135">
        <v>0.965612104539202</v>
      </c>
      <c r="AC1296" s="135">
        <v>0.952450567421577</v>
      </c>
      <c r="AD1296" s="135">
        <v>0.92</v>
      </c>
      <c r="AE1296" s="133">
        <v>0.999418942475305</v>
      </c>
      <c r="AF1296" s="133">
        <v>0.997560975609756</v>
      </c>
      <c r="AG1296" s="133">
        <v>0.997059784384188</v>
      </c>
      <c r="AH1296" s="133">
        <v>0.997204005897006</v>
      </c>
      <c r="AI1296" s="135">
        <v>0.92</v>
      </c>
      <c r="AJ1296" s="133">
        <v>0.967857142857143</v>
      </c>
      <c r="AK1296" s="133">
        <v>0.971188673032598</v>
      </c>
      <c r="AL1296" s="133">
        <v>0.98043900253845</v>
      </c>
      <c r="AM1296" s="133">
        <v>0.97396294187218</v>
      </c>
      <c r="AN1296" s="132">
        <v>0.99</v>
      </c>
      <c r="AO1296" s="137">
        <v>1</v>
      </c>
      <c r="AP1296" s="137">
        <v>1</v>
      </c>
      <c r="AQ1296" s="137">
        <v>1</v>
      </c>
      <c r="AR1296" s="137">
        <v>1</v>
      </c>
      <c r="AS1296" s="158">
        <v>0.0721861525408278</v>
      </c>
      <c r="AT1296" s="141">
        <v>0</v>
      </c>
      <c r="AU1296" s="141">
        <v>0.0555555555555556</v>
      </c>
      <c r="AV1296" s="141">
        <v>0</v>
      </c>
      <c r="AW1296" s="141">
        <v>0.0483460559796438</v>
      </c>
      <c r="AX1296" s="95"/>
      <c r="AY1296" s="93"/>
    </row>
    <row r="1297" ht="14.5" spans="1:51">
      <c r="A1297" s="91"/>
      <c r="B1297" s="95"/>
      <c r="C1297" s="152" t="s">
        <v>1085</v>
      </c>
      <c r="D1297" s="153" t="s">
        <v>25</v>
      </c>
      <c r="E1297" s="130" t="s">
        <v>1086</v>
      </c>
      <c r="F1297" s="195" t="s">
        <v>1327</v>
      </c>
      <c r="G1297" s="195" t="s">
        <v>1327</v>
      </c>
      <c r="H1297" s="195" t="s">
        <v>1327</v>
      </c>
      <c r="I1297" s="195" t="s">
        <v>1327</v>
      </c>
      <c r="J1297" s="132">
        <v>0.9</v>
      </c>
      <c r="K1297" s="133">
        <v>1</v>
      </c>
      <c r="L1297" s="133">
        <v>1</v>
      </c>
      <c r="M1297" s="134">
        <v>0.9</v>
      </c>
      <c r="N1297" s="133">
        <v>0.963178294573643</v>
      </c>
      <c r="O1297" s="135">
        <v>0.9</v>
      </c>
      <c r="P1297" s="133">
        <v>0.957654723127036</v>
      </c>
      <c r="Q1297" s="133">
        <v>0.986228813559322</v>
      </c>
      <c r="R1297" s="133">
        <v>0.984714873603763</v>
      </c>
      <c r="S1297" s="133">
        <v>0.980969721887757</v>
      </c>
      <c r="T1297" s="135">
        <v>0.9</v>
      </c>
      <c r="U1297" s="133">
        <v>0.949744067007911</v>
      </c>
      <c r="V1297" s="133">
        <v>0.943326271186441</v>
      </c>
      <c r="W1297" s="133">
        <v>0.943562610229277</v>
      </c>
      <c r="X1297" s="133">
        <v>0.950280461660451</v>
      </c>
      <c r="Y1297" s="135">
        <v>0.92</v>
      </c>
      <c r="Z1297" s="135">
        <v>0</v>
      </c>
      <c r="AA1297" s="135">
        <v>0</v>
      </c>
      <c r="AB1297" s="135" t="s">
        <v>35</v>
      </c>
      <c r="AC1297" s="135">
        <v>0</v>
      </c>
      <c r="AD1297" s="135">
        <v>0.92</v>
      </c>
      <c r="AE1297" s="133">
        <v>0.979166666666667</v>
      </c>
      <c r="AF1297" s="133">
        <v>1</v>
      </c>
      <c r="AG1297" s="133">
        <v>0.983870967741935</v>
      </c>
      <c r="AH1297" s="133">
        <v>0.991035856573705</v>
      </c>
      <c r="AI1297" s="135">
        <v>0.92</v>
      </c>
      <c r="AJ1297" s="133">
        <v>0.977209302325581</v>
      </c>
      <c r="AK1297" s="133">
        <v>0.977236633139227</v>
      </c>
      <c r="AL1297" s="133">
        <v>0.976484420928865</v>
      </c>
      <c r="AM1297" s="133">
        <v>0.984993979972396</v>
      </c>
      <c r="AN1297" s="132">
        <v>0.99</v>
      </c>
      <c r="AO1297" s="137">
        <v>1</v>
      </c>
      <c r="AP1297" s="137">
        <v>1</v>
      </c>
      <c r="AQ1297" s="137">
        <v>1</v>
      </c>
      <c r="AR1297" s="137">
        <v>1</v>
      </c>
      <c r="AS1297" s="158">
        <v>0.0721861525408278</v>
      </c>
      <c r="AT1297" s="141">
        <v>0</v>
      </c>
      <c r="AU1297" s="141">
        <v>0.333333333333333</v>
      </c>
      <c r="AV1297" s="141">
        <v>0</v>
      </c>
      <c r="AW1297" s="141">
        <v>0.0476190476190476</v>
      </c>
      <c r="AX1297" s="95"/>
      <c r="AY1297" s="93"/>
    </row>
    <row r="1298" ht="14.5" spans="1:51">
      <c r="A1298" s="91"/>
      <c r="B1298" s="95"/>
      <c r="C1298" s="152" t="s">
        <v>1085</v>
      </c>
      <c r="D1298" s="153" t="s">
        <v>25</v>
      </c>
      <c r="E1298" s="130" t="s">
        <v>1086</v>
      </c>
      <c r="F1298" s="195" t="s">
        <v>1328</v>
      </c>
      <c r="G1298" s="195" t="s">
        <v>1328</v>
      </c>
      <c r="H1298" s="195" t="s">
        <v>1328</v>
      </c>
      <c r="I1298" s="195" t="s">
        <v>1328</v>
      </c>
      <c r="J1298" s="132">
        <v>0.9</v>
      </c>
      <c r="K1298" s="133">
        <v>0.923076923076923</v>
      </c>
      <c r="L1298" s="133">
        <v>1</v>
      </c>
      <c r="M1298" s="134">
        <v>0.956521739130435</v>
      </c>
      <c r="N1298" s="133">
        <v>0.976851851851852</v>
      </c>
      <c r="O1298" s="135">
        <v>0.9</v>
      </c>
      <c r="P1298" s="133">
        <v>0.987451737451737</v>
      </c>
      <c r="Q1298" s="133">
        <v>0.991379310344828</v>
      </c>
      <c r="R1298" s="133">
        <v>0.993011879804333</v>
      </c>
      <c r="S1298" s="133">
        <v>0.989023892178885</v>
      </c>
      <c r="T1298" s="135">
        <v>0.9</v>
      </c>
      <c r="U1298" s="133">
        <v>0.937258687258687</v>
      </c>
      <c r="V1298" s="133">
        <v>0.899784482758621</v>
      </c>
      <c r="W1298" s="133">
        <v>0.940600978336827</v>
      </c>
      <c r="X1298" s="133">
        <v>0.940218501123137</v>
      </c>
      <c r="Y1298" s="135">
        <v>0.92</v>
      </c>
      <c r="Z1298" s="135">
        <v>0.91875</v>
      </c>
      <c r="AA1298" s="135">
        <v>0.792452830188679</v>
      </c>
      <c r="AB1298" s="135">
        <v>0.949392712550607</v>
      </c>
      <c r="AC1298" s="135">
        <v>0.93889880543732</v>
      </c>
      <c r="AD1298" s="135">
        <v>0.92</v>
      </c>
      <c r="AE1298" s="133">
        <v>1</v>
      </c>
      <c r="AF1298" s="133">
        <v>1</v>
      </c>
      <c r="AG1298" s="133">
        <v>1</v>
      </c>
      <c r="AH1298" s="133">
        <v>0.998054853141412</v>
      </c>
      <c r="AI1298" s="135">
        <v>0.92</v>
      </c>
      <c r="AJ1298" s="133">
        <v>0.950477326968974</v>
      </c>
      <c r="AK1298" s="133">
        <v>0.887517146776406</v>
      </c>
      <c r="AL1298" s="133">
        <v>0.972987012987013</v>
      </c>
      <c r="AM1298" s="133">
        <v>0.969781548881694</v>
      </c>
      <c r="AN1298" s="132">
        <v>0.99</v>
      </c>
      <c r="AO1298" s="137">
        <v>1</v>
      </c>
      <c r="AP1298" s="137">
        <v>1</v>
      </c>
      <c r="AQ1298" s="137">
        <v>1</v>
      </c>
      <c r="AR1298" s="137">
        <v>1</v>
      </c>
      <c r="AS1298" s="158">
        <v>0.0721861525408278</v>
      </c>
      <c r="AT1298" s="141">
        <v>0.111111111111111</v>
      </c>
      <c r="AU1298" s="141">
        <v>0</v>
      </c>
      <c r="AV1298" s="141">
        <v>0</v>
      </c>
      <c r="AW1298" s="141">
        <v>0.0649350649350649</v>
      </c>
      <c r="AX1298" s="95"/>
      <c r="AY1298" s="93"/>
    </row>
    <row r="1299" ht="14.5" spans="1:51">
      <c r="A1299" s="91"/>
      <c r="B1299" s="95"/>
      <c r="C1299" s="152" t="s">
        <v>1085</v>
      </c>
      <c r="D1299" s="153" t="s">
        <v>25</v>
      </c>
      <c r="E1299" s="130" t="s">
        <v>1086</v>
      </c>
      <c r="F1299" s="195" t="s">
        <v>1329</v>
      </c>
      <c r="G1299" s="195" t="s">
        <v>1329</v>
      </c>
      <c r="H1299" s="195" t="s">
        <v>1329</v>
      </c>
      <c r="I1299" s="195" t="s">
        <v>1329</v>
      </c>
      <c r="J1299" s="132">
        <v>0.9</v>
      </c>
      <c r="K1299" s="133">
        <v>0.941176470588235</v>
      </c>
      <c r="L1299" s="133">
        <v>0.941176470588235</v>
      </c>
      <c r="M1299" s="134">
        <v>0.909090909090909</v>
      </c>
      <c r="N1299" s="133">
        <v>0.947852760736196</v>
      </c>
      <c r="O1299" s="135">
        <v>0.9</v>
      </c>
      <c r="P1299" s="133">
        <v>0.989411764705882</v>
      </c>
      <c r="Q1299" s="133">
        <v>0.987012987012987</v>
      </c>
      <c r="R1299" s="133">
        <v>0.991551459293395</v>
      </c>
      <c r="S1299" s="133">
        <v>0.987391694054377</v>
      </c>
      <c r="T1299" s="135">
        <v>0.9</v>
      </c>
      <c r="U1299" s="133">
        <v>0.88</v>
      </c>
      <c r="V1299" s="133">
        <v>0.951948051948052</v>
      </c>
      <c r="W1299" s="133">
        <v>0.963901689708141</v>
      </c>
      <c r="X1299" s="133">
        <v>0.935464595159845</v>
      </c>
      <c r="Y1299" s="135">
        <v>0.92</v>
      </c>
      <c r="Z1299" s="135">
        <v>0.909255898366606</v>
      </c>
      <c r="AA1299" s="135">
        <v>0.888402625820569</v>
      </c>
      <c r="AB1299" s="135">
        <v>0.946341463414634</v>
      </c>
      <c r="AC1299" s="135">
        <v>0.928208720014008</v>
      </c>
      <c r="AD1299" s="135">
        <v>0.92</v>
      </c>
      <c r="AE1299" s="133">
        <v>1</v>
      </c>
      <c r="AF1299" s="133">
        <v>0.972972972972973</v>
      </c>
      <c r="AG1299" s="133">
        <v>0.948717948717949</v>
      </c>
      <c r="AH1299" s="133">
        <v>0.985585585585586</v>
      </c>
      <c r="AI1299" s="135">
        <v>0.92</v>
      </c>
      <c r="AJ1299" s="133">
        <v>0.939329050678087</v>
      </c>
      <c r="AK1299" s="133">
        <v>0.948655256723716</v>
      </c>
      <c r="AL1299" s="133">
        <v>0.979556074766355</v>
      </c>
      <c r="AM1299" s="133">
        <v>0.968859981289259</v>
      </c>
      <c r="AN1299" s="132">
        <v>0.99</v>
      </c>
      <c r="AO1299" s="137">
        <v>1</v>
      </c>
      <c r="AP1299" s="137">
        <v>1</v>
      </c>
      <c r="AQ1299" s="137">
        <v>1</v>
      </c>
      <c r="AR1299" s="137">
        <v>1</v>
      </c>
      <c r="AS1299" s="158">
        <v>0.0721861525408278</v>
      </c>
      <c r="AT1299" s="141">
        <v>0.142857142857143</v>
      </c>
      <c r="AU1299" s="141">
        <v>0</v>
      </c>
      <c r="AV1299" s="141">
        <v>0</v>
      </c>
      <c r="AW1299" s="141">
        <v>0.0476190476190476</v>
      </c>
      <c r="AX1299" s="95"/>
      <c r="AY1299" s="93"/>
    </row>
    <row r="1300" ht="14.5" spans="1:51">
      <c r="A1300" s="91"/>
      <c r="B1300" s="95"/>
      <c r="C1300" s="152" t="s">
        <v>1085</v>
      </c>
      <c r="D1300" s="153" t="s">
        <v>25</v>
      </c>
      <c r="E1300" s="130" t="s">
        <v>1086</v>
      </c>
      <c r="F1300" s="195" t="s">
        <v>1330</v>
      </c>
      <c r="G1300" s="195" t="s">
        <v>1330</v>
      </c>
      <c r="H1300" s="195" t="s">
        <v>1330</v>
      </c>
      <c r="I1300" s="195" t="s">
        <v>1330</v>
      </c>
      <c r="J1300" s="132">
        <v>0.9</v>
      </c>
      <c r="K1300" s="133">
        <v>0.927272727272727</v>
      </c>
      <c r="L1300" s="133">
        <v>0.9</v>
      </c>
      <c r="M1300" s="134">
        <v>0.962962962962963</v>
      </c>
      <c r="N1300" s="133">
        <v>0.92502756339581</v>
      </c>
      <c r="O1300" s="135">
        <v>0.9</v>
      </c>
      <c r="P1300" s="133">
        <v>0.979953515398024</v>
      </c>
      <c r="Q1300" s="133">
        <v>0.979720744680851</v>
      </c>
      <c r="R1300" s="133">
        <v>0.990156340474812</v>
      </c>
      <c r="S1300" s="133">
        <v>0.979599727505385</v>
      </c>
      <c r="T1300" s="135">
        <v>0.9</v>
      </c>
      <c r="U1300" s="133">
        <v>0.957001743172574</v>
      </c>
      <c r="V1300" s="133">
        <v>0.954122340425532</v>
      </c>
      <c r="W1300" s="133">
        <v>0.946728430804864</v>
      </c>
      <c r="X1300" s="133">
        <v>0.944506839983061</v>
      </c>
      <c r="Y1300" s="135">
        <v>0.92</v>
      </c>
      <c r="Z1300" s="135">
        <v>0.968556701030928</v>
      </c>
      <c r="AA1300" s="135">
        <v>0.968954248366013</v>
      </c>
      <c r="AB1300" s="135">
        <v>0.964677222898904</v>
      </c>
      <c r="AC1300" s="135">
        <v>0.964715795386722</v>
      </c>
      <c r="AD1300" s="135">
        <v>0.92</v>
      </c>
      <c r="AE1300" s="133">
        <v>0.995053586150041</v>
      </c>
      <c r="AF1300" s="133">
        <v>0.983050847457627</v>
      </c>
      <c r="AG1300" s="133">
        <v>0.984918032786885</v>
      </c>
      <c r="AH1300" s="133">
        <v>0.989193217812558</v>
      </c>
      <c r="AI1300" s="135">
        <v>0.92</v>
      </c>
      <c r="AJ1300" s="133">
        <v>0.979933110367893</v>
      </c>
      <c r="AK1300" s="133">
        <v>0.978117258464079</v>
      </c>
      <c r="AL1300" s="133">
        <v>0.979591836734694</v>
      </c>
      <c r="AM1300" s="133">
        <v>0.980133809960871</v>
      </c>
      <c r="AN1300" s="132">
        <v>0.99</v>
      </c>
      <c r="AO1300" s="137">
        <v>1</v>
      </c>
      <c r="AP1300" s="137">
        <v>1</v>
      </c>
      <c r="AQ1300" s="137">
        <v>1</v>
      </c>
      <c r="AR1300" s="137">
        <v>1</v>
      </c>
      <c r="AS1300" s="158">
        <v>0.0721861525408278</v>
      </c>
      <c r="AT1300" s="141">
        <v>0.0769230769230769</v>
      </c>
      <c r="AU1300" s="141">
        <v>0</v>
      </c>
      <c r="AV1300" s="141">
        <v>0</v>
      </c>
      <c r="AW1300" s="141">
        <v>0.0523255813953488</v>
      </c>
      <c r="AX1300" s="95"/>
      <c r="AY1300" s="93"/>
    </row>
    <row r="1301" ht="14.5" spans="1:51">
      <c r="A1301" s="91"/>
      <c r="B1301" s="95"/>
      <c r="C1301" s="152" t="s">
        <v>1085</v>
      </c>
      <c r="D1301" s="153" t="s">
        <v>25</v>
      </c>
      <c r="E1301" s="130" t="s">
        <v>1086</v>
      </c>
      <c r="F1301" s="195" t="s">
        <v>1331</v>
      </c>
      <c r="G1301" s="195" t="s">
        <v>1331</v>
      </c>
      <c r="H1301" s="195" t="s">
        <v>1331</v>
      </c>
      <c r="I1301" s="195" t="s">
        <v>1331</v>
      </c>
      <c r="J1301" s="132">
        <v>0.9</v>
      </c>
      <c r="K1301" s="133">
        <v>0.871794871794872</v>
      </c>
      <c r="L1301" s="133">
        <v>0.885714285714286</v>
      </c>
      <c r="M1301" s="134">
        <v>0.944444444444444</v>
      </c>
      <c r="N1301" s="133">
        <v>0.92368839427663</v>
      </c>
      <c r="O1301" s="135">
        <v>0.9</v>
      </c>
      <c r="P1301" s="133">
        <v>0.990958408679928</v>
      </c>
      <c r="Q1301" s="133">
        <v>0.995715050883771</v>
      </c>
      <c r="R1301" s="133">
        <v>0.0087719298245614</v>
      </c>
      <c r="S1301" s="133">
        <v>0.929107470210816</v>
      </c>
      <c r="T1301" s="135">
        <v>0.9</v>
      </c>
      <c r="U1301" s="133">
        <v>0.962025316455696</v>
      </c>
      <c r="V1301" s="133">
        <v>0.966256025709695</v>
      </c>
      <c r="W1301" s="133">
        <v>0.945060018467221</v>
      </c>
      <c r="X1301" s="133">
        <v>0.970038955087076</v>
      </c>
      <c r="Y1301" s="135">
        <v>0.92</v>
      </c>
      <c r="Z1301" s="135">
        <v>0.951147298297557</v>
      </c>
      <c r="AA1301" s="135">
        <v>0.967116357504216</v>
      </c>
      <c r="AB1301" s="135">
        <v>0.965549348230912</v>
      </c>
      <c r="AC1301" s="135">
        <v>0.964489640545979</v>
      </c>
      <c r="AD1301" s="135">
        <v>0.92</v>
      </c>
      <c r="AE1301" s="133">
        <v>1</v>
      </c>
      <c r="AF1301" s="133">
        <v>0.996563573883162</v>
      </c>
      <c r="AG1301" s="133">
        <v>0.996644295302013</v>
      </c>
      <c r="AH1301" s="133">
        <v>0.996684519255292</v>
      </c>
      <c r="AI1301" s="135">
        <v>0.92</v>
      </c>
      <c r="AJ1301" s="133">
        <v>0.97193376368229</v>
      </c>
      <c r="AK1301" s="133">
        <v>0.981984932852932</v>
      </c>
      <c r="AL1301" s="133">
        <v>0.983641975308642</v>
      </c>
      <c r="AM1301" s="133">
        <v>0.983396806933944</v>
      </c>
      <c r="AN1301" s="132">
        <v>0.99</v>
      </c>
      <c r="AO1301" s="137">
        <v>1</v>
      </c>
      <c r="AP1301" s="137">
        <v>1</v>
      </c>
      <c r="AQ1301" s="137">
        <v>1</v>
      </c>
      <c r="AR1301" s="137">
        <v>1</v>
      </c>
      <c r="AS1301" s="158">
        <v>0.0721861525408278</v>
      </c>
      <c r="AT1301" s="141">
        <v>0</v>
      </c>
      <c r="AU1301" s="141">
        <v>0.0666666666666667</v>
      </c>
      <c r="AV1301" s="141">
        <v>0</v>
      </c>
      <c r="AW1301" s="141">
        <v>0.0188679245283019</v>
      </c>
      <c r="AX1301" s="95"/>
      <c r="AY1301" s="93"/>
    </row>
    <row r="1302" ht="14.5" spans="1:51">
      <c r="A1302" s="91"/>
      <c r="B1302" s="95"/>
      <c r="C1302" s="152" t="s">
        <v>1085</v>
      </c>
      <c r="D1302" s="153" t="s">
        <v>25</v>
      </c>
      <c r="E1302" s="130" t="s">
        <v>1086</v>
      </c>
      <c r="F1302" s="195" t="s">
        <v>1332</v>
      </c>
      <c r="G1302" s="195" t="s">
        <v>1332</v>
      </c>
      <c r="H1302" s="195" t="s">
        <v>1332</v>
      </c>
      <c r="I1302" s="195" t="s">
        <v>1332</v>
      </c>
      <c r="J1302" s="132">
        <v>0.9</v>
      </c>
      <c r="K1302" s="133">
        <v>0.980392156862745</v>
      </c>
      <c r="L1302" s="133">
        <v>1</v>
      </c>
      <c r="M1302" s="134">
        <v>1</v>
      </c>
      <c r="N1302" s="133">
        <v>0.976510067114094</v>
      </c>
      <c r="O1302" s="135">
        <v>0.9</v>
      </c>
      <c r="P1302" s="133">
        <v>0.988479783148859</v>
      </c>
      <c r="Q1302" s="133">
        <v>0.984642497482377</v>
      </c>
      <c r="R1302" s="133">
        <v>0.980784627702162</v>
      </c>
      <c r="S1302" s="133">
        <v>0.986383486586921</v>
      </c>
      <c r="T1302" s="135">
        <v>0.9</v>
      </c>
      <c r="U1302" s="133">
        <v>0.850688954145019</v>
      </c>
      <c r="V1302" s="133">
        <v>0.869335347432024</v>
      </c>
      <c r="W1302" s="133">
        <v>0.862289831865492</v>
      </c>
      <c r="X1302" s="133">
        <v>0.873328450918165</v>
      </c>
      <c r="Y1302" s="135">
        <v>0.92</v>
      </c>
      <c r="Z1302" s="135">
        <v>0</v>
      </c>
      <c r="AA1302" s="135" t="s">
        <v>35</v>
      </c>
      <c r="AB1302" s="135" t="s">
        <v>35</v>
      </c>
      <c r="AC1302" s="135">
        <v>0</v>
      </c>
      <c r="AD1302" s="135">
        <v>0.92</v>
      </c>
      <c r="AE1302" s="133">
        <v>1</v>
      </c>
      <c r="AF1302" s="133">
        <v>1</v>
      </c>
      <c r="AG1302" s="133">
        <v>0.996402877697842</v>
      </c>
      <c r="AH1302" s="133">
        <v>0.99537750385208</v>
      </c>
      <c r="AI1302" s="135">
        <v>0.92</v>
      </c>
      <c r="AJ1302" s="133">
        <v>0.956423571912396</v>
      </c>
      <c r="AK1302" s="133">
        <v>0.950654582074522</v>
      </c>
      <c r="AL1302" s="133">
        <v>0.957032292500667</v>
      </c>
      <c r="AM1302" s="133">
        <v>0.966149506346968</v>
      </c>
      <c r="AN1302" s="132">
        <v>0.99</v>
      </c>
      <c r="AO1302" s="137">
        <v>1</v>
      </c>
      <c r="AP1302" s="137">
        <v>1</v>
      </c>
      <c r="AQ1302" s="137">
        <v>1</v>
      </c>
      <c r="AR1302" s="137">
        <v>1</v>
      </c>
      <c r="AS1302" s="158">
        <v>0.0721861525408278</v>
      </c>
      <c r="AT1302" s="141">
        <v>0.153846153846154</v>
      </c>
      <c r="AU1302" s="141">
        <v>0</v>
      </c>
      <c r="AV1302" s="141">
        <v>0</v>
      </c>
      <c r="AW1302" s="141">
        <v>0.0218579234972678</v>
      </c>
      <c r="AX1302" s="95"/>
      <c r="AY1302" s="93"/>
    </row>
    <row r="1303" ht="14.5" spans="1:51">
      <c r="A1303" s="91"/>
      <c r="B1303" s="95"/>
      <c r="C1303" s="152" t="s">
        <v>1085</v>
      </c>
      <c r="D1303" s="153" t="s">
        <v>125</v>
      </c>
      <c r="E1303" s="130" t="s">
        <v>1086</v>
      </c>
      <c r="F1303" s="195" t="s">
        <v>1333</v>
      </c>
      <c r="G1303" s="195" t="s">
        <v>1333</v>
      </c>
      <c r="H1303" s="195" t="s">
        <v>1333</v>
      </c>
      <c r="I1303" s="195" t="s">
        <v>1333</v>
      </c>
      <c r="J1303" s="132">
        <v>0.9</v>
      </c>
      <c r="K1303" s="133" t="s">
        <v>35</v>
      </c>
      <c r="L1303" s="133" t="s">
        <v>35</v>
      </c>
      <c r="M1303" s="134" t="s">
        <v>35</v>
      </c>
      <c r="N1303" s="133" t="s">
        <v>35</v>
      </c>
      <c r="O1303" s="135">
        <v>0.9</v>
      </c>
      <c r="P1303" s="133" t="s">
        <v>35</v>
      </c>
      <c r="Q1303" s="133" t="s">
        <v>35</v>
      </c>
      <c r="R1303" s="133" t="s">
        <v>35</v>
      </c>
      <c r="S1303" s="133" t="s">
        <v>35</v>
      </c>
      <c r="T1303" s="135">
        <v>0.9</v>
      </c>
      <c r="U1303" s="133" t="s">
        <v>35</v>
      </c>
      <c r="V1303" s="133" t="s">
        <v>35</v>
      </c>
      <c r="W1303" s="133" t="s">
        <v>35</v>
      </c>
      <c r="X1303" s="133" t="s">
        <v>35</v>
      </c>
      <c r="Y1303" s="135">
        <v>0.92</v>
      </c>
      <c r="Z1303" s="135" t="s">
        <v>35</v>
      </c>
      <c r="AA1303" s="135" t="s">
        <v>35</v>
      </c>
      <c r="AB1303" s="135" t="s">
        <v>35</v>
      </c>
      <c r="AC1303" s="135" t="s">
        <v>35</v>
      </c>
      <c r="AD1303" s="135">
        <v>0.92</v>
      </c>
      <c r="AE1303" s="133">
        <v>1</v>
      </c>
      <c r="AF1303" s="133">
        <v>0.972972972972973</v>
      </c>
      <c r="AG1303" s="133">
        <v>1</v>
      </c>
      <c r="AH1303" s="133">
        <v>0.993085184640283</v>
      </c>
      <c r="AI1303" s="135">
        <v>0.92</v>
      </c>
      <c r="AJ1303" s="133" t="s">
        <v>35</v>
      </c>
      <c r="AK1303" s="133" t="s">
        <v>35</v>
      </c>
      <c r="AL1303" s="133" t="s">
        <v>35</v>
      </c>
      <c r="AM1303" s="133" t="s">
        <v>35</v>
      </c>
      <c r="AN1303" s="132">
        <v>0.99</v>
      </c>
      <c r="AO1303" s="137">
        <v>1</v>
      </c>
      <c r="AP1303" s="137">
        <v>1</v>
      </c>
      <c r="AQ1303" s="137">
        <v>1</v>
      </c>
      <c r="AR1303" s="137">
        <v>1</v>
      </c>
      <c r="AS1303" s="158">
        <v>0.0721861525408278</v>
      </c>
      <c r="AT1303" s="141" t="s">
        <v>35</v>
      </c>
      <c r="AU1303" s="141" t="s">
        <v>35</v>
      </c>
      <c r="AV1303" s="141" t="s">
        <v>35</v>
      </c>
      <c r="AW1303" s="141" t="s">
        <v>35</v>
      </c>
      <c r="AX1303" s="95"/>
      <c r="AY1303" s="93"/>
    </row>
    <row r="1304" ht="14.5" spans="1:51">
      <c r="A1304" s="91"/>
      <c r="B1304" s="95"/>
      <c r="C1304" s="152" t="s">
        <v>1085</v>
      </c>
      <c r="D1304" s="153" t="s">
        <v>25</v>
      </c>
      <c r="E1304" s="130" t="s">
        <v>1086</v>
      </c>
      <c r="F1304" s="195" t="s">
        <v>1334</v>
      </c>
      <c r="G1304" s="195" t="s">
        <v>1334</v>
      </c>
      <c r="H1304" s="195" t="s">
        <v>1334</v>
      </c>
      <c r="I1304" s="195" t="s">
        <v>1334</v>
      </c>
      <c r="J1304" s="132">
        <v>0.9</v>
      </c>
      <c r="K1304" s="133">
        <v>1</v>
      </c>
      <c r="L1304" s="133">
        <v>0.956521739130435</v>
      </c>
      <c r="M1304" s="134">
        <v>0.961538461538462</v>
      </c>
      <c r="N1304" s="133">
        <v>0.962616822429907</v>
      </c>
      <c r="O1304" s="135">
        <v>0.9</v>
      </c>
      <c r="P1304" s="133">
        <v>0.993036211699164</v>
      </c>
      <c r="Q1304" s="133">
        <v>0.996715927750411</v>
      </c>
      <c r="R1304" s="133">
        <v>0.00790797987059669</v>
      </c>
      <c r="S1304" s="133">
        <v>0.933133602535713</v>
      </c>
      <c r="T1304" s="135">
        <v>0.9</v>
      </c>
      <c r="U1304" s="133">
        <v>0.972144846796657</v>
      </c>
      <c r="V1304" s="133">
        <v>0.954022988505747</v>
      </c>
      <c r="W1304" s="133">
        <v>0.859094176851186</v>
      </c>
      <c r="X1304" s="133">
        <v>0.960401198384786</v>
      </c>
      <c r="Y1304" s="135">
        <v>0.92</v>
      </c>
      <c r="Z1304" s="135">
        <v>0.952439024390244</v>
      </c>
      <c r="AA1304" s="135">
        <v>0.967559943582511</v>
      </c>
      <c r="AB1304" s="135">
        <v>0.960753532182104</v>
      </c>
      <c r="AC1304" s="135">
        <v>0.965462451915036</v>
      </c>
      <c r="AD1304" s="135">
        <v>0.92</v>
      </c>
      <c r="AE1304" s="133">
        <v>1</v>
      </c>
      <c r="AF1304" s="133">
        <v>0.959459459459459</v>
      </c>
      <c r="AG1304" s="133">
        <v>0.969788519637462</v>
      </c>
      <c r="AH1304" s="133">
        <v>0.988101676581936</v>
      </c>
      <c r="AI1304" s="135">
        <v>0.92</v>
      </c>
      <c r="AJ1304" s="133">
        <v>0.974734042553192</v>
      </c>
      <c r="AK1304" s="133">
        <v>0.979761286974572</v>
      </c>
      <c r="AL1304" s="133">
        <v>0.976835879743716</v>
      </c>
      <c r="AM1304" s="133">
        <v>0.981367169638775</v>
      </c>
      <c r="AN1304" s="132">
        <v>0.99</v>
      </c>
      <c r="AO1304" s="137">
        <v>1</v>
      </c>
      <c r="AP1304" s="137">
        <v>1</v>
      </c>
      <c r="AQ1304" s="137">
        <v>1</v>
      </c>
      <c r="AR1304" s="137">
        <v>1</v>
      </c>
      <c r="AS1304" s="158">
        <v>0.0721861525408278</v>
      </c>
      <c r="AT1304" s="141">
        <v>0</v>
      </c>
      <c r="AU1304" s="141">
        <v>0</v>
      </c>
      <c r="AV1304" s="141">
        <v>0</v>
      </c>
      <c r="AW1304" s="141">
        <v>0.140625</v>
      </c>
      <c r="AX1304" s="95"/>
      <c r="AY1304" s="93"/>
    </row>
    <row r="1305" ht="14.5" spans="1:51">
      <c r="A1305" s="91"/>
      <c r="B1305" s="95"/>
      <c r="C1305" s="152" t="s">
        <v>1085</v>
      </c>
      <c r="D1305" s="153" t="s">
        <v>25</v>
      </c>
      <c r="E1305" s="130" t="s">
        <v>1086</v>
      </c>
      <c r="F1305" s="195" t="s">
        <v>1335</v>
      </c>
      <c r="G1305" s="195" t="s">
        <v>1335</v>
      </c>
      <c r="H1305" s="195" t="s">
        <v>1335</v>
      </c>
      <c r="I1305" s="195" t="s">
        <v>1335</v>
      </c>
      <c r="J1305" s="132">
        <v>0.9</v>
      </c>
      <c r="K1305" s="133">
        <v>0.839285714285714</v>
      </c>
      <c r="L1305" s="133">
        <v>0.883333333333333</v>
      </c>
      <c r="M1305" s="134">
        <v>0.88135593220339</v>
      </c>
      <c r="N1305" s="133">
        <v>0.910944206008584</v>
      </c>
      <c r="O1305" s="135">
        <v>0.9</v>
      </c>
      <c r="P1305" s="133">
        <v>0.978876046233559</v>
      </c>
      <c r="Q1305" s="133">
        <v>0.987325728770596</v>
      </c>
      <c r="R1305" s="133">
        <v>0.985881841876629</v>
      </c>
      <c r="S1305" s="133">
        <v>0.977956050018389</v>
      </c>
      <c r="T1305" s="135">
        <v>0.9</v>
      </c>
      <c r="U1305" s="133">
        <v>0.918891988840175</v>
      </c>
      <c r="V1305" s="133">
        <v>0.938529784537389</v>
      </c>
      <c r="W1305" s="133">
        <v>0.938097306689835</v>
      </c>
      <c r="X1305" s="133">
        <v>0.906767193821258</v>
      </c>
      <c r="Y1305" s="135">
        <v>0.92</v>
      </c>
      <c r="Z1305" s="135" t="s">
        <v>35</v>
      </c>
      <c r="AA1305" s="135" t="s">
        <v>35</v>
      </c>
      <c r="AB1305" s="135" t="s">
        <v>35</v>
      </c>
      <c r="AC1305" s="135" t="s">
        <v>35</v>
      </c>
      <c r="AD1305" s="135">
        <v>0.92</v>
      </c>
      <c r="AE1305" s="133">
        <v>1</v>
      </c>
      <c r="AF1305" s="133">
        <v>0.994134897360704</v>
      </c>
      <c r="AG1305" s="133">
        <v>0.995294117647059</v>
      </c>
      <c r="AH1305" s="133">
        <v>0.994114077669903</v>
      </c>
      <c r="AI1305" s="135">
        <v>0.92</v>
      </c>
      <c r="AJ1305" s="133">
        <v>0.960940613790355</v>
      </c>
      <c r="AK1305" s="133">
        <v>0.971694127587664</v>
      </c>
      <c r="AL1305" s="133">
        <v>0.986967854039965</v>
      </c>
      <c r="AM1305" s="133">
        <v>0.983070522250827</v>
      </c>
      <c r="AN1305" s="132">
        <v>0.99</v>
      </c>
      <c r="AO1305" s="137">
        <v>1</v>
      </c>
      <c r="AP1305" s="137">
        <v>1</v>
      </c>
      <c r="AQ1305" s="137">
        <v>1</v>
      </c>
      <c r="AR1305" s="137">
        <v>1</v>
      </c>
      <c r="AS1305" s="158">
        <v>0.0721861525408278</v>
      </c>
      <c r="AT1305" s="141">
        <v>0</v>
      </c>
      <c r="AU1305" s="141">
        <v>0.0384615384615385</v>
      </c>
      <c r="AV1305" s="141">
        <v>0.0476190476190476</v>
      </c>
      <c r="AW1305" s="141">
        <v>0.0490463215258856</v>
      </c>
      <c r="AX1305" s="95"/>
      <c r="AY1305" s="93"/>
    </row>
    <row r="1306" ht="14.5" spans="1:51">
      <c r="A1306" s="91"/>
      <c r="B1306" s="95"/>
      <c r="C1306" s="152" t="s">
        <v>1085</v>
      </c>
      <c r="D1306" s="153" t="s">
        <v>25</v>
      </c>
      <c r="E1306" s="130" t="s">
        <v>1086</v>
      </c>
      <c r="F1306" s="195" t="s">
        <v>1336</v>
      </c>
      <c r="G1306" s="195" t="s">
        <v>1336</v>
      </c>
      <c r="H1306" s="195" t="s">
        <v>1336</v>
      </c>
      <c r="I1306" s="195" t="s">
        <v>1336</v>
      </c>
      <c r="J1306" s="132">
        <v>0.9</v>
      </c>
      <c r="K1306" s="133">
        <v>0.897959183673469</v>
      </c>
      <c r="L1306" s="133">
        <v>0.854166666666667</v>
      </c>
      <c r="M1306" s="134">
        <v>0.888888888888889</v>
      </c>
      <c r="N1306" s="133">
        <v>0.910371318822023</v>
      </c>
      <c r="O1306" s="135">
        <v>0.9</v>
      </c>
      <c r="P1306" s="133">
        <v>0.989739323349972</v>
      </c>
      <c r="Q1306" s="133">
        <v>0.988567799301366</v>
      </c>
      <c r="R1306" s="133">
        <v>0.989670755326017</v>
      </c>
      <c r="S1306" s="133">
        <v>0.989639267520308</v>
      </c>
      <c r="T1306" s="135">
        <v>0.9</v>
      </c>
      <c r="U1306" s="133">
        <v>0.916250693288963</v>
      </c>
      <c r="V1306" s="133">
        <v>0.923150206414735</v>
      </c>
      <c r="W1306" s="133">
        <v>0.922530664945126</v>
      </c>
      <c r="X1306" s="133">
        <v>0.940813024920832</v>
      </c>
      <c r="Y1306" s="135">
        <v>0.92</v>
      </c>
      <c r="Z1306" s="135" t="s">
        <v>35</v>
      </c>
      <c r="AA1306" s="135" t="s">
        <v>35</v>
      </c>
      <c r="AB1306" s="135" t="s">
        <v>35</v>
      </c>
      <c r="AC1306" s="135" t="s">
        <v>35</v>
      </c>
      <c r="AD1306" s="135">
        <v>0.92</v>
      </c>
      <c r="AE1306" s="133">
        <v>1</v>
      </c>
      <c r="AF1306" s="133">
        <v>1</v>
      </c>
      <c r="AG1306" s="133">
        <v>0.99203187250996</v>
      </c>
      <c r="AH1306" s="133">
        <v>0.993744135126681</v>
      </c>
      <c r="AI1306" s="135">
        <v>0.92</v>
      </c>
      <c r="AJ1306" s="133">
        <v>0.946200776483638</v>
      </c>
      <c r="AK1306" s="133">
        <v>0.96125754207685</v>
      </c>
      <c r="AL1306" s="133">
        <v>0.956746287927695</v>
      </c>
      <c r="AM1306" s="133">
        <v>0.974373537105879</v>
      </c>
      <c r="AN1306" s="132">
        <v>0.99</v>
      </c>
      <c r="AO1306" s="137">
        <v>1</v>
      </c>
      <c r="AP1306" s="137">
        <v>1</v>
      </c>
      <c r="AQ1306" s="137">
        <v>1</v>
      </c>
      <c r="AR1306" s="137">
        <v>1</v>
      </c>
      <c r="AS1306" s="158">
        <v>0.0721861525408278</v>
      </c>
      <c r="AT1306" s="141">
        <v>0</v>
      </c>
      <c r="AU1306" s="141">
        <v>0.0625</v>
      </c>
      <c r="AV1306" s="141">
        <v>0</v>
      </c>
      <c r="AW1306" s="141">
        <v>0.0274725274725275</v>
      </c>
      <c r="AX1306" s="95"/>
      <c r="AY1306" s="93"/>
    </row>
    <row r="1307" ht="14.5" spans="1:51">
      <c r="A1307" s="91"/>
      <c r="B1307" s="95"/>
      <c r="C1307" s="152" t="s">
        <v>1085</v>
      </c>
      <c r="D1307" s="153" t="s">
        <v>25</v>
      </c>
      <c r="E1307" s="130" t="s">
        <v>1086</v>
      </c>
      <c r="F1307" s="195" t="s">
        <v>1337</v>
      </c>
      <c r="G1307" s="195" t="s">
        <v>1337</v>
      </c>
      <c r="H1307" s="195" t="s">
        <v>1337</v>
      </c>
      <c r="I1307" s="195" t="s">
        <v>1337</v>
      </c>
      <c r="J1307" s="132">
        <v>0.9</v>
      </c>
      <c r="K1307" s="133">
        <v>0.861111111111111</v>
      </c>
      <c r="L1307" s="133">
        <v>0.970588235294118</v>
      </c>
      <c r="M1307" s="134">
        <v>0.970588235294118</v>
      </c>
      <c r="N1307" s="133">
        <v>0.950847457627119</v>
      </c>
      <c r="O1307" s="135">
        <v>0.9</v>
      </c>
      <c r="P1307" s="133">
        <v>0.97881861575179</v>
      </c>
      <c r="Q1307" s="133">
        <v>0.97579575596817</v>
      </c>
      <c r="R1307" s="133">
        <v>0.978398138916584</v>
      </c>
      <c r="S1307" s="133">
        <v>0.981345301178761</v>
      </c>
      <c r="T1307" s="135">
        <v>0.9</v>
      </c>
      <c r="U1307" s="133">
        <v>0.957338902147971</v>
      </c>
      <c r="V1307" s="133">
        <v>0.968832891246684</v>
      </c>
      <c r="W1307" s="133">
        <v>0.966766367563975</v>
      </c>
      <c r="X1307" s="133">
        <v>0.964835442125374</v>
      </c>
      <c r="Y1307" s="135">
        <v>0.92</v>
      </c>
      <c r="Z1307" s="135" t="s">
        <v>35</v>
      </c>
      <c r="AA1307" s="135" t="s">
        <v>35</v>
      </c>
      <c r="AB1307" s="135" t="s">
        <v>35</v>
      </c>
      <c r="AC1307" s="135" t="s">
        <v>35</v>
      </c>
      <c r="AD1307" s="135">
        <v>0.92</v>
      </c>
      <c r="AE1307" s="133">
        <v>1</v>
      </c>
      <c r="AF1307" s="133">
        <v>0.99746835443038</v>
      </c>
      <c r="AG1307" s="133">
        <v>0.995910020449898</v>
      </c>
      <c r="AH1307" s="133">
        <v>0.990366570749406</v>
      </c>
      <c r="AI1307" s="135">
        <v>0.92</v>
      </c>
      <c r="AJ1307" s="133">
        <v>0.980011933174224</v>
      </c>
      <c r="AK1307" s="133">
        <v>0.981432360742706</v>
      </c>
      <c r="AL1307" s="133">
        <v>0.984380192755068</v>
      </c>
      <c r="AM1307" s="133">
        <v>0.985941386395588</v>
      </c>
      <c r="AN1307" s="132">
        <v>0.99</v>
      </c>
      <c r="AO1307" s="137">
        <v>1</v>
      </c>
      <c r="AP1307" s="137">
        <v>1</v>
      </c>
      <c r="AQ1307" s="137">
        <v>1</v>
      </c>
      <c r="AR1307" s="137">
        <v>1</v>
      </c>
      <c r="AS1307" s="158">
        <v>0.0721861525408278</v>
      </c>
      <c r="AT1307" s="141">
        <v>0</v>
      </c>
      <c r="AU1307" s="141">
        <v>0</v>
      </c>
      <c r="AV1307" s="141">
        <v>0</v>
      </c>
      <c r="AW1307" s="141">
        <v>0.0420168067226891</v>
      </c>
      <c r="AX1307" s="95"/>
      <c r="AY1307" s="93"/>
    </row>
    <row r="1308" ht="14.5" spans="1:51">
      <c r="A1308" s="91"/>
      <c r="B1308" s="95"/>
      <c r="C1308" s="152" t="s">
        <v>1085</v>
      </c>
      <c r="D1308" s="153" t="s">
        <v>25</v>
      </c>
      <c r="E1308" s="130" t="s">
        <v>1086</v>
      </c>
      <c r="F1308" s="195" t="s">
        <v>1338</v>
      </c>
      <c r="G1308" s="195" t="s">
        <v>1338</v>
      </c>
      <c r="H1308" s="195" t="s">
        <v>1338</v>
      </c>
      <c r="I1308" s="195" t="s">
        <v>1338</v>
      </c>
      <c r="J1308" s="132">
        <v>0.9</v>
      </c>
      <c r="K1308" s="133">
        <v>1</v>
      </c>
      <c r="L1308" s="133">
        <v>1</v>
      </c>
      <c r="M1308" s="134">
        <v>0.962962962962963</v>
      </c>
      <c r="N1308" s="133">
        <v>0.970588235294118</v>
      </c>
      <c r="O1308" s="135">
        <v>0.9</v>
      </c>
      <c r="P1308" s="133">
        <v>0.992481203007519</v>
      </c>
      <c r="Q1308" s="133">
        <v>0.985831809872029</v>
      </c>
      <c r="R1308" s="133">
        <v>0.986455981941309</v>
      </c>
      <c r="S1308" s="133">
        <v>0.980140445977578</v>
      </c>
      <c r="T1308" s="135">
        <v>0.9</v>
      </c>
      <c r="U1308" s="133">
        <v>0.958228905597327</v>
      </c>
      <c r="V1308" s="133">
        <v>0.930987202925046</v>
      </c>
      <c r="W1308" s="133">
        <v>0.934988713318284</v>
      </c>
      <c r="X1308" s="133">
        <v>0.91812245903659</v>
      </c>
      <c r="Y1308" s="135">
        <v>0.92</v>
      </c>
      <c r="Z1308" s="135" t="s">
        <v>35</v>
      </c>
      <c r="AA1308" s="135" t="s">
        <v>35</v>
      </c>
      <c r="AB1308" s="135">
        <v>0</v>
      </c>
      <c r="AC1308" s="135">
        <v>0</v>
      </c>
      <c r="AD1308" s="135">
        <v>0.92</v>
      </c>
      <c r="AE1308" s="133">
        <v>0.994623655913978</v>
      </c>
      <c r="AF1308" s="133">
        <v>0.993710691823899</v>
      </c>
      <c r="AG1308" s="133">
        <v>0.995717344753747</v>
      </c>
      <c r="AH1308" s="133">
        <v>0.992125984251969</v>
      </c>
      <c r="AI1308" s="135">
        <v>0.92</v>
      </c>
      <c r="AJ1308" s="133">
        <v>0.972848788638262</v>
      </c>
      <c r="AK1308" s="133">
        <v>0.963893967093236</v>
      </c>
      <c r="AL1308" s="133">
        <v>0.971570397111913</v>
      </c>
      <c r="AM1308" s="133">
        <v>0.971788301384714</v>
      </c>
      <c r="AN1308" s="132">
        <v>0.99</v>
      </c>
      <c r="AO1308" s="137">
        <v>1</v>
      </c>
      <c r="AP1308" s="137">
        <v>1</v>
      </c>
      <c r="AQ1308" s="137">
        <v>1</v>
      </c>
      <c r="AR1308" s="137">
        <v>1</v>
      </c>
      <c r="AS1308" s="158">
        <v>0.0721861525408278</v>
      </c>
      <c r="AT1308" s="141">
        <v>0</v>
      </c>
      <c r="AU1308" s="141">
        <v>0</v>
      </c>
      <c r="AV1308" s="141">
        <v>0</v>
      </c>
      <c r="AW1308" s="141">
        <v>0.0285714285714286</v>
      </c>
      <c r="AX1308" s="95"/>
      <c r="AY1308" s="93"/>
    </row>
    <row r="1309" ht="14.5" spans="1:51">
      <c r="A1309" s="91"/>
      <c r="B1309" s="95"/>
      <c r="C1309" s="152" t="s">
        <v>1085</v>
      </c>
      <c r="D1309" s="153" t="s">
        <v>25</v>
      </c>
      <c r="E1309" s="130" t="s">
        <v>1086</v>
      </c>
      <c r="F1309" s="195" t="s">
        <v>1339</v>
      </c>
      <c r="G1309" s="195" t="s">
        <v>1339</v>
      </c>
      <c r="H1309" s="195" t="s">
        <v>1339</v>
      </c>
      <c r="I1309" s="195" t="s">
        <v>1339</v>
      </c>
      <c r="J1309" s="132">
        <v>0.9</v>
      </c>
      <c r="K1309" s="133">
        <v>0.953488372093023</v>
      </c>
      <c r="L1309" s="133">
        <v>0.880952380952381</v>
      </c>
      <c r="M1309" s="134">
        <v>0.975609756097561</v>
      </c>
      <c r="N1309" s="133">
        <v>0.940425531914894</v>
      </c>
      <c r="O1309" s="135">
        <v>0.9</v>
      </c>
      <c r="P1309" s="133">
        <v>0.975551580202743</v>
      </c>
      <c r="Q1309" s="133">
        <v>0.925119128658952</v>
      </c>
      <c r="R1309" s="133">
        <v>0.9755694948828</v>
      </c>
      <c r="S1309" s="133">
        <v>0.963376897593651</v>
      </c>
      <c r="T1309" s="135">
        <v>0.9</v>
      </c>
      <c r="U1309" s="133">
        <v>0.945736434108527</v>
      </c>
      <c r="V1309" s="133">
        <v>0.942818243703199</v>
      </c>
      <c r="W1309" s="133">
        <v>0.920105645427534</v>
      </c>
      <c r="X1309" s="133">
        <v>0.944046015508391</v>
      </c>
      <c r="Y1309" s="135">
        <v>0.92</v>
      </c>
      <c r="Z1309" s="135" t="s">
        <v>35</v>
      </c>
      <c r="AA1309" s="135" t="s">
        <v>35</v>
      </c>
      <c r="AB1309" s="135" t="s">
        <v>35</v>
      </c>
      <c r="AC1309" s="135" t="s">
        <v>35</v>
      </c>
      <c r="AD1309" s="135">
        <v>0.92</v>
      </c>
      <c r="AE1309" s="133">
        <v>0.993548387096774</v>
      </c>
      <c r="AF1309" s="133">
        <v>0.991150442477876</v>
      </c>
      <c r="AG1309" s="133">
        <v>0.997938144329897</v>
      </c>
      <c r="AH1309" s="133">
        <v>0.994837635303913</v>
      </c>
      <c r="AI1309" s="135">
        <v>0.92</v>
      </c>
      <c r="AJ1309" s="133">
        <v>0.971079308288611</v>
      </c>
      <c r="AK1309" s="133">
        <v>0.966303607896528</v>
      </c>
      <c r="AL1309" s="133">
        <v>0.970617365467151</v>
      </c>
      <c r="AM1309" s="133">
        <v>0.975954712585096</v>
      </c>
      <c r="AN1309" s="132">
        <v>0.99</v>
      </c>
      <c r="AO1309" s="137">
        <v>1</v>
      </c>
      <c r="AP1309" s="137">
        <v>1</v>
      </c>
      <c r="AQ1309" s="137">
        <v>1</v>
      </c>
      <c r="AR1309" s="137">
        <v>1</v>
      </c>
      <c r="AS1309" s="158">
        <v>0.0721861525408278</v>
      </c>
      <c r="AT1309" s="141">
        <v>0.166666666666667</v>
      </c>
      <c r="AU1309" s="141">
        <v>0</v>
      </c>
      <c r="AV1309" s="141">
        <v>0.111111111111111</v>
      </c>
      <c r="AW1309" s="141">
        <v>0.0866141732283465</v>
      </c>
      <c r="AX1309" s="95"/>
      <c r="AY1309" s="93"/>
    </row>
    <row r="1310" ht="14.5" spans="1:51">
      <c r="A1310" s="91"/>
      <c r="B1310" s="95"/>
      <c r="C1310" s="152" t="s">
        <v>1085</v>
      </c>
      <c r="D1310" s="153" t="s">
        <v>25</v>
      </c>
      <c r="E1310" s="130" t="s">
        <v>1086</v>
      </c>
      <c r="F1310" s="195" t="s">
        <v>1340</v>
      </c>
      <c r="G1310" s="195" t="s">
        <v>1340</v>
      </c>
      <c r="H1310" s="195" t="s">
        <v>1340</v>
      </c>
      <c r="I1310" s="195" t="s">
        <v>1340</v>
      </c>
      <c r="J1310" s="132">
        <v>0.9</v>
      </c>
      <c r="K1310" s="133">
        <v>0.96</v>
      </c>
      <c r="L1310" s="133">
        <v>0.96</v>
      </c>
      <c r="M1310" s="134">
        <v>0.925925925925926</v>
      </c>
      <c r="N1310" s="133">
        <v>0.914489311163896</v>
      </c>
      <c r="O1310" s="135">
        <v>0.9</v>
      </c>
      <c r="P1310" s="133">
        <v>0.987882285054818</v>
      </c>
      <c r="Q1310" s="133">
        <v>0.985642946317104</v>
      </c>
      <c r="R1310" s="133">
        <v>0.98190892077355</v>
      </c>
      <c r="S1310" s="133">
        <v>0.982577687213449</v>
      </c>
      <c r="T1310" s="135">
        <v>0.9</v>
      </c>
      <c r="U1310" s="133">
        <v>0.946912867859204</v>
      </c>
      <c r="V1310" s="133">
        <v>0.959425717852684</v>
      </c>
      <c r="W1310" s="133">
        <v>0.974422956955708</v>
      </c>
      <c r="X1310" s="133">
        <v>0.957446085922907</v>
      </c>
      <c r="Y1310" s="135">
        <v>0.92</v>
      </c>
      <c r="Z1310" s="135" t="s">
        <v>35</v>
      </c>
      <c r="AA1310" s="135" t="s">
        <v>35</v>
      </c>
      <c r="AB1310" s="135" t="s">
        <v>35</v>
      </c>
      <c r="AC1310" s="135" t="s">
        <v>35</v>
      </c>
      <c r="AD1310" s="135">
        <v>0.92</v>
      </c>
      <c r="AE1310" s="133">
        <v>1</v>
      </c>
      <c r="AF1310" s="133">
        <v>0.997975708502024</v>
      </c>
      <c r="AG1310" s="133">
        <v>0.990453460620525</v>
      </c>
      <c r="AH1310" s="133">
        <v>0.991938119620874</v>
      </c>
      <c r="AI1310" s="135">
        <v>0.92</v>
      </c>
      <c r="AJ1310" s="133">
        <v>0.981534910559723</v>
      </c>
      <c r="AK1310" s="133">
        <v>0.976279650436954</v>
      </c>
      <c r="AL1310" s="133">
        <v>0.988771054273238</v>
      </c>
      <c r="AM1310" s="133">
        <v>0.984547461368653</v>
      </c>
      <c r="AN1310" s="132">
        <v>0.99</v>
      </c>
      <c r="AO1310" s="137">
        <v>1</v>
      </c>
      <c r="AP1310" s="137">
        <v>1</v>
      </c>
      <c r="AQ1310" s="137">
        <v>1</v>
      </c>
      <c r="AR1310" s="137">
        <v>1</v>
      </c>
      <c r="AS1310" s="158">
        <v>0.0721861525408278</v>
      </c>
      <c r="AT1310" s="141">
        <v>0</v>
      </c>
      <c r="AU1310" s="141">
        <v>0</v>
      </c>
      <c r="AV1310" s="141">
        <v>0</v>
      </c>
      <c r="AW1310" s="141">
        <v>0.0416666666666667</v>
      </c>
      <c r="AX1310" s="95"/>
      <c r="AY1310" s="93"/>
    </row>
    <row r="1311" ht="14.5" spans="1:51">
      <c r="A1311" s="91"/>
      <c r="B1311" s="95"/>
      <c r="C1311" s="152" t="s">
        <v>1085</v>
      </c>
      <c r="D1311" s="153" t="s">
        <v>25</v>
      </c>
      <c r="E1311" s="130" t="s">
        <v>1086</v>
      </c>
      <c r="F1311" s="195" t="s">
        <v>1341</v>
      </c>
      <c r="G1311" s="195" t="s">
        <v>1341</v>
      </c>
      <c r="H1311" s="195" t="s">
        <v>1341</v>
      </c>
      <c r="I1311" s="195" t="s">
        <v>1341</v>
      </c>
      <c r="J1311" s="132">
        <v>0.9</v>
      </c>
      <c r="K1311" s="133">
        <v>1</v>
      </c>
      <c r="L1311" s="133">
        <v>0.956521739130435</v>
      </c>
      <c r="M1311" s="134">
        <v>1</v>
      </c>
      <c r="N1311" s="133">
        <v>0.954081632653061</v>
      </c>
      <c r="O1311" s="135">
        <v>0.9</v>
      </c>
      <c r="P1311" s="133">
        <v>0.988196721311475</v>
      </c>
      <c r="Q1311" s="133">
        <v>0.991836734693878</v>
      </c>
      <c r="R1311" s="133">
        <v>0.991054313099042</v>
      </c>
      <c r="S1311" s="133">
        <v>0.989475278261528</v>
      </c>
      <c r="T1311" s="135">
        <v>0.9</v>
      </c>
      <c r="U1311" s="133">
        <v>0.960655737704918</v>
      </c>
      <c r="V1311" s="133">
        <v>0.980952380952381</v>
      </c>
      <c r="W1311" s="133">
        <v>0.975079872204473</v>
      </c>
      <c r="X1311" s="133">
        <v>0.96588930112819</v>
      </c>
      <c r="Y1311" s="135">
        <v>0.92</v>
      </c>
      <c r="Z1311" s="135" t="s">
        <v>35</v>
      </c>
      <c r="AA1311" s="135" t="s">
        <v>35</v>
      </c>
      <c r="AB1311" s="135" t="s">
        <v>35</v>
      </c>
      <c r="AC1311" s="135" t="s">
        <v>35</v>
      </c>
      <c r="AD1311" s="135">
        <v>0.92</v>
      </c>
      <c r="AE1311" s="133">
        <v>1</v>
      </c>
      <c r="AF1311" s="133">
        <v>0.993670886075949</v>
      </c>
      <c r="AG1311" s="133">
        <v>1</v>
      </c>
      <c r="AH1311" s="133">
        <v>0.99876390605686</v>
      </c>
      <c r="AI1311" s="135">
        <v>0.92</v>
      </c>
      <c r="AJ1311" s="133">
        <v>0.980983606557377</v>
      </c>
      <c r="AK1311" s="133">
        <v>0.98843537414966</v>
      </c>
      <c r="AL1311" s="133">
        <v>0.986581469648562</v>
      </c>
      <c r="AM1311" s="133">
        <v>0.985954418111607</v>
      </c>
      <c r="AN1311" s="132">
        <v>0.99</v>
      </c>
      <c r="AO1311" s="137">
        <v>1</v>
      </c>
      <c r="AP1311" s="137">
        <v>1</v>
      </c>
      <c r="AQ1311" s="137">
        <v>1</v>
      </c>
      <c r="AR1311" s="137">
        <v>1</v>
      </c>
      <c r="AS1311" s="158">
        <v>0.0721861525408278</v>
      </c>
      <c r="AT1311" s="141">
        <v>0</v>
      </c>
      <c r="AU1311" s="141">
        <v>0</v>
      </c>
      <c r="AV1311" s="141">
        <v>0</v>
      </c>
      <c r="AW1311" s="141">
        <v>0.0204081632653061</v>
      </c>
      <c r="AX1311" s="95"/>
      <c r="AY1311" s="93"/>
    </row>
    <row r="1312" ht="14.5" spans="1:51">
      <c r="A1312" s="91"/>
      <c r="B1312" s="95"/>
      <c r="C1312" s="152" t="s">
        <v>1085</v>
      </c>
      <c r="D1312" s="153" t="s">
        <v>25</v>
      </c>
      <c r="E1312" s="130" t="s">
        <v>1086</v>
      </c>
      <c r="F1312" s="195" t="s">
        <v>1342</v>
      </c>
      <c r="G1312" s="195" t="s">
        <v>1342</v>
      </c>
      <c r="H1312" s="195" t="s">
        <v>1342</v>
      </c>
      <c r="I1312" s="195" t="s">
        <v>1342</v>
      </c>
      <c r="J1312" s="132">
        <v>0.9</v>
      </c>
      <c r="K1312" s="133">
        <v>0.807692307692308</v>
      </c>
      <c r="L1312" s="133">
        <v>0.846153846153846</v>
      </c>
      <c r="M1312" s="134">
        <v>0.884615384615385</v>
      </c>
      <c r="N1312" s="133">
        <v>0.88755980861244</v>
      </c>
      <c r="O1312" s="135">
        <v>0.9</v>
      </c>
      <c r="P1312" s="133">
        <v>0.989346069066863</v>
      </c>
      <c r="Q1312" s="133">
        <v>0.994229915667998</v>
      </c>
      <c r="R1312" s="133">
        <v>0.985488126649076</v>
      </c>
      <c r="S1312" s="133">
        <v>0.976770427061103</v>
      </c>
      <c r="T1312" s="135">
        <v>0.9</v>
      </c>
      <c r="U1312" s="133">
        <v>0.762307127112417</v>
      </c>
      <c r="V1312" s="133">
        <v>0.734576120727918</v>
      </c>
      <c r="W1312" s="133">
        <v>0.789797713280563</v>
      </c>
      <c r="X1312" s="133">
        <v>0.765275835847622</v>
      </c>
      <c r="Y1312" s="135">
        <v>0.92</v>
      </c>
      <c r="Z1312" s="135" t="s">
        <v>35</v>
      </c>
      <c r="AA1312" s="135" t="s">
        <v>35</v>
      </c>
      <c r="AB1312" s="135" t="s">
        <v>35</v>
      </c>
      <c r="AC1312" s="135" t="s">
        <v>35</v>
      </c>
      <c r="AD1312" s="135">
        <v>0.92</v>
      </c>
      <c r="AE1312" s="133">
        <v>0.982142857142857</v>
      </c>
      <c r="AF1312" s="133">
        <v>1</v>
      </c>
      <c r="AG1312" s="133">
        <v>0.983050847457627</v>
      </c>
      <c r="AH1312" s="133">
        <v>0.991587802313354</v>
      </c>
      <c r="AI1312" s="135">
        <v>0.92</v>
      </c>
      <c r="AJ1312" s="133">
        <v>0.962527553269655</v>
      </c>
      <c r="AK1312" s="133">
        <v>0.960053262316911</v>
      </c>
      <c r="AL1312" s="133">
        <v>0.976693051890941</v>
      </c>
      <c r="AM1312" s="133">
        <v>0.975470355925136</v>
      </c>
      <c r="AN1312" s="132">
        <v>0.99</v>
      </c>
      <c r="AO1312" s="137">
        <v>1</v>
      </c>
      <c r="AP1312" s="137">
        <v>1</v>
      </c>
      <c r="AQ1312" s="137">
        <v>1</v>
      </c>
      <c r="AR1312" s="137">
        <v>1</v>
      </c>
      <c r="AS1312" s="158">
        <v>0.0721861525408278</v>
      </c>
      <c r="AT1312" s="141">
        <v>0</v>
      </c>
      <c r="AU1312" s="141">
        <v>0</v>
      </c>
      <c r="AV1312" s="141">
        <v>0</v>
      </c>
      <c r="AW1312" s="141">
        <v>0.0729166666666667</v>
      </c>
      <c r="AX1312" s="95"/>
      <c r="AY1312" s="93"/>
    </row>
    <row r="1313" ht="14.5" spans="1:51">
      <c r="A1313" s="91"/>
      <c r="B1313" s="95"/>
      <c r="C1313" s="152" t="s">
        <v>1085</v>
      </c>
      <c r="D1313" s="153" t="s">
        <v>25</v>
      </c>
      <c r="E1313" s="130" t="s">
        <v>1086</v>
      </c>
      <c r="F1313" s="195" t="s">
        <v>1343</v>
      </c>
      <c r="G1313" s="195" t="s">
        <v>1343</v>
      </c>
      <c r="H1313" s="195" t="s">
        <v>1343</v>
      </c>
      <c r="I1313" s="195" t="s">
        <v>1343</v>
      </c>
      <c r="J1313" s="132">
        <v>0.9</v>
      </c>
      <c r="K1313" s="133">
        <v>0.846153846153846</v>
      </c>
      <c r="L1313" s="133">
        <v>0.92</v>
      </c>
      <c r="M1313" s="134">
        <v>0.962962962962963</v>
      </c>
      <c r="N1313" s="133">
        <v>0.906040268456376</v>
      </c>
      <c r="O1313" s="135">
        <v>0.9</v>
      </c>
      <c r="P1313" s="133">
        <v>0.978260869565217</v>
      </c>
      <c r="Q1313" s="133">
        <v>0.977077363896848</v>
      </c>
      <c r="R1313" s="133">
        <v>0.970377936670072</v>
      </c>
      <c r="S1313" s="133">
        <v>0.97360301679808</v>
      </c>
      <c r="T1313" s="135">
        <v>0.9</v>
      </c>
      <c r="U1313" s="133">
        <v>0.91897233201581</v>
      </c>
      <c r="V1313" s="133">
        <v>0.912129894937918</v>
      </c>
      <c r="W1313" s="133">
        <v>0.934627170582227</v>
      </c>
      <c r="X1313" s="133">
        <v>0.934668690925119</v>
      </c>
      <c r="Y1313" s="135">
        <v>0.92</v>
      </c>
      <c r="Z1313" s="135">
        <v>0.947110675808031</v>
      </c>
      <c r="AA1313" s="135">
        <v>0.94758064516129</v>
      </c>
      <c r="AB1313" s="135">
        <v>0.96037296037296</v>
      </c>
      <c r="AC1313" s="135">
        <v>0.962817821320271</v>
      </c>
      <c r="AD1313" s="135">
        <v>0.92</v>
      </c>
      <c r="AE1313" s="133">
        <v>0.997144488863507</v>
      </c>
      <c r="AF1313" s="133">
        <v>0.996628131021195</v>
      </c>
      <c r="AG1313" s="133">
        <v>0.965289256198347</v>
      </c>
      <c r="AH1313" s="133">
        <v>0.990180497218754</v>
      </c>
      <c r="AI1313" s="135">
        <v>0.92</v>
      </c>
      <c r="AJ1313" s="133">
        <v>0.958189867191343</v>
      </c>
      <c r="AK1313" s="133">
        <v>0.956590370955012</v>
      </c>
      <c r="AL1313" s="133">
        <v>0.96954986760812</v>
      </c>
      <c r="AM1313" s="133">
        <v>0.973408194958786</v>
      </c>
      <c r="AN1313" s="132">
        <v>0.99</v>
      </c>
      <c r="AO1313" s="137">
        <v>1</v>
      </c>
      <c r="AP1313" s="137">
        <v>1</v>
      </c>
      <c r="AQ1313" s="137">
        <v>1</v>
      </c>
      <c r="AR1313" s="137">
        <v>1</v>
      </c>
      <c r="AS1313" s="158">
        <v>0.0721861525408278</v>
      </c>
      <c r="AT1313" s="141">
        <v>0.142857142857143</v>
      </c>
      <c r="AU1313" s="141">
        <v>0.333333333333333</v>
      </c>
      <c r="AV1313" s="141">
        <v>0</v>
      </c>
      <c r="AW1313" s="141">
        <v>0.065359477124183</v>
      </c>
      <c r="AX1313" s="95"/>
      <c r="AY1313" s="93"/>
    </row>
    <row r="1314" ht="14.5" spans="1:51">
      <c r="A1314" s="91"/>
      <c r="B1314" s="95"/>
      <c r="C1314" s="152" t="s">
        <v>1085</v>
      </c>
      <c r="D1314" s="153" t="s">
        <v>25</v>
      </c>
      <c r="E1314" s="130" t="s">
        <v>1086</v>
      </c>
      <c r="F1314" s="195" t="s">
        <v>1344</v>
      </c>
      <c r="G1314" s="195" t="s">
        <v>1344</v>
      </c>
      <c r="H1314" s="195" t="s">
        <v>1344</v>
      </c>
      <c r="I1314" s="195" t="s">
        <v>1344</v>
      </c>
      <c r="J1314" s="132">
        <v>0.9</v>
      </c>
      <c r="K1314" s="133">
        <v>0.852941176470588</v>
      </c>
      <c r="L1314" s="133">
        <v>0.638888888888889</v>
      </c>
      <c r="M1314" s="134">
        <v>0.921052631578947</v>
      </c>
      <c r="N1314" s="133">
        <v>0.837620578778135</v>
      </c>
      <c r="O1314" s="135">
        <v>0.9</v>
      </c>
      <c r="P1314" s="133">
        <v>0.910468319559229</v>
      </c>
      <c r="Q1314" s="133">
        <v>0.924273157538878</v>
      </c>
      <c r="R1314" s="133">
        <v>0.920258620689655</v>
      </c>
      <c r="S1314" s="133">
        <v>0.86860632183908</v>
      </c>
      <c r="T1314" s="135">
        <v>0.9</v>
      </c>
      <c r="U1314" s="133">
        <v>0.962809917355372</v>
      </c>
      <c r="V1314" s="133">
        <v>0.972278566599053</v>
      </c>
      <c r="W1314" s="133">
        <v>0.973419540229885</v>
      </c>
      <c r="X1314" s="133">
        <v>0.960775862068965</v>
      </c>
      <c r="Y1314" s="135">
        <v>0.92</v>
      </c>
      <c r="Z1314" s="135">
        <v>0.975172413793103</v>
      </c>
      <c r="AA1314" s="135">
        <v>0.980798383021728</v>
      </c>
      <c r="AB1314" s="135">
        <v>0.973536036036036</v>
      </c>
      <c r="AC1314" s="135">
        <v>0.979499194611217</v>
      </c>
      <c r="AD1314" s="135">
        <v>0.92</v>
      </c>
      <c r="AE1314" s="133">
        <v>0.987654320987654</v>
      </c>
      <c r="AF1314" s="133">
        <v>0.986666666666667</v>
      </c>
      <c r="AG1314" s="133">
        <v>0.986666666666667</v>
      </c>
      <c r="AH1314" s="133">
        <v>0.997201782568142</v>
      </c>
      <c r="AI1314" s="135">
        <v>0.92</v>
      </c>
      <c r="AJ1314" s="133">
        <v>0.980358373535493</v>
      </c>
      <c r="AK1314" s="133">
        <v>0.986990459670425</v>
      </c>
      <c r="AL1314" s="133">
        <v>0.983585858585859</v>
      </c>
      <c r="AM1314" s="133">
        <v>0.986675126903553</v>
      </c>
      <c r="AN1314" s="132">
        <v>0.99</v>
      </c>
      <c r="AO1314" s="137">
        <v>1</v>
      </c>
      <c r="AP1314" s="137">
        <v>1</v>
      </c>
      <c r="AQ1314" s="137">
        <v>1</v>
      </c>
      <c r="AR1314" s="137">
        <v>1</v>
      </c>
      <c r="AS1314" s="158">
        <v>0.0721861525408278</v>
      </c>
      <c r="AT1314" s="141">
        <v>0.142857142857143</v>
      </c>
      <c r="AU1314" s="141">
        <v>0.02</v>
      </c>
      <c r="AV1314" s="141">
        <v>0.0392156862745098</v>
      </c>
      <c r="AW1314" s="141">
        <v>0.0250156347717323</v>
      </c>
      <c r="AX1314" s="95"/>
      <c r="AY1314" s="93"/>
    </row>
    <row r="1315" ht="14.5" spans="1:51">
      <c r="A1315" s="91"/>
      <c r="B1315" s="95"/>
      <c r="C1315" s="152" t="s">
        <v>1085</v>
      </c>
      <c r="D1315" s="153" t="s">
        <v>25</v>
      </c>
      <c r="E1315" s="130" t="s">
        <v>1086</v>
      </c>
      <c r="F1315" s="195" t="s">
        <v>1345</v>
      </c>
      <c r="G1315" s="195" t="s">
        <v>1345</v>
      </c>
      <c r="H1315" s="195" t="s">
        <v>1345</v>
      </c>
      <c r="I1315" s="195" t="s">
        <v>1345</v>
      </c>
      <c r="J1315" s="132">
        <v>0.9</v>
      </c>
      <c r="K1315" s="133">
        <v>0.925925925925926</v>
      </c>
      <c r="L1315" s="133">
        <v>0.944444444444444</v>
      </c>
      <c r="M1315" s="134">
        <v>0.946428571428571</v>
      </c>
      <c r="N1315" s="133">
        <v>0.932008368200837</v>
      </c>
      <c r="O1315" s="135">
        <v>0.9</v>
      </c>
      <c r="P1315" s="133">
        <v>0.940761636107193</v>
      </c>
      <c r="Q1315" s="133">
        <v>0.956455696202532</v>
      </c>
      <c r="R1315" s="133">
        <v>0.977353992848629</v>
      </c>
      <c r="S1315" s="133">
        <v>0.957391090864454</v>
      </c>
      <c r="T1315" s="135">
        <v>0.9</v>
      </c>
      <c r="U1315" s="133">
        <v>0.902679830747532</v>
      </c>
      <c r="V1315" s="133">
        <v>0.884050632911392</v>
      </c>
      <c r="W1315" s="133">
        <v>0.904648390941597</v>
      </c>
      <c r="X1315" s="133">
        <v>0.893286778144521</v>
      </c>
      <c r="Y1315" s="135">
        <v>0.92</v>
      </c>
      <c r="Z1315" s="135">
        <v>0.956161714564053</v>
      </c>
      <c r="AA1315" s="135">
        <v>0.959972394755003</v>
      </c>
      <c r="AB1315" s="135">
        <v>0.950917946796553</v>
      </c>
      <c r="AC1315" s="135">
        <v>0.963570914326854</v>
      </c>
      <c r="AD1315" s="135">
        <v>0.92</v>
      </c>
      <c r="AE1315" s="133">
        <v>0.991909385113269</v>
      </c>
      <c r="AF1315" s="133">
        <v>0.997815997815998</v>
      </c>
      <c r="AG1315" s="133">
        <v>0.999454892341237</v>
      </c>
      <c r="AH1315" s="133">
        <v>0.996777490947522</v>
      </c>
      <c r="AI1315" s="135">
        <v>0.92</v>
      </c>
      <c r="AJ1315" s="133">
        <v>0.9688995215311</v>
      </c>
      <c r="AK1315" s="133">
        <v>0.967371229222245</v>
      </c>
      <c r="AL1315" s="133">
        <v>0.9648033126294</v>
      </c>
      <c r="AM1315" s="133">
        <v>0.973587458830138</v>
      </c>
      <c r="AN1315" s="132">
        <v>0.99</v>
      </c>
      <c r="AO1315" s="137">
        <v>1</v>
      </c>
      <c r="AP1315" s="137">
        <v>1</v>
      </c>
      <c r="AQ1315" s="137">
        <v>1</v>
      </c>
      <c r="AR1315" s="137">
        <v>1</v>
      </c>
      <c r="AS1315" s="158">
        <v>0.0721861525408278</v>
      </c>
      <c r="AT1315" s="141">
        <v>0</v>
      </c>
      <c r="AU1315" s="141">
        <v>0</v>
      </c>
      <c r="AV1315" s="141">
        <v>0.0138888888888889</v>
      </c>
      <c r="AW1315" s="141">
        <v>0.0251346499102334</v>
      </c>
      <c r="AX1315" s="95"/>
      <c r="AY1315" s="93"/>
    </row>
    <row r="1316" ht="14.5" spans="1:51">
      <c r="A1316" s="91"/>
      <c r="B1316" s="95"/>
      <c r="C1316" s="152" t="s">
        <v>1085</v>
      </c>
      <c r="D1316" s="153" t="s">
        <v>25</v>
      </c>
      <c r="E1316" s="130" t="s">
        <v>1086</v>
      </c>
      <c r="F1316" s="195" t="s">
        <v>1346</v>
      </c>
      <c r="G1316" s="195" t="s">
        <v>1346</v>
      </c>
      <c r="H1316" s="195" t="s">
        <v>1346</v>
      </c>
      <c r="I1316" s="195" t="s">
        <v>1346</v>
      </c>
      <c r="J1316" s="132">
        <v>0.9</v>
      </c>
      <c r="K1316" s="133">
        <v>0.909090909090909</v>
      </c>
      <c r="L1316" s="133">
        <v>0.865384615384615</v>
      </c>
      <c r="M1316" s="134">
        <v>0.847826086956522</v>
      </c>
      <c r="N1316" s="133">
        <v>0.905562742561449</v>
      </c>
      <c r="O1316" s="135">
        <v>0.9</v>
      </c>
      <c r="P1316" s="133">
        <v>0.974</v>
      </c>
      <c r="Q1316" s="133">
        <v>0.976506024096386</v>
      </c>
      <c r="R1316" s="133">
        <v>0.96695652173913</v>
      </c>
      <c r="S1316" s="133">
        <v>0.977874229024573</v>
      </c>
      <c r="T1316" s="135">
        <v>0.9</v>
      </c>
      <c r="U1316" s="133">
        <v>0.926666666666667</v>
      </c>
      <c r="V1316" s="133">
        <v>0.91144578313253</v>
      </c>
      <c r="W1316" s="133">
        <v>0.911304347826087</v>
      </c>
      <c r="X1316" s="133">
        <v>0.909734686551578</v>
      </c>
      <c r="Y1316" s="135">
        <v>0.92</v>
      </c>
      <c r="Z1316" s="135">
        <v>0.91101944608132</v>
      </c>
      <c r="AA1316" s="135">
        <v>0.950205573321151</v>
      </c>
      <c r="AB1316" s="135">
        <v>0.937066666666667</v>
      </c>
      <c r="AC1316" s="135">
        <v>0.947712418300654</v>
      </c>
      <c r="AD1316" s="135">
        <v>0.92</v>
      </c>
      <c r="AE1316" s="133">
        <v>0.997687861271676</v>
      </c>
      <c r="AF1316" s="133">
        <v>0.998628257887517</v>
      </c>
      <c r="AG1316" s="133">
        <v>0.992012779552716</v>
      </c>
      <c r="AH1316" s="133">
        <v>0.995274846432509</v>
      </c>
      <c r="AI1316" s="135">
        <v>0.92</v>
      </c>
      <c r="AJ1316" s="133">
        <v>0.937480462644576</v>
      </c>
      <c r="AK1316" s="133">
        <v>0.960509223174851</v>
      </c>
      <c r="AL1316" s="133">
        <v>0.952066115702479</v>
      </c>
      <c r="AM1316" s="133">
        <v>0.963627546071775</v>
      </c>
      <c r="AN1316" s="132">
        <v>0.99</v>
      </c>
      <c r="AO1316" s="137">
        <v>1</v>
      </c>
      <c r="AP1316" s="137">
        <v>1</v>
      </c>
      <c r="AQ1316" s="137">
        <v>1</v>
      </c>
      <c r="AR1316" s="137">
        <v>1</v>
      </c>
      <c r="AS1316" s="158">
        <v>0.0721861525408278</v>
      </c>
      <c r="AT1316" s="141">
        <v>0</v>
      </c>
      <c r="AU1316" s="141">
        <v>0</v>
      </c>
      <c r="AV1316" s="141">
        <v>0</v>
      </c>
      <c r="AW1316" s="141">
        <v>0.0296875</v>
      </c>
      <c r="AX1316" s="95"/>
      <c r="AY1316" s="93"/>
    </row>
    <row r="1317" ht="14.5" spans="1:51">
      <c r="A1317" s="91"/>
      <c r="B1317" s="95"/>
      <c r="C1317" s="152" t="s">
        <v>1085</v>
      </c>
      <c r="D1317" s="153" t="s">
        <v>25</v>
      </c>
      <c r="E1317" s="130" t="s">
        <v>1086</v>
      </c>
      <c r="F1317" s="195" t="s">
        <v>1347</v>
      </c>
      <c r="G1317" s="195" t="s">
        <v>1347</v>
      </c>
      <c r="H1317" s="195" t="s">
        <v>1347</v>
      </c>
      <c r="I1317" s="195" t="s">
        <v>1347</v>
      </c>
      <c r="J1317" s="132">
        <v>0.9</v>
      </c>
      <c r="K1317" s="133">
        <v>1</v>
      </c>
      <c r="L1317" s="133">
        <v>0.875</v>
      </c>
      <c r="M1317" s="134">
        <v>0.882352941176471</v>
      </c>
      <c r="N1317" s="133">
        <v>0.929078014184397</v>
      </c>
      <c r="O1317" s="135">
        <v>0.9</v>
      </c>
      <c r="P1317" s="133">
        <v>0.996580027359781</v>
      </c>
      <c r="Q1317" s="133">
        <v>0.99546485260771</v>
      </c>
      <c r="R1317" s="133">
        <v>0.997622820919176</v>
      </c>
      <c r="S1317" s="133">
        <v>0.994967709469093</v>
      </c>
      <c r="T1317" s="135">
        <v>0.9</v>
      </c>
      <c r="U1317" s="133">
        <v>0.847469220246238</v>
      </c>
      <c r="V1317" s="133">
        <v>0.888888888888889</v>
      </c>
      <c r="W1317" s="133">
        <v>0.888272583201268</v>
      </c>
      <c r="X1317" s="133">
        <v>0.908118762056529</v>
      </c>
      <c r="Y1317" s="135">
        <v>0.92</v>
      </c>
      <c r="Z1317" s="135" t="s">
        <v>35</v>
      </c>
      <c r="AA1317" s="135" t="s">
        <v>35</v>
      </c>
      <c r="AB1317" s="135" t="s">
        <v>35</v>
      </c>
      <c r="AC1317" s="135" t="s">
        <v>35</v>
      </c>
      <c r="AD1317" s="135">
        <v>0.92</v>
      </c>
      <c r="AE1317" s="133">
        <v>0.954545454545455</v>
      </c>
      <c r="AF1317" s="133">
        <v>1</v>
      </c>
      <c r="AG1317" s="133">
        <v>0.970588235294118</v>
      </c>
      <c r="AH1317" s="133">
        <v>0.988505747126437</v>
      </c>
      <c r="AI1317" s="135">
        <v>0.92</v>
      </c>
      <c r="AJ1317" s="133">
        <v>0.965800273597811</v>
      </c>
      <c r="AK1317" s="133">
        <v>0.978835978835979</v>
      </c>
      <c r="AL1317" s="133">
        <v>0.991283676703645</v>
      </c>
      <c r="AM1317" s="133">
        <v>0.983519248511281</v>
      </c>
      <c r="AN1317" s="132">
        <v>0.99</v>
      </c>
      <c r="AO1317" s="137">
        <v>1</v>
      </c>
      <c r="AP1317" s="137">
        <v>1</v>
      </c>
      <c r="AQ1317" s="137">
        <v>1</v>
      </c>
      <c r="AR1317" s="137">
        <v>1</v>
      </c>
      <c r="AS1317" s="158">
        <v>0.0721861525408278</v>
      </c>
      <c r="AT1317" s="141">
        <v>0</v>
      </c>
      <c r="AU1317" s="141">
        <v>0.0235294117647059</v>
      </c>
      <c r="AV1317" s="141">
        <v>0.0149253731343284</v>
      </c>
      <c r="AW1317" s="141">
        <v>0.0210293303818484</v>
      </c>
      <c r="AX1317" s="95"/>
      <c r="AY1317" s="93"/>
    </row>
    <row r="1318" ht="14.5" spans="1:51">
      <c r="A1318" s="91"/>
      <c r="B1318" s="95"/>
      <c r="C1318" s="152" t="s">
        <v>1085</v>
      </c>
      <c r="D1318" s="153" t="s">
        <v>25</v>
      </c>
      <c r="E1318" s="130" t="s">
        <v>1086</v>
      </c>
      <c r="F1318" s="195" t="s">
        <v>1348</v>
      </c>
      <c r="G1318" s="195" t="s">
        <v>1348</v>
      </c>
      <c r="H1318" s="195" t="s">
        <v>1348</v>
      </c>
      <c r="I1318" s="195" t="s">
        <v>1348</v>
      </c>
      <c r="J1318" s="132">
        <v>0.9</v>
      </c>
      <c r="K1318" s="133">
        <v>0.933333333333333</v>
      </c>
      <c r="L1318" s="133">
        <v>0.796610169491525</v>
      </c>
      <c r="M1318" s="134">
        <v>0.921875</v>
      </c>
      <c r="N1318" s="133">
        <v>0.909952606635071</v>
      </c>
      <c r="O1318" s="135">
        <v>0.9</v>
      </c>
      <c r="P1318" s="133">
        <v>0.88897860314897</v>
      </c>
      <c r="Q1318" s="133">
        <v>0.974492205951819</v>
      </c>
      <c r="R1318" s="133">
        <v>0.975243147656941</v>
      </c>
      <c r="S1318" s="133">
        <v>0.963116849910509</v>
      </c>
      <c r="T1318" s="135">
        <v>0.9</v>
      </c>
      <c r="U1318" s="133">
        <v>0.867581752119499</v>
      </c>
      <c r="V1318" s="133">
        <v>0.940954180444025</v>
      </c>
      <c r="W1318" s="133">
        <v>0.942528735632184</v>
      </c>
      <c r="X1318" s="133">
        <v>0.930090343475667</v>
      </c>
      <c r="Y1318" s="135">
        <v>0.92</v>
      </c>
      <c r="Z1318" s="135">
        <v>0.967153284671533</v>
      </c>
      <c r="AA1318" s="135">
        <v>0.962136777223364</v>
      </c>
      <c r="AB1318" s="135">
        <v>0.980458221024259</v>
      </c>
      <c r="AC1318" s="135">
        <v>0.97255999139137</v>
      </c>
      <c r="AD1318" s="135">
        <v>0.92</v>
      </c>
      <c r="AE1318" s="133">
        <v>0.981470043236566</v>
      </c>
      <c r="AF1318" s="133">
        <v>0.978451178451178</v>
      </c>
      <c r="AG1318" s="133">
        <v>0.965558912386707</v>
      </c>
      <c r="AH1318" s="133">
        <v>0.975844184106489</v>
      </c>
      <c r="AI1318" s="135">
        <v>0.92</v>
      </c>
      <c r="AJ1318" s="133">
        <v>0.974518201284797</v>
      </c>
      <c r="AK1318" s="133">
        <v>0.971945701357466</v>
      </c>
      <c r="AL1318" s="133">
        <v>0.984321223709369</v>
      </c>
      <c r="AM1318" s="133">
        <v>0.981157930798219</v>
      </c>
      <c r="AN1318" s="132">
        <v>0.99</v>
      </c>
      <c r="AO1318" s="137">
        <v>1</v>
      </c>
      <c r="AP1318" s="137">
        <v>1</v>
      </c>
      <c r="AQ1318" s="137">
        <v>1</v>
      </c>
      <c r="AR1318" s="137">
        <v>1</v>
      </c>
      <c r="AS1318" s="158">
        <v>0.0721861525408278</v>
      </c>
      <c r="AT1318" s="141">
        <v>0.142857142857143</v>
      </c>
      <c r="AU1318" s="141">
        <v>0</v>
      </c>
      <c r="AV1318" s="141">
        <v>0</v>
      </c>
      <c r="AW1318" s="141">
        <v>0.0465116279069767</v>
      </c>
      <c r="AX1318" s="95"/>
      <c r="AY1318" s="93"/>
    </row>
    <row r="1319" ht="14.5" spans="1:51">
      <c r="A1319" s="91"/>
      <c r="B1319" s="95"/>
      <c r="C1319" s="152" t="s">
        <v>1085</v>
      </c>
      <c r="D1319" s="153" t="s">
        <v>25</v>
      </c>
      <c r="E1319" s="130" t="s">
        <v>1086</v>
      </c>
      <c r="F1319" s="195" t="s">
        <v>1349</v>
      </c>
      <c r="G1319" s="195" t="s">
        <v>1349</v>
      </c>
      <c r="H1319" s="195" t="s">
        <v>1349</v>
      </c>
      <c r="I1319" s="195" t="s">
        <v>1349</v>
      </c>
      <c r="J1319" s="132">
        <v>0.9</v>
      </c>
      <c r="K1319" s="133">
        <v>0.967741935483871</v>
      </c>
      <c r="L1319" s="133">
        <v>0.9</v>
      </c>
      <c r="M1319" s="134">
        <v>0.866666666666667</v>
      </c>
      <c r="N1319" s="133">
        <v>0.921495327102804</v>
      </c>
      <c r="O1319" s="135">
        <v>0.9</v>
      </c>
      <c r="P1319" s="133">
        <v>0.947798456650023</v>
      </c>
      <c r="Q1319" s="133">
        <v>0.91196388261851</v>
      </c>
      <c r="R1319" s="133">
        <v>0.976846747519294</v>
      </c>
      <c r="S1319" s="133">
        <v>0.970931318901316</v>
      </c>
      <c r="T1319" s="135">
        <v>0.9</v>
      </c>
      <c r="U1319" s="133">
        <v>0.921016795279165</v>
      </c>
      <c r="V1319" s="133">
        <v>0.909706546275395</v>
      </c>
      <c r="W1319" s="133">
        <v>0.926130099228225</v>
      </c>
      <c r="X1319" s="133">
        <v>0.933828043669754</v>
      </c>
      <c r="Y1319" s="135">
        <v>0.92</v>
      </c>
      <c r="Z1319" s="135" t="s">
        <v>35</v>
      </c>
      <c r="AA1319" s="135" t="s">
        <v>35</v>
      </c>
      <c r="AB1319" s="135" t="s">
        <v>35</v>
      </c>
      <c r="AC1319" s="135" t="s">
        <v>35</v>
      </c>
      <c r="AD1319" s="135">
        <v>0.92</v>
      </c>
      <c r="AE1319" s="133">
        <v>0.971014492753623</v>
      </c>
      <c r="AF1319" s="133">
        <v>0.988567585743107</v>
      </c>
      <c r="AG1319" s="133">
        <v>0.994019138755981</v>
      </c>
      <c r="AH1319" s="133">
        <v>0.991812585908086</v>
      </c>
      <c r="AI1319" s="135">
        <v>0.92</v>
      </c>
      <c r="AJ1319" s="133">
        <v>0.971856559237404</v>
      </c>
      <c r="AK1319" s="133">
        <v>0.984198645598194</v>
      </c>
      <c r="AL1319" s="133">
        <v>0.985115766262403</v>
      </c>
      <c r="AM1319" s="133">
        <v>0.983103328617569</v>
      </c>
      <c r="AN1319" s="132">
        <v>0.99</v>
      </c>
      <c r="AO1319" s="137">
        <v>1</v>
      </c>
      <c r="AP1319" s="137">
        <v>1</v>
      </c>
      <c r="AQ1319" s="137">
        <v>1</v>
      </c>
      <c r="AR1319" s="137">
        <v>1</v>
      </c>
      <c r="AS1319" s="158">
        <v>0.0721861525408278</v>
      </c>
      <c r="AT1319" s="141">
        <v>0</v>
      </c>
      <c r="AU1319" s="141">
        <v>0.333333333333333</v>
      </c>
      <c r="AV1319" s="141">
        <v>0</v>
      </c>
      <c r="AW1319" s="141">
        <v>0.0533333333333333</v>
      </c>
      <c r="AX1319" s="95"/>
      <c r="AY1319" s="93"/>
    </row>
    <row r="1320" ht="14.5" spans="1:51">
      <c r="A1320" s="91"/>
      <c r="B1320" s="95"/>
      <c r="C1320" s="152" t="s">
        <v>1085</v>
      </c>
      <c r="D1320" s="153" t="s">
        <v>25</v>
      </c>
      <c r="E1320" s="130" t="s">
        <v>1086</v>
      </c>
      <c r="F1320" s="195" t="s">
        <v>1350</v>
      </c>
      <c r="G1320" s="195" t="s">
        <v>1350</v>
      </c>
      <c r="H1320" s="195" t="s">
        <v>1350</v>
      </c>
      <c r="I1320" s="195" t="s">
        <v>1350</v>
      </c>
      <c r="J1320" s="132">
        <v>0.9</v>
      </c>
      <c r="K1320" s="133">
        <v>0.933333333333333</v>
      </c>
      <c r="L1320" s="133">
        <v>0.645161290322581</v>
      </c>
      <c r="M1320" s="134">
        <v>0.9</v>
      </c>
      <c r="N1320" s="133">
        <v>0.864970645792564</v>
      </c>
      <c r="O1320" s="135">
        <v>0.9</v>
      </c>
      <c r="P1320" s="133">
        <v>0.985650224215247</v>
      </c>
      <c r="Q1320" s="133">
        <v>0.976120857699805</v>
      </c>
      <c r="R1320" s="133">
        <v>0.992647058823529</v>
      </c>
      <c r="S1320" s="133">
        <v>0.988573060991287</v>
      </c>
      <c r="T1320" s="135">
        <v>0.9</v>
      </c>
      <c r="U1320" s="133">
        <v>0.958295964125561</v>
      </c>
      <c r="V1320" s="133">
        <v>0.968323586744639</v>
      </c>
      <c r="W1320" s="133">
        <v>0.96606334841629</v>
      </c>
      <c r="X1320" s="133">
        <v>0.961348378803028</v>
      </c>
      <c r="Y1320" s="135">
        <v>0.92</v>
      </c>
      <c r="Z1320" s="135" t="s">
        <v>35</v>
      </c>
      <c r="AA1320" s="135" t="s">
        <v>35</v>
      </c>
      <c r="AB1320" s="135" t="s">
        <v>35</v>
      </c>
      <c r="AC1320" s="135" t="s">
        <v>35</v>
      </c>
      <c r="AD1320" s="135">
        <v>0.92</v>
      </c>
      <c r="AE1320" s="133">
        <v>0.997518610421836</v>
      </c>
      <c r="AF1320" s="133">
        <v>0.998567335243553</v>
      </c>
      <c r="AG1320" s="133">
        <v>1</v>
      </c>
      <c r="AH1320" s="133">
        <v>0.999009620826259</v>
      </c>
      <c r="AI1320" s="135">
        <v>0.92</v>
      </c>
      <c r="AJ1320" s="133">
        <v>0.981165919282511</v>
      </c>
      <c r="AK1320" s="133">
        <v>0.982456140350877</v>
      </c>
      <c r="AL1320" s="133">
        <v>0.97737556561086</v>
      </c>
      <c r="AM1320" s="133">
        <v>0.980459934295101</v>
      </c>
      <c r="AN1320" s="132">
        <v>0.99</v>
      </c>
      <c r="AO1320" s="137">
        <v>1</v>
      </c>
      <c r="AP1320" s="137">
        <v>1</v>
      </c>
      <c r="AQ1320" s="137">
        <v>1</v>
      </c>
      <c r="AR1320" s="137">
        <v>1</v>
      </c>
      <c r="AS1320" s="158">
        <v>0.0721861525408278</v>
      </c>
      <c r="AT1320" s="141">
        <v>0</v>
      </c>
      <c r="AU1320" s="141">
        <v>0</v>
      </c>
      <c r="AV1320" s="141">
        <v>0</v>
      </c>
      <c r="AW1320" s="141">
        <v>0.0441176470588235</v>
      </c>
      <c r="AX1320" s="95"/>
      <c r="AY1320" s="93"/>
    </row>
    <row r="1321" ht="14.5" spans="1:51">
      <c r="A1321" s="91"/>
      <c r="B1321" s="95"/>
      <c r="C1321" s="152" t="s">
        <v>1085</v>
      </c>
      <c r="D1321" s="153" t="s">
        <v>25</v>
      </c>
      <c r="E1321" s="130" t="s">
        <v>1086</v>
      </c>
      <c r="F1321" s="195" t="s">
        <v>1351</v>
      </c>
      <c r="G1321" s="195" t="s">
        <v>1351</v>
      </c>
      <c r="H1321" s="195" t="s">
        <v>1351</v>
      </c>
      <c r="I1321" s="195" t="s">
        <v>1351</v>
      </c>
      <c r="J1321" s="132">
        <v>0.9</v>
      </c>
      <c r="K1321" s="133">
        <v>1</v>
      </c>
      <c r="L1321" s="133">
        <v>0.923076923076923</v>
      </c>
      <c r="M1321" s="134">
        <v>1</v>
      </c>
      <c r="N1321" s="133">
        <v>0.976645435244161</v>
      </c>
      <c r="O1321" s="135">
        <v>0.9</v>
      </c>
      <c r="P1321" s="133">
        <v>0.979005998286204</v>
      </c>
      <c r="Q1321" s="133">
        <v>0.984787018255578</v>
      </c>
      <c r="R1321" s="133">
        <v>0.982232346241458</v>
      </c>
      <c r="S1321" s="133">
        <v>0.983617887219392</v>
      </c>
      <c r="T1321" s="135">
        <v>0.9</v>
      </c>
      <c r="U1321" s="133">
        <v>0.962724935732648</v>
      </c>
      <c r="V1321" s="133">
        <v>0.962474645030426</v>
      </c>
      <c r="W1321" s="133">
        <v>0.943963553530752</v>
      </c>
      <c r="X1321" s="133">
        <v>0.956331430619193</v>
      </c>
      <c r="Y1321" s="135">
        <v>0.92</v>
      </c>
      <c r="Z1321" s="135" t="s">
        <v>35</v>
      </c>
      <c r="AA1321" s="135">
        <v>0</v>
      </c>
      <c r="AB1321" s="135" t="s">
        <v>35</v>
      </c>
      <c r="AC1321" s="135">
        <v>0</v>
      </c>
      <c r="AD1321" s="135">
        <v>0.92</v>
      </c>
      <c r="AE1321" s="133">
        <v>1</v>
      </c>
      <c r="AF1321" s="133">
        <v>1</v>
      </c>
      <c r="AG1321" s="133">
        <v>0.832727272727273</v>
      </c>
      <c r="AH1321" s="133">
        <v>0.989266547406082</v>
      </c>
      <c r="AI1321" s="135">
        <v>0.92</v>
      </c>
      <c r="AJ1321" s="133">
        <v>0.978149100257069</v>
      </c>
      <c r="AK1321" s="133">
        <v>0.975683890577508</v>
      </c>
      <c r="AL1321" s="133">
        <v>0.981776765375854</v>
      </c>
      <c r="AM1321" s="133">
        <v>0.985512810668305</v>
      </c>
      <c r="AN1321" s="132">
        <v>0.99</v>
      </c>
      <c r="AO1321" s="137">
        <v>1</v>
      </c>
      <c r="AP1321" s="137">
        <v>1</v>
      </c>
      <c r="AQ1321" s="137">
        <v>1</v>
      </c>
      <c r="AR1321" s="137">
        <v>1</v>
      </c>
      <c r="AS1321" s="158">
        <v>0.0721861525408278</v>
      </c>
      <c r="AT1321" s="141">
        <v>0</v>
      </c>
      <c r="AU1321" s="141">
        <v>0.0833333333333333</v>
      </c>
      <c r="AV1321" s="141">
        <v>0.133333333333333</v>
      </c>
      <c r="AW1321" s="141">
        <v>0.037037037037037</v>
      </c>
      <c r="AX1321" s="95"/>
      <c r="AY1321" s="93"/>
    </row>
    <row r="1322" ht="14.5" spans="1:51">
      <c r="A1322" s="91"/>
      <c r="B1322" s="95"/>
      <c r="C1322" s="152" t="s">
        <v>1085</v>
      </c>
      <c r="D1322" s="153" t="s">
        <v>25</v>
      </c>
      <c r="E1322" s="130" t="s">
        <v>1086</v>
      </c>
      <c r="F1322" s="195" t="s">
        <v>1352</v>
      </c>
      <c r="G1322" s="195" t="s">
        <v>1352</v>
      </c>
      <c r="H1322" s="195" t="s">
        <v>1352</v>
      </c>
      <c r="I1322" s="195" t="s">
        <v>1352</v>
      </c>
      <c r="J1322" s="132">
        <v>0.9</v>
      </c>
      <c r="K1322" s="133">
        <v>0.827586206896552</v>
      </c>
      <c r="L1322" s="133">
        <v>0.846153846153846</v>
      </c>
      <c r="M1322" s="134">
        <v>0.777777777777778</v>
      </c>
      <c r="N1322" s="133">
        <v>0.895555555555556</v>
      </c>
      <c r="O1322" s="135">
        <v>0.9</v>
      </c>
      <c r="P1322" s="133">
        <v>0.910882604970009</v>
      </c>
      <c r="Q1322" s="133">
        <v>0.949067758071851</v>
      </c>
      <c r="R1322" s="133">
        <v>0.959808612440191</v>
      </c>
      <c r="S1322" s="133">
        <v>0.947238770329035</v>
      </c>
      <c r="T1322" s="135">
        <v>0.9</v>
      </c>
      <c r="U1322" s="133">
        <v>0.925449871465296</v>
      </c>
      <c r="V1322" s="133">
        <v>0.904047294224648</v>
      </c>
      <c r="W1322" s="133">
        <v>0.914832535885167</v>
      </c>
      <c r="X1322" s="133">
        <v>0.910363723198351</v>
      </c>
      <c r="Y1322" s="135">
        <v>0.92</v>
      </c>
      <c r="Z1322" s="135" t="s">
        <v>35</v>
      </c>
      <c r="AA1322" s="135" t="s">
        <v>35</v>
      </c>
      <c r="AB1322" s="135" t="s">
        <v>35</v>
      </c>
      <c r="AC1322" s="135">
        <v>1</v>
      </c>
      <c r="AD1322" s="135">
        <v>0.92</v>
      </c>
      <c r="AE1322" s="133">
        <v>0.960629921259842</v>
      </c>
      <c r="AF1322" s="133">
        <v>0.986757337151038</v>
      </c>
      <c r="AG1322" s="133">
        <v>0.985874532613211</v>
      </c>
      <c r="AH1322" s="133">
        <v>0.991242842707982</v>
      </c>
      <c r="AI1322" s="135">
        <v>0.92</v>
      </c>
      <c r="AJ1322" s="133">
        <v>0.937446443873179</v>
      </c>
      <c r="AK1322" s="133">
        <v>0.934970441109595</v>
      </c>
      <c r="AL1322" s="133">
        <v>0.945984703632887</v>
      </c>
      <c r="AM1322" s="133">
        <v>0.955842066902913</v>
      </c>
      <c r="AN1322" s="132">
        <v>0.99</v>
      </c>
      <c r="AO1322" s="137">
        <v>1</v>
      </c>
      <c r="AP1322" s="137">
        <v>1</v>
      </c>
      <c r="AQ1322" s="137">
        <v>1</v>
      </c>
      <c r="AR1322" s="137">
        <v>1</v>
      </c>
      <c r="AS1322" s="158">
        <v>0.0721861525408278</v>
      </c>
      <c r="AT1322" s="141">
        <v>0</v>
      </c>
      <c r="AU1322" s="141">
        <v>0</v>
      </c>
      <c r="AV1322" s="141">
        <v>0</v>
      </c>
      <c r="AW1322" s="141">
        <v>0.0372670807453416</v>
      </c>
      <c r="AX1322" s="95"/>
      <c r="AY1322" s="93"/>
    </row>
    <row r="1323" ht="14.5" spans="1:51">
      <c r="A1323" s="91"/>
      <c r="B1323" s="95"/>
      <c r="C1323" s="152" t="s">
        <v>1085</v>
      </c>
      <c r="D1323" s="153" t="s">
        <v>25</v>
      </c>
      <c r="E1323" s="130" t="s">
        <v>1086</v>
      </c>
      <c r="F1323" s="195" t="s">
        <v>1353</v>
      </c>
      <c r="G1323" s="195" t="s">
        <v>1353</v>
      </c>
      <c r="H1323" s="195" t="s">
        <v>1353</v>
      </c>
      <c r="I1323" s="195" t="s">
        <v>1353</v>
      </c>
      <c r="J1323" s="132">
        <v>0.9</v>
      </c>
      <c r="K1323" s="133">
        <v>0.896551724137931</v>
      </c>
      <c r="L1323" s="133">
        <v>0.944444444444444</v>
      </c>
      <c r="M1323" s="134">
        <v>0.944444444444444</v>
      </c>
      <c r="N1323" s="133">
        <v>0.941176470588235</v>
      </c>
      <c r="O1323" s="135">
        <v>0.9</v>
      </c>
      <c r="P1323" s="133">
        <v>0.983773881182936</v>
      </c>
      <c r="Q1323" s="133">
        <v>0.984265243045799</v>
      </c>
      <c r="R1323" s="133">
        <v>0.982241953385128</v>
      </c>
      <c r="S1323" s="133">
        <v>0.971224694444041</v>
      </c>
      <c r="T1323" s="135">
        <v>0.9</v>
      </c>
      <c r="U1323" s="133">
        <v>0.909447788537032</v>
      </c>
      <c r="V1323" s="133">
        <v>0.881989322843495</v>
      </c>
      <c r="W1323" s="133">
        <v>0.902330743618202</v>
      </c>
      <c r="X1323" s="133">
        <v>0.911755729628392</v>
      </c>
      <c r="Y1323" s="135">
        <v>0.92</v>
      </c>
      <c r="Z1323" s="135">
        <v>0.933925596890616</v>
      </c>
      <c r="AA1323" s="135">
        <v>0.924250394529195</v>
      </c>
      <c r="AB1323" s="135">
        <v>0.944343617664852</v>
      </c>
      <c r="AC1323" s="135">
        <v>0.944439505733843</v>
      </c>
      <c r="AD1323" s="135">
        <v>0.92</v>
      </c>
      <c r="AE1323" s="133">
        <v>0.998054474708171</v>
      </c>
      <c r="AF1323" s="133">
        <v>1</v>
      </c>
      <c r="AG1323" s="133">
        <v>0.80927291886196</v>
      </c>
      <c r="AH1323" s="133">
        <v>0.986124145327792</v>
      </c>
      <c r="AI1323" s="135">
        <v>0.92</v>
      </c>
      <c r="AJ1323" s="133">
        <v>0.956962475546861</v>
      </c>
      <c r="AK1323" s="133">
        <v>0.946336996336996</v>
      </c>
      <c r="AL1323" s="133">
        <v>0.969145826567067</v>
      </c>
      <c r="AM1323" s="133">
        <v>0.9671613268072</v>
      </c>
      <c r="AN1323" s="132">
        <v>0.99</v>
      </c>
      <c r="AO1323" s="137">
        <v>1</v>
      </c>
      <c r="AP1323" s="137">
        <v>1</v>
      </c>
      <c r="AQ1323" s="137">
        <v>1</v>
      </c>
      <c r="AR1323" s="137">
        <v>1</v>
      </c>
      <c r="AS1323" s="158">
        <v>0.0721861525408278</v>
      </c>
      <c r="AT1323" s="141">
        <v>0.0408163265306122</v>
      </c>
      <c r="AU1323" s="141">
        <v>0.0638297872340425</v>
      </c>
      <c r="AV1323" s="141">
        <v>0</v>
      </c>
      <c r="AW1323" s="141">
        <v>0.0294117647058824</v>
      </c>
      <c r="AX1323" s="95"/>
      <c r="AY1323" s="93"/>
    </row>
    <row r="1324" ht="14.5" spans="1:51">
      <c r="A1324" s="91"/>
      <c r="B1324" s="95"/>
      <c r="C1324" s="152" t="s">
        <v>1085</v>
      </c>
      <c r="D1324" s="153" t="s">
        <v>25</v>
      </c>
      <c r="E1324" s="130" t="s">
        <v>1086</v>
      </c>
      <c r="F1324" s="195" t="s">
        <v>1354</v>
      </c>
      <c r="G1324" s="195" t="s">
        <v>1354</v>
      </c>
      <c r="H1324" s="195" t="s">
        <v>1354</v>
      </c>
      <c r="I1324" s="195" t="s">
        <v>1354</v>
      </c>
      <c r="J1324" s="132">
        <v>0.9</v>
      </c>
      <c r="K1324" s="133">
        <v>0.977272727272727</v>
      </c>
      <c r="L1324" s="133">
        <v>0.975</v>
      </c>
      <c r="M1324" s="134">
        <v>0.977777777777778</v>
      </c>
      <c r="N1324" s="133">
        <v>0.973614775725594</v>
      </c>
      <c r="O1324" s="135">
        <v>0.9</v>
      </c>
      <c r="P1324" s="133">
        <v>0.914393226716839</v>
      </c>
      <c r="Q1324" s="133">
        <v>0.975108225108225</v>
      </c>
      <c r="R1324" s="133">
        <v>0.936909581646424</v>
      </c>
      <c r="S1324" s="133">
        <v>0.945877150607558</v>
      </c>
      <c r="T1324" s="135">
        <v>0.9</v>
      </c>
      <c r="U1324" s="133">
        <v>0.951081843838194</v>
      </c>
      <c r="V1324" s="133">
        <v>0.933261183261183</v>
      </c>
      <c r="W1324" s="133">
        <v>0.935222672064777</v>
      </c>
      <c r="X1324" s="133">
        <v>0.929731336628145</v>
      </c>
      <c r="Y1324" s="135">
        <v>0.92</v>
      </c>
      <c r="Z1324" s="135" t="s">
        <v>35</v>
      </c>
      <c r="AA1324" s="135" t="s">
        <v>35</v>
      </c>
      <c r="AB1324" s="135" t="s">
        <v>35</v>
      </c>
      <c r="AC1324" s="135" t="s">
        <v>35</v>
      </c>
      <c r="AD1324" s="135">
        <v>0.92</v>
      </c>
      <c r="AE1324" s="133">
        <v>0.983050847457627</v>
      </c>
      <c r="AF1324" s="133">
        <v>0.987012987012987</v>
      </c>
      <c r="AG1324" s="133">
        <v>0.997326203208556</v>
      </c>
      <c r="AH1324" s="133">
        <v>0.995690318608589</v>
      </c>
      <c r="AI1324" s="135">
        <v>0.92</v>
      </c>
      <c r="AJ1324" s="133">
        <v>0.961743493258075</v>
      </c>
      <c r="AK1324" s="133">
        <v>0.946969696969697</v>
      </c>
      <c r="AL1324" s="133">
        <v>0.961201079622132</v>
      </c>
      <c r="AM1324" s="133">
        <v>0.965367321912972</v>
      </c>
      <c r="AN1324" s="132">
        <v>0.99</v>
      </c>
      <c r="AO1324" s="137">
        <v>1</v>
      </c>
      <c r="AP1324" s="137">
        <v>1</v>
      </c>
      <c r="AQ1324" s="137">
        <v>1</v>
      </c>
      <c r="AR1324" s="137">
        <v>1</v>
      </c>
      <c r="AS1324" s="158">
        <v>0.0721861525408278</v>
      </c>
      <c r="AT1324" s="141">
        <v>0</v>
      </c>
      <c r="AU1324" s="141">
        <v>0.0909090909090909</v>
      </c>
      <c r="AV1324" s="141">
        <v>0</v>
      </c>
      <c r="AW1324" s="141">
        <v>0.0383386581469649</v>
      </c>
      <c r="AX1324" s="95"/>
      <c r="AY1324" s="93"/>
    </row>
    <row r="1325" ht="14.5" spans="1:51">
      <c r="A1325" s="91"/>
      <c r="B1325" s="95"/>
      <c r="C1325" s="152" t="s">
        <v>1085</v>
      </c>
      <c r="D1325" s="153" t="s">
        <v>25</v>
      </c>
      <c r="E1325" s="130" t="s">
        <v>1086</v>
      </c>
      <c r="F1325" s="195" t="s">
        <v>1355</v>
      </c>
      <c r="G1325" s="195" t="s">
        <v>1355</v>
      </c>
      <c r="H1325" s="195" t="s">
        <v>1355</v>
      </c>
      <c r="I1325" s="195" t="s">
        <v>1355</v>
      </c>
      <c r="J1325" s="132">
        <v>0.9</v>
      </c>
      <c r="K1325" s="133">
        <v>1</v>
      </c>
      <c r="L1325" s="133">
        <v>1</v>
      </c>
      <c r="M1325" s="134">
        <v>0.914285714285714</v>
      </c>
      <c r="N1325" s="133">
        <v>0.955706984667802</v>
      </c>
      <c r="O1325" s="135">
        <v>0.9</v>
      </c>
      <c r="P1325" s="133">
        <v>0.988543371522095</v>
      </c>
      <c r="Q1325" s="133">
        <v>0.986301369863014</v>
      </c>
      <c r="R1325" s="133">
        <v>0.989982578397213</v>
      </c>
      <c r="S1325" s="133">
        <v>0.987801343060051</v>
      </c>
      <c r="T1325" s="135">
        <v>0.9</v>
      </c>
      <c r="U1325" s="133">
        <v>0.942716857610475</v>
      </c>
      <c r="V1325" s="133">
        <v>0.950950066283694</v>
      </c>
      <c r="W1325" s="133">
        <v>0.960365853658537</v>
      </c>
      <c r="X1325" s="133">
        <v>0.956809507705686</v>
      </c>
      <c r="Y1325" s="135">
        <v>0.92</v>
      </c>
      <c r="Z1325" s="135">
        <v>0</v>
      </c>
      <c r="AA1325" s="135">
        <v>0</v>
      </c>
      <c r="AB1325" s="135" t="s">
        <v>35</v>
      </c>
      <c r="AC1325" s="135">
        <v>0.333333333333333</v>
      </c>
      <c r="AD1325" s="135">
        <v>0.92</v>
      </c>
      <c r="AE1325" s="133">
        <v>0.976190476190476</v>
      </c>
      <c r="AF1325" s="133">
        <v>1</v>
      </c>
      <c r="AG1325" s="133">
        <v>0.991869918699187</v>
      </c>
      <c r="AH1325" s="133">
        <v>0.99685181020913</v>
      </c>
      <c r="AI1325" s="135">
        <v>0.92</v>
      </c>
      <c r="AJ1325" s="133">
        <v>0.970143149284254</v>
      </c>
      <c r="AK1325" s="133">
        <v>0.971289752650177</v>
      </c>
      <c r="AL1325" s="133">
        <v>0.982142857142857</v>
      </c>
      <c r="AM1325" s="133">
        <v>0.981884495543586</v>
      </c>
      <c r="AN1325" s="132">
        <v>0.99</v>
      </c>
      <c r="AO1325" s="137">
        <v>1</v>
      </c>
      <c r="AP1325" s="137">
        <v>1</v>
      </c>
      <c r="AQ1325" s="137">
        <v>1</v>
      </c>
      <c r="AR1325" s="137">
        <v>1</v>
      </c>
      <c r="AS1325" s="158">
        <v>0.0721861525408278</v>
      </c>
      <c r="AT1325" s="141">
        <v>0</v>
      </c>
      <c r="AU1325" s="141">
        <v>0</v>
      </c>
      <c r="AV1325" s="141">
        <v>0</v>
      </c>
      <c r="AW1325" s="141">
        <v>0.0169491525423729</v>
      </c>
      <c r="AX1325" s="95"/>
      <c r="AY1325" s="93"/>
    </row>
    <row r="1326" ht="14.5" spans="1:51">
      <c r="A1326" s="91"/>
      <c r="B1326" s="95"/>
      <c r="C1326" s="152" t="s">
        <v>1085</v>
      </c>
      <c r="D1326" s="153" t="s">
        <v>25</v>
      </c>
      <c r="E1326" s="130" t="s">
        <v>1086</v>
      </c>
      <c r="F1326" s="195" t="s">
        <v>1356</v>
      </c>
      <c r="G1326" s="195" t="s">
        <v>1356</v>
      </c>
      <c r="H1326" s="195" t="s">
        <v>1356</v>
      </c>
      <c r="I1326" s="195" t="s">
        <v>1356</v>
      </c>
      <c r="J1326" s="132">
        <v>0.9</v>
      </c>
      <c r="K1326" s="133">
        <v>0.897435897435897</v>
      </c>
      <c r="L1326" s="133">
        <v>0.947368421052632</v>
      </c>
      <c r="M1326" s="134">
        <v>0.948717948717949</v>
      </c>
      <c r="N1326" s="133">
        <v>0.942097026604069</v>
      </c>
      <c r="O1326" s="135">
        <v>0.9</v>
      </c>
      <c r="P1326" s="133">
        <v>0.986367281475541</v>
      </c>
      <c r="Q1326" s="133">
        <v>0.986117330944917</v>
      </c>
      <c r="R1326" s="133">
        <v>0.983992467043315</v>
      </c>
      <c r="S1326" s="133">
        <v>0.981243779824942</v>
      </c>
      <c r="T1326" s="135">
        <v>0.9</v>
      </c>
      <c r="U1326" s="133">
        <v>0.966319165998396</v>
      </c>
      <c r="V1326" s="133">
        <v>0.956560680698612</v>
      </c>
      <c r="W1326" s="133">
        <v>0.967514124293785</v>
      </c>
      <c r="X1326" s="133">
        <v>0.958863908949396</v>
      </c>
      <c r="Y1326" s="135">
        <v>0.92</v>
      </c>
      <c r="Z1326" s="135" t="s">
        <v>35</v>
      </c>
      <c r="AA1326" s="135" t="s">
        <v>35</v>
      </c>
      <c r="AB1326" s="135" t="s">
        <v>35</v>
      </c>
      <c r="AC1326" s="135">
        <v>1</v>
      </c>
      <c r="AD1326" s="135">
        <v>0.92</v>
      </c>
      <c r="AE1326" s="133">
        <v>1</v>
      </c>
      <c r="AF1326" s="133">
        <v>1</v>
      </c>
      <c r="AG1326" s="133">
        <v>1</v>
      </c>
      <c r="AH1326" s="133">
        <v>0.998830865159782</v>
      </c>
      <c r="AI1326" s="135">
        <v>0.92</v>
      </c>
      <c r="AJ1326" s="133">
        <v>0.979149959903769</v>
      </c>
      <c r="AK1326" s="133">
        <v>0.976265114196149</v>
      </c>
      <c r="AL1326" s="133">
        <v>0.980225988700565</v>
      </c>
      <c r="AM1326" s="133">
        <v>0.982647749311014</v>
      </c>
      <c r="AN1326" s="132">
        <v>0.99</v>
      </c>
      <c r="AO1326" s="137">
        <v>1</v>
      </c>
      <c r="AP1326" s="137">
        <v>1</v>
      </c>
      <c r="AQ1326" s="137">
        <v>1</v>
      </c>
      <c r="AR1326" s="137">
        <v>1</v>
      </c>
      <c r="AS1326" s="158">
        <v>0.0721861525408278</v>
      </c>
      <c r="AT1326" s="141">
        <v>0</v>
      </c>
      <c r="AU1326" s="141">
        <v>0</v>
      </c>
      <c r="AV1326" s="141">
        <v>0.25</v>
      </c>
      <c r="AW1326" s="141">
        <v>0.0392156862745098</v>
      </c>
      <c r="AX1326" s="95"/>
      <c r="AY1326" s="93"/>
    </row>
    <row r="1327" ht="14.5" spans="1:51">
      <c r="A1327" s="91"/>
      <c r="B1327" s="95"/>
      <c r="C1327" s="152" t="s">
        <v>1085</v>
      </c>
      <c r="D1327" s="153" t="s">
        <v>25</v>
      </c>
      <c r="E1327" s="130" t="s">
        <v>1086</v>
      </c>
      <c r="F1327" s="195" t="s">
        <v>1357</v>
      </c>
      <c r="G1327" s="195" t="s">
        <v>1357</v>
      </c>
      <c r="H1327" s="195" t="s">
        <v>1357</v>
      </c>
      <c r="I1327" s="195" t="s">
        <v>1357</v>
      </c>
      <c r="J1327" s="132">
        <v>0.9</v>
      </c>
      <c r="K1327" s="133">
        <v>0.928571428571429</v>
      </c>
      <c r="L1327" s="133">
        <v>0.879310344827586</v>
      </c>
      <c r="M1327" s="134">
        <v>0.916666666666667</v>
      </c>
      <c r="N1327" s="133">
        <v>0.892857142857143</v>
      </c>
      <c r="O1327" s="135">
        <v>0.9</v>
      </c>
      <c r="P1327" s="133">
        <v>0.976538908246225</v>
      </c>
      <c r="Q1327" s="133">
        <v>0.962076864342072</v>
      </c>
      <c r="R1327" s="133">
        <v>0.972027972027972</v>
      </c>
      <c r="S1327" s="133">
        <v>0.972604969078876</v>
      </c>
      <c r="T1327" s="135">
        <v>0.9</v>
      </c>
      <c r="U1327" s="133">
        <v>0.899419279907085</v>
      </c>
      <c r="V1327" s="133">
        <v>0.879358615423772</v>
      </c>
      <c r="W1327" s="133">
        <v>0.900849150849151</v>
      </c>
      <c r="X1327" s="133">
        <v>0.9209883910166</v>
      </c>
      <c r="Y1327" s="135">
        <v>0.92</v>
      </c>
      <c r="Z1327" s="135">
        <v>0</v>
      </c>
      <c r="AA1327" s="135">
        <v>0</v>
      </c>
      <c r="AB1327" s="135" t="s">
        <v>35</v>
      </c>
      <c r="AC1327" s="135">
        <v>0</v>
      </c>
      <c r="AD1327" s="135">
        <v>0.92</v>
      </c>
      <c r="AE1327" s="133">
        <v>1</v>
      </c>
      <c r="AF1327" s="133">
        <v>1</v>
      </c>
      <c r="AG1327" s="133">
        <v>1</v>
      </c>
      <c r="AH1327" s="133">
        <v>0.995750106247344</v>
      </c>
      <c r="AI1327" s="135">
        <v>0.92</v>
      </c>
      <c r="AJ1327" s="133">
        <v>0.945192754296331</v>
      </c>
      <c r="AK1327" s="133">
        <v>0.933842239185751</v>
      </c>
      <c r="AL1327" s="133">
        <v>0.96028971028971</v>
      </c>
      <c r="AM1327" s="133">
        <v>0.96384496460441</v>
      </c>
      <c r="AN1327" s="132">
        <v>0.99</v>
      </c>
      <c r="AO1327" s="137">
        <v>1</v>
      </c>
      <c r="AP1327" s="137">
        <v>1</v>
      </c>
      <c r="AQ1327" s="137">
        <v>1</v>
      </c>
      <c r="AR1327" s="137">
        <v>1</v>
      </c>
      <c r="AS1327" s="158">
        <v>0.0721861525408278</v>
      </c>
      <c r="AT1327" s="141">
        <v>0</v>
      </c>
      <c r="AU1327" s="141">
        <v>0</v>
      </c>
      <c r="AV1327" s="141">
        <v>0</v>
      </c>
      <c r="AW1327" s="141">
        <v>0.0350194552529183</v>
      </c>
      <c r="AX1327" s="95"/>
      <c r="AY1327" s="93"/>
    </row>
    <row r="1328" ht="14.5" spans="1:51">
      <c r="A1328" s="91"/>
      <c r="B1328" s="95"/>
      <c r="C1328" s="152" t="s">
        <v>1085</v>
      </c>
      <c r="D1328" s="153" t="s">
        <v>25</v>
      </c>
      <c r="E1328" s="130" t="s">
        <v>1086</v>
      </c>
      <c r="F1328" s="195" t="s">
        <v>1358</v>
      </c>
      <c r="G1328" s="195" t="s">
        <v>1358</v>
      </c>
      <c r="H1328" s="195" t="s">
        <v>1358</v>
      </c>
      <c r="I1328" s="195" t="s">
        <v>1358</v>
      </c>
      <c r="J1328" s="132">
        <v>0.9</v>
      </c>
      <c r="K1328" s="133">
        <v>0.932584269662921</v>
      </c>
      <c r="L1328" s="133">
        <v>0.963414634146341</v>
      </c>
      <c r="M1328" s="134">
        <v>0.957446808510638</v>
      </c>
      <c r="N1328" s="133">
        <v>0.954663212435233</v>
      </c>
      <c r="O1328" s="135">
        <v>0.9</v>
      </c>
      <c r="P1328" s="133">
        <v>0.96704472501605</v>
      </c>
      <c r="Q1328" s="133">
        <v>0.974727567818224</v>
      </c>
      <c r="R1328" s="133">
        <v>0.980286045612679</v>
      </c>
      <c r="S1328" s="133">
        <v>0.973807086319259</v>
      </c>
      <c r="T1328" s="135">
        <v>0.9</v>
      </c>
      <c r="U1328" s="133">
        <v>0.943505242884657</v>
      </c>
      <c r="V1328" s="133">
        <v>0.935775562253652</v>
      </c>
      <c r="W1328" s="133">
        <v>0.945883262466177</v>
      </c>
      <c r="X1328" s="133">
        <v>0.939673899473145</v>
      </c>
      <c r="Y1328" s="135">
        <v>0.92</v>
      </c>
      <c r="Z1328" s="135">
        <v>0.941489361702128</v>
      </c>
      <c r="AA1328" s="135">
        <v>0.942880456956344</v>
      </c>
      <c r="AB1328" s="135">
        <v>0.958839050131926</v>
      </c>
      <c r="AC1328" s="135">
        <v>0.955086469989827</v>
      </c>
      <c r="AD1328" s="135">
        <v>0.92</v>
      </c>
      <c r="AE1328" s="133">
        <v>0.986754966887417</v>
      </c>
      <c r="AF1328" s="133">
        <v>0.992471769134254</v>
      </c>
      <c r="AG1328" s="133">
        <v>0.892494929006085</v>
      </c>
      <c r="AH1328" s="133">
        <v>0.979637345226219</v>
      </c>
      <c r="AI1328" s="135">
        <v>0.92</v>
      </c>
      <c r="AJ1328" s="133">
        <v>0.967676767676768</v>
      </c>
      <c r="AK1328" s="133">
        <v>0.96836191602602</v>
      </c>
      <c r="AL1328" s="133">
        <v>0.980336681284482</v>
      </c>
      <c r="AM1328" s="133">
        <v>0.977968514486686</v>
      </c>
      <c r="AN1328" s="132">
        <v>0.99</v>
      </c>
      <c r="AO1328" s="137">
        <v>1</v>
      </c>
      <c r="AP1328" s="137">
        <v>1</v>
      </c>
      <c r="AQ1328" s="137">
        <v>1</v>
      </c>
      <c r="AR1328" s="137">
        <v>1</v>
      </c>
      <c r="AS1328" s="158">
        <v>0.0721861525408278</v>
      </c>
      <c r="AT1328" s="141">
        <v>0</v>
      </c>
      <c r="AU1328" s="141">
        <v>0.130434782608696</v>
      </c>
      <c r="AV1328" s="141">
        <v>0</v>
      </c>
      <c r="AW1328" s="141">
        <v>0.041958041958042</v>
      </c>
      <c r="AX1328" s="95"/>
      <c r="AY1328" s="93"/>
    </row>
    <row r="1329" ht="14.5" spans="1:51">
      <c r="A1329" s="91"/>
      <c r="B1329" s="95"/>
      <c r="C1329" s="152" t="s">
        <v>1085</v>
      </c>
      <c r="D1329" s="153" t="s">
        <v>25</v>
      </c>
      <c r="E1329" s="130" t="s">
        <v>1086</v>
      </c>
      <c r="F1329" s="195" t="s">
        <v>1359</v>
      </c>
      <c r="G1329" s="195" t="s">
        <v>1359</v>
      </c>
      <c r="H1329" s="195" t="s">
        <v>1359</v>
      </c>
      <c r="I1329" s="195" t="s">
        <v>1359</v>
      </c>
      <c r="J1329" s="132">
        <v>0.9</v>
      </c>
      <c r="K1329" s="133">
        <v>1</v>
      </c>
      <c r="L1329" s="133">
        <v>1</v>
      </c>
      <c r="M1329" s="134">
        <v>1</v>
      </c>
      <c r="N1329" s="133">
        <v>0.996805111821086</v>
      </c>
      <c r="O1329" s="135">
        <v>0.9</v>
      </c>
      <c r="P1329" s="133">
        <v>0.9920049200492</v>
      </c>
      <c r="Q1329" s="133">
        <v>0.996734160679295</v>
      </c>
      <c r="R1329" s="133">
        <v>0.991698595146871</v>
      </c>
      <c r="S1329" s="133">
        <v>0.994064433081846</v>
      </c>
      <c r="T1329" s="135">
        <v>0.9</v>
      </c>
      <c r="U1329" s="133">
        <v>0.970479704797048</v>
      </c>
      <c r="V1329" s="133">
        <v>0.96995427824951</v>
      </c>
      <c r="W1329" s="133">
        <v>0.969348659003831</v>
      </c>
      <c r="X1329" s="133">
        <v>0.968033754067294</v>
      </c>
      <c r="Y1329" s="135">
        <v>0.92</v>
      </c>
      <c r="Z1329" s="135" t="s">
        <v>35</v>
      </c>
      <c r="AA1329" s="135" t="s">
        <v>35</v>
      </c>
      <c r="AB1329" s="135" t="s">
        <v>35</v>
      </c>
      <c r="AC1329" s="135">
        <v>1</v>
      </c>
      <c r="AD1329" s="135">
        <v>0.92</v>
      </c>
      <c r="AE1329" s="133">
        <v>1</v>
      </c>
      <c r="AF1329" s="133">
        <v>1</v>
      </c>
      <c r="AG1329" s="133">
        <v>0.99825479930192</v>
      </c>
      <c r="AH1329" s="133">
        <v>0.999511062217333</v>
      </c>
      <c r="AI1329" s="135">
        <v>0.92</v>
      </c>
      <c r="AJ1329" s="133">
        <v>0.988314883148832</v>
      </c>
      <c r="AK1329" s="133">
        <v>0.990208877284595</v>
      </c>
      <c r="AL1329" s="133">
        <v>0.991060025542784</v>
      </c>
      <c r="AM1329" s="133">
        <v>0.992742483286261</v>
      </c>
      <c r="AN1329" s="132">
        <v>0.99</v>
      </c>
      <c r="AO1329" s="137">
        <v>1</v>
      </c>
      <c r="AP1329" s="137">
        <v>1</v>
      </c>
      <c r="AQ1329" s="137">
        <v>1</v>
      </c>
      <c r="AR1329" s="137">
        <v>1</v>
      </c>
      <c r="AS1329" s="158">
        <v>0.0721861525408278</v>
      </c>
      <c r="AT1329" s="141">
        <v>0</v>
      </c>
      <c r="AU1329" s="141">
        <v>0</v>
      </c>
      <c r="AV1329" s="141">
        <v>0.142857142857143</v>
      </c>
      <c r="AW1329" s="141">
        <v>0.032967032967033</v>
      </c>
      <c r="AX1329" s="95"/>
      <c r="AY1329" s="93"/>
    </row>
    <row r="1330" ht="14.5" spans="1:51">
      <c r="A1330" s="91"/>
      <c r="B1330" s="95"/>
      <c r="C1330" s="152" t="s">
        <v>1085</v>
      </c>
      <c r="D1330" s="153" t="s">
        <v>25</v>
      </c>
      <c r="E1330" s="130" t="s">
        <v>1086</v>
      </c>
      <c r="F1330" s="195" t="s">
        <v>1360</v>
      </c>
      <c r="G1330" s="195" t="s">
        <v>1360</v>
      </c>
      <c r="H1330" s="195" t="s">
        <v>1360</v>
      </c>
      <c r="I1330" s="195" t="s">
        <v>1360</v>
      </c>
      <c r="J1330" s="132">
        <v>0.9</v>
      </c>
      <c r="K1330" s="133">
        <v>0.931034482758621</v>
      </c>
      <c r="L1330" s="133">
        <v>1</v>
      </c>
      <c r="M1330" s="134">
        <v>1</v>
      </c>
      <c r="N1330" s="133">
        <v>0.975806451612903</v>
      </c>
      <c r="O1330" s="135">
        <v>0.9</v>
      </c>
      <c r="P1330" s="133">
        <v>0.989570296203588</v>
      </c>
      <c r="Q1330" s="133">
        <v>0.988290398126464</v>
      </c>
      <c r="R1330" s="133">
        <v>0.989100817438692</v>
      </c>
      <c r="S1330" s="133">
        <v>0.983832247317623</v>
      </c>
      <c r="T1330" s="135">
        <v>0.9</v>
      </c>
      <c r="U1330" s="133">
        <v>0.974551522736754</v>
      </c>
      <c r="V1330" s="133">
        <v>0.976580796252927</v>
      </c>
      <c r="W1330" s="133">
        <v>0.977293369663942</v>
      </c>
      <c r="X1330" s="133">
        <v>0.975135956102102</v>
      </c>
      <c r="Y1330" s="135">
        <v>0.92</v>
      </c>
      <c r="Z1330" s="135" t="s">
        <v>35</v>
      </c>
      <c r="AA1330" s="135" t="s">
        <v>35</v>
      </c>
      <c r="AB1330" s="135" t="s">
        <v>35</v>
      </c>
      <c r="AC1330" s="135">
        <v>1</v>
      </c>
      <c r="AD1330" s="135">
        <v>0.92</v>
      </c>
      <c r="AE1330" s="133">
        <v>0.997572815533981</v>
      </c>
      <c r="AF1330" s="133">
        <v>0.997584541062802</v>
      </c>
      <c r="AG1330" s="133">
        <v>0.935528120713306</v>
      </c>
      <c r="AH1330" s="133">
        <v>0.993644741023197</v>
      </c>
      <c r="AI1330" s="135">
        <v>0.92</v>
      </c>
      <c r="AJ1330" s="133">
        <v>0.988735919899875</v>
      </c>
      <c r="AK1330" s="133">
        <v>0.99016393442623</v>
      </c>
      <c r="AL1330" s="133">
        <v>0.992733878292461</v>
      </c>
      <c r="AM1330" s="133">
        <v>0.991377621007251</v>
      </c>
      <c r="AN1330" s="132">
        <v>0.99</v>
      </c>
      <c r="AO1330" s="137">
        <v>1</v>
      </c>
      <c r="AP1330" s="137">
        <v>1</v>
      </c>
      <c r="AQ1330" s="137">
        <v>1</v>
      </c>
      <c r="AR1330" s="137">
        <v>1</v>
      </c>
      <c r="AS1330" s="158">
        <v>0.0721861525408278</v>
      </c>
      <c r="AT1330" s="141">
        <v>0</v>
      </c>
      <c r="AU1330" s="141">
        <v>0</v>
      </c>
      <c r="AV1330" s="141">
        <v>0</v>
      </c>
      <c r="AW1330" s="141">
        <v>0.0214285714285714</v>
      </c>
      <c r="AX1330" s="95"/>
      <c r="AY1330" s="93"/>
    </row>
    <row r="1331" ht="14.5" spans="1:51">
      <c r="A1331" s="91"/>
      <c r="B1331" s="95"/>
      <c r="C1331" s="152" t="s">
        <v>1085</v>
      </c>
      <c r="D1331" s="153" t="s">
        <v>25</v>
      </c>
      <c r="E1331" s="130" t="s">
        <v>1086</v>
      </c>
      <c r="F1331" s="195" t="s">
        <v>1361</v>
      </c>
      <c r="G1331" s="195" t="s">
        <v>1361</v>
      </c>
      <c r="H1331" s="195" t="s">
        <v>1361</v>
      </c>
      <c r="I1331" s="195" t="s">
        <v>1361</v>
      </c>
      <c r="J1331" s="132">
        <v>0.9</v>
      </c>
      <c r="K1331" s="133">
        <v>1</v>
      </c>
      <c r="L1331" s="133">
        <v>0.977272727272727</v>
      </c>
      <c r="M1331" s="134">
        <v>1</v>
      </c>
      <c r="N1331" s="133">
        <v>0.991315136476427</v>
      </c>
      <c r="O1331" s="135">
        <v>0.9</v>
      </c>
      <c r="P1331" s="133">
        <v>0.995571021828535</v>
      </c>
      <c r="Q1331" s="133">
        <v>0.991519674355495</v>
      </c>
      <c r="R1331" s="133">
        <v>0.996899758870134</v>
      </c>
      <c r="S1331" s="133">
        <v>0.983209592464091</v>
      </c>
      <c r="T1331" s="135">
        <v>0.9</v>
      </c>
      <c r="U1331" s="133">
        <v>0.966466308130339</v>
      </c>
      <c r="V1331" s="133">
        <v>0.968113975576662</v>
      </c>
      <c r="W1331" s="133">
        <v>0.980365139510851</v>
      </c>
      <c r="X1331" s="133">
        <v>0.965232710733996</v>
      </c>
      <c r="Y1331" s="135">
        <v>0.92</v>
      </c>
      <c r="Z1331" s="135" t="s">
        <v>35</v>
      </c>
      <c r="AA1331" s="135" t="s">
        <v>35</v>
      </c>
      <c r="AB1331" s="135" t="s">
        <v>35</v>
      </c>
      <c r="AC1331" s="135" t="s">
        <v>35</v>
      </c>
      <c r="AD1331" s="135">
        <v>0.92</v>
      </c>
      <c r="AE1331" s="133">
        <v>0.991329479768786</v>
      </c>
      <c r="AF1331" s="133">
        <v>0.996433666191155</v>
      </c>
      <c r="AG1331" s="133">
        <v>0.996163236832926</v>
      </c>
      <c r="AH1331" s="133">
        <v>0.997949138638228</v>
      </c>
      <c r="AI1331" s="135">
        <v>0.92</v>
      </c>
      <c r="AJ1331" s="133">
        <v>0.981651376146789</v>
      </c>
      <c r="AK1331" s="133">
        <v>0.978968792401628</v>
      </c>
      <c r="AL1331" s="133">
        <v>0.9900103341371</v>
      </c>
      <c r="AM1331" s="133">
        <v>0.984899962249906</v>
      </c>
      <c r="AN1331" s="132">
        <v>0.99</v>
      </c>
      <c r="AO1331" s="137">
        <v>1</v>
      </c>
      <c r="AP1331" s="137">
        <v>1</v>
      </c>
      <c r="AQ1331" s="137">
        <v>1</v>
      </c>
      <c r="AR1331" s="137">
        <v>1</v>
      </c>
      <c r="AS1331" s="158">
        <v>0.0721861525408278</v>
      </c>
      <c r="AT1331" s="141">
        <v>0.153846153846154</v>
      </c>
      <c r="AU1331" s="141">
        <v>0</v>
      </c>
      <c r="AV1331" s="141">
        <v>0</v>
      </c>
      <c r="AW1331" s="141">
        <v>0.0432432432432432</v>
      </c>
      <c r="AX1331" s="95"/>
      <c r="AY1331" s="93"/>
    </row>
    <row r="1332" ht="14.5" spans="1:51">
      <c r="A1332" s="91"/>
      <c r="B1332" s="95"/>
      <c r="C1332" s="152" t="s">
        <v>1085</v>
      </c>
      <c r="D1332" s="153" t="s">
        <v>25</v>
      </c>
      <c r="E1332" s="130" t="s">
        <v>1086</v>
      </c>
      <c r="F1332" s="195" t="s">
        <v>1362</v>
      </c>
      <c r="G1332" s="195" t="s">
        <v>1362</v>
      </c>
      <c r="H1332" s="195" t="s">
        <v>1362</v>
      </c>
      <c r="I1332" s="195" t="s">
        <v>1362</v>
      </c>
      <c r="J1332" s="132">
        <v>0.9</v>
      </c>
      <c r="K1332" s="133">
        <v>0.977777777777778</v>
      </c>
      <c r="L1332" s="133">
        <v>0.951219512195122</v>
      </c>
      <c r="M1332" s="134">
        <v>0.9375</v>
      </c>
      <c r="N1332" s="133">
        <v>0.967948717948718</v>
      </c>
      <c r="O1332" s="135">
        <v>0.9</v>
      </c>
      <c r="P1332" s="133">
        <v>0.994300518134715</v>
      </c>
      <c r="Q1332" s="133">
        <v>0.993949870354365</v>
      </c>
      <c r="R1332" s="133">
        <v>0.990476190476191</v>
      </c>
      <c r="S1332" s="133">
        <v>0.984678335985451</v>
      </c>
      <c r="T1332" s="135">
        <v>0.9</v>
      </c>
      <c r="U1332" s="133">
        <v>0.961139896373057</v>
      </c>
      <c r="V1332" s="133">
        <v>0.958801498127341</v>
      </c>
      <c r="W1332" s="133">
        <v>0.974509803921569</v>
      </c>
      <c r="X1332" s="133">
        <v>0.972918087444116</v>
      </c>
      <c r="Y1332" s="135">
        <v>0.92</v>
      </c>
      <c r="Z1332" s="135" t="s">
        <v>35</v>
      </c>
      <c r="AA1332" s="135" t="s">
        <v>35</v>
      </c>
      <c r="AB1332" s="135" t="s">
        <v>35</v>
      </c>
      <c r="AC1332" s="135" t="s">
        <v>35</v>
      </c>
      <c r="AD1332" s="135">
        <v>0.92</v>
      </c>
      <c r="AE1332" s="133">
        <v>1</v>
      </c>
      <c r="AF1332" s="133">
        <v>1</v>
      </c>
      <c r="AG1332" s="133">
        <v>0.810185185185185</v>
      </c>
      <c r="AH1332" s="133">
        <v>0.987528344671202</v>
      </c>
      <c r="AI1332" s="135">
        <v>0.92</v>
      </c>
      <c r="AJ1332" s="133">
        <v>0.987305699481865</v>
      </c>
      <c r="AK1332" s="133">
        <v>0.984442523768366</v>
      </c>
      <c r="AL1332" s="133">
        <v>0.99327731092437</v>
      </c>
      <c r="AM1332" s="133">
        <v>0.992877169053573</v>
      </c>
      <c r="AN1332" s="132">
        <v>0.99</v>
      </c>
      <c r="AO1332" s="137">
        <v>1</v>
      </c>
      <c r="AP1332" s="137">
        <v>1</v>
      </c>
      <c r="AQ1332" s="137">
        <v>1</v>
      </c>
      <c r="AR1332" s="137">
        <v>1</v>
      </c>
      <c r="AS1332" s="158">
        <v>0.0721861525408278</v>
      </c>
      <c r="AT1332" s="141">
        <v>0.05</v>
      </c>
      <c r="AU1332" s="141">
        <v>0</v>
      </c>
      <c r="AV1332" s="141">
        <v>0.0384615384615385</v>
      </c>
      <c r="AW1332" s="141">
        <v>0.0243055555555556</v>
      </c>
      <c r="AX1332" s="95"/>
      <c r="AY1332" s="93"/>
    </row>
    <row r="1333" ht="14.5" spans="1:51">
      <c r="A1333" s="91"/>
      <c r="B1333" s="95"/>
      <c r="C1333" s="152" t="s">
        <v>1085</v>
      </c>
      <c r="D1333" s="153" t="s">
        <v>25</v>
      </c>
      <c r="E1333" s="130" t="s">
        <v>1086</v>
      </c>
      <c r="F1333" s="195" t="s">
        <v>1363</v>
      </c>
      <c r="G1333" s="195" t="s">
        <v>1363</v>
      </c>
      <c r="H1333" s="195" t="s">
        <v>1363</v>
      </c>
      <c r="I1333" s="195" t="s">
        <v>1363</v>
      </c>
      <c r="J1333" s="132">
        <v>0.9</v>
      </c>
      <c r="K1333" s="133">
        <v>0.988636363636364</v>
      </c>
      <c r="L1333" s="133">
        <v>0.963855421686747</v>
      </c>
      <c r="M1333" s="134">
        <v>0.951807228915663</v>
      </c>
      <c r="N1333" s="133">
        <v>0.939306358381503</v>
      </c>
      <c r="O1333" s="135">
        <v>0.9</v>
      </c>
      <c r="P1333" s="133">
        <v>0.979926165205353</v>
      </c>
      <c r="Q1333" s="133">
        <v>0.979057591623037</v>
      </c>
      <c r="R1333" s="133">
        <v>0.952627045650301</v>
      </c>
      <c r="S1333" s="133">
        <v>0.951247522045253</v>
      </c>
      <c r="T1333" s="135">
        <v>0.9</v>
      </c>
      <c r="U1333" s="133">
        <v>0.941624365482233</v>
      </c>
      <c r="V1333" s="133">
        <v>0.930890052356021</v>
      </c>
      <c r="W1333" s="133">
        <v>0.934539190353144</v>
      </c>
      <c r="X1333" s="133">
        <v>0.921060906418757</v>
      </c>
      <c r="Y1333" s="135">
        <v>0.92</v>
      </c>
      <c r="Z1333" s="135">
        <v>0.914927768860353</v>
      </c>
      <c r="AA1333" s="135">
        <v>0.924632352941177</v>
      </c>
      <c r="AB1333" s="135">
        <v>0.928026172300981</v>
      </c>
      <c r="AC1333" s="135">
        <v>0.921134123128498</v>
      </c>
      <c r="AD1333" s="135">
        <v>0.92</v>
      </c>
      <c r="AE1333" s="133">
        <v>0.988984088127295</v>
      </c>
      <c r="AF1333" s="133">
        <v>0.997011952191235</v>
      </c>
      <c r="AG1333" s="133">
        <v>0.998436278342455</v>
      </c>
      <c r="AH1333" s="133">
        <v>0.998056872037915</v>
      </c>
      <c r="AI1333" s="135">
        <v>0.92</v>
      </c>
      <c r="AJ1333" s="133">
        <v>0.956493715758943</v>
      </c>
      <c r="AK1333" s="133">
        <v>0.955136757838559</v>
      </c>
      <c r="AL1333" s="133">
        <v>0.966656375424514</v>
      </c>
      <c r="AM1333" s="133">
        <v>0.959160129210891</v>
      </c>
      <c r="AN1333" s="132">
        <v>0.99</v>
      </c>
      <c r="AO1333" s="137">
        <v>1</v>
      </c>
      <c r="AP1333" s="137">
        <v>1</v>
      </c>
      <c r="AQ1333" s="137">
        <v>1</v>
      </c>
      <c r="AR1333" s="137">
        <v>1</v>
      </c>
      <c r="AS1333" s="158">
        <v>0.0721861525408278</v>
      </c>
      <c r="AT1333" s="141">
        <v>0.0952380952380952</v>
      </c>
      <c r="AU1333" s="141">
        <v>0</v>
      </c>
      <c r="AV1333" s="141">
        <v>0.0625</v>
      </c>
      <c r="AW1333" s="141">
        <v>0.0306122448979592</v>
      </c>
      <c r="AX1333" s="95"/>
      <c r="AY1333" s="93"/>
    </row>
    <row r="1334" ht="14.5" spans="1:51">
      <c r="A1334" s="91"/>
      <c r="B1334" s="95"/>
      <c r="C1334" s="152" t="s">
        <v>1085</v>
      </c>
      <c r="D1334" s="153" t="s">
        <v>25</v>
      </c>
      <c r="E1334" s="130" t="s">
        <v>1086</v>
      </c>
      <c r="F1334" s="195" t="s">
        <v>1364</v>
      </c>
      <c r="G1334" s="195" t="s">
        <v>1364</v>
      </c>
      <c r="H1334" s="195" t="s">
        <v>1364</v>
      </c>
      <c r="I1334" s="195" t="s">
        <v>1364</v>
      </c>
      <c r="J1334" s="132">
        <v>0.9</v>
      </c>
      <c r="K1334" s="133">
        <v>0.953488372093023</v>
      </c>
      <c r="L1334" s="133">
        <v>0.951219512195122</v>
      </c>
      <c r="M1334" s="134">
        <v>1</v>
      </c>
      <c r="N1334" s="133">
        <v>0.946206896551724</v>
      </c>
      <c r="O1334" s="135">
        <v>0.9</v>
      </c>
      <c r="P1334" s="133">
        <v>0.93964794635373</v>
      </c>
      <c r="Q1334" s="133">
        <v>0.971728081321474</v>
      </c>
      <c r="R1334" s="133">
        <v>0.990147783251232</v>
      </c>
      <c r="S1334" s="133">
        <v>0.9407746081062</v>
      </c>
      <c r="T1334" s="135">
        <v>0.9</v>
      </c>
      <c r="U1334" s="133">
        <v>0.907795473595977</v>
      </c>
      <c r="V1334" s="133">
        <v>0.943456162642948</v>
      </c>
      <c r="W1334" s="133">
        <v>0.963218390804598</v>
      </c>
      <c r="X1334" s="133">
        <v>0.915866403050417</v>
      </c>
      <c r="Y1334" s="135">
        <v>0.92</v>
      </c>
      <c r="Z1334" s="135" t="s">
        <v>35</v>
      </c>
      <c r="AA1334" s="135" t="s">
        <v>35</v>
      </c>
      <c r="AB1334" s="135">
        <v>1</v>
      </c>
      <c r="AC1334" s="135">
        <v>1</v>
      </c>
      <c r="AD1334" s="135">
        <v>0.92</v>
      </c>
      <c r="AE1334" s="133">
        <v>1</v>
      </c>
      <c r="AF1334" s="133">
        <v>0.978947368421053</v>
      </c>
      <c r="AG1334" s="133">
        <v>1</v>
      </c>
      <c r="AH1334" s="133">
        <v>0.991462720546386</v>
      </c>
      <c r="AI1334" s="135">
        <v>0.92</v>
      </c>
      <c r="AJ1334" s="133">
        <v>0.968985750209556</v>
      </c>
      <c r="AK1334" s="133">
        <v>0.977445997458704</v>
      </c>
      <c r="AL1334" s="133">
        <v>0.979973736047275</v>
      </c>
      <c r="AM1334" s="133">
        <v>0.974703878267931</v>
      </c>
      <c r="AN1334" s="132">
        <v>0.99</v>
      </c>
      <c r="AO1334" s="137">
        <v>1</v>
      </c>
      <c r="AP1334" s="137">
        <v>1</v>
      </c>
      <c r="AQ1334" s="137">
        <v>1</v>
      </c>
      <c r="AR1334" s="137">
        <v>1</v>
      </c>
      <c r="AS1334" s="158">
        <v>0.0721861525408278</v>
      </c>
      <c r="AT1334" s="141">
        <v>0.25</v>
      </c>
      <c r="AU1334" s="141">
        <v>0</v>
      </c>
      <c r="AV1334" s="141">
        <v>0.111111111111111</v>
      </c>
      <c r="AW1334" s="141">
        <v>0.0694444444444444</v>
      </c>
      <c r="AX1334" s="95"/>
      <c r="AY1334" s="93"/>
    </row>
    <row r="1335" ht="14.5" spans="1:51">
      <c r="A1335" s="91"/>
      <c r="B1335" s="95"/>
      <c r="C1335" s="152" t="s">
        <v>1085</v>
      </c>
      <c r="D1335" s="153" t="s">
        <v>25</v>
      </c>
      <c r="E1335" s="130" t="s">
        <v>1086</v>
      </c>
      <c r="F1335" s="195" t="s">
        <v>1365</v>
      </c>
      <c r="G1335" s="195" t="s">
        <v>1365</v>
      </c>
      <c r="H1335" s="195" t="s">
        <v>1365</v>
      </c>
      <c r="I1335" s="195" t="s">
        <v>1365</v>
      </c>
      <c r="J1335" s="132">
        <v>0.9</v>
      </c>
      <c r="K1335" s="133">
        <v>0.96875</v>
      </c>
      <c r="L1335" s="133">
        <v>1</v>
      </c>
      <c r="M1335" s="134">
        <v>1</v>
      </c>
      <c r="N1335" s="133">
        <v>0.983899821109123</v>
      </c>
      <c r="O1335" s="135">
        <v>0.9</v>
      </c>
      <c r="P1335" s="133">
        <v>0.993558165971959</v>
      </c>
      <c r="Q1335" s="133">
        <v>0.987852494577007</v>
      </c>
      <c r="R1335" s="133">
        <v>0.936196319018405</v>
      </c>
      <c r="S1335" s="133">
        <v>0.981241635856375</v>
      </c>
      <c r="T1335" s="135">
        <v>0.9</v>
      </c>
      <c r="U1335" s="133">
        <v>0.957938613111027</v>
      </c>
      <c r="V1335" s="133">
        <v>0.954013015184382</v>
      </c>
      <c r="W1335" s="133">
        <v>0.977505112474438</v>
      </c>
      <c r="X1335" s="133">
        <v>0.966770249733482</v>
      </c>
      <c r="Y1335" s="135">
        <v>0.92</v>
      </c>
      <c r="Z1335" s="135" t="s">
        <v>35</v>
      </c>
      <c r="AA1335" s="135" t="s">
        <v>35</v>
      </c>
      <c r="AB1335" s="135" t="s">
        <v>35</v>
      </c>
      <c r="AC1335" s="135" t="s">
        <v>35</v>
      </c>
      <c r="AD1335" s="135">
        <v>0.92</v>
      </c>
      <c r="AE1335" s="133">
        <v>0.999377722464219</v>
      </c>
      <c r="AF1335" s="133">
        <v>0.999589827727646</v>
      </c>
      <c r="AG1335" s="133">
        <v>1</v>
      </c>
      <c r="AH1335" s="133">
        <v>0.999305783211524</v>
      </c>
      <c r="AI1335" s="135">
        <v>0.92</v>
      </c>
      <c r="AJ1335" s="133">
        <v>0.985600606290261</v>
      </c>
      <c r="AK1335" s="133">
        <v>0.976138828633406</v>
      </c>
      <c r="AL1335" s="133">
        <v>0.986912065439673</v>
      </c>
      <c r="AM1335" s="133">
        <v>0.982308111050626</v>
      </c>
      <c r="AN1335" s="132">
        <v>0.99</v>
      </c>
      <c r="AO1335" s="137">
        <v>1</v>
      </c>
      <c r="AP1335" s="137">
        <v>1</v>
      </c>
      <c r="AQ1335" s="137">
        <v>1</v>
      </c>
      <c r="AR1335" s="137">
        <v>1</v>
      </c>
      <c r="AS1335" s="158">
        <v>0.0721861525408278</v>
      </c>
      <c r="AT1335" s="141">
        <v>0</v>
      </c>
      <c r="AU1335" s="141">
        <v>0</v>
      </c>
      <c r="AV1335" s="141">
        <v>0</v>
      </c>
      <c r="AW1335" s="141">
        <v>0.0165289256198347</v>
      </c>
      <c r="AX1335" s="95"/>
      <c r="AY1335" s="93"/>
    </row>
    <row r="1336" ht="14.5" spans="1:51">
      <c r="A1336" s="91"/>
      <c r="B1336" s="95"/>
      <c r="C1336" s="152" t="s">
        <v>1085</v>
      </c>
      <c r="D1336" s="153" t="s">
        <v>25</v>
      </c>
      <c r="E1336" s="130" t="s">
        <v>1086</v>
      </c>
      <c r="F1336" s="195" t="s">
        <v>1366</v>
      </c>
      <c r="G1336" s="195" t="s">
        <v>1366</v>
      </c>
      <c r="H1336" s="195" t="s">
        <v>1366</v>
      </c>
      <c r="I1336" s="195" t="s">
        <v>1366</v>
      </c>
      <c r="J1336" s="132">
        <v>0.9</v>
      </c>
      <c r="K1336" s="133">
        <v>0.952380952380952</v>
      </c>
      <c r="L1336" s="133">
        <v>0.954545454545455</v>
      </c>
      <c r="M1336" s="134">
        <v>1</v>
      </c>
      <c r="N1336" s="133">
        <v>0.964673913043478</v>
      </c>
      <c r="O1336" s="135">
        <v>0.9</v>
      </c>
      <c r="P1336" s="133">
        <v>0.926694329183956</v>
      </c>
      <c r="Q1336" s="133">
        <v>0.95361328125</v>
      </c>
      <c r="R1336" s="133">
        <v>0.979224376731302</v>
      </c>
      <c r="S1336" s="133">
        <v>0.954903505317054</v>
      </c>
      <c r="T1336" s="135">
        <v>0.9</v>
      </c>
      <c r="U1336" s="133">
        <v>0.889349930843707</v>
      </c>
      <c r="V1336" s="133">
        <v>0.9375</v>
      </c>
      <c r="W1336" s="133">
        <v>0.936288088642659</v>
      </c>
      <c r="X1336" s="133">
        <v>0.926658414448883</v>
      </c>
      <c r="Y1336" s="135">
        <v>0.92</v>
      </c>
      <c r="Z1336" s="135" t="s">
        <v>35</v>
      </c>
      <c r="AA1336" s="135" t="s">
        <v>35</v>
      </c>
      <c r="AB1336" s="135" t="s">
        <v>35</v>
      </c>
      <c r="AC1336" s="135">
        <v>1</v>
      </c>
      <c r="AD1336" s="135">
        <v>0.92</v>
      </c>
      <c r="AE1336" s="133">
        <v>0.960526315789474</v>
      </c>
      <c r="AF1336" s="133">
        <v>0.998609179415855</v>
      </c>
      <c r="AG1336" s="133">
        <v>0.980716253443526</v>
      </c>
      <c r="AH1336" s="133">
        <v>0.99220060382422</v>
      </c>
      <c r="AI1336" s="135">
        <v>0.92</v>
      </c>
      <c r="AJ1336" s="133">
        <v>0.95850622406639</v>
      </c>
      <c r="AK1336" s="133">
        <v>0.95458984375</v>
      </c>
      <c r="AL1336" s="133">
        <v>0.97460757156048</v>
      </c>
      <c r="AM1336" s="133">
        <v>0.962669142262357</v>
      </c>
      <c r="AN1336" s="132">
        <v>0.99</v>
      </c>
      <c r="AO1336" s="137" t="s">
        <v>35</v>
      </c>
      <c r="AP1336" s="137">
        <v>1</v>
      </c>
      <c r="AQ1336" s="137">
        <v>1</v>
      </c>
      <c r="AR1336" s="137">
        <v>1</v>
      </c>
      <c r="AS1336" s="158">
        <v>0.0721861525408278</v>
      </c>
      <c r="AT1336" s="141">
        <v>0</v>
      </c>
      <c r="AU1336" s="141">
        <v>0</v>
      </c>
      <c r="AV1336" s="141">
        <v>0</v>
      </c>
      <c r="AW1336" s="141">
        <v>0.05</v>
      </c>
      <c r="AX1336" s="95"/>
      <c r="AY1336" s="93"/>
    </row>
    <row r="1337" ht="14.5" spans="1:51">
      <c r="A1337" s="91"/>
      <c r="B1337" s="95"/>
      <c r="C1337" s="152" t="s">
        <v>1085</v>
      </c>
      <c r="D1337" s="153" t="s">
        <v>25</v>
      </c>
      <c r="E1337" s="130" t="s">
        <v>1086</v>
      </c>
      <c r="F1337" s="195" t="s">
        <v>1367</v>
      </c>
      <c r="G1337" s="195" t="s">
        <v>1367</v>
      </c>
      <c r="H1337" s="195" t="s">
        <v>1367</v>
      </c>
      <c r="I1337" s="195" t="s">
        <v>1367</v>
      </c>
      <c r="J1337" s="132">
        <v>0.9</v>
      </c>
      <c r="K1337" s="133">
        <v>0.921052631578947</v>
      </c>
      <c r="L1337" s="133">
        <v>0.885714285714286</v>
      </c>
      <c r="M1337" s="134">
        <v>0.871794871794872</v>
      </c>
      <c r="N1337" s="133">
        <v>0.896713615023474</v>
      </c>
      <c r="O1337" s="135">
        <v>0.9</v>
      </c>
      <c r="P1337" s="133">
        <v>0.977521775779713</v>
      </c>
      <c r="Q1337" s="133">
        <v>0.906638375265232</v>
      </c>
      <c r="R1337" s="133">
        <v>0.964663243733011</v>
      </c>
      <c r="S1337" s="133">
        <v>0.921957473733287</v>
      </c>
      <c r="T1337" s="135">
        <v>0.9</v>
      </c>
      <c r="U1337" s="133">
        <v>0.908682214105086</v>
      </c>
      <c r="V1337" s="133">
        <v>0.842376477720521</v>
      </c>
      <c r="W1337" s="133">
        <v>0.932648746602235</v>
      </c>
      <c r="X1337" s="133">
        <v>0.874352698269977</v>
      </c>
      <c r="Y1337" s="135">
        <v>0.92</v>
      </c>
      <c r="Z1337" s="135" t="s">
        <v>35</v>
      </c>
      <c r="AA1337" s="135">
        <v>0</v>
      </c>
      <c r="AB1337" s="135" t="s">
        <v>35</v>
      </c>
      <c r="AC1337" s="135">
        <v>0</v>
      </c>
      <c r="AD1337" s="135">
        <v>0.92</v>
      </c>
      <c r="AE1337" s="133">
        <v>0.988636363636364</v>
      </c>
      <c r="AF1337" s="133">
        <v>0.994565217391304</v>
      </c>
      <c r="AG1337" s="133">
        <v>0.721649484536082</v>
      </c>
      <c r="AH1337" s="133">
        <v>0.959471630141099</v>
      </c>
      <c r="AI1337" s="135">
        <v>0.92</v>
      </c>
      <c r="AJ1337" s="133">
        <v>0.965720708064063</v>
      </c>
      <c r="AK1337" s="133">
        <v>0.960909090909091</v>
      </c>
      <c r="AL1337" s="133">
        <v>0.974327997583811</v>
      </c>
      <c r="AM1337" s="133">
        <v>0.969646514260977</v>
      </c>
      <c r="AN1337" s="132">
        <v>0.99</v>
      </c>
      <c r="AO1337" s="137">
        <v>1</v>
      </c>
      <c r="AP1337" s="137">
        <v>1</v>
      </c>
      <c r="AQ1337" s="137">
        <v>1</v>
      </c>
      <c r="AR1337" s="137">
        <v>1</v>
      </c>
      <c r="AS1337" s="158">
        <v>0.0721861525408278</v>
      </c>
      <c r="AT1337" s="141">
        <v>0</v>
      </c>
      <c r="AU1337" s="141">
        <v>0.111111111111111</v>
      </c>
      <c r="AV1337" s="141">
        <v>0</v>
      </c>
      <c r="AW1337" s="141">
        <v>0.0829015544041451</v>
      </c>
      <c r="AX1337" s="95"/>
      <c r="AY1337" s="93"/>
    </row>
    <row r="1338" ht="14.5" spans="1:51">
      <c r="A1338" s="91"/>
      <c r="B1338" s="95"/>
      <c r="C1338" s="152" t="s">
        <v>1085</v>
      </c>
      <c r="D1338" s="153" t="s">
        <v>25</v>
      </c>
      <c r="E1338" s="130" t="s">
        <v>1086</v>
      </c>
      <c r="F1338" s="195" t="s">
        <v>1368</v>
      </c>
      <c r="G1338" s="195" t="s">
        <v>1368</v>
      </c>
      <c r="H1338" s="195" t="s">
        <v>1368</v>
      </c>
      <c r="I1338" s="195" t="s">
        <v>1368</v>
      </c>
      <c r="J1338" s="132">
        <v>0.9</v>
      </c>
      <c r="K1338" s="133" t="s">
        <v>35</v>
      </c>
      <c r="L1338" s="133" t="s">
        <v>35</v>
      </c>
      <c r="M1338" s="134" t="s">
        <v>35</v>
      </c>
      <c r="N1338" s="133" t="s">
        <v>35</v>
      </c>
      <c r="O1338" s="135">
        <v>0.9</v>
      </c>
      <c r="P1338" s="133">
        <v>0</v>
      </c>
      <c r="Q1338" s="133">
        <v>0</v>
      </c>
      <c r="R1338" s="133">
        <v>0</v>
      </c>
      <c r="S1338" s="133">
        <v>0</v>
      </c>
      <c r="T1338" s="135">
        <v>0.9</v>
      </c>
      <c r="U1338" s="133">
        <v>1</v>
      </c>
      <c r="V1338" s="133">
        <v>1</v>
      </c>
      <c r="W1338" s="133">
        <v>1</v>
      </c>
      <c r="X1338" s="133">
        <v>1</v>
      </c>
      <c r="Y1338" s="135">
        <v>0.92</v>
      </c>
      <c r="Z1338" s="135">
        <v>1</v>
      </c>
      <c r="AA1338" s="135" t="s">
        <v>35</v>
      </c>
      <c r="AB1338" s="135">
        <v>1</v>
      </c>
      <c r="AC1338" s="135">
        <v>1</v>
      </c>
      <c r="AD1338" s="135">
        <v>0.92</v>
      </c>
      <c r="AE1338" s="133">
        <v>1</v>
      </c>
      <c r="AF1338" s="133">
        <v>1</v>
      </c>
      <c r="AG1338" s="133">
        <v>1</v>
      </c>
      <c r="AH1338" s="133">
        <v>0.997634069400631</v>
      </c>
      <c r="AI1338" s="135">
        <v>0.92</v>
      </c>
      <c r="AJ1338" s="133">
        <v>1</v>
      </c>
      <c r="AK1338" s="133">
        <v>1</v>
      </c>
      <c r="AL1338" s="133">
        <v>1</v>
      </c>
      <c r="AM1338" s="133">
        <v>1</v>
      </c>
      <c r="AN1338" s="132">
        <v>0.99</v>
      </c>
      <c r="AO1338" s="137" t="s">
        <v>35</v>
      </c>
      <c r="AP1338" s="137" t="s">
        <v>35</v>
      </c>
      <c r="AQ1338" s="137" t="s">
        <v>35</v>
      </c>
      <c r="AR1338" s="137">
        <v>1</v>
      </c>
      <c r="AS1338" s="158">
        <v>0.0721861525408278</v>
      </c>
      <c r="AT1338" s="141" t="s">
        <v>35</v>
      </c>
      <c r="AU1338" s="141" t="s">
        <v>35</v>
      </c>
      <c r="AV1338" s="141" t="s">
        <v>35</v>
      </c>
      <c r="AW1338" s="141" t="s">
        <v>35</v>
      </c>
      <c r="AX1338" s="95"/>
      <c r="AY1338" s="93"/>
    </row>
    <row r="1339" ht="14.5" spans="1:51">
      <c r="A1339" s="91"/>
      <c r="B1339" s="95"/>
      <c r="C1339" s="152" t="s">
        <v>1085</v>
      </c>
      <c r="D1339" s="153" t="s">
        <v>25</v>
      </c>
      <c r="E1339" s="130" t="s">
        <v>1086</v>
      </c>
      <c r="F1339" s="195" t="s">
        <v>1369</v>
      </c>
      <c r="G1339" s="195" t="s">
        <v>1369</v>
      </c>
      <c r="H1339" s="195" t="s">
        <v>1369</v>
      </c>
      <c r="I1339" s="195" t="s">
        <v>1369</v>
      </c>
      <c r="J1339" s="132">
        <v>0.9</v>
      </c>
      <c r="K1339" s="133">
        <v>0.976744186046512</v>
      </c>
      <c r="L1339" s="133">
        <v>0.945945945945946</v>
      </c>
      <c r="M1339" s="134">
        <v>0.954545454545455</v>
      </c>
      <c r="N1339" s="133">
        <v>0.934993084370678</v>
      </c>
      <c r="O1339" s="135">
        <v>0.9</v>
      </c>
      <c r="P1339" s="133">
        <v>0.975515463917526</v>
      </c>
      <c r="Q1339" s="133">
        <v>0.977304307549792</v>
      </c>
      <c r="R1339" s="133">
        <v>0.956271576524741</v>
      </c>
      <c r="S1339" s="133">
        <v>0.97260444400209</v>
      </c>
      <c r="T1339" s="135">
        <v>0.9</v>
      </c>
      <c r="U1339" s="133">
        <v>0.949312714776632</v>
      </c>
      <c r="V1339" s="133">
        <v>0.943029180176007</v>
      </c>
      <c r="W1339" s="133">
        <v>0.953202915228232</v>
      </c>
      <c r="X1339" s="133">
        <v>0.945482594739854</v>
      </c>
      <c r="Y1339" s="135">
        <v>0.92</v>
      </c>
      <c r="Z1339" s="135">
        <v>0.948646125116713</v>
      </c>
      <c r="AA1339" s="135">
        <v>0.926494345718901</v>
      </c>
      <c r="AB1339" s="135">
        <v>0.975941422594142</v>
      </c>
      <c r="AC1339" s="135">
        <v>0.957574219741182</v>
      </c>
      <c r="AD1339" s="135">
        <v>0.92</v>
      </c>
      <c r="AE1339" s="133">
        <v>0.94949494949495</v>
      </c>
      <c r="AF1339" s="133">
        <v>0.993538461538462</v>
      </c>
      <c r="AG1339" s="133">
        <v>0.995672333848532</v>
      </c>
      <c r="AH1339" s="133">
        <v>0.991313250395557</v>
      </c>
      <c r="AI1339" s="135">
        <v>0.92</v>
      </c>
      <c r="AJ1339" s="133">
        <v>0.966480446927374</v>
      </c>
      <c r="AK1339" s="133">
        <v>0.957033549146557</v>
      </c>
      <c r="AL1339" s="133">
        <v>0.985124894751614</v>
      </c>
      <c r="AM1339" s="133">
        <v>0.975262481430169</v>
      </c>
      <c r="AN1339" s="132">
        <v>0.99</v>
      </c>
      <c r="AO1339" s="137">
        <v>1</v>
      </c>
      <c r="AP1339" s="137">
        <v>1</v>
      </c>
      <c r="AQ1339" s="137">
        <v>1</v>
      </c>
      <c r="AR1339" s="137">
        <v>1</v>
      </c>
      <c r="AS1339" s="158">
        <v>0.0721861525408278</v>
      </c>
      <c r="AT1339" s="141">
        <v>0.0666666666666667</v>
      </c>
      <c r="AU1339" s="141">
        <v>0</v>
      </c>
      <c r="AV1339" s="141">
        <v>0.153846153846154</v>
      </c>
      <c r="AW1339" s="141">
        <v>0.0660377358490566</v>
      </c>
      <c r="AX1339" s="95"/>
      <c r="AY1339" s="93"/>
    </row>
    <row r="1340" ht="14.5" spans="1:51">
      <c r="A1340" s="91"/>
      <c r="B1340" s="95"/>
      <c r="C1340" s="152" t="s">
        <v>1085</v>
      </c>
      <c r="D1340" s="153" t="s">
        <v>25</v>
      </c>
      <c r="E1340" s="130" t="s">
        <v>1086</v>
      </c>
      <c r="F1340" s="195" t="s">
        <v>1370</v>
      </c>
      <c r="G1340" s="195" t="s">
        <v>1370</v>
      </c>
      <c r="H1340" s="195" t="s">
        <v>1370</v>
      </c>
      <c r="I1340" s="195" t="s">
        <v>1370</v>
      </c>
      <c r="J1340" s="132">
        <v>0.9</v>
      </c>
      <c r="K1340" s="133">
        <v>0.925</v>
      </c>
      <c r="L1340" s="133">
        <v>0.96969696969697</v>
      </c>
      <c r="M1340" s="134">
        <v>1</v>
      </c>
      <c r="N1340" s="133">
        <v>0.934065934065934</v>
      </c>
      <c r="O1340" s="135">
        <v>0.9</v>
      </c>
      <c r="P1340" s="133">
        <v>0.963636363636364</v>
      </c>
      <c r="Q1340" s="133">
        <v>0.951689066472939</v>
      </c>
      <c r="R1340" s="133">
        <v>0.967833876221498</v>
      </c>
      <c r="S1340" s="133">
        <v>0.944072767263896</v>
      </c>
      <c r="T1340" s="135">
        <v>0.9</v>
      </c>
      <c r="U1340" s="133">
        <v>0.92979797979798</v>
      </c>
      <c r="V1340" s="133">
        <v>0.935343261896113</v>
      </c>
      <c r="W1340" s="133">
        <v>0.945032573289902</v>
      </c>
      <c r="X1340" s="133">
        <v>0.934243687852266</v>
      </c>
      <c r="Y1340" s="135">
        <v>0.92</v>
      </c>
      <c r="Z1340" s="135">
        <v>0.924827586206897</v>
      </c>
      <c r="AA1340" s="135">
        <v>0.923875432525952</v>
      </c>
      <c r="AB1340" s="135">
        <v>0.965890183028286</v>
      </c>
      <c r="AC1340" s="135">
        <v>0.954793481010371</v>
      </c>
      <c r="AD1340" s="135">
        <v>0.92</v>
      </c>
      <c r="AE1340" s="133">
        <v>0.999191265669228</v>
      </c>
      <c r="AF1340" s="133">
        <v>0.992552751344642</v>
      </c>
      <c r="AG1340" s="133">
        <v>0.987061994609164</v>
      </c>
      <c r="AH1340" s="133">
        <v>0.992426159003226</v>
      </c>
      <c r="AI1340" s="135">
        <v>0.92</v>
      </c>
      <c r="AJ1340" s="133">
        <v>0.951020408163265</v>
      </c>
      <c r="AK1340" s="133">
        <v>0.956646021915198</v>
      </c>
      <c r="AL1340" s="133">
        <v>0.979786943458072</v>
      </c>
      <c r="AM1340" s="133">
        <v>0.9710925123719</v>
      </c>
      <c r="AN1340" s="132">
        <v>0.99</v>
      </c>
      <c r="AO1340" s="137">
        <v>1</v>
      </c>
      <c r="AP1340" s="137">
        <v>1</v>
      </c>
      <c r="AQ1340" s="137">
        <v>1</v>
      </c>
      <c r="AR1340" s="137">
        <v>1</v>
      </c>
      <c r="AS1340" s="158">
        <v>0.0721861525408278</v>
      </c>
      <c r="AT1340" s="141">
        <v>0.0476190476190476</v>
      </c>
      <c r="AU1340" s="141">
        <v>0</v>
      </c>
      <c r="AV1340" s="141">
        <v>0.121212121212121</v>
      </c>
      <c r="AW1340" s="141">
        <v>0.0572792362768496</v>
      </c>
      <c r="AX1340" s="95"/>
      <c r="AY1340" s="93"/>
    </row>
    <row r="1341" ht="14.5" spans="1:51">
      <c r="A1341" s="91"/>
      <c r="B1341" s="95"/>
      <c r="C1341" s="152" t="s">
        <v>1085</v>
      </c>
      <c r="D1341" s="153" t="s">
        <v>25</v>
      </c>
      <c r="E1341" s="130" t="s">
        <v>1086</v>
      </c>
      <c r="F1341" s="195" t="s">
        <v>1371</v>
      </c>
      <c r="G1341" s="195" t="s">
        <v>1371</v>
      </c>
      <c r="H1341" s="195" t="s">
        <v>1371</v>
      </c>
      <c r="I1341" s="195" t="s">
        <v>1371</v>
      </c>
      <c r="J1341" s="132">
        <v>0.9</v>
      </c>
      <c r="K1341" s="133">
        <v>0.785714285714286</v>
      </c>
      <c r="L1341" s="133">
        <v>0.814814814814815</v>
      </c>
      <c r="M1341" s="134">
        <v>0.65625</v>
      </c>
      <c r="N1341" s="133">
        <v>0.834319526627219</v>
      </c>
      <c r="O1341" s="135">
        <v>0.9</v>
      </c>
      <c r="P1341" s="133">
        <v>0.897329376854599</v>
      </c>
      <c r="Q1341" s="133">
        <v>0.880357983984927</v>
      </c>
      <c r="R1341" s="133">
        <v>0.813942307692308</v>
      </c>
      <c r="S1341" s="133">
        <v>0.925548652035946</v>
      </c>
      <c r="T1341" s="135">
        <v>0.9</v>
      </c>
      <c r="U1341" s="133">
        <v>0.883679525222552</v>
      </c>
      <c r="V1341" s="133">
        <v>0.887894488930758</v>
      </c>
      <c r="W1341" s="133">
        <v>0.925480769230769</v>
      </c>
      <c r="X1341" s="133">
        <v>0.93058851763953</v>
      </c>
      <c r="Y1341" s="135">
        <v>0.92</v>
      </c>
      <c r="Z1341" s="135">
        <v>0.909940526762957</v>
      </c>
      <c r="AA1341" s="135">
        <v>0.902681992337165</v>
      </c>
      <c r="AB1341" s="135">
        <v>0.959651898734177</v>
      </c>
      <c r="AC1341" s="135">
        <v>0.957190610043303</v>
      </c>
      <c r="AD1341" s="135">
        <v>0.92</v>
      </c>
      <c r="AE1341" s="133">
        <v>1</v>
      </c>
      <c r="AF1341" s="133">
        <v>1</v>
      </c>
      <c r="AG1341" s="133">
        <v>0.998488664987406</v>
      </c>
      <c r="AH1341" s="133">
        <v>0.998349072178564</v>
      </c>
      <c r="AI1341" s="135">
        <v>0.92</v>
      </c>
      <c r="AJ1341" s="133">
        <v>0.922781271837876</v>
      </c>
      <c r="AK1341" s="133">
        <v>0.923862310385064</v>
      </c>
      <c r="AL1341" s="133">
        <v>0.976076555023923</v>
      </c>
      <c r="AM1341" s="133">
        <v>0.968133107727016</v>
      </c>
      <c r="AN1341" s="132">
        <v>0.99</v>
      </c>
      <c r="AO1341" s="137">
        <v>1</v>
      </c>
      <c r="AP1341" s="137">
        <v>1</v>
      </c>
      <c r="AQ1341" s="137">
        <v>1</v>
      </c>
      <c r="AR1341" s="137">
        <v>1</v>
      </c>
      <c r="AS1341" s="158">
        <v>0.0721861525408278</v>
      </c>
      <c r="AT1341" s="141">
        <v>0.05</v>
      </c>
      <c r="AU1341" s="141">
        <v>0.0526315789473684</v>
      </c>
      <c r="AV1341" s="141">
        <v>0.133333333333333</v>
      </c>
      <c r="AW1341" s="141">
        <v>0.0512820512820513</v>
      </c>
      <c r="AX1341" s="95"/>
      <c r="AY1341" s="93"/>
    </row>
    <row r="1342" ht="14.5" spans="1:51">
      <c r="A1342" s="91"/>
      <c r="B1342" s="95"/>
      <c r="C1342" s="152" t="s">
        <v>1085</v>
      </c>
      <c r="D1342" s="153" t="s">
        <v>125</v>
      </c>
      <c r="E1342" s="130" t="s">
        <v>1086</v>
      </c>
      <c r="F1342" s="195" t="s">
        <v>1372</v>
      </c>
      <c r="G1342" s="195" t="s">
        <v>1372</v>
      </c>
      <c r="H1342" s="195" t="s">
        <v>1372</v>
      </c>
      <c r="I1342" s="195" t="s">
        <v>1372</v>
      </c>
      <c r="J1342" s="132">
        <v>0.9</v>
      </c>
      <c r="K1342" s="133" t="s">
        <v>35</v>
      </c>
      <c r="L1342" s="133" t="s">
        <v>35</v>
      </c>
      <c r="M1342" s="134" t="s">
        <v>35</v>
      </c>
      <c r="N1342" s="133" t="s">
        <v>35</v>
      </c>
      <c r="O1342" s="135">
        <v>0.9</v>
      </c>
      <c r="P1342" s="133">
        <v>1</v>
      </c>
      <c r="Q1342" s="133">
        <v>1</v>
      </c>
      <c r="R1342" s="133">
        <v>1</v>
      </c>
      <c r="S1342" s="133">
        <v>0.85</v>
      </c>
      <c r="T1342" s="135">
        <v>0.9</v>
      </c>
      <c r="U1342" s="133">
        <v>1</v>
      </c>
      <c r="V1342" s="133">
        <v>1</v>
      </c>
      <c r="W1342" s="133">
        <v>1</v>
      </c>
      <c r="X1342" s="133">
        <v>0.9</v>
      </c>
      <c r="Y1342" s="135">
        <v>0.92</v>
      </c>
      <c r="Z1342" s="135" t="s">
        <v>35</v>
      </c>
      <c r="AA1342" s="135" t="s">
        <v>35</v>
      </c>
      <c r="AB1342" s="135" t="s">
        <v>35</v>
      </c>
      <c r="AC1342" s="135">
        <v>1</v>
      </c>
      <c r="AD1342" s="135">
        <v>0.92</v>
      </c>
      <c r="AE1342" s="133">
        <v>0.99923576614444</v>
      </c>
      <c r="AF1342" s="133">
        <v>0.998392928887103</v>
      </c>
      <c r="AG1342" s="133">
        <v>0.999438360011233</v>
      </c>
      <c r="AH1342" s="133">
        <v>0.995096058735842</v>
      </c>
      <c r="AI1342" s="135">
        <v>0.92</v>
      </c>
      <c r="AJ1342" s="133">
        <v>1</v>
      </c>
      <c r="AK1342" s="133">
        <v>1</v>
      </c>
      <c r="AL1342" s="133">
        <v>1</v>
      </c>
      <c r="AM1342" s="133">
        <v>0.967741935483871</v>
      </c>
      <c r="AN1342" s="132">
        <v>0.99</v>
      </c>
      <c r="AO1342" s="137">
        <v>1</v>
      </c>
      <c r="AP1342" s="137">
        <v>1</v>
      </c>
      <c r="AQ1342" s="137">
        <v>1</v>
      </c>
      <c r="AR1342" s="137">
        <v>1</v>
      </c>
      <c r="AS1342" s="158">
        <v>0.0721861525408278</v>
      </c>
      <c r="AT1342" s="141" t="s">
        <v>35</v>
      </c>
      <c r="AU1342" s="141" t="s">
        <v>35</v>
      </c>
      <c r="AV1342" s="141" t="s">
        <v>35</v>
      </c>
      <c r="AW1342" s="141" t="s">
        <v>35</v>
      </c>
      <c r="AX1342" s="95"/>
      <c r="AY1342" s="93"/>
    </row>
    <row r="1343" ht="14.5" spans="1:51">
      <c r="A1343" s="91"/>
      <c r="B1343" s="95"/>
      <c r="C1343" s="152" t="s">
        <v>1085</v>
      </c>
      <c r="D1343" s="153" t="s">
        <v>25</v>
      </c>
      <c r="E1343" s="130" t="s">
        <v>1086</v>
      </c>
      <c r="F1343" s="195" t="s">
        <v>1373</v>
      </c>
      <c r="G1343" s="195" t="s">
        <v>1373</v>
      </c>
      <c r="H1343" s="195" t="s">
        <v>1373</v>
      </c>
      <c r="I1343" s="195" t="s">
        <v>1373</v>
      </c>
      <c r="J1343" s="132">
        <v>0.9</v>
      </c>
      <c r="K1343" s="133">
        <v>0.923076923076923</v>
      </c>
      <c r="L1343" s="133">
        <v>0.909090909090909</v>
      </c>
      <c r="M1343" s="134">
        <v>0.846153846153846</v>
      </c>
      <c r="N1343" s="133">
        <v>0.858447488584475</v>
      </c>
      <c r="O1343" s="135">
        <v>0.9</v>
      </c>
      <c r="P1343" s="133">
        <v>0.968787515006002</v>
      </c>
      <c r="Q1343" s="133">
        <v>0.970967741935484</v>
      </c>
      <c r="R1343" s="133">
        <v>0.972043010752688</v>
      </c>
      <c r="S1343" s="133">
        <v>0.944155919939313</v>
      </c>
      <c r="T1343" s="135">
        <v>0.9</v>
      </c>
      <c r="U1343" s="133">
        <v>0.888355342136855</v>
      </c>
      <c r="V1343" s="133">
        <v>0.921505376344086</v>
      </c>
      <c r="W1343" s="133">
        <v>0.93010752688172</v>
      </c>
      <c r="X1343" s="133">
        <v>0.927700297601681</v>
      </c>
      <c r="Y1343" s="135">
        <v>0.92</v>
      </c>
      <c r="Z1343" s="135">
        <v>0.91578947368421</v>
      </c>
      <c r="AA1343" s="135">
        <v>0.916932907348243</v>
      </c>
      <c r="AB1343" s="135">
        <v>0.949152542372881</v>
      </c>
      <c r="AC1343" s="135">
        <v>0.946317316719297</v>
      </c>
      <c r="AD1343" s="135">
        <v>0.92</v>
      </c>
      <c r="AE1343" s="133">
        <v>0.999377722464219</v>
      </c>
      <c r="AF1343" s="133">
        <v>0.992753623188406</v>
      </c>
      <c r="AG1343" s="133">
        <v>0.998235086480762</v>
      </c>
      <c r="AH1343" s="133">
        <v>0.991079526025483</v>
      </c>
      <c r="AI1343" s="135">
        <v>0.92</v>
      </c>
      <c r="AJ1343" s="133">
        <v>0.931909212283044</v>
      </c>
      <c r="AK1343" s="133">
        <v>0.94280205655527</v>
      </c>
      <c r="AL1343" s="133">
        <v>0.965789473684211</v>
      </c>
      <c r="AM1343" s="133">
        <v>0.965553091211533</v>
      </c>
      <c r="AN1343" s="132">
        <v>0.99</v>
      </c>
      <c r="AO1343" s="137">
        <v>1</v>
      </c>
      <c r="AP1343" s="137">
        <v>1</v>
      </c>
      <c r="AQ1343" s="137">
        <v>1</v>
      </c>
      <c r="AR1343" s="137">
        <v>1</v>
      </c>
      <c r="AS1343" s="158">
        <v>0.0721861525408278</v>
      </c>
      <c r="AT1343" s="141">
        <v>0.285714285714286</v>
      </c>
      <c r="AU1343" s="141">
        <v>0</v>
      </c>
      <c r="AV1343" s="141">
        <v>0</v>
      </c>
      <c r="AW1343" s="141">
        <v>0.0803571428571429</v>
      </c>
      <c r="AX1343" s="95"/>
      <c r="AY1343" s="93"/>
    </row>
    <row r="1344" ht="14.5" spans="1:51">
      <c r="A1344" s="91"/>
      <c r="B1344" s="95"/>
      <c r="C1344" s="152" t="s">
        <v>1085</v>
      </c>
      <c r="D1344" s="153" t="s">
        <v>25</v>
      </c>
      <c r="E1344" s="130" t="s">
        <v>1086</v>
      </c>
      <c r="F1344" s="195" t="s">
        <v>1374</v>
      </c>
      <c r="G1344" s="195" t="s">
        <v>1374</v>
      </c>
      <c r="H1344" s="195" t="s">
        <v>1374</v>
      </c>
      <c r="I1344" s="195" t="s">
        <v>1374</v>
      </c>
      <c r="J1344" s="132">
        <v>0.9</v>
      </c>
      <c r="K1344" s="133">
        <v>0.962962962962963</v>
      </c>
      <c r="L1344" s="133">
        <v>0.923076923076923</v>
      </c>
      <c r="M1344" s="134">
        <v>0.931034482758621</v>
      </c>
      <c r="N1344" s="133">
        <v>0.951417004048583</v>
      </c>
      <c r="O1344" s="135">
        <v>0.9</v>
      </c>
      <c r="P1344" s="133">
        <v>0.969429347826087</v>
      </c>
      <c r="Q1344" s="133">
        <v>0.95835847917924</v>
      </c>
      <c r="R1344" s="133">
        <v>0.948795180722892</v>
      </c>
      <c r="S1344" s="133">
        <v>0.958140513251998</v>
      </c>
      <c r="T1344" s="135">
        <v>0.9</v>
      </c>
      <c r="U1344" s="133">
        <v>0.934103260869565</v>
      </c>
      <c r="V1344" s="133">
        <v>0.893180446590223</v>
      </c>
      <c r="W1344" s="133">
        <v>0.931325301204819</v>
      </c>
      <c r="X1344" s="133">
        <v>0.932407796942925</v>
      </c>
      <c r="Y1344" s="135">
        <v>0.92</v>
      </c>
      <c r="Z1344" s="135">
        <v>0.946509519492294</v>
      </c>
      <c r="AA1344" s="135">
        <v>0.922764227642276</v>
      </c>
      <c r="AB1344" s="135">
        <v>0.968850698174006</v>
      </c>
      <c r="AC1344" s="135">
        <v>0.957270374478424</v>
      </c>
      <c r="AD1344" s="135">
        <v>0.92</v>
      </c>
      <c r="AE1344" s="133">
        <v>0.985054575986566</v>
      </c>
      <c r="AF1344" s="133">
        <v>0.899463806970509</v>
      </c>
      <c r="AG1344" s="133">
        <v>0.989922317866891</v>
      </c>
      <c r="AH1344" s="133">
        <v>0.980891449517619</v>
      </c>
      <c r="AI1344" s="135">
        <v>0.92</v>
      </c>
      <c r="AJ1344" s="133">
        <v>0.958446601941748</v>
      </c>
      <c r="AK1344" s="133">
        <v>0.940552820901174</v>
      </c>
      <c r="AL1344" s="133">
        <v>0.972983404091085</v>
      </c>
      <c r="AM1344" s="133">
        <v>0.970574006688682</v>
      </c>
      <c r="AN1344" s="132">
        <v>0.99</v>
      </c>
      <c r="AO1344" s="137">
        <v>1</v>
      </c>
      <c r="AP1344" s="137">
        <v>1</v>
      </c>
      <c r="AQ1344" s="137">
        <v>1</v>
      </c>
      <c r="AR1344" s="137">
        <v>1</v>
      </c>
      <c r="AS1344" s="158">
        <v>0.0721861525408278</v>
      </c>
      <c r="AT1344" s="141">
        <v>0.0714285714285714</v>
      </c>
      <c r="AU1344" s="141">
        <v>0</v>
      </c>
      <c r="AV1344" s="141">
        <v>0.0555555555555556</v>
      </c>
      <c r="AW1344" s="141">
        <v>0.028328611898017</v>
      </c>
      <c r="AX1344" s="95"/>
      <c r="AY1344" s="93"/>
    </row>
    <row r="1345" ht="14.5" spans="1:51">
      <c r="A1345" s="91"/>
      <c r="B1345" s="95"/>
      <c r="C1345" s="152" t="s">
        <v>1085</v>
      </c>
      <c r="D1345" s="153" t="s">
        <v>125</v>
      </c>
      <c r="E1345" s="130" t="s">
        <v>1086</v>
      </c>
      <c r="F1345" s="195" t="s">
        <v>1375</v>
      </c>
      <c r="G1345" s="195" t="s">
        <v>1375</v>
      </c>
      <c r="H1345" s="195" t="s">
        <v>1375</v>
      </c>
      <c r="I1345" s="195" t="s">
        <v>1375</v>
      </c>
      <c r="J1345" s="132">
        <v>0.9</v>
      </c>
      <c r="K1345" s="133" t="s">
        <v>35</v>
      </c>
      <c r="L1345" s="133" t="s">
        <v>35</v>
      </c>
      <c r="M1345" s="134" t="s">
        <v>35</v>
      </c>
      <c r="N1345" s="133" t="s">
        <v>35</v>
      </c>
      <c r="O1345" s="135">
        <v>0.9</v>
      </c>
      <c r="P1345" s="133">
        <v>1</v>
      </c>
      <c r="Q1345" s="133">
        <v>0.995670995670996</v>
      </c>
      <c r="R1345" s="133">
        <v>1</v>
      </c>
      <c r="S1345" s="133">
        <v>0.994368180218233</v>
      </c>
      <c r="T1345" s="135">
        <v>0.9</v>
      </c>
      <c r="U1345" s="133">
        <v>1</v>
      </c>
      <c r="V1345" s="133">
        <v>1</v>
      </c>
      <c r="W1345" s="133">
        <v>1</v>
      </c>
      <c r="X1345" s="133">
        <v>1</v>
      </c>
      <c r="Y1345" s="135">
        <v>0.92</v>
      </c>
      <c r="Z1345" s="135">
        <v>1</v>
      </c>
      <c r="AA1345" s="135">
        <v>0.978260869565217</v>
      </c>
      <c r="AB1345" s="135">
        <v>1</v>
      </c>
      <c r="AC1345" s="135">
        <v>0.998273878020713</v>
      </c>
      <c r="AD1345" s="135">
        <v>0.92</v>
      </c>
      <c r="AE1345" s="133">
        <v>0.99910071942446</v>
      </c>
      <c r="AF1345" s="133">
        <v>0.875549048316252</v>
      </c>
      <c r="AG1345" s="133">
        <v>0.961312386448648</v>
      </c>
      <c r="AH1345" s="133">
        <v>0.984723416976286</v>
      </c>
      <c r="AI1345" s="135">
        <v>0.92</v>
      </c>
      <c r="AJ1345" s="133">
        <v>1</v>
      </c>
      <c r="AK1345" s="133">
        <v>0.993808049535604</v>
      </c>
      <c r="AL1345" s="133">
        <v>1</v>
      </c>
      <c r="AM1345" s="133">
        <v>0.999347684279191</v>
      </c>
      <c r="AN1345" s="132">
        <v>0.99</v>
      </c>
      <c r="AO1345" s="137">
        <v>1</v>
      </c>
      <c r="AP1345" s="137">
        <v>1</v>
      </c>
      <c r="AQ1345" s="137">
        <v>1</v>
      </c>
      <c r="AR1345" s="137">
        <v>1</v>
      </c>
      <c r="AS1345" s="158">
        <v>0.0721861525408278</v>
      </c>
      <c r="AT1345" s="141" t="s">
        <v>35</v>
      </c>
      <c r="AU1345" s="141" t="s">
        <v>35</v>
      </c>
      <c r="AV1345" s="141" t="s">
        <v>35</v>
      </c>
      <c r="AW1345" s="141">
        <v>0</v>
      </c>
      <c r="AX1345" s="95"/>
      <c r="AY1345" s="93"/>
    </row>
    <row r="1346" ht="14.5" spans="1:51">
      <c r="A1346" s="91"/>
      <c r="B1346" s="95"/>
      <c r="C1346" s="152" t="s">
        <v>1085</v>
      </c>
      <c r="D1346" s="153" t="s">
        <v>25</v>
      </c>
      <c r="E1346" s="130" t="s">
        <v>1086</v>
      </c>
      <c r="F1346" s="195" t="s">
        <v>1376</v>
      </c>
      <c r="G1346" s="195" t="s">
        <v>1376</v>
      </c>
      <c r="H1346" s="195" t="s">
        <v>1376</v>
      </c>
      <c r="I1346" s="195" t="s">
        <v>1376</v>
      </c>
      <c r="J1346" s="132">
        <v>0.9</v>
      </c>
      <c r="K1346" s="133">
        <v>0.909090909090909</v>
      </c>
      <c r="L1346" s="133">
        <v>0.952380952380952</v>
      </c>
      <c r="M1346" s="134">
        <v>0.956521739130435</v>
      </c>
      <c r="N1346" s="133">
        <v>0.959079283887468</v>
      </c>
      <c r="O1346" s="135">
        <v>0.9</v>
      </c>
      <c r="P1346" s="133">
        <v>0.969814241486068</v>
      </c>
      <c r="Q1346" s="133">
        <v>0.978605935127674</v>
      </c>
      <c r="R1346" s="133">
        <v>0.982681205901219</v>
      </c>
      <c r="S1346" s="133">
        <v>0.929076186970924</v>
      </c>
      <c r="T1346" s="135">
        <v>0.9</v>
      </c>
      <c r="U1346" s="133">
        <v>0.919504643962848</v>
      </c>
      <c r="V1346" s="133">
        <v>0.938578329882678</v>
      </c>
      <c r="W1346" s="133">
        <v>0.944836433611289</v>
      </c>
      <c r="X1346" s="133">
        <v>0.882443871917556</v>
      </c>
      <c r="Y1346" s="135">
        <v>0.92</v>
      </c>
      <c r="Z1346" s="135">
        <v>0.950505050505051</v>
      </c>
      <c r="AA1346" s="135">
        <v>0.933605720122574</v>
      </c>
      <c r="AB1346" s="135">
        <v>0.952038369304556</v>
      </c>
      <c r="AC1346" s="135">
        <v>0.960506465517241</v>
      </c>
      <c r="AD1346" s="135">
        <v>0.92</v>
      </c>
      <c r="AE1346" s="133">
        <v>0.998590556730092</v>
      </c>
      <c r="AF1346" s="133">
        <v>0.998697068403909</v>
      </c>
      <c r="AG1346" s="133">
        <v>0.986068785372225</v>
      </c>
      <c r="AH1346" s="133">
        <v>0.996206158937724</v>
      </c>
      <c r="AI1346" s="135">
        <v>0.92</v>
      </c>
      <c r="AJ1346" s="133">
        <v>0.957931638913234</v>
      </c>
      <c r="AK1346" s="133">
        <v>0.953871499176277</v>
      </c>
      <c r="AL1346" s="133">
        <v>0.969494358545758</v>
      </c>
      <c r="AM1346" s="133">
        <v>0.971419824626621</v>
      </c>
      <c r="AN1346" s="132">
        <v>0.99</v>
      </c>
      <c r="AO1346" s="137">
        <v>1</v>
      </c>
      <c r="AP1346" s="137">
        <v>1</v>
      </c>
      <c r="AQ1346" s="137">
        <v>1</v>
      </c>
      <c r="AR1346" s="137">
        <v>1</v>
      </c>
      <c r="AS1346" s="158">
        <v>0.0721861525408278</v>
      </c>
      <c r="AT1346" s="141">
        <v>0</v>
      </c>
      <c r="AU1346" s="141">
        <v>0.05</v>
      </c>
      <c r="AV1346" s="141">
        <v>0</v>
      </c>
      <c r="AW1346" s="141">
        <v>0.0469314079422383</v>
      </c>
      <c r="AX1346" s="95"/>
      <c r="AY1346" s="93"/>
    </row>
    <row r="1347" ht="14.5" spans="1:51">
      <c r="A1347" s="91"/>
      <c r="B1347" s="95"/>
      <c r="C1347" s="152" t="s">
        <v>1085</v>
      </c>
      <c r="D1347" s="153" t="s">
        <v>25</v>
      </c>
      <c r="E1347" s="130" t="s">
        <v>1086</v>
      </c>
      <c r="F1347" s="195" t="s">
        <v>1377</v>
      </c>
      <c r="G1347" s="195" t="s">
        <v>1377</v>
      </c>
      <c r="H1347" s="195" t="s">
        <v>1377</v>
      </c>
      <c r="I1347" s="195" t="s">
        <v>1377</v>
      </c>
      <c r="J1347" s="132">
        <v>0.9</v>
      </c>
      <c r="K1347" s="133">
        <v>0.918918918918919</v>
      </c>
      <c r="L1347" s="133">
        <v>0.970588235294118</v>
      </c>
      <c r="M1347" s="134">
        <v>1</v>
      </c>
      <c r="N1347" s="133">
        <v>0.929245283018868</v>
      </c>
      <c r="O1347" s="135">
        <v>0.9</v>
      </c>
      <c r="P1347" s="133">
        <v>0.977414330218069</v>
      </c>
      <c r="Q1347" s="133">
        <v>0.964409448818898</v>
      </c>
      <c r="R1347" s="133">
        <v>0.976459510357815</v>
      </c>
      <c r="S1347" s="133">
        <v>0.946449399656947</v>
      </c>
      <c r="T1347" s="135">
        <v>0.9</v>
      </c>
      <c r="U1347" s="133">
        <v>0.936915887850467</v>
      </c>
      <c r="V1347" s="133">
        <v>0.924724409448819</v>
      </c>
      <c r="W1347" s="133">
        <v>0.945072190834903</v>
      </c>
      <c r="X1347" s="133">
        <v>0.938644939965695</v>
      </c>
      <c r="Y1347" s="135">
        <v>0.92</v>
      </c>
      <c r="Z1347" s="135">
        <v>0.949600798403194</v>
      </c>
      <c r="AA1347" s="135">
        <v>0.931794871794872</v>
      </c>
      <c r="AB1347" s="135">
        <v>0.955074875207987</v>
      </c>
      <c r="AC1347" s="135">
        <v>0.95636019051894</v>
      </c>
      <c r="AD1347" s="135">
        <v>0.92</v>
      </c>
      <c r="AE1347" s="133">
        <v>1</v>
      </c>
      <c r="AF1347" s="133">
        <v>0.99959100204499</v>
      </c>
      <c r="AG1347" s="133">
        <v>0.999318104330038</v>
      </c>
      <c r="AH1347" s="133">
        <v>0.999149261984772</v>
      </c>
      <c r="AI1347" s="135">
        <v>0.92</v>
      </c>
      <c r="AJ1347" s="133">
        <v>0.95909886264217</v>
      </c>
      <c r="AK1347" s="133">
        <v>0.950643776824034</v>
      </c>
      <c r="AL1347" s="133">
        <v>0.975951903807615</v>
      </c>
      <c r="AM1347" s="133">
        <v>0.971454992581753</v>
      </c>
      <c r="AN1347" s="132">
        <v>0.99</v>
      </c>
      <c r="AO1347" s="137">
        <v>1</v>
      </c>
      <c r="AP1347" s="137">
        <v>1</v>
      </c>
      <c r="AQ1347" s="137">
        <v>1</v>
      </c>
      <c r="AR1347" s="137">
        <v>1</v>
      </c>
      <c r="AS1347" s="158">
        <v>0.0721861525408278</v>
      </c>
      <c r="AT1347" s="141">
        <v>0.0263157894736842</v>
      </c>
      <c r="AU1347" s="141">
        <v>0.0487804878048781</v>
      </c>
      <c r="AV1347" s="141">
        <v>0.05</v>
      </c>
      <c r="AW1347" s="141">
        <v>0.0233644859813084</v>
      </c>
      <c r="AX1347" s="95"/>
      <c r="AY1347" s="93"/>
    </row>
    <row r="1348" ht="14.5" spans="1:51">
      <c r="A1348" s="91"/>
      <c r="B1348" s="95"/>
      <c r="C1348" s="152" t="s">
        <v>1085</v>
      </c>
      <c r="D1348" s="153" t="s">
        <v>25</v>
      </c>
      <c r="E1348" s="130" t="s">
        <v>1086</v>
      </c>
      <c r="F1348" s="195" t="s">
        <v>1378</v>
      </c>
      <c r="G1348" s="195" t="s">
        <v>1378</v>
      </c>
      <c r="H1348" s="195" t="s">
        <v>1378</v>
      </c>
      <c r="I1348" s="195" t="s">
        <v>1378</v>
      </c>
      <c r="J1348" s="132">
        <v>0.9</v>
      </c>
      <c r="K1348" s="133">
        <v>0.956521739130435</v>
      </c>
      <c r="L1348" s="133">
        <v>1</v>
      </c>
      <c r="M1348" s="134">
        <v>0.947368421052632</v>
      </c>
      <c r="N1348" s="133">
        <v>0.978666666666667</v>
      </c>
      <c r="O1348" s="135">
        <v>0.9</v>
      </c>
      <c r="P1348" s="133">
        <v>0.982638888888889</v>
      </c>
      <c r="Q1348" s="133">
        <v>0.988422575976845</v>
      </c>
      <c r="R1348" s="133">
        <v>0.985934360348292</v>
      </c>
      <c r="S1348" s="133">
        <v>0.985236865435763</v>
      </c>
      <c r="T1348" s="135">
        <v>0.9</v>
      </c>
      <c r="U1348" s="133">
        <v>0.874131944444444</v>
      </c>
      <c r="V1348" s="133">
        <v>0.863965267727931</v>
      </c>
      <c r="W1348" s="133">
        <v>0.917615539182853</v>
      </c>
      <c r="X1348" s="133">
        <v>0.918822032918321</v>
      </c>
      <c r="Y1348" s="135">
        <v>0.92</v>
      </c>
      <c r="Z1348" s="135">
        <v>0.894160583941606</v>
      </c>
      <c r="AA1348" s="135">
        <v>0.838565022421525</v>
      </c>
      <c r="AB1348" s="135">
        <v>0.961098398169336</v>
      </c>
      <c r="AC1348" s="135">
        <v>0.945321992709599</v>
      </c>
      <c r="AD1348" s="135">
        <v>0.92</v>
      </c>
      <c r="AE1348" s="133">
        <v>1</v>
      </c>
      <c r="AF1348" s="133">
        <v>1</v>
      </c>
      <c r="AG1348" s="133">
        <v>0.999056158565361</v>
      </c>
      <c r="AH1348" s="133">
        <v>0.999855059860278</v>
      </c>
      <c r="AI1348" s="135">
        <v>0.92</v>
      </c>
      <c r="AJ1348" s="133">
        <v>0.911347517730496</v>
      </c>
      <c r="AK1348" s="133">
        <v>0.881266490765171</v>
      </c>
      <c r="AL1348" s="133">
        <v>0.967496834107218</v>
      </c>
      <c r="AM1348" s="133">
        <v>0.959162826595238</v>
      </c>
      <c r="AN1348" s="132">
        <v>0.99</v>
      </c>
      <c r="AO1348" s="137">
        <v>1</v>
      </c>
      <c r="AP1348" s="137">
        <v>1</v>
      </c>
      <c r="AQ1348" s="137">
        <v>1</v>
      </c>
      <c r="AR1348" s="137">
        <v>1</v>
      </c>
      <c r="AS1348" s="158">
        <v>0.0721861525408278</v>
      </c>
      <c r="AT1348" s="141">
        <v>0</v>
      </c>
      <c r="AU1348" s="141">
        <v>0.0526315789473684</v>
      </c>
      <c r="AV1348" s="141">
        <v>0.05</v>
      </c>
      <c r="AW1348" s="141">
        <v>0.0367647058823529</v>
      </c>
      <c r="AX1348" s="95"/>
      <c r="AY1348" s="93"/>
    </row>
    <row r="1349" ht="14.5" spans="1:51">
      <c r="A1349" s="91"/>
      <c r="B1349" s="95"/>
      <c r="C1349" s="152" t="s">
        <v>1085</v>
      </c>
      <c r="D1349" s="153" t="s">
        <v>25</v>
      </c>
      <c r="E1349" s="130" t="s">
        <v>1086</v>
      </c>
      <c r="F1349" s="195" t="s">
        <v>1379</v>
      </c>
      <c r="G1349" s="195" t="s">
        <v>1379</v>
      </c>
      <c r="H1349" s="195" t="s">
        <v>1379</v>
      </c>
      <c r="I1349" s="195" t="s">
        <v>1379</v>
      </c>
      <c r="J1349" s="132">
        <v>0.9</v>
      </c>
      <c r="K1349" s="133">
        <v>0.958333333333333</v>
      </c>
      <c r="L1349" s="133">
        <v>0.888888888888889</v>
      </c>
      <c r="M1349" s="134">
        <v>0.954545454545455</v>
      </c>
      <c r="N1349" s="133">
        <v>0.946969696969697</v>
      </c>
      <c r="O1349" s="135">
        <v>0.9</v>
      </c>
      <c r="P1349" s="133">
        <v>0.975530179445351</v>
      </c>
      <c r="Q1349" s="133">
        <v>0.936096049573974</v>
      </c>
      <c r="R1349" s="133">
        <v>0.978842832469775</v>
      </c>
      <c r="S1349" s="133">
        <v>0.968092019755654</v>
      </c>
      <c r="T1349" s="135">
        <v>0.9</v>
      </c>
      <c r="U1349" s="133">
        <v>0.957585644371941</v>
      </c>
      <c r="V1349" s="133">
        <v>0.932610379550736</v>
      </c>
      <c r="W1349" s="133">
        <v>0.956390328151986</v>
      </c>
      <c r="X1349" s="133">
        <v>0.954921583918205</v>
      </c>
      <c r="Y1349" s="135">
        <v>0.92</v>
      </c>
      <c r="Z1349" s="135">
        <v>0</v>
      </c>
      <c r="AA1349" s="135" t="s">
        <v>35</v>
      </c>
      <c r="AB1349" s="135" t="s">
        <v>35</v>
      </c>
      <c r="AC1349" s="135">
        <v>0</v>
      </c>
      <c r="AD1349" s="135">
        <v>0.92</v>
      </c>
      <c r="AE1349" s="133">
        <v>0.997445721583653</v>
      </c>
      <c r="AF1349" s="133">
        <v>0.998427672955975</v>
      </c>
      <c r="AG1349" s="133">
        <v>1</v>
      </c>
      <c r="AH1349" s="133">
        <v>0.999218953397553</v>
      </c>
      <c r="AI1349" s="135">
        <v>0.92</v>
      </c>
      <c r="AJ1349" s="133">
        <v>0.983285772523441</v>
      </c>
      <c r="AK1349" s="133">
        <v>0.979085979860573</v>
      </c>
      <c r="AL1349" s="133">
        <v>0.985751295336788</v>
      </c>
      <c r="AM1349" s="133">
        <v>0.988801039748727</v>
      </c>
      <c r="AN1349" s="132">
        <v>0.99</v>
      </c>
      <c r="AO1349" s="137">
        <v>1</v>
      </c>
      <c r="AP1349" s="137">
        <v>1</v>
      </c>
      <c r="AQ1349" s="137">
        <v>1</v>
      </c>
      <c r="AR1349" s="137">
        <v>1</v>
      </c>
      <c r="AS1349" s="158">
        <v>0.0721861525408278</v>
      </c>
      <c r="AT1349" s="141">
        <v>0.0625</v>
      </c>
      <c r="AU1349" s="141">
        <v>0.0666666666666667</v>
      </c>
      <c r="AV1349" s="141">
        <v>0.0666666666666667</v>
      </c>
      <c r="AW1349" s="141">
        <v>0.0512820512820513</v>
      </c>
      <c r="AX1349" s="95"/>
      <c r="AY1349" s="93"/>
    </row>
    <row r="1350" ht="14.5" spans="1:51">
      <c r="A1350" s="91"/>
      <c r="B1350" s="95"/>
      <c r="C1350" s="152" t="s">
        <v>1085</v>
      </c>
      <c r="D1350" s="153" t="s">
        <v>25</v>
      </c>
      <c r="E1350" s="130" t="s">
        <v>1086</v>
      </c>
      <c r="F1350" s="195" t="s">
        <v>1380</v>
      </c>
      <c r="G1350" s="195" t="s">
        <v>1380</v>
      </c>
      <c r="H1350" s="195" t="s">
        <v>1380</v>
      </c>
      <c r="I1350" s="195" t="s">
        <v>1380</v>
      </c>
      <c r="J1350" s="132">
        <v>0.9</v>
      </c>
      <c r="K1350" s="133">
        <v>1</v>
      </c>
      <c r="L1350" s="133">
        <v>1</v>
      </c>
      <c r="M1350" s="134">
        <v>1</v>
      </c>
      <c r="N1350" s="133">
        <v>0.958333333333333</v>
      </c>
      <c r="O1350" s="135">
        <v>0.9</v>
      </c>
      <c r="P1350" s="133">
        <v>0.926086956521739</v>
      </c>
      <c r="Q1350" s="133">
        <v>0.950060901339829</v>
      </c>
      <c r="R1350" s="133">
        <v>0.9609375</v>
      </c>
      <c r="S1350" s="133">
        <v>0.953231292517007</v>
      </c>
      <c r="T1350" s="135">
        <v>0.9</v>
      </c>
      <c r="U1350" s="133">
        <v>0.894202898550725</v>
      </c>
      <c r="V1350" s="133">
        <v>0.898903775883069</v>
      </c>
      <c r="W1350" s="133">
        <v>0.946428571428571</v>
      </c>
      <c r="X1350" s="133">
        <v>0.92948717948718</v>
      </c>
      <c r="Y1350" s="135">
        <v>0.92</v>
      </c>
      <c r="Z1350" s="135">
        <v>0.89612676056338</v>
      </c>
      <c r="AA1350" s="135">
        <v>0.896186440677966</v>
      </c>
      <c r="AB1350" s="135">
        <v>0.953441295546559</v>
      </c>
      <c r="AC1350" s="135">
        <v>0.949465781114641</v>
      </c>
      <c r="AD1350" s="135">
        <v>0.92</v>
      </c>
      <c r="AE1350" s="133">
        <v>0.996960486322188</v>
      </c>
      <c r="AF1350" s="133">
        <v>0.999532819434712</v>
      </c>
      <c r="AG1350" s="133">
        <v>0.999149479055922</v>
      </c>
      <c r="AH1350" s="133">
        <v>0.998281021988078</v>
      </c>
      <c r="AI1350" s="135">
        <v>0.92</v>
      </c>
      <c r="AJ1350" s="133">
        <v>0.901509134233519</v>
      </c>
      <c r="AK1350" s="133">
        <v>0.920401854714065</v>
      </c>
      <c r="AL1350" s="133">
        <v>0.970503597122302</v>
      </c>
      <c r="AM1350" s="133">
        <v>0.962856252920106</v>
      </c>
      <c r="AN1350" s="132">
        <v>0.99</v>
      </c>
      <c r="AO1350" s="137">
        <v>1</v>
      </c>
      <c r="AP1350" s="137">
        <v>1</v>
      </c>
      <c r="AQ1350" s="137">
        <v>1</v>
      </c>
      <c r="AR1350" s="137">
        <v>1</v>
      </c>
      <c r="AS1350" s="158">
        <v>0.0721861525408278</v>
      </c>
      <c r="AT1350" s="141">
        <v>0.0909090909090909</v>
      </c>
      <c r="AU1350" s="141">
        <v>0.142857142857143</v>
      </c>
      <c r="AV1350" s="141">
        <v>0</v>
      </c>
      <c r="AW1350" s="141">
        <v>0.0680272108843537</v>
      </c>
      <c r="AX1350" s="95"/>
      <c r="AY1350" s="93"/>
    </row>
    <row r="1351" ht="14.5" spans="1:51">
      <c r="A1351" s="91"/>
      <c r="B1351" s="95"/>
      <c r="C1351" s="152" t="s">
        <v>1085</v>
      </c>
      <c r="D1351" s="153" t="s">
        <v>25</v>
      </c>
      <c r="E1351" s="130" t="s">
        <v>1086</v>
      </c>
      <c r="F1351" s="195" t="s">
        <v>1381</v>
      </c>
      <c r="G1351" s="195" t="s">
        <v>1381</v>
      </c>
      <c r="H1351" s="195" t="s">
        <v>1381</v>
      </c>
      <c r="I1351" s="195" t="s">
        <v>1381</v>
      </c>
      <c r="J1351" s="132">
        <v>0.9</v>
      </c>
      <c r="K1351" s="133">
        <v>0.9375</v>
      </c>
      <c r="L1351" s="133">
        <v>0.966666666666667</v>
      </c>
      <c r="M1351" s="134">
        <v>0.967741935483871</v>
      </c>
      <c r="N1351" s="133">
        <v>0.935543278084715</v>
      </c>
      <c r="O1351" s="135">
        <v>0.9</v>
      </c>
      <c r="P1351" s="133">
        <v>0.936378466557912</v>
      </c>
      <c r="Q1351" s="133">
        <v>0.964831096714484</v>
      </c>
      <c r="R1351" s="133">
        <v>0.960168697282099</v>
      </c>
      <c r="S1351" s="133">
        <v>0.953003927396242</v>
      </c>
      <c r="T1351" s="135">
        <v>0.9</v>
      </c>
      <c r="U1351" s="133">
        <v>0.915715062533986</v>
      </c>
      <c r="V1351" s="133">
        <v>0.908375751966682</v>
      </c>
      <c r="W1351" s="133">
        <v>0.947985004686036</v>
      </c>
      <c r="X1351" s="133">
        <v>0.927130877826133</v>
      </c>
      <c r="Y1351" s="135">
        <v>0.92</v>
      </c>
      <c r="Z1351" s="135">
        <v>0.916133617626155</v>
      </c>
      <c r="AA1351" s="135">
        <v>0.939944903581267</v>
      </c>
      <c r="AB1351" s="135">
        <v>0.965493443754313</v>
      </c>
      <c r="AC1351" s="135">
        <v>0.958804747692094</v>
      </c>
      <c r="AD1351" s="135">
        <v>0.92</v>
      </c>
      <c r="AE1351" s="133">
        <v>1</v>
      </c>
      <c r="AF1351" s="133">
        <v>1</v>
      </c>
      <c r="AG1351" s="133">
        <v>0.998436685773841</v>
      </c>
      <c r="AH1351" s="133">
        <v>0.998282484464291</v>
      </c>
      <c r="AI1351" s="135">
        <v>0.92</v>
      </c>
      <c r="AJ1351" s="133">
        <v>0.94362292051756</v>
      </c>
      <c r="AK1351" s="133">
        <v>0.95523138832998</v>
      </c>
      <c r="AL1351" s="133">
        <v>0.974602288584985</v>
      </c>
      <c r="AM1351" s="133">
        <v>0.972076027788638</v>
      </c>
      <c r="AN1351" s="132">
        <v>0.99</v>
      </c>
      <c r="AO1351" s="137">
        <v>1</v>
      </c>
      <c r="AP1351" s="137">
        <v>1</v>
      </c>
      <c r="AQ1351" s="137">
        <v>1</v>
      </c>
      <c r="AR1351" s="137">
        <v>1</v>
      </c>
      <c r="AS1351" s="158">
        <v>0.0721861525408278</v>
      </c>
      <c r="AT1351" s="141">
        <v>0.0588235294117647</v>
      </c>
      <c r="AU1351" s="141">
        <v>0.19047619047619</v>
      </c>
      <c r="AV1351" s="141">
        <v>0</v>
      </c>
      <c r="AW1351" s="141">
        <v>0.0620915032679739</v>
      </c>
      <c r="AX1351" s="95"/>
      <c r="AY1351" s="93"/>
    </row>
    <row r="1352" ht="14.5" spans="1:51">
      <c r="A1352" s="91"/>
      <c r="B1352" s="95"/>
      <c r="C1352" s="152" t="s">
        <v>1085</v>
      </c>
      <c r="D1352" s="153" t="s">
        <v>25</v>
      </c>
      <c r="E1352" s="130" t="s">
        <v>1086</v>
      </c>
      <c r="F1352" s="195" t="s">
        <v>1382</v>
      </c>
      <c r="G1352" s="195" t="s">
        <v>1382</v>
      </c>
      <c r="H1352" s="195" t="s">
        <v>1382</v>
      </c>
      <c r="I1352" s="195" t="s">
        <v>1382</v>
      </c>
      <c r="J1352" s="132">
        <v>0.9</v>
      </c>
      <c r="K1352" s="133">
        <v>0.975609756097561</v>
      </c>
      <c r="L1352" s="133">
        <v>0.952380952380952</v>
      </c>
      <c r="M1352" s="134">
        <v>0.976744186046512</v>
      </c>
      <c r="N1352" s="133">
        <v>0.955163043478261</v>
      </c>
      <c r="O1352" s="135">
        <v>0.9</v>
      </c>
      <c r="P1352" s="133">
        <v>0.97397115722828</v>
      </c>
      <c r="Q1352" s="133">
        <v>0.971080669710807</v>
      </c>
      <c r="R1352" s="133">
        <v>0.979098628347485</v>
      </c>
      <c r="S1352" s="133">
        <v>0.973896027174716</v>
      </c>
      <c r="T1352" s="135">
        <v>0.9</v>
      </c>
      <c r="U1352" s="133">
        <v>0.93387266971509</v>
      </c>
      <c r="V1352" s="133">
        <v>0.940639269406393</v>
      </c>
      <c r="W1352" s="133">
        <v>0.946766819072502</v>
      </c>
      <c r="X1352" s="133">
        <v>0.942862944912125</v>
      </c>
      <c r="Y1352" s="135">
        <v>0.92</v>
      </c>
      <c r="Z1352" s="135">
        <v>0.942541436464088</v>
      </c>
      <c r="AA1352" s="135">
        <v>0.939066339066339</v>
      </c>
      <c r="AB1352" s="135">
        <v>0.956473214285714</v>
      </c>
      <c r="AC1352" s="135">
        <v>0.953594532554257</v>
      </c>
      <c r="AD1352" s="135">
        <v>0.92</v>
      </c>
      <c r="AE1352" s="133">
        <v>1</v>
      </c>
      <c r="AF1352" s="133">
        <v>0.998280309544282</v>
      </c>
      <c r="AG1352" s="133">
        <v>0.997893628225382</v>
      </c>
      <c r="AH1352" s="133">
        <v>0.996922984102085</v>
      </c>
      <c r="AI1352" s="135">
        <v>0.92</v>
      </c>
      <c r="AJ1352" s="133">
        <v>0.95766172361917</v>
      </c>
      <c r="AK1352" s="133">
        <v>0.961466165413534</v>
      </c>
      <c r="AL1352" s="133">
        <v>0.974454058508447</v>
      </c>
      <c r="AM1352" s="133">
        <v>0.971636418665485</v>
      </c>
      <c r="AN1352" s="132">
        <v>0.99</v>
      </c>
      <c r="AO1352" s="137">
        <v>1</v>
      </c>
      <c r="AP1352" s="137">
        <v>1</v>
      </c>
      <c r="AQ1352" s="137">
        <v>1</v>
      </c>
      <c r="AR1352" s="137">
        <v>1</v>
      </c>
      <c r="AS1352" s="158">
        <v>0.0721861525408278</v>
      </c>
      <c r="AT1352" s="141">
        <v>0</v>
      </c>
      <c r="AU1352" s="141">
        <v>0.08</v>
      </c>
      <c r="AV1352" s="141">
        <v>0</v>
      </c>
      <c r="AW1352" s="141">
        <v>0.0402684563758389</v>
      </c>
      <c r="AX1352" s="95"/>
      <c r="AY1352" s="93"/>
    </row>
    <row r="1353" ht="14.5" spans="1:51">
      <c r="A1353" s="91"/>
      <c r="B1353" s="95"/>
      <c r="C1353" s="152" t="s">
        <v>1085</v>
      </c>
      <c r="D1353" s="153" t="s">
        <v>25</v>
      </c>
      <c r="E1353" s="130" t="s">
        <v>1086</v>
      </c>
      <c r="F1353" s="195" t="s">
        <v>1383</v>
      </c>
      <c r="G1353" s="195" t="s">
        <v>1383</v>
      </c>
      <c r="H1353" s="195" t="s">
        <v>1383</v>
      </c>
      <c r="I1353" s="195" t="s">
        <v>1383</v>
      </c>
      <c r="J1353" s="132">
        <v>0.9</v>
      </c>
      <c r="K1353" s="133">
        <v>1</v>
      </c>
      <c r="L1353" s="133">
        <v>1</v>
      </c>
      <c r="M1353" s="134">
        <v>1</v>
      </c>
      <c r="N1353" s="133">
        <v>0.996563573883162</v>
      </c>
      <c r="O1353" s="135">
        <v>0.9</v>
      </c>
      <c r="P1353" s="133">
        <v>0.988256549232159</v>
      </c>
      <c r="Q1353" s="133">
        <v>0.986593059936908</v>
      </c>
      <c r="R1353" s="133">
        <v>0.991689750692521</v>
      </c>
      <c r="S1353" s="133">
        <v>0.987301320326297</v>
      </c>
      <c r="T1353" s="135">
        <v>0.9</v>
      </c>
      <c r="U1353" s="133">
        <v>0.93676603432701</v>
      </c>
      <c r="V1353" s="133">
        <v>0.947160883280757</v>
      </c>
      <c r="W1353" s="133">
        <v>0.963296398891967</v>
      </c>
      <c r="X1353" s="133">
        <v>0.957699100159785</v>
      </c>
      <c r="Y1353" s="135">
        <v>0.92</v>
      </c>
      <c r="Z1353" s="135">
        <v>0.96</v>
      </c>
      <c r="AA1353" s="135">
        <v>0.958049886621315</v>
      </c>
      <c r="AB1353" s="135">
        <v>0.976969696969697</v>
      </c>
      <c r="AC1353" s="135">
        <v>0.976005226584308</v>
      </c>
      <c r="AD1353" s="135">
        <v>0.92</v>
      </c>
      <c r="AE1353" s="133">
        <v>1</v>
      </c>
      <c r="AF1353" s="133">
        <v>0.999097472924188</v>
      </c>
      <c r="AG1353" s="133">
        <v>0.998739760554505</v>
      </c>
      <c r="AH1353" s="133">
        <v>0.999208257158075</v>
      </c>
      <c r="AI1353" s="135">
        <v>0.92</v>
      </c>
      <c r="AJ1353" s="133">
        <v>0.962698007153807</v>
      </c>
      <c r="AK1353" s="133">
        <v>0.965581395348837</v>
      </c>
      <c r="AL1353" s="133">
        <v>0.982811811370648</v>
      </c>
      <c r="AM1353" s="133">
        <v>0.98101966962901</v>
      </c>
      <c r="AN1353" s="132">
        <v>0.99</v>
      </c>
      <c r="AO1353" s="137">
        <v>1</v>
      </c>
      <c r="AP1353" s="137">
        <v>1</v>
      </c>
      <c r="AQ1353" s="137">
        <v>1</v>
      </c>
      <c r="AR1353" s="137">
        <v>1</v>
      </c>
      <c r="AS1353" s="158">
        <v>0.0721861525408278</v>
      </c>
      <c r="AT1353" s="141">
        <v>0</v>
      </c>
      <c r="AU1353" s="141">
        <v>0.115384615384615</v>
      </c>
      <c r="AV1353" s="141">
        <v>0.0384615384615385</v>
      </c>
      <c r="AW1353" s="141">
        <v>0.0369393139841689</v>
      </c>
      <c r="AX1353" s="95"/>
      <c r="AY1353" s="93"/>
    </row>
    <row r="1354" ht="14.5" spans="1:51">
      <c r="A1354" s="91"/>
      <c r="B1354" s="95"/>
      <c r="C1354" s="152" t="s">
        <v>1085</v>
      </c>
      <c r="D1354" s="153" t="s">
        <v>25</v>
      </c>
      <c r="E1354" s="130" t="s">
        <v>1086</v>
      </c>
      <c r="F1354" s="195" t="s">
        <v>1384</v>
      </c>
      <c r="G1354" s="195" t="s">
        <v>1384</v>
      </c>
      <c r="H1354" s="195" t="s">
        <v>1384</v>
      </c>
      <c r="I1354" s="195" t="s">
        <v>1384</v>
      </c>
      <c r="J1354" s="132">
        <v>0.9</v>
      </c>
      <c r="K1354" s="133">
        <v>0.869565217391304</v>
      </c>
      <c r="L1354" s="133">
        <v>0.952380952380952</v>
      </c>
      <c r="M1354" s="134">
        <v>0.958333333333333</v>
      </c>
      <c r="N1354" s="133">
        <v>0.959493670886076</v>
      </c>
      <c r="O1354" s="135">
        <v>0.9</v>
      </c>
      <c r="P1354" s="133">
        <v>0.974390243902439</v>
      </c>
      <c r="Q1354" s="133">
        <v>0.959416324669403</v>
      </c>
      <c r="R1354" s="133">
        <v>0.975215517241379</v>
      </c>
      <c r="S1354" s="133">
        <v>0.960208077969446</v>
      </c>
      <c r="T1354" s="135">
        <v>0.9</v>
      </c>
      <c r="U1354" s="133">
        <v>0.939024390243902</v>
      </c>
      <c r="V1354" s="133">
        <v>0.919288645690834</v>
      </c>
      <c r="W1354" s="133">
        <v>0.955818965517241</v>
      </c>
      <c r="X1354" s="133">
        <v>0.931507668390684</v>
      </c>
      <c r="Y1354" s="135">
        <v>0.92</v>
      </c>
      <c r="Z1354" s="135">
        <v>0.930635838150289</v>
      </c>
      <c r="AA1354" s="135">
        <v>0.939495798319328</v>
      </c>
      <c r="AB1354" s="135">
        <v>0.963996399639964</v>
      </c>
      <c r="AC1354" s="135">
        <v>0.95667482502469</v>
      </c>
      <c r="AD1354" s="135">
        <v>0.92</v>
      </c>
      <c r="AE1354" s="133">
        <v>1</v>
      </c>
      <c r="AF1354" s="133">
        <v>0.998447204968944</v>
      </c>
      <c r="AG1354" s="133">
        <v>1</v>
      </c>
      <c r="AH1354" s="133">
        <v>0.997565629317718</v>
      </c>
      <c r="AI1354" s="135">
        <v>0.92</v>
      </c>
      <c r="AJ1354" s="133">
        <v>0.952297439494914</v>
      </c>
      <c r="AK1354" s="133">
        <v>0.961276973100798</v>
      </c>
      <c r="AL1354" s="133">
        <v>0.978766430738119</v>
      </c>
      <c r="AM1354" s="133">
        <v>0.972910571398357</v>
      </c>
      <c r="AN1354" s="132">
        <v>0.99</v>
      </c>
      <c r="AO1354" s="137">
        <v>1</v>
      </c>
      <c r="AP1354" s="137">
        <v>1</v>
      </c>
      <c r="AQ1354" s="137">
        <v>1</v>
      </c>
      <c r="AR1354" s="137">
        <v>1</v>
      </c>
      <c r="AS1354" s="158">
        <v>0.0721861525408278</v>
      </c>
      <c r="AT1354" s="141">
        <v>0</v>
      </c>
      <c r="AU1354" s="141">
        <v>0</v>
      </c>
      <c r="AV1354" s="141">
        <v>0.0416666666666667</v>
      </c>
      <c r="AW1354" s="141">
        <v>0.0397111913357401</v>
      </c>
      <c r="AX1354" s="95"/>
      <c r="AY1354" s="93"/>
    </row>
    <row r="1355" ht="14.5" spans="1:51">
      <c r="A1355" s="91"/>
      <c r="B1355" s="95"/>
      <c r="C1355" s="152" t="s">
        <v>1085</v>
      </c>
      <c r="D1355" s="153" t="s">
        <v>25</v>
      </c>
      <c r="E1355" s="130" t="s">
        <v>1086</v>
      </c>
      <c r="F1355" s="195" t="s">
        <v>1385</v>
      </c>
      <c r="G1355" s="195" t="s">
        <v>1385</v>
      </c>
      <c r="H1355" s="195" t="s">
        <v>1385</v>
      </c>
      <c r="I1355" s="195" t="s">
        <v>1385</v>
      </c>
      <c r="J1355" s="132">
        <v>0.9</v>
      </c>
      <c r="K1355" s="133">
        <v>0.857142857142857</v>
      </c>
      <c r="L1355" s="133">
        <v>0.88</v>
      </c>
      <c r="M1355" s="134">
        <v>0.925925925925926</v>
      </c>
      <c r="N1355" s="133">
        <v>0.865853658536585</v>
      </c>
      <c r="O1355" s="135">
        <v>0.9</v>
      </c>
      <c r="P1355" s="133">
        <v>0.982482863670982</v>
      </c>
      <c r="Q1355" s="133">
        <v>0.988296488946684</v>
      </c>
      <c r="R1355" s="133">
        <v>0.974476439790576</v>
      </c>
      <c r="S1355" s="133">
        <v>0.982731264528984</v>
      </c>
      <c r="T1355" s="135">
        <v>0.9</v>
      </c>
      <c r="U1355" s="133">
        <v>0.925361766945925</v>
      </c>
      <c r="V1355" s="133">
        <v>0.920676202860858</v>
      </c>
      <c r="W1355" s="133">
        <v>0.93520942408377</v>
      </c>
      <c r="X1355" s="133">
        <v>0.938415556621527</v>
      </c>
      <c r="Y1355" s="135">
        <v>0.92</v>
      </c>
      <c r="Z1355" s="135">
        <v>0.929577464788732</v>
      </c>
      <c r="AA1355" s="135">
        <v>0.92037037037037</v>
      </c>
      <c r="AB1355" s="135">
        <v>0.940755873340143</v>
      </c>
      <c r="AC1355" s="135">
        <v>0.937579101908571</v>
      </c>
      <c r="AD1355" s="135">
        <v>0.92</v>
      </c>
      <c r="AE1355" s="133">
        <v>0.997709923664122</v>
      </c>
      <c r="AF1355" s="133">
        <v>1</v>
      </c>
      <c r="AG1355" s="133">
        <v>1</v>
      </c>
      <c r="AH1355" s="133">
        <v>0.99834212009682</v>
      </c>
      <c r="AI1355" s="135">
        <v>0.92</v>
      </c>
      <c r="AJ1355" s="133">
        <v>0.95304114490161</v>
      </c>
      <c r="AK1355" s="133">
        <v>0.946142093200917</v>
      </c>
      <c r="AL1355" s="133">
        <v>0.957319505384922</v>
      </c>
      <c r="AM1355" s="133">
        <v>0.963377155540379</v>
      </c>
      <c r="AN1355" s="132">
        <v>0.99</v>
      </c>
      <c r="AO1355" s="137">
        <v>1</v>
      </c>
      <c r="AP1355" s="137">
        <v>1</v>
      </c>
      <c r="AQ1355" s="137">
        <v>1</v>
      </c>
      <c r="AR1355" s="137">
        <v>1</v>
      </c>
      <c r="AS1355" s="158">
        <v>0.0721861525408278</v>
      </c>
      <c r="AT1355" s="141">
        <v>0.0526315789473684</v>
      </c>
      <c r="AU1355" s="141">
        <v>0.0588235294117647</v>
      </c>
      <c r="AV1355" s="141">
        <v>0</v>
      </c>
      <c r="AW1355" s="141">
        <v>0.0158102766798419</v>
      </c>
      <c r="AX1355" s="95"/>
      <c r="AY1355" s="93"/>
    </row>
    <row r="1356" ht="14.5" spans="1:51">
      <c r="A1356" s="91"/>
      <c r="B1356" s="95"/>
      <c r="C1356" s="152" t="s">
        <v>1085</v>
      </c>
      <c r="D1356" s="153" t="s">
        <v>25</v>
      </c>
      <c r="E1356" s="130" t="s">
        <v>1086</v>
      </c>
      <c r="F1356" s="195" t="s">
        <v>1386</v>
      </c>
      <c r="G1356" s="195" t="s">
        <v>1386</v>
      </c>
      <c r="H1356" s="195" t="s">
        <v>1386</v>
      </c>
      <c r="I1356" s="195" t="s">
        <v>1386</v>
      </c>
      <c r="J1356" s="132">
        <v>0.9</v>
      </c>
      <c r="K1356" s="133">
        <v>0.947368421052632</v>
      </c>
      <c r="L1356" s="133">
        <v>0.894736842105263</v>
      </c>
      <c r="M1356" s="134">
        <v>0.894736842105263</v>
      </c>
      <c r="N1356" s="133">
        <v>0.88785046728972</v>
      </c>
      <c r="O1356" s="135">
        <v>0.9</v>
      </c>
      <c r="P1356" s="133">
        <v>0.919551934826884</v>
      </c>
      <c r="Q1356" s="133">
        <v>0.920325203252032</v>
      </c>
      <c r="R1356" s="133">
        <v>0.926296633303003</v>
      </c>
      <c r="S1356" s="133">
        <v>0.912625114839708</v>
      </c>
      <c r="T1356" s="135">
        <v>0.9</v>
      </c>
      <c r="U1356" s="133">
        <v>0.937881873727088</v>
      </c>
      <c r="V1356" s="133">
        <v>0.891056910569106</v>
      </c>
      <c r="W1356" s="133">
        <v>0.91992720655141</v>
      </c>
      <c r="X1356" s="133">
        <v>0.92118369517915</v>
      </c>
      <c r="Y1356" s="135">
        <v>0.92</v>
      </c>
      <c r="Z1356" s="135">
        <v>0.949868073878628</v>
      </c>
      <c r="AA1356" s="135">
        <v>0.96</v>
      </c>
      <c r="AB1356" s="135">
        <v>0.92</v>
      </c>
      <c r="AC1356" s="135">
        <v>0.947208967658865</v>
      </c>
      <c r="AD1356" s="135">
        <v>0.92</v>
      </c>
      <c r="AE1356" s="133">
        <v>1</v>
      </c>
      <c r="AF1356" s="133">
        <v>0.998800959232614</v>
      </c>
      <c r="AG1356" s="133">
        <v>0.998084291187739</v>
      </c>
      <c r="AH1356" s="133">
        <v>0.99828846027253</v>
      </c>
      <c r="AI1356" s="135">
        <v>0.92</v>
      </c>
      <c r="AJ1356" s="133">
        <v>0.967816091954023</v>
      </c>
      <c r="AK1356" s="133">
        <v>0.968965517241379</v>
      </c>
      <c r="AL1356" s="133">
        <v>0.941971830985916</v>
      </c>
      <c r="AM1356" s="133">
        <v>0.967391625106973</v>
      </c>
      <c r="AN1356" s="132">
        <v>0.99</v>
      </c>
      <c r="AO1356" s="137">
        <v>1</v>
      </c>
      <c r="AP1356" s="137">
        <v>1</v>
      </c>
      <c r="AQ1356" s="137">
        <v>1</v>
      </c>
      <c r="AR1356" s="137">
        <v>1</v>
      </c>
      <c r="AS1356" s="158">
        <v>0.0721861525408278</v>
      </c>
      <c r="AT1356" s="141">
        <v>0</v>
      </c>
      <c r="AU1356" s="141">
        <v>0</v>
      </c>
      <c r="AV1356" s="141">
        <v>0.111111111111111</v>
      </c>
      <c r="AW1356" s="141">
        <v>0.0487804878048781</v>
      </c>
      <c r="AX1356" s="95"/>
      <c r="AY1356" s="93"/>
    </row>
    <row r="1357" ht="14.5" spans="1:51">
      <c r="A1357" s="91"/>
      <c r="B1357" s="95"/>
      <c r="C1357" s="152" t="s">
        <v>1085</v>
      </c>
      <c r="D1357" s="153" t="s">
        <v>25</v>
      </c>
      <c r="E1357" s="130" t="s">
        <v>1086</v>
      </c>
      <c r="F1357" s="195" t="s">
        <v>1387</v>
      </c>
      <c r="G1357" s="195" t="s">
        <v>1387</v>
      </c>
      <c r="H1357" s="195" t="s">
        <v>1387</v>
      </c>
      <c r="I1357" s="195" t="s">
        <v>1387</v>
      </c>
      <c r="J1357" s="132">
        <v>0.9</v>
      </c>
      <c r="K1357" s="133">
        <v>1</v>
      </c>
      <c r="L1357" s="133">
        <v>0.928571428571429</v>
      </c>
      <c r="M1357" s="134">
        <v>0.9375</v>
      </c>
      <c r="N1357" s="133">
        <v>0.936507936507937</v>
      </c>
      <c r="O1357" s="135">
        <v>0.9</v>
      </c>
      <c r="P1357" s="133">
        <v>0.993522670652715</v>
      </c>
      <c r="Q1357" s="133">
        <v>0.997324772605671</v>
      </c>
      <c r="R1357" s="133">
        <v>0.998285714285714</v>
      </c>
      <c r="S1357" s="133">
        <v>0.995502873991125</v>
      </c>
      <c r="T1357" s="135">
        <v>0.9</v>
      </c>
      <c r="U1357" s="133">
        <v>0.982062780269058</v>
      </c>
      <c r="V1357" s="133">
        <v>0.984483681112895</v>
      </c>
      <c r="W1357" s="133">
        <v>0.976571428571429</v>
      </c>
      <c r="X1357" s="133">
        <v>0.978199362658963</v>
      </c>
      <c r="Y1357" s="135">
        <v>0.92</v>
      </c>
      <c r="Z1357" s="135">
        <v>0</v>
      </c>
      <c r="AA1357" s="135">
        <v>0</v>
      </c>
      <c r="AB1357" s="135" t="s">
        <v>35</v>
      </c>
      <c r="AC1357" s="135">
        <v>0</v>
      </c>
      <c r="AD1357" s="135">
        <v>0.92</v>
      </c>
      <c r="AE1357" s="133">
        <v>1</v>
      </c>
      <c r="AF1357" s="133">
        <v>1</v>
      </c>
      <c r="AG1357" s="133">
        <v>0.993377483443709</v>
      </c>
      <c r="AH1357" s="133">
        <v>0.99739921976593</v>
      </c>
      <c r="AI1357" s="135">
        <v>0.92</v>
      </c>
      <c r="AJ1357" s="133">
        <v>0.994521912350598</v>
      </c>
      <c r="AK1357" s="133">
        <v>0.993582887700535</v>
      </c>
      <c r="AL1357" s="133">
        <v>0.996</v>
      </c>
      <c r="AM1357" s="133">
        <v>0.993865213377409</v>
      </c>
      <c r="AN1357" s="132">
        <v>0.99</v>
      </c>
      <c r="AO1357" s="137">
        <v>1</v>
      </c>
      <c r="AP1357" s="137">
        <v>1</v>
      </c>
      <c r="AQ1357" s="137">
        <v>1</v>
      </c>
      <c r="AR1357" s="137">
        <v>1</v>
      </c>
      <c r="AS1357" s="158">
        <v>0.0721861525408278</v>
      </c>
      <c r="AT1357" s="141">
        <v>0</v>
      </c>
      <c r="AU1357" s="141">
        <v>0</v>
      </c>
      <c r="AV1357" s="141">
        <v>0</v>
      </c>
      <c r="AW1357" s="141">
        <v>0.0333333333333333</v>
      </c>
      <c r="AX1357" s="95"/>
      <c r="AY1357" s="93"/>
    </row>
    <row r="1358" ht="14.5" spans="1:51">
      <c r="A1358" s="91"/>
      <c r="B1358" s="95"/>
      <c r="C1358" s="152" t="s">
        <v>1085</v>
      </c>
      <c r="D1358" s="153" t="s">
        <v>25</v>
      </c>
      <c r="E1358" s="130" t="s">
        <v>1086</v>
      </c>
      <c r="F1358" s="195" t="s">
        <v>1388</v>
      </c>
      <c r="G1358" s="195" t="s">
        <v>1388</v>
      </c>
      <c r="H1358" s="195" t="s">
        <v>1388</v>
      </c>
      <c r="I1358" s="195" t="s">
        <v>1388</v>
      </c>
      <c r="J1358" s="132">
        <v>0.9</v>
      </c>
      <c r="K1358" s="133">
        <v>0.956521739130435</v>
      </c>
      <c r="L1358" s="133">
        <v>1</v>
      </c>
      <c r="M1358" s="134">
        <v>0.916666666666667</v>
      </c>
      <c r="N1358" s="133">
        <v>0.916666666666667</v>
      </c>
      <c r="O1358" s="135">
        <v>0.9</v>
      </c>
      <c r="P1358" s="133">
        <v>0.992146596858639</v>
      </c>
      <c r="Q1358" s="133">
        <v>0.992675570874623</v>
      </c>
      <c r="R1358" s="133">
        <v>0.986842105263158</v>
      </c>
      <c r="S1358" s="133">
        <v>0.984915320092337</v>
      </c>
      <c r="T1358" s="135">
        <v>0.9</v>
      </c>
      <c r="U1358" s="133">
        <v>0.944153577661431</v>
      </c>
      <c r="V1358" s="133">
        <v>0.929340801378716</v>
      </c>
      <c r="W1358" s="133">
        <v>0.946052631578947</v>
      </c>
      <c r="X1358" s="133">
        <v>0.946655086508354</v>
      </c>
      <c r="Y1358" s="135">
        <v>0.92</v>
      </c>
      <c r="Z1358" s="135">
        <v>0.25</v>
      </c>
      <c r="AA1358" s="135">
        <v>0.2</v>
      </c>
      <c r="AB1358" s="135" t="s">
        <v>35</v>
      </c>
      <c r="AC1358" s="135">
        <v>0.5</v>
      </c>
      <c r="AD1358" s="135">
        <v>0.92</v>
      </c>
      <c r="AE1358" s="133">
        <v>0.998420221169036</v>
      </c>
      <c r="AF1358" s="133">
        <v>0.995934959349594</v>
      </c>
      <c r="AG1358" s="133">
        <v>0.997155049786629</v>
      </c>
      <c r="AH1358" s="133">
        <v>0.993705554487796</v>
      </c>
      <c r="AI1358" s="135">
        <v>0.92</v>
      </c>
      <c r="AJ1358" s="133">
        <v>0.982608695652174</v>
      </c>
      <c r="AK1358" s="133">
        <v>0.982825246887076</v>
      </c>
      <c r="AL1358" s="133">
        <v>0.989482909728309</v>
      </c>
      <c r="AM1358" s="133">
        <v>0.988905882621499</v>
      </c>
      <c r="AN1358" s="132">
        <v>0.99</v>
      </c>
      <c r="AO1358" s="137">
        <v>1</v>
      </c>
      <c r="AP1358" s="137">
        <v>1</v>
      </c>
      <c r="AQ1358" s="137">
        <v>1</v>
      </c>
      <c r="AR1358" s="137">
        <v>1</v>
      </c>
      <c r="AS1358" s="158">
        <v>0.0721861525408278</v>
      </c>
      <c r="AT1358" s="141">
        <v>0</v>
      </c>
      <c r="AU1358" s="141">
        <v>0.0714285714285714</v>
      </c>
      <c r="AV1358" s="141">
        <v>0</v>
      </c>
      <c r="AW1358" s="141">
        <v>0.037037037037037</v>
      </c>
      <c r="AX1358" s="95"/>
      <c r="AY1358" s="93"/>
    </row>
    <row r="1359" ht="14.5" spans="1:51">
      <c r="A1359" s="91"/>
      <c r="B1359" s="95"/>
      <c r="C1359" s="152" t="s">
        <v>1085</v>
      </c>
      <c r="D1359" s="153" t="s">
        <v>25</v>
      </c>
      <c r="E1359" s="130" t="s">
        <v>1086</v>
      </c>
      <c r="F1359" s="195" t="s">
        <v>1389</v>
      </c>
      <c r="G1359" s="195" t="s">
        <v>1389</v>
      </c>
      <c r="H1359" s="195" t="s">
        <v>1389</v>
      </c>
      <c r="I1359" s="195" t="s">
        <v>1389</v>
      </c>
      <c r="J1359" s="132">
        <v>0.9</v>
      </c>
      <c r="K1359" s="133">
        <v>0.941176470588235</v>
      </c>
      <c r="L1359" s="133">
        <v>0.823529411764706</v>
      </c>
      <c r="M1359" s="134">
        <v>0.947368421052632</v>
      </c>
      <c r="N1359" s="133">
        <v>0.905487804878049</v>
      </c>
      <c r="O1359" s="135">
        <v>0.9</v>
      </c>
      <c r="P1359" s="133">
        <v>0.951557093425606</v>
      </c>
      <c r="Q1359" s="133">
        <v>0.920076117982873</v>
      </c>
      <c r="R1359" s="133">
        <v>0.924761904761905</v>
      </c>
      <c r="S1359" s="133">
        <v>0.953338968723584</v>
      </c>
      <c r="T1359" s="135">
        <v>0.9</v>
      </c>
      <c r="U1359" s="133">
        <v>0.881199538638985</v>
      </c>
      <c r="V1359" s="133">
        <v>0.893434823977165</v>
      </c>
      <c r="W1359" s="133">
        <v>0.956190476190476</v>
      </c>
      <c r="X1359" s="133">
        <v>0.928937728937729</v>
      </c>
      <c r="Y1359" s="135">
        <v>0.92</v>
      </c>
      <c r="Z1359" s="135">
        <v>0.862023653088042</v>
      </c>
      <c r="AA1359" s="135">
        <v>0.883845126835781</v>
      </c>
      <c r="AB1359" s="135">
        <v>0.945007235890014</v>
      </c>
      <c r="AC1359" s="135">
        <v>0.879016442902399</v>
      </c>
      <c r="AD1359" s="135">
        <v>0.92</v>
      </c>
      <c r="AE1359" s="133">
        <v>1</v>
      </c>
      <c r="AF1359" s="133">
        <v>0.998734711092366</v>
      </c>
      <c r="AG1359" s="133">
        <v>0.997077922077922</v>
      </c>
      <c r="AH1359" s="133">
        <v>0.996384171609653</v>
      </c>
      <c r="AI1359" s="135">
        <v>0.92</v>
      </c>
      <c r="AJ1359" s="133">
        <v>0.893734643734644</v>
      </c>
      <c r="AK1359" s="133">
        <v>0.907777777777778</v>
      </c>
      <c r="AL1359" s="133">
        <v>0.970132107983917</v>
      </c>
      <c r="AM1359" s="133">
        <v>0.928654367178429</v>
      </c>
      <c r="AN1359" s="132">
        <v>0.99</v>
      </c>
      <c r="AO1359" s="137">
        <v>1</v>
      </c>
      <c r="AP1359" s="137">
        <v>1</v>
      </c>
      <c r="AQ1359" s="137">
        <v>1</v>
      </c>
      <c r="AR1359" s="137">
        <v>1</v>
      </c>
      <c r="AS1359" s="158">
        <v>0.0721861525408278</v>
      </c>
      <c r="AT1359" s="141">
        <v>0</v>
      </c>
      <c r="AU1359" s="141">
        <v>0</v>
      </c>
      <c r="AV1359" s="141">
        <v>0.0769230769230769</v>
      </c>
      <c r="AW1359" s="141">
        <v>0.0388349514563107</v>
      </c>
      <c r="AX1359" s="95"/>
      <c r="AY1359" s="93"/>
    </row>
    <row r="1360" ht="14.5" spans="1:51">
      <c r="A1360" s="91"/>
      <c r="B1360" s="95"/>
      <c r="C1360" s="152" t="s">
        <v>1085</v>
      </c>
      <c r="D1360" s="153" t="s">
        <v>25</v>
      </c>
      <c r="E1360" s="130" t="s">
        <v>1086</v>
      </c>
      <c r="F1360" s="195" t="s">
        <v>1390</v>
      </c>
      <c r="G1360" s="195" t="s">
        <v>1390</v>
      </c>
      <c r="H1360" s="195" t="s">
        <v>1390</v>
      </c>
      <c r="I1360" s="195" t="s">
        <v>1390</v>
      </c>
      <c r="J1360" s="132">
        <v>0.9</v>
      </c>
      <c r="K1360" s="133">
        <v>0.857142857142857</v>
      </c>
      <c r="L1360" s="133">
        <v>1</v>
      </c>
      <c r="M1360" s="134">
        <v>1</v>
      </c>
      <c r="N1360" s="133">
        <v>0.946153846153846</v>
      </c>
      <c r="O1360" s="135">
        <v>0.9</v>
      </c>
      <c r="P1360" s="133">
        <v>0.993333333333333</v>
      </c>
      <c r="Q1360" s="133">
        <v>0.995381062355658</v>
      </c>
      <c r="R1360" s="133">
        <v>0.996062992125984</v>
      </c>
      <c r="S1360" s="133">
        <v>0.969994038550705</v>
      </c>
      <c r="T1360" s="135">
        <v>0.9</v>
      </c>
      <c r="U1360" s="133">
        <v>0.955555555555556</v>
      </c>
      <c r="V1360" s="133">
        <v>0.965357967667437</v>
      </c>
      <c r="W1360" s="133">
        <v>0.969816272965879</v>
      </c>
      <c r="X1360" s="133">
        <v>0.938795787242498</v>
      </c>
      <c r="Y1360" s="135">
        <v>0.92</v>
      </c>
      <c r="Z1360" s="135">
        <v>0</v>
      </c>
      <c r="AA1360" s="135" t="s">
        <v>35</v>
      </c>
      <c r="AB1360" s="135" t="s">
        <v>35</v>
      </c>
      <c r="AC1360" s="135">
        <v>0</v>
      </c>
      <c r="AD1360" s="135">
        <v>0.92</v>
      </c>
      <c r="AE1360" s="133">
        <v>0.990566037735849</v>
      </c>
      <c r="AF1360" s="133">
        <v>1</v>
      </c>
      <c r="AG1360" s="133">
        <v>0.828025477707006</v>
      </c>
      <c r="AH1360" s="133">
        <v>0.947122229001424</v>
      </c>
      <c r="AI1360" s="135">
        <v>0.92</v>
      </c>
      <c r="AJ1360" s="133">
        <v>0.986681465038846</v>
      </c>
      <c r="AK1360" s="133">
        <v>0.990762124711316</v>
      </c>
      <c r="AL1360" s="133">
        <v>0.990813648293963</v>
      </c>
      <c r="AM1360" s="133">
        <v>0.989007350506589</v>
      </c>
      <c r="AN1360" s="132">
        <v>0.99</v>
      </c>
      <c r="AO1360" s="137">
        <v>1</v>
      </c>
      <c r="AP1360" s="137">
        <v>1</v>
      </c>
      <c r="AQ1360" s="137">
        <v>1</v>
      </c>
      <c r="AR1360" s="137">
        <v>1</v>
      </c>
      <c r="AS1360" s="158">
        <v>0.0721861525408278</v>
      </c>
      <c r="AT1360" s="141">
        <v>0</v>
      </c>
      <c r="AU1360" s="141">
        <v>0</v>
      </c>
      <c r="AV1360" s="141">
        <v>0</v>
      </c>
      <c r="AW1360" s="141">
        <v>0.0634920634920635</v>
      </c>
      <c r="AX1360" s="95"/>
      <c r="AY1360" s="93"/>
    </row>
    <row r="1361" ht="14.5" spans="1:51">
      <c r="A1361" s="91"/>
      <c r="B1361" s="95"/>
      <c r="C1361" s="152" t="s">
        <v>1085</v>
      </c>
      <c r="D1361" s="153" t="s">
        <v>25</v>
      </c>
      <c r="E1361" s="130" t="s">
        <v>1086</v>
      </c>
      <c r="F1361" s="195" t="s">
        <v>1391</v>
      </c>
      <c r="G1361" s="195" t="s">
        <v>1391</v>
      </c>
      <c r="H1361" s="195" t="s">
        <v>1391</v>
      </c>
      <c r="I1361" s="195" t="s">
        <v>1391</v>
      </c>
      <c r="J1361" s="132">
        <v>0.9</v>
      </c>
      <c r="K1361" s="133">
        <v>0.952380952380952</v>
      </c>
      <c r="L1361" s="133">
        <v>0.95</v>
      </c>
      <c r="M1361" s="134">
        <v>0.952380952380952</v>
      </c>
      <c r="N1361" s="133">
        <v>0.909604519774011</v>
      </c>
      <c r="O1361" s="135">
        <v>0.9</v>
      </c>
      <c r="P1361" s="133">
        <v>0.939315687540349</v>
      </c>
      <c r="Q1361" s="133">
        <v>0.96767874632713</v>
      </c>
      <c r="R1361" s="133">
        <v>0.984357541899441</v>
      </c>
      <c r="S1361" s="133">
        <v>0.963232285075707</v>
      </c>
      <c r="T1361" s="135">
        <v>0.9</v>
      </c>
      <c r="U1361" s="133">
        <v>0.938670109748225</v>
      </c>
      <c r="V1361" s="133">
        <v>0.921155729676787</v>
      </c>
      <c r="W1361" s="133">
        <v>0.954748603351955</v>
      </c>
      <c r="X1361" s="133">
        <v>0.938867378096767</v>
      </c>
      <c r="Y1361" s="135">
        <v>0.92</v>
      </c>
      <c r="Z1361" s="135">
        <v>0.943075615972812</v>
      </c>
      <c r="AA1361" s="135">
        <v>0.950834064969271</v>
      </c>
      <c r="AB1361" s="135">
        <v>0.965277777777778</v>
      </c>
      <c r="AC1361" s="135">
        <v>0.959737869742807</v>
      </c>
      <c r="AD1361" s="135">
        <v>0.92</v>
      </c>
      <c r="AE1361" s="133">
        <v>0.998702983138781</v>
      </c>
      <c r="AF1361" s="133">
        <v>0.997078870496592</v>
      </c>
      <c r="AG1361" s="133">
        <v>0.996126533247256</v>
      </c>
      <c r="AH1361" s="133">
        <v>0.998573698499881</v>
      </c>
      <c r="AI1361" s="135">
        <v>0.92</v>
      </c>
      <c r="AJ1361" s="133">
        <v>0.956346294937638</v>
      </c>
      <c r="AK1361" s="133">
        <v>0.966048412448915</v>
      </c>
      <c r="AL1361" s="133">
        <v>0.977226376614548</v>
      </c>
      <c r="AM1361" s="133">
        <v>0.973004977149518</v>
      </c>
      <c r="AN1361" s="132">
        <v>0.99</v>
      </c>
      <c r="AO1361" s="137">
        <v>1</v>
      </c>
      <c r="AP1361" s="137">
        <v>1</v>
      </c>
      <c r="AQ1361" s="137">
        <v>1</v>
      </c>
      <c r="AR1361" s="137">
        <v>1</v>
      </c>
      <c r="AS1361" s="158">
        <v>0.0721861525408278</v>
      </c>
      <c r="AT1361" s="141">
        <v>0</v>
      </c>
      <c r="AU1361" s="141">
        <v>0.0833333333333333</v>
      </c>
      <c r="AV1361" s="141">
        <v>0.0666666666666667</v>
      </c>
      <c r="AW1361" s="141">
        <v>0.0408163265306122</v>
      </c>
      <c r="AX1361" s="95"/>
      <c r="AY1361" s="93"/>
    </row>
    <row r="1362" ht="14.5" spans="1:51">
      <c r="A1362" s="91"/>
      <c r="B1362" s="95"/>
      <c r="C1362" s="152" t="s">
        <v>1085</v>
      </c>
      <c r="D1362" s="153" t="s">
        <v>25</v>
      </c>
      <c r="E1362" s="130" t="s">
        <v>1086</v>
      </c>
      <c r="F1362" s="195" t="s">
        <v>1392</v>
      </c>
      <c r="G1362" s="195" t="s">
        <v>1392</v>
      </c>
      <c r="H1362" s="195" t="s">
        <v>1392</v>
      </c>
      <c r="I1362" s="195" t="s">
        <v>1392</v>
      </c>
      <c r="J1362" s="132">
        <v>0.9</v>
      </c>
      <c r="K1362" s="133">
        <v>1</v>
      </c>
      <c r="L1362" s="133">
        <v>0.976744186046512</v>
      </c>
      <c r="M1362" s="134">
        <v>1</v>
      </c>
      <c r="N1362" s="133">
        <v>0.975195822454308</v>
      </c>
      <c r="O1362" s="135">
        <v>0.9</v>
      </c>
      <c r="P1362" s="133">
        <v>0.991318074191002</v>
      </c>
      <c r="Q1362" s="133">
        <v>0.95018026876434</v>
      </c>
      <c r="R1362" s="133">
        <v>0.991620111731844</v>
      </c>
      <c r="S1362" s="133">
        <v>0.978703647631159</v>
      </c>
      <c r="T1362" s="135">
        <v>0.9</v>
      </c>
      <c r="U1362" s="133">
        <v>0.921073401736385</v>
      </c>
      <c r="V1362" s="133">
        <v>0.87905604719764</v>
      </c>
      <c r="W1362" s="133">
        <v>0.93854748603352</v>
      </c>
      <c r="X1362" s="133">
        <v>0.923393689820142</v>
      </c>
      <c r="Y1362" s="135">
        <v>0.92</v>
      </c>
      <c r="Z1362" s="135">
        <v>0.938786008230453</v>
      </c>
      <c r="AA1362" s="135">
        <v>0.958013312852023</v>
      </c>
      <c r="AB1362" s="135">
        <v>0.968036529680365</v>
      </c>
      <c r="AC1362" s="135">
        <v>0.963178453385779</v>
      </c>
      <c r="AD1362" s="135">
        <v>0.92</v>
      </c>
      <c r="AE1362" s="133">
        <v>0.997329773030708</v>
      </c>
      <c r="AF1362" s="133">
        <v>0.998155467720685</v>
      </c>
      <c r="AG1362" s="133">
        <v>0.997840690978887</v>
      </c>
      <c r="AH1362" s="133">
        <v>0.992645456526476</v>
      </c>
      <c r="AI1362" s="135">
        <v>0.92</v>
      </c>
      <c r="AJ1362" s="133">
        <v>0.958686913800804</v>
      </c>
      <c r="AK1362" s="133">
        <v>0.96722621902478</v>
      </c>
      <c r="AL1362" s="133">
        <v>0.980195911413969</v>
      </c>
      <c r="AM1362" s="133">
        <v>0.97655870164147</v>
      </c>
      <c r="AN1362" s="132">
        <v>0.99</v>
      </c>
      <c r="AO1362" s="137">
        <v>1</v>
      </c>
      <c r="AP1362" s="137">
        <v>1</v>
      </c>
      <c r="AQ1362" s="137">
        <v>1</v>
      </c>
      <c r="AR1362" s="137">
        <v>1</v>
      </c>
      <c r="AS1362" s="158">
        <v>0.0721861525408278</v>
      </c>
      <c r="AT1362" s="141">
        <v>0</v>
      </c>
      <c r="AU1362" s="141">
        <v>0.03125</v>
      </c>
      <c r="AV1362" s="141">
        <v>0.0571428571428571</v>
      </c>
      <c r="AW1362" s="141">
        <v>0.0333333333333333</v>
      </c>
      <c r="AX1362" s="95"/>
      <c r="AY1362" s="93"/>
    </row>
    <row r="1363" ht="14.5" spans="1:51">
      <c r="A1363" s="91"/>
      <c r="B1363" s="95"/>
      <c r="C1363" s="152" t="s">
        <v>1085</v>
      </c>
      <c r="D1363" s="153" t="s">
        <v>25</v>
      </c>
      <c r="E1363" s="130" t="s">
        <v>1086</v>
      </c>
      <c r="F1363" s="195" t="s">
        <v>1393</v>
      </c>
      <c r="G1363" s="195" t="s">
        <v>1393</v>
      </c>
      <c r="H1363" s="195" t="s">
        <v>1393</v>
      </c>
      <c r="I1363" s="195" t="s">
        <v>1393</v>
      </c>
      <c r="J1363" s="132">
        <v>0.9</v>
      </c>
      <c r="K1363" s="133">
        <v>0.96969696969697</v>
      </c>
      <c r="L1363" s="133">
        <v>0.953846153846154</v>
      </c>
      <c r="M1363" s="134">
        <v>0.986666666666667</v>
      </c>
      <c r="N1363" s="133">
        <v>0.965991902834008</v>
      </c>
      <c r="O1363" s="135">
        <v>0.9</v>
      </c>
      <c r="P1363" s="133">
        <v>0.988661417322835</v>
      </c>
      <c r="Q1363" s="133">
        <v>0.983483118775808</v>
      </c>
      <c r="R1363" s="133">
        <v>0.993712668972021</v>
      </c>
      <c r="S1363" s="133">
        <v>0.990783277822442</v>
      </c>
      <c r="T1363" s="135">
        <v>0.9</v>
      </c>
      <c r="U1363" s="133">
        <v>0.934488188976378</v>
      </c>
      <c r="V1363" s="133">
        <v>0.939276171969881</v>
      </c>
      <c r="W1363" s="133">
        <v>0.950644451430368</v>
      </c>
      <c r="X1363" s="133">
        <v>0.947212013322614</v>
      </c>
      <c r="Y1363" s="135">
        <v>0.92</v>
      </c>
      <c r="Z1363" s="135">
        <v>0.949985375840889</v>
      </c>
      <c r="AA1363" s="135">
        <v>0.951681957186544</v>
      </c>
      <c r="AB1363" s="135">
        <v>0.961736770691995</v>
      </c>
      <c r="AC1363" s="135">
        <v>0.967396151033585</v>
      </c>
      <c r="AD1363" s="135">
        <v>0.92</v>
      </c>
      <c r="AE1363" s="133">
        <v>0.935779816513762</v>
      </c>
      <c r="AF1363" s="133">
        <v>0.99667497921862</v>
      </c>
      <c r="AG1363" s="133">
        <v>0.995942028985507</v>
      </c>
      <c r="AH1363" s="133">
        <v>0.991658419341157</v>
      </c>
      <c r="AI1363" s="135">
        <v>0.92</v>
      </c>
      <c r="AJ1363" s="133">
        <v>0.961631786472551</v>
      </c>
      <c r="AK1363" s="133">
        <v>0.964947895520368</v>
      </c>
      <c r="AL1363" s="133">
        <v>0.974078928207369</v>
      </c>
      <c r="AM1363" s="133">
        <v>0.978318791706103</v>
      </c>
      <c r="AN1363" s="132">
        <v>0.99</v>
      </c>
      <c r="AO1363" s="137">
        <v>1</v>
      </c>
      <c r="AP1363" s="137">
        <v>1</v>
      </c>
      <c r="AQ1363" s="137">
        <v>1</v>
      </c>
      <c r="AR1363" s="137">
        <v>1</v>
      </c>
      <c r="AS1363" s="158">
        <v>0.0721861525408278</v>
      </c>
      <c r="AT1363" s="141">
        <v>0</v>
      </c>
      <c r="AU1363" s="141">
        <v>0</v>
      </c>
      <c r="AV1363" s="141">
        <v>0</v>
      </c>
      <c r="AW1363" s="141">
        <v>0.03125</v>
      </c>
      <c r="AX1363" s="95"/>
      <c r="AY1363" s="93"/>
    </row>
    <row r="1364" ht="14.5" spans="1:51">
      <c r="A1364" s="91"/>
      <c r="B1364" s="95"/>
      <c r="C1364" s="152" t="s">
        <v>1085</v>
      </c>
      <c r="D1364" s="153" t="s">
        <v>25</v>
      </c>
      <c r="E1364" s="130" t="s">
        <v>1086</v>
      </c>
      <c r="F1364" s="195" t="s">
        <v>1394</v>
      </c>
      <c r="G1364" s="195" t="s">
        <v>1394</v>
      </c>
      <c r="H1364" s="195" t="s">
        <v>1394</v>
      </c>
      <c r="I1364" s="195" t="s">
        <v>1394</v>
      </c>
      <c r="J1364" s="132">
        <v>0.9</v>
      </c>
      <c r="K1364" s="133">
        <v>0.9</v>
      </c>
      <c r="L1364" s="133">
        <v>0.888888888888889</v>
      </c>
      <c r="M1364" s="134">
        <v>1</v>
      </c>
      <c r="N1364" s="133">
        <v>0.958823529411765</v>
      </c>
      <c r="O1364" s="135">
        <v>0.9</v>
      </c>
      <c r="P1364" s="133">
        <v>0.991150442477876</v>
      </c>
      <c r="Q1364" s="133">
        <v>0.994308943089431</v>
      </c>
      <c r="R1364" s="133">
        <v>0.995606326889279</v>
      </c>
      <c r="S1364" s="133">
        <v>0.987448905987016</v>
      </c>
      <c r="T1364" s="135">
        <v>0.9</v>
      </c>
      <c r="U1364" s="133">
        <v>0.938053097345133</v>
      </c>
      <c r="V1364" s="133">
        <v>0.948780487804878</v>
      </c>
      <c r="W1364" s="133">
        <v>0.939367311072056</v>
      </c>
      <c r="X1364" s="133">
        <v>0.930127434479442</v>
      </c>
      <c r="Y1364" s="135">
        <v>0.92</v>
      </c>
      <c r="Z1364" s="135">
        <v>0.963878326996198</v>
      </c>
      <c r="AA1364" s="135">
        <v>0.956441149212234</v>
      </c>
      <c r="AB1364" s="135">
        <v>0.971602434077079</v>
      </c>
      <c r="AC1364" s="135">
        <v>0.963837434337849</v>
      </c>
      <c r="AD1364" s="135">
        <v>0.92</v>
      </c>
      <c r="AE1364" s="133">
        <v>1</v>
      </c>
      <c r="AF1364" s="133">
        <v>1</v>
      </c>
      <c r="AG1364" s="133">
        <v>0.998528329654157</v>
      </c>
      <c r="AH1364" s="133">
        <v>0.992072538860104</v>
      </c>
      <c r="AI1364" s="135">
        <v>0.92</v>
      </c>
      <c r="AJ1364" s="133">
        <v>0.971497584541063</v>
      </c>
      <c r="AK1364" s="133">
        <v>0.970550021654396</v>
      </c>
      <c r="AL1364" s="133">
        <v>0.983050847457627</v>
      </c>
      <c r="AM1364" s="133">
        <v>0.976801604855717</v>
      </c>
      <c r="AN1364" s="132">
        <v>0.99</v>
      </c>
      <c r="AO1364" s="137">
        <v>1</v>
      </c>
      <c r="AP1364" s="137">
        <v>1</v>
      </c>
      <c r="AQ1364" s="137">
        <v>1</v>
      </c>
      <c r="AR1364" s="137">
        <v>1</v>
      </c>
      <c r="AS1364" s="158">
        <v>0.0721861525408278</v>
      </c>
      <c r="AT1364" s="141">
        <v>0.0666666666666667</v>
      </c>
      <c r="AU1364" s="141">
        <v>0</v>
      </c>
      <c r="AV1364" s="141">
        <v>0.166666666666667</v>
      </c>
      <c r="AW1364" s="141">
        <v>0.0520231213872832</v>
      </c>
      <c r="AX1364" s="95"/>
      <c r="AY1364" s="93"/>
    </row>
    <row r="1365" ht="14.5" spans="1:51">
      <c r="A1365" s="91"/>
      <c r="B1365" s="95"/>
      <c r="C1365" s="152" t="s">
        <v>1085</v>
      </c>
      <c r="D1365" s="153" t="s">
        <v>25</v>
      </c>
      <c r="E1365" s="130" t="s">
        <v>1086</v>
      </c>
      <c r="F1365" s="195" t="s">
        <v>1395</v>
      </c>
      <c r="G1365" s="195" t="s">
        <v>1395</v>
      </c>
      <c r="H1365" s="195" t="s">
        <v>1395</v>
      </c>
      <c r="I1365" s="195" t="s">
        <v>1395</v>
      </c>
      <c r="J1365" s="132">
        <v>0.9</v>
      </c>
      <c r="K1365" s="133">
        <v>0.94</v>
      </c>
      <c r="L1365" s="133">
        <v>0.978260869565217</v>
      </c>
      <c r="M1365" s="134">
        <v>0.903846153846154</v>
      </c>
      <c r="N1365" s="133">
        <v>0.931843575418994</v>
      </c>
      <c r="O1365" s="135">
        <v>0.9</v>
      </c>
      <c r="P1365" s="133">
        <v>0.968650933427263</v>
      </c>
      <c r="Q1365" s="133">
        <v>0.956706281833616</v>
      </c>
      <c r="R1365" s="133">
        <v>0.976273331224296</v>
      </c>
      <c r="S1365" s="133">
        <v>0.968076923076923</v>
      </c>
      <c r="T1365" s="135">
        <v>0.9</v>
      </c>
      <c r="U1365" s="133">
        <v>0.903487143360338</v>
      </c>
      <c r="V1365" s="133">
        <v>0.88568194680249</v>
      </c>
      <c r="W1365" s="133">
        <v>0.9247073710851</v>
      </c>
      <c r="X1365" s="133">
        <v>0.911003344481605</v>
      </c>
      <c r="Y1365" s="135">
        <v>0.92</v>
      </c>
      <c r="Z1365" s="135">
        <v>0.9313769751693</v>
      </c>
      <c r="AA1365" s="135">
        <v>0.904439746300211</v>
      </c>
      <c r="AB1365" s="135">
        <v>0.947807933194154</v>
      </c>
      <c r="AC1365" s="135">
        <v>0.945585526775931</v>
      </c>
      <c r="AD1365" s="135">
        <v>0.92</v>
      </c>
      <c r="AE1365" s="133">
        <v>0.992456896551724</v>
      </c>
      <c r="AF1365" s="133">
        <v>0.994578610152785</v>
      </c>
      <c r="AG1365" s="133">
        <v>0.995517928286853</v>
      </c>
      <c r="AH1365" s="133">
        <v>0.987950707439525</v>
      </c>
      <c r="AI1365" s="135">
        <v>0.92</v>
      </c>
      <c r="AJ1365" s="133">
        <v>0.953897902651365</v>
      </c>
      <c r="AK1365" s="133">
        <v>0.932700457704696</v>
      </c>
      <c r="AL1365" s="133">
        <v>0.965628936476516</v>
      </c>
      <c r="AM1365" s="133">
        <v>0.964156693963796</v>
      </c>
      <c r="AN1365" s="132">
        <v>0.99</v>
      </c>
      <c r="AO1365" s="137">
        <v>1</v>
      </c>
      <c r="AP1365" s="137">
        <v>1</v>
      </c>
      <c r="AQ1365" s="137">
        <v>1</v>
      </c>
      <c r="AR1365" s="137">
        <v>1</v>
      </c>
      <c r="AS1365" s="158">
        <v>0.0721861525408278</v>
      </c>
      <c r="AT1365" s="141">
        <v>0</v>
      </c>
      <c r="AU1365" s="141">
        <v>0</v>
      </c>
      <c r="AV1365" s="141">
        <v>0.0888888888888889</v>
      </c>
      <c r="AW1365" s="141">
        <v>0.043609022556391</v>
      </c>
      <c r="AX1365" s="95"/>
      <c r="AY1365" s="93"/>
    </row>
    <row r="1366" ht="14.5" spans="1:51">
      <c r="A1366" s="91"/>
      <c r="B1366" s="95"/>
      <c r="C1366" s="152" t="s">
        <v>1085</v>
      </c>
      <c r="D1366" s="153" t="s">
        <v>25</v>
      </c>
      <c r="E1366" s="130" t="s">
        <v>1086</v>
      </c>
      <c r="F1366" s="195" t="s">
        <v>1396</v>
      </c>
      <c r="G1366" s="195" t="s">
        <v>1396</v>
      </c>
      <c r="H1366" s="195" t="s">
        <v>1396</v>
      </c>
      <c r="I1366" s="195" t="s">
        <v>1396</v>
      </c>
      <c r="J1366" s="132">
        <v>0.9</v>
      </c>
      <c r="K1366" s="133">
        <v>0.930555555555556</v>
      </c>
      <c r="L1366" s="133">
        <v>0.972602739726027</v>
      </c>
      <c r="M1366" s="134">
        <v>0.958904109589041</v>
      </c>
      <c r="N1366" s="133">
        <v>0.957176843774782</v>
      </c>
      <c r="O1366" s="135">
        <v>0.9</v>
      </c>
      <c r="P1366" s="133">
        <v>0.945013661202186</v>
      </c>
      <c r="Q1366" s="133">
        <v>0.920319752449716</v>
      </c>
      <c r="R1366" s="133">
        <v>0.977802037845706</v>
      </c>
      <c r="S1366" s="133">
        <v>0.941593431265636</v>
      </c>
      <c r="T1366" s="135">
        <v>0.9</v>
      </c>
      <c r="U1366" s="133">
        <v>0.752049180327869</v>
      </c>
      <c r="V1366" s="133">
        <v>0.7279525528623</v>
      </c>
      <c r="W1366" s="133">
        <v>0.812227074235808</v>
      </c>
      <c r="X1366" s="133">
        <v>0.752950798640067</v>
      </c>
      <c r="Y1366" s="135">
        <v>0.92</v>
      </c>
      <c r="Z1366" s="135">
        <v>0.890771028037383</v>
      </c>
      <c r="AA1366" s="135">
        <v>0.879781420765027</v>
      </c>
      <c r="AB1366" s="135">
        <v>0.905026300409117</v>
      </c>
      <c r="AC1366" s="135">
        <v>0.895614989595861</v>
      </c>
      <c r="AD1366" s="135">
        <v>0.92</v>
      </c>
      <c r="AE1366" s="133">
        <v>0.997759522031367</v>
      </c>
      <c r="AF1366" s="133">
        <v>0.995598591549296</v>
      </c>
      <c r="AG1366" s="133">
        <v>0.998248686514886</v>
      </c>
      <c r="AH1366" s="133">
        <v>0.994449931800009</v>
      </c>
      <c r="AI1366" s="135">
        <v>0.92</v>
      </c>
      <c r="AJ1366" s="133">
        <v>0.922229219143577</v>
      </c>
      <c r="AK1366" s="133">
        <v>0.919559459082671</v>
      </c>
      <c r="AL1366" s="133">
        <v>0.93063209076175</v>
      </c>
      <c r="AM1366" s="133">
        <v>0.931411340224155</v>
      </c>
      <c r="AN1366" s="132">
        <v>0.99</v>
      </c>
      <c r="AO1366" s="137">
        <v>1</v>
      </c>
      <c r="AP1366" s="137">
        <v>1</v>
      </c>
      <c r="AQ1366" s="137">
        <v>1</v>
      </c>
      <c r="AR1366" s="137">
        <v>1</v>
      </c>
      <c r="AS1366" s="158">
        <v>0.0721861525408278</v>
      </c>
      <c r="AT1366" s="141">
        <v>0</v>
      </c>
      <c r="AU1366" s="141">
        <v>0.025</v>
      </c>
      <c r="AV1366" s="141">
        <v>0</v>
      </c>
      <c r="AW1366" s="141">
        <v>0.037280701754386</v>
      </c>
      <c r="AX1366" s="95"/>
      <c r="AY1366" s="93"/>
    </row>
    <row r="1367" ht="14.5" spans="1:51">
      <c r="A1367" s="91"/>
      <c r="B1367" s="95"/>
      <c r="C1367" s="152" t="s">
        <v>1085</v>
      </c>
      <c r="D1367" s="153" t="s">
        <v>25</v>
      </c>
      <c r="E1367" s="130" t="s">
        <v>1086</v>
      </c>
      <c r="F1367" s="195" t="s">
        <v>1397</v>
      </c>
      <c r="G1367" s="195" t="s">
        <v>1397</v>
      </c>
      <c r="H1367" s="195" t="s">
        <v>1397</v>
      </c>
      <c r="I1367" s="195" t="s">
        <v>1397</v>
      </c>
      <c r="J1367" s="132">
        <v>0.9</v>
      </c>
      <c r="K1367" s="133">
        <v>0.974358974358974</v>
      </c>
      <c r="L1367" s="133">
        <v>1</v>
      </c>
      <c r="M1367" s="134">
        <v>1</v>
      </c>
      <c r="N1367" s="133">
        <v>0.97583081570997</v>
      </c>
      <c r="O1367" s="135">
        <v>0.9</v>
      </c>
      <c r="P1367" s="133">
        <v>0.988039521580863</v>
      </c>
      <c r="Q1367" s="133">
        <v>0.987799747580984</v>
      </c>
      <c r="R1367" s="133">
        <v>0.985301322880941</v>
      </c>
      <c r="S1367" s="133">
        <v>0.98066617092746</v>
      </c>
      <c r="T1367" s="135">
        <v>0.9</v>
      </c>
      <c r="U1367" s="133">
        <v>0.919396775871035</v>
      </c>
      <c r="V1367" s="133">
        <v>0.925115692048801</v>
      </c>
      <c r="W1367" s="133">
        <v>0.931896129348359</v>
      </c>
      <c r="X1367" s="133">
        <v>0.928536629144337</v>
      </c>
      <c r="Y1367" s="135">
        <v>0.92</v>
      </c>
      <c r="Z1367" s="135">
        <v>0.95344262295082</v>
      </c>
      <c r="AA1367" s="135">
        <v>0.962192816635161</v>
      </c>
      <c r="AB1367" s="135">
        <v>0.973785166240409</v>
      </c>
      <c r="AC1367" s="135">
        <v>0.962745714185957</v>
      </c>
      <c r="AD1367" s="135">
        <v>0.92</v>
      </c>
      <c r="AE1367" s="133">
        <v>1</v>
      </c>
      <c r="AF1367" s="133">
        <v>0.992952783650458</v>
      </c>
      <c r="AG1367" s="133">
        <v>0.996757457846952</v>
      </c>
      <c r="AH1367" s="133">
        <v>0.989975586298735</v>
      </c>
      <c r="AI1367" s="135">
        <v>0.92</v>
      </c>
      <c r="AJ1367" s="133">
        <v>0.967517401392111</v>
      </c>
      <c r="AK1367" s="133">
        <v>0.97452068617558</v>
      </c>
      <c r="AL1367" s="133">
        <v>0.980305131761442</v>
      </c>
      <c r="AM1367" s="133">
        <v>0.976612509794066</v>
      </c>
      <c r="AN1367" s="132">
        <v>0.99</v>
      </c>
      <c r="AO1367" s="137">
        <v>1</v>
      </c>
      <c r="AP1367" s="137">
        <v>1</v>
      </c>
      <c r="AQ1367" s="137">
        <v>1</v>
      </c>
      <c r="AR1367" s="137">
        <v>1</v>
      </c>
      <c r="AS1367" s="158">
        <v>0.0721861525408278</v>
      </c>
      <c r="AT1367" s="141">
        <v>0</v>
      </c>
      <c r="AU1367" s="141">
        <v>0</v>
      </c>
      <c r="AV1367" s="141">
        <v>0</v>
      </c>
      <c r="AW1367" s="141">
        <v>0.0295698924731183</v>
      </c>
      <c r="AX1367" s="95"/>
      <c r="AY1367" s="93"/>
    </row>
    <row r="1368" ht="14.5" spans="1:51">
      <c r="A1368" s="91"/>
      <c r="B1368" s="95"/>
      <c r="C1368" s="152" t="s">
        <v>1085</v>
      </c>
      <c r="D1368" s="153" t="s">
        <v>25</v>
      </c>
      <c r="E1368" s="130" t="s">
        <v>1086</v>
      </c>
      <c r="F1368" s="195" t="s">
        <v>1398</v>
      </c>
      <c r="G1368" s="195" t="s">
        <v>1398</v>
      </c>
      <c r="H1368" s="195" t="s">
        <v>1398</v>
      </c>
      <c r="I1368" s="195" t="s">
        <v>1398</v>
      </c>
      <c r="J1368" s="132">
        <v>0.9</v>
      </c>
      <c r="K1368" s="133">
        <v>1</v>
      </c>
      <c r="L1368" s="133">
        <v>1</v>
      </c>
      <c r="M1368" s="134">
        <v>1</v>
      </c>
      <c r="N1368" s="133">
        <v>0.997509339975093</v>
      </c>
      <c r="O1368" s="135">
        <v>0.9</v>
      </c>
      <c r="P1368" s="133">
        <v>0.997120921305182</v>
      </c>
      <c r="Q1368" s="133">
        <v>0.996655518394649</v>
      </c>
      <c r="R1368" s="133">
        <v>0.994902687673772</v>
      </c>
      <c r="S1368" s="133">
        <v>0.995957122395232</v>
      </c>
      <c r="T1368" s="135">
        <v>0.9</v>
      </c>
      <c r="U1368" s="133">
        <v>0.916986564299424</v>
      </c>
      <c r="V1368" s="133">
        <v>0.867892976588629</v>
      </c>
      <c r="W1368" s="133">
        <v>0.947636700648749</v>
      </c>
      <c r="X1368" s="133">
        <v>0.922977406089729</v>
      </c>
      <c r="Y1368" s="135">
        <v>0.92</v>
      </c>
      <c r="Z1368" s="135">
        <v>0.973856209150327</v>
      </c>
      <c r="AA1368" s="135">
        <v>0.972099853157122</v>
      </c>
      <c r="AB1368" s="135">
        <v>0.988467083133109</v>
      </c>
      <c r="AC1368" s="135">
        <v>0.97974654244546</v>
      </c>
      <c r="AD1368" s="135">
        <v>0.92</v>
      </c>
      <c r="AE1368" s="133">
        <v>0.986807387862797</v>
      </c>
      <c r="AF1368" s="133">
        <v>0.999211977935382</v>
      </c>
      <c r="AG1368" s="133">
        <v>0.99647577092511</v>
      </c>
      <c r="AH1368" s="133">
        <v>0.996530880420499</v>
      </c>
      <c r="AI1368" s="135">
        <v>0.92</v>
      </c>
      <c r="AJ1368" s="133">
        <v>0.981340535232016</v>
      </c>
      <c r="AK1368" s="133">
        <v>0.981059751972942</v>
      </c>
      <c r="AL1368" s="133">
        <v>0.991271526303373</v>
      </c>
      <c r="AM1368" s="133">
        <v>0.986988131326106</v>
      </c>
      <c r="AN1368" s="132">
        <v>0.99</v>
      </c>
      <c r="AO1368" s="137">
        <v>1</v>
      </c>
      <c r="AP1368" s="137">
        <v>1</v>
      </c>
      <c r="AQ1368" s="137">
        <v>1</v>
      </c>
      <c r="AR1368" s="137">
        <v>1</v>
      </c>
      <c r="AS1368" s="158">
        <v>0.0721861525408278</v>
      </c>
      <c r="AT1368" s="141">
        <v>0</v>
      </c>
      <c r="AU1368" s="141">
        <v>0</v>
      </c>
      <c r="AV1368" s="141">
        <v>0</v>
      </c>
      <c r="AW1368" s="141">
        <v>0.0340425531914894</v>
      </c>
      <c r="AX1368" s="95"/>
      <c r="AY1368" s="93"/>
    </row>
    <row r="1369" ht="14.5" spans="1:51">
      <c r="A1369" s="91"/>
      <c r="B1369" s="95"/>
      <c r="C1369" s="152" t="s">
        <v>1085</v>
      </c>
      <c r="D1369" s="153" t="s">
        <v>25</v>
      </c>
      <c r="E1369" s="130" t="s">
        <v>1086</v>
      </c>
      <c r="F1369" s="195" t="s">
        <v>1399</v>
      </c>
      <c r="G1369" s="195" t="s">
        <v>1399</v>
      </c>
      <c r="H1369" s="195" t="s">
        <v>1399</v>
      </c>
      <c r="I1369" s="195" t="s">
        <v>1399</v>
      </c>
      <c r="J1369" s="132">
        <v>0.9</v>
      </c>
      <c r="K1369" s="133">
        <v>0.964285714285714</v>
      </c>
      <c r="L1369" s="133">
        <v>0.962962962962963</v>
      </c>
      <c r="M1369" s="134">
        <v>0.870967741935484</v>
      </c>
      <c r="N1369" s="133">
        <v>0.946360153256705</v>
      </c>
      <c r="O1369" s="135">
        <v>0.9</v>
      </c>
      <c r="P1369" s="133">
        <v>0.996386164171399</v>
      </c>
      <c r="Q1369" s="133">
        <v>0.99290780141844</v>
      </c>
      <c r="R1369" s="133">
        <v>0.991885441527446</v>
      </c>
      <c r="S1369" s="133">
        <v>0.987842967661333</v>
      </c>
      <c r="T1369" s="135">
        <v>0.9</v>
      </c>
      <c r="U1369" s="133">
        <v>0.95611770779556</v>
      </c>
      <c r="V1369" s="133">
        <v>0.936613475177305</v>
      </c>
      <c r="W1369" s="133">
        <v>0.958949880668258</v>
      </c>
      <c r="X1369" s="133">
        <v>0.954927682475614</v>
      </c>
      <c r="Y1369" s="135">
        <v>0.92</v>
      </c>
      <c r="Z1369" s="135">
        <v>0.978453738910013</v>
      </c>
      <c r="AA1369" s="135">
        <v>0.941575378195097</v>
      </c>
      <c r="AB1369" s="135">
        <v>0.977935943060498</v>
      </c>
      <c r="AC1369" s="135">
        <v>0.971850759889088</v>
      </c>
      <c r="AD1369" s="135">
        <v>0.92</v>
      </c>
      <c r="AE1369" s="133">
        <v>1</v>
      </c>
      <c r="AF1369" s="133">
        <v>1</v>
      </c>
      <c r="AG1369" s="133">
        <v>1</v>
      </c>
      <c r="AH1369" s="133">
        <v>0.999586061563935</v>
      </c>
      <c r="AI1369" s="135">
        <v>0.92</v>
      </c>
      <c r="AJ1369" s="133">
        <v>0.984921763869132</v>
      </c>
      <c r="AK1369" s="133">
        <v>0.959501557632399</v>
      </c>
      <c r="AL1369" s="133">
        <v>0.987428571428571</v>
      </c>
      <c r="AM1369" s="133">
        <v>0.982543463068871</v>
      </c>
      <c r="AN1369" s="132">
        <v>0.99</v>
      </c>
      <c r="AO1369" s="137">
        <v>1</v>
      </c>
      <c r="AP1369" s="137">
        <v>1</v>
      </c>
      <c r="AQ1369" s="137">
        <v>1</v>
      </c>
      <c r="AR1369" s="137">
        <v>1</v>
      </c>
      <c r="AS1369" s="158">
        <v>0.0721861525408278</v>
      </c>
      <c r="AT1369" s="141">
        <v>0.136363636363636</v>
      </c>
      <c r="AU1369" s="141">
        <v>0.2</v>
      </c>
      <c r="AV1369" s="141">
        <v>0.0588235294117647</v>
      </c>
      <c r="AW1369" s="141">
        <v>0.0669291338582677</v>
      </c>
      <c r="AX1369" s="95"/>
      <c r="AY1369" s="93"/>
    </row>
    <row r="1370" ht="14.5" spans="1:51">
      <c r="A1370" s="91"/>
      <c r="B1370" s="95"/>
      <c r="C1370" s="152" t="s">
        <v>1085</v>
      </c>
      <c r="D1370" s="153" t="s">
        <v>25</v>
      </c>
      <c r="E1370" s="130" t="s">
        <v>1086</v>
      </c>
      <c r="F1370" s="195" t="s">
        <v>1400</v>
      </c>
      <c r="G1370" s="195" t="s">
        <v>1400</v>
      </c>
      <c r="H1370" s="195" t="s">
        <v>1400</v>
      </c>
      <c r="I1370" s="195" t="s">
        <v>1400</v>
      </c>
      <c r="J1370" s="132">
        <v>0.9</v>
      </c>
      <c r="K1370" s="133">
        <v>0.941176470588235</v>
      </c>
      <c r="L1370" s="133">
        <v>0.9375</v>
      </c>
      <c r="M1370" s="134">
        <v>0.945945945945946</v>
      </c>
      <c r="N1370" s="133">
        <v>0.964110929853181</v>
      </c>
      <c r="O1370" s="135">
        <v>0.9</v>
      </c>
      <c r="P1370" s="133">
        <v>0.982178787007761</v>
      </c>
      <c r="Q1370" s="133">
        <v>0.968967517401392</v>
      </c>
      <c r="R1370" s="133">
        <v>0.975849731663685</v>
      </c>
      <c r="S1370" s="133">
        <v>0.977277024897573</v>
      </c>
      <c r="T1370" s="135">
        <v>0.9</v>
      </c>
      <c r="U1370" s="133">
        <v>0.969244035642426</v>
      </c>
      <c r="V1370" s="133">
        <v>0.96084686774942</v>
      </c>
      <c r="W1370" s="133">
        <v>0.964519976147883</v>
      </c>
      <c r="X1370" s="133">
        <v>0.961534825086669</v>
      </c>
      <c r="Y1370" s="135">
        <v>0.92</v>
      </c>
      <c r="Z1370" s="135">
        <v>0</v>
      </c>
      <c r="AA1370" s="135">
        <v>0</v>
      </c>
      <c r="AB1370" s="135" t="s">
        <v>35</v>
      </c>
      <c r="AC1370" s="135">
        <v>0</v>
      </c>
      <c r="AD1370" s="135">
        <v>0.92</v>
      </c>
      <c r="AE1370" s="133">
        <v>1</v>
      </c>
      <c r="AF1370" s="133">
        <v>1</v>
      </c>
      <c r="AG1370" s="133">
        <v>0.998514851485149</v>
      </c>
      <c r="AH1370" s="133">
        <v>0.998774949205211</v>
      </c>
      <c r="AI1370" s="135">
        <v>0.92</v>
      </c>
      <c r="AJ1370" s="133">
        <v>0.983050847457627</v>
      </c>
      <c r="AK1370" s="133">
        <v>0.982023775007248</v>
      </c>
      <c r="AL1370" s="133">
        <v>0.989266547406082</v>
      </c>
      <c r="AM1370" s="133">
        <v>0.987252816513039</v>
      </c>
      <c r="AN1370" s="132">
        <v>0.99</v>
      </c>
      <c r="AO1370" s="137">
        <v>1</v>
      </c>
      <c r="AP1370" s="137">
        <v>1</v>
      </c>
      <c r="AQ1370" s="137">
        <v>1</v>
      </c>
      <c r="AR1370" s="137">
        <v>1</v>
      </c>
      <c r="AS1370" s="158">
        <v>0.0721861525408278</v>
      </c>
      <c r="AT1370" s="141">
        <v>0</v>
      </c>
      <c r="AU1370" s="141">
        <v>0</v>
      </c>
      <c r="AV1370" s="141">
        <v>0.0526315789473684</v>
      </c>
      <c r="AW1370" s="141">
        <v>0.0474137931034483</v>
      </c>
      <c r="AX1370" s="95"/>
      <c r="AY1370" s="93"/>
    </row>
    <row r="1371" ht="14.5" spans="1:51">
      <c r="A1371" s="91"/>
      <c r="B1371" s="95"/>
      <c r="C1371" s="152" t="s">
        <v>1085</v>
      </c>
      <c r="D1371" s="153" t="s">
        <v>25</v>
      </c>
      <c r="E1371" s="130" t="s">
        <v>1086</v>
      </c>
      <c r="F1371" s="195" t="s">
        <v>1401</v>
      </c>
      <c r="G1371" s="195" t="s">
        <v>1401</v>
      </c>
      <c r="H1371" s="195" t="s">
        <v>1401</v>
      </c>
      <c r="I1371" s="195" t="s">
        <v>1401</v>
      </c>
      <c r="J1371" s="132">
        <v>0.9</v>
      </c>
      <c r="K1371" s="133">
        <v>1</v>
      </c>
      <c r="L1371" s="133">
        <v>1</v>
      </c>
      <c r="M1371" s="134">
        <v>1</v>
      </c>
      <c r="N1371" s="133">
        <v>0.960683760683761</v>
      </c>
      <c r="O1371" s="135">
        <v>0.9</v>
      </c>
      <c r="P1371" s="133">
        <v>0.992935131663455</v>
      </c>
      <c r="Q1371" s="133">
        <v>0.987850151873102</v>
      </c>
      <c r="R1371" s="133">
        <v>0.985200134544231</v>
      </c>
      <c r="S1371" s="133">
        <v>0.98610168869983</v>
      </c>
      <c r="T1371" s="135">
        <v>0.9</v>
      </c>
      <c r="U1371" s="133">
        <v>0.969171483622351</v>
      </c>
      <c r="V1371" s="133">
        <v>0.960850489368883</v>
      </c>
      <c r="W1371" s="133">
        <v>0.934073326606122</v>
      </c>
      <c r="X1371" s="133">
        <v>0.928931590238178</v>
      </c>
      <c r="Y1371" s="135">
        <v>0.92</v>
      </c>
      <c r="Z1371" s="135">
        <v>0</v>
      </c>
      <c r="AA1371" s="135">
        <v>0</v>
      </c>
      <c r="AB1371" s="135" t="s">
        <v>35</v>
      </c>
      <c r="AC1371" s="135">
        <v>0</v>
      </c>
      <c r="AD1371" s="135">
        <v>0.92</v>
      </c>
      <c r="AE1371" s="133">
        <v>1</v>
      </c>
      <c r="AF1371" s="133">
        <v>0.998581560283688</v>
      </c>
      <c r="AG1371" s="133">
        <v>0.99941792782305</v>
      </c>
      <c r="AH1371" s="133">
        <v>0.998763813448211</v>
      </c>
      <c r="AI1371" s="135">
        <v>0.92</v>
      </c>
      <c r="AJ1371" s="133">
        <v>0.988121990369181</v>
      </c>
      <c r="AK1371" s="133">
        <v>0.983473861720067</v>
      </c>
      <c r="AL1371" s="133">
        <v>0.985536495122772</v>
      </c>
      <c r="AM1371" s="133">
        <v>0.988302806959647</v>
      </c>
      <c r="AN1371" s="132">
        <v>0.99</v>
      </c>
      <c r="AO1371" s="137">
        <v>1</v>
      </c>
      <c r="AP1371" s="137">
        <v>1</v>
      </c>
      <c r="AQ1371" s="137">
        <v>1</v>
      </c>
      <c r="AR1371" s="137">
        <v>1</v>
      </c>
      <c r="AS1371" s="158">
        <v>0.0721861525408278</v>
      </c>
      <c r="AT1371" s="141">
        <v>0</v>
      </c>
      <c r="AU1371" s="141">
        <v>0</v>
      </c>
      <c r="AV1371" s="141">
        <v>0</v>
      </c>
      <c r="AW1371" s="141">
        <v>0.0212014134275618</v>
      </c>
      <c r="AX1371" s="95"/>
      <c r="AY1371" s="93"/>
    </row>
    <row r="1372" ht="14.5" spans="1:51">
      <c r="A1372" s="91"/>
      <c r="B1372" s="95"/>
      <c r="C1372" s="152" t="s">
        <v>1085</v>
      </c>
      <c r="D1372" s="153" t="s">
        <v>25</v>
      </c>
      <c r="E1372" s="130" t="s">
        <v>1086</v>
      </c>
      <c r="F1372" s="195" t="s">
        <v>1402</v>
      </c>
      <c r="G1372" s="195" t="s">
        <v>1402</v>
      </c>
      <c r="H1372" s="195" t="s">
        <v>1402</v>
      </c>
      <c r="I1372" s="195" t="s">
        <v>1402</v>
      </c>
      <c r="J1372" s="132">
        <v>0.9</v>
      </c>
      <c r="K1372" s="133">
        <v>0.888888888888889</v>
      </c>
      <c r="L1372" s="133">
        <v>0.941176470588235</v>
      </c>
      <c r="M1372" s="134">
        <v>0.794871794871795</v>
      </c>
      <c r="N1372" s="133">
        <v>0.942766295707472</v>
      </c>
      <c r="O1372" s="135">
        <v>0.9</v>
      </c>
      <c r="P1372" s="133">
        <v>0.945573770491803</v>
      </c>
      <c r="Q1372" s="133">
        <v>0.909152542372881</v>
      </c>
      <c r="R1372" s="133">
        <v>0.88907967032967</v>
      </c>
      <c r="S1372" s="133">
        <v>0.950173402222379</v>
      </c>
      <c r="T1372" s="135">
        <v>0.9</v>
      </c>
      <c r="U1372" s="133">
        <v>0.924590163934426</v>
      </c>
      <c r="V1372" s="133">
        <v>0.892881355932203</v>
      </c>
      <c r="W1372" s="133">
        <v>0.921703296703297</v>
      </c>
      <c r="X1372" s="133">
        <v>0.925932479297898</v>
      </c>
      <c r="Y1372" s="135">
        <v>0.92</v>
      </c>
      <c r="Z1372" s="135">
        <v>0</v>
      </c>
      <c r="AA1372" s="135" t="s">
        <v>35</v>
      </c>
      <c r="AB1372" s="135" t="s">
        <v>35</v>
      </c>
      <c r="AC1372" s="135">
        <v>0</v>
      </c>
      <c r="AD1372" s="135">
        <v>0.92</v>
      </c>
      <c r="AE1372" s="133">
        <v>1</v>
      </c>
      <c r="AF1372" s="133">
        <v>0.986666666666667</v>
      </c>
      <c r="AG1372" s="133">
        <v>0.978571428571429</v>
      </c>
      <c r="AH1372" s="133">
        <v>0.991322701688555</v>
      </c>
      <c r="AI1372" s="135">
        <v>0.92</v>
      </c>
      <c r="AJ1372" s="133">
        <v>0.963946247132088</v>
      </c>
      <c r="AK1372" s="133">
        <v>0.951186440677966</v>
      </c>
      <c r="AL1372" s="133">
        <v>0.96875</v>
      </c>
      <c r="AM1372" s="133">
        <v>0.969673378392724</v>
      </c>
      <c r="AN1372" s="132">
        <v>0.99</v>
      </c>
      <c r="AO1372" s="137">
        <v>1</v>
      </c>
      <c r="AP1372" s="137">
        <v>1</v>
      </c>
      <c r="AQ1372" s="137">
        <v>1</v>
      </c>
      <c r="AR1372" s="137">
        <v>1</v>
      </c>
      <c r="AS1372" s="158">
        <v>0.0721861525408278</v>
      </c>
      <c r="AT1372" s="141">
        <v>0</v>
      </c>
      <c r="AU1372" s="141">
        <v>0</v>
      </c>
      <c r="AV1372" s="141">
        <v>0</v>
      </c>
      <c r="AW1372" s="141">
        <v>0.0105263157894737</v>
      </c>
      <c r="AX1372" s="95"/>
      <c r="AY1372" s="93"/>
    </row>
    <row r="1373" ht="14.5" spans="1:51">
      <c r="A1373" s="91"/>
      <c r="B1373" s="95"/>
      <c r="C1373" s="152" t="s">
        <v>1085</v>
      </c>
      <c r="D1373" s="153" t="s">
        <v>25</v>
      </c>
      <c r="E1373" s="130" t="s">
        <v>1086</v>
      </c>
      <c r="F1373" s="195" t="s">
        <v>1403</v>
      </c>
      <c r="G1373" s="195" t="s">
        <v>1403</v>
      </c>
      <c r="H1373" s="195" t="s">
        <v>1403</v>
      </c>
      <c r="I1373" s="195" t="s">
        <v>1403</v>
      </c>
      <c r="J1373" s="132">
        <v>0.9</v>
      </c>
      <c r="K1373" s="133">
        <v>1</v>
      </c>
      <c r="L1373" s="133">
        <v>1</v>
      </c>
      <c r="M1373" s="134">
        <v>1</v>
      </c>
      <c r="N1373" s="133">
        <v>0.992753623188406</v>
      </c>
      <c r="O1373" s="135">
        <v>0.9</v>
      </c>
      <c r="P1373" s="133">
        <v>0.989121989121989</v>
      </c>
      <c r="Q1373" s="133">
        <v>0.991689750692521</v>
      </c>
      <c r="R1373" s="133">
        <v>0.995035460992908</v>
      </c>
      <c r="S1373" s="133">
        <v>0.990885850839169</v>
      </c>
      <c r="T1373" s="135">
        <v>0.9</v>
      </c>
      <c r="U1373" s="133">
        <v>0.947940947940948</v>
      </c>
      <c r="V1373" s="133">
        <v>0.964681440443213</v>
      </c>
      <c r="W1373" s="133">
        <v>0.947517730496454</v>
      </c>
      <c r="X1373" s="133">
        <v>0.955096143158831</v>
      </c>
      <c r="Y1373" s="135">
        <v>0.92</v>
      </c>
      <c r="Z1373" s="135">
        <v>0.974507531865585</v>
      </c>
      <c r="AA1373" s="135">
        <v>0.970286885245902</v>
      </c>
      <c r="AB1373" s="135">
        <v>0.974545454545454</v>
      </c>
      <c r="AC1373" s="135">
        <v>0.982588182430914</v>
      </c>
      <c r="AD1373" s="135">
        <v>0.92</v>
      </c>
      <c r="AE1373" s="133">
        <v>1</v>
      </c>
      <c r="AF1373" s="133">
        <v>0.995294117647059</v>
      </c>
      <c r="AG1373" s="133">
        <v>0.993537964458804</v>
      </c>
      <c r="AH1373" s="133">
        <v>0.996898212390825</v>
      </c>
      <c r="AI1373" s="135">
        <v>0.92</v>
      </c>
      <c r="AJ1373" s="133">
        <v>0.982790697674419</v>
      </c>
      <c r="AK1373" s="133">
        <v>0.985537190082645</v>
      </c>
      <c r="AL1373" s="133">
        <v>0.986129753914989</v>
      </c>
      <c r="AM1373" s="133">
        <v>0.988995535714286</v>
      </c>
      <c r="AN1373" s="132">
        <v>0.99</v>
      </c>
      <c r="AO1373" s="137">
        <v>1</v>
      </c>
      <c r="AP1373" s="137">
        <v>1</v>
      </c>
      <c r="AQ1373" s="137">
        <v>1</v>
      </c>
      <c r="AR1373" s="137">
        <v>1</v>
      </c>
      <c r="AS1373" s="158">
        <v>0.0721861525408278</v>
      </c>
      <c r="AT1373" s="141">
        <v>0.0833333333333333</v>
      </c>
      <c r="AU1373" s="141">
        <v>0.166666666666667</v>
      </c>
      <c r="AV1373" s="141">
        <v>0</v>
      </c>
      <c r="AW1373" s="141">
        <v>0.0595238095238095</v>
      </c>
      <c r="AX1373" s="95"/>
      <c r="AY1373" s="93"/>
    </row>
    <row r="1374" ht="14.5" spans="1:51">
      <c r="A1374" s="91"/>
      <c r="B1374" s="95"/>
      <c r="C1374" s="152" t="s">
        <v>1085</v>
      </c>
      <c r="D1374" s="153" t="s">
        <v>25</v>
      </c>
      <c r="E1374" s="130" t="s">
        <v>1086</v>
      </c>
      <c r="F1374" s="195" t="s">
        <v>1404</v>
      </c>
      <c r="G1374" s="195" t="s">
        <v>1404</v>
      </c>
      <c r="H1374" s="195" t="s">
        <v>1404</v>
      </c>
      <c r="I1374" s="195" t="s">
        <v>1404</v>
      </c>
      <c r="J1374" s="132">
        <v>0.9</v>
      </c>
      <c r="K1374" s="133">
        <v>0.975609756097561</v>
      </c>
      <c r="L1374" s="133">
        <v>0.875</v>
      </c>
      <c r="M1374" s="134">
        <v>0.975609756097561</v>
      </c>
      <c r="N1374" s="133">
        <v>0.976366322008863</v>
      </c>
      <c r="O1374" s="135">
        <v>0.9</v>
      </c>
      <c r="P1374" s="133">
        <v>0.989650073928043</v>
      </c>
      <c r="Q1374" s="133">
        <v>0.934932899552664</v>
      </c>
      <c r="R1374" s="133">
        <v>0.960683760683761</v>
      </c>
      <c r="S1374" s="133">
        <v>0.957892809739576</v>
      </c>
      <c r="T1374" s="135">
        <v>0.9</v>
      </c>
      <c r="U1374" s="133">
        <v>0.941843272548053</v>
      </c>
      <c r="V1374" s="133">
        <v>0.889385929239528</v>
      </c>
      <c r="W1374" s="133">
        <v>0.931196581196581</v>
      </c>
      <c r="X1374" s="133">
        <v>0.938555540299327</v>
      </c>
      <c r="Y1374" s="135">
        <v>0.92</v>
      </c>
      <c r="Z1374" s="135">
        <v>0.940952380952381</v>
      </c>
      <c r="AA1374" s="135">
        <v>0.953410182516811</v>
      </c>
      <c r="AB1374" s="135">
        <v>0.957377049180328</v>
      </c>
      <c r="AC1374" s="135">
        <v>0.96079766536965</v>
      </c>
      <c r="AD1374" s="135">
        <v>0.92</v>
      </c>
      <c r="AE1374" s="133">
        <v>1</v>
      </c>
      <c r="AF1374" s="133">
        <v>0.999275887038378</v>
      </c>
      <c r="AG1374" s="133">
        <v>1</v>
      </c>
      <c r="AH1374" s="133">
        <v>0.998191004927952</v>
      </c>
      <c r="AI1374" s="135">
        <v>0.92</v>
      </c>
      <c r="AJ1374" s="133">
        <v>0.959211986681465</v>
      </c>
      <c r="AK1374" s="133">
        <v>0.966314398943197</v>
      </c>
      <c r="AL1374" s="133">
        <v>0.972574385510996</v>
      </c>
      <c r="AM1374" s="133">
        <v>0.975087201502549</v>
      </c>
      <c r="AN1374" s="132">
        <v>0.99</v>
      </c>
      <c r="AO1374" s="137">
        <v>1</v>
      </c>
      <c r="AP1374" s="137">
        <v>1</v>
      </c>
      <c r="AQ1374" s="137">
        <v>1</v>
      </c>
      <c r="AR1374" s="137">
        <v>1</v>
      </c>
      <c r="AS1374" s="158">
        <v>0.0721861525408278</v>
      </c>
      <c r="AT1374" s="141">
        <v>0.117647058823529</v>
      </c>
      <c r="AU1374" s="141">
        <v>0.0526315789473684</v>
      </c>
      <c r="AV1374" s="141">
        <v>0.05</v>
      </c>
      <c r="AW1374" s="141">
        <v>0.0533333333333333</v>
      </c>
      <c r="AX1374" s="95"/>
      <c r="AY1374" s="93"/>
    </row>
    <row r="1375" ht="14.5" spans="1:51">
      <c r="A1375" s="91"/>
      <c r="B1375" s="95"/>
      <c r="C1375" s="152" t="s">
        <v>1085</v>
      </c>
      <c r="D1375" s="153" t="s">
        <v>25</v>
      </c>
      <c r="E1375" s="130" t="s">
        <v>1086</v>
      </c>
      <c r="F1375" s="195" t="s">
        <v>1405</v>
      </c>
      <c r="G1375" s="195" t="s">
        <v>1405</v>
      </c>
      <c r="H1375" s="195" t="s">
        <v>1405</v>
      </c>
      <c r="I1375" s="195" t="s">
        <v>1405</v>
      </c>
      <c r="J1375" s="132">
        <v>0.9</v>
      </c>
      <c r="K1375" s="133">
        <v>0.944444444444444</v>
      </c>
      <c r="L1375" s="133">
        <v>0.947368421052632</v>
      </c>
      <c r="M1375" s="134">
        <v>0.952380952380952</v>
      </c>
      <c r="N1375" s="133">
        <v>0.973941368078176</v>
      </c>
      <c r="O1375" s="135">
        <v>0.9</v>
      </c>
      <c r="P1375" s="133">
        <v>0.98804347826087</v>
      </c>
      <c r="Q1375" s="133">
        <v>0.988837209302326</v>
      </c>
      <c r="R1375" s="133">
        <v>0.992344497607656</v>
      </c>
      <c r="S1375" s="133">
        <v>0.988861189200658</v>
      </c>
      <c r="T1375" s="135">
        <v>0.9</v>
      </c>
      <c r="U1375" s="133">
        <v>0.93804347826087</v>
      </c>
      <c r="V1375" s="133">
        <v>0.946046511627907</v>
      </c>
      <c r="W1375" s="133">
        <v>0.946411483253588</v>
      </c>
      <c r="X1375" s="133">
        <v>0.928552485015647</v>
      </c>
      <c r="Y1375" s="135">
        <v>0.92</v>
      </c>
      <c r="Z1375" s="135">
        <v>0.933224755700326</v>
      </c>
      <c r="AA1375" s="135">
        <v>0.93296853625171</v>
      </c>
      <c r="AB1375" s="135">
        <v>0.945326278659612</v>
      </c>
      <c r="AC1375" s="135">
        <v>0.949679703304113</v>
      </c>
      <c r="AD1375" s="135">
        <v>0.92</v>
      </c>
      <c r="AE1375" s="133">
        <v>0.996086105675147</v>
      </c>
      <c r="AF1375" s="133">
        <v>0.996268656716418</v>
      </c>
      <c r="AG1375" s="133">
        <v>0.995689655172414</v>
      </c>
      <c r="AH1375" s="133">
        <v>0.996080842234688</v>
      </c>
      <c r="AI1375" s="135">
        <v>0.92</v>
      </c>
      <c r="AJ1375" s="133">
        <v>0.957627118644068</v>
      </c>
      <c r="AK1375" s="133">
        <v>0.957364341085271</v>
      </c>
      <c r="AL1375" s="133">
        <v>0.970861748295102</v>
      </c>
      <c r="AM1375" s="133">
        <v>0.969287269654522</v>
      </c>
      <c r="AN1375" s="132">
        <v>0.99</v>
      </c>
      <c r="AO1375" s="137">
        <v>1</v>
      </c>
      <c r="AP1375" s="137">
        <v>1</v>
      </c>
      <c r="AQ1375" s="137">
        <v>1</v>
      </c>
      <c r="AR1375" s="137">
        <v>1</v>
      </c>
      <c r="AS1375" s="158">
        <v>0.0721861525408278</v>
      </c>
      <c r="AT1375" s="141">
        <v>0</v>
      </c>
      <c r="AU1375" s="141">
        <v>0</v>
      </c>
      <c r="AV1375" s="141">
        <v>0.0666666666666667</v>
      </c>
      <c r="AW1375" s="141">
        <v>0.0526315789473684</v>
      </c>
      <c r="AX1375" s="95"/>
      <c r="AY1375" s="93"/>
    </row>
    <row r="1376" ht="14.5" spans="1:51">
      <c r="A1376" s="91"/>
      <c r="B1376" s="95"/>
      <c r="C1376" s="152" t="s">
        <v>1085</v>
      </c>
      <c r="D1376" s="153" t="s">
        <v>25</v>
      </c>
      <c r="E1376" s="130" t="s">
        <v>1086</v>
      </c>
      <c r="F1376" s="195" t="s">
        <v>1406</v>
      </c>
      <c r="G1376" s="195" t="s">
        <v>1406</v>
      </c>
      <c r="H1376" s="195" t="s">
        <v>1406</v>
      </c>
      <c r="I1376" s="195" t="s">
        <v>1406</v>
      </c>
      <c r="J1376" s="132">
        <v>0.9</v>
      </c>
      <c r="K1376" s="133">
        <v>0.952380952380952</v>
      </c>
      <c r="L1376" s="133">
        <v>0.974358974358974</v>
      </c>
      <c r="M1376" s="134">
        <v>1</v>
      </c>
      <c r="N1376" s="133">
        <v>0.959722222222222</v>
      </c>
      <c r="O1376" s="135">
        <v>0.9</v>
      </c>
      <c r="P1376" s="133">
        <v>0.990714948932219</v>
      </c>
      <c r="Q1376" s="133">
        <v>0.967872738615097</v>
      </c>
      <c r="R1376" s="133">
        <v>0.992748846407383</v>
      </c>
      <c r="S1376" s="133">
        <v>0.961674712603758</v>
      </c>
      <c r="T1376" s="135">
        <v>0.9</v>
      </c>
      <c r="U1376" s="133">
        <v>0.88331785824822</v>
      </c>
      <c r="V1376" s="133">
        <v>0.865564566437929</v>
      </c>
      <c r="W1376" s="133">
        <v>0.93506921555702</v>
      </c>
      <c r="X1376" s="133">
        <v>0.867554613968673</v>
      </c>
      <c r="Y1376" s="135">
        <v>0.92</v>
      </c>
      <c r="Z1376" s="135" t="s">
        <v>35</v>
      </c>
      <c r="AA1376" s="135" t="s">
        <v>35</v>
      </c>
      <c r="AB1376" s="135" t="s">
        <v>35</v>
      </c>
      <c r="AC1376" s="135" t="s">
        <v>35</v>
      </c>
      <c r="AD1376" s="135">
        <v>0.92</v>
      </c>
      <c r="AE1376" s="133">
        <v>1</v>
      </c>
      <c r="AF1376" s="133">
        <v>1</v>
      </c>
      <c r="AG1376" s="133">
        <v>1</v>
      </c>
      <c r="AH1376" s="133">
        <v>1</v>
      </c>
      <c r="AI1376" s="135">
        <v>0.92</v>
      </c>
      <c r="AJ1376" s="133">
        <v>0.962859795728876</v>
      </c>
      <c r="AK1376" s="133">
        <v>0.972239550842171</v>
      </c>
      <c r="AL1376" s="133">
        <v>0.965062623599209</v>
      </c>
      <c r="AM1376" s="133">
        <v>0.968290904039176</v>
      </c>
      <c r="AN1376" s="132">
        <v>0.99</v>
      </c>
      <c r="AO1376" s="137">
        <v>1</v>
      </c>
      <c r="AP1376" s="137">
        <v>1</v>
      </c>
      <c r="AQ1376" s="137">
        <v>1</v>
      </c>
      <c r="AR1376" s="137">
        <v>1</v>
      </c>
      <c r="AS1376" s="158">
        <v>0.0721861525408278</v>
      </c>
      <c r="AT1376" s="141">
        <v>0</v>
      </c>
      <c r="AU1376" s="141">
        <v>0</v>
      </c>
      <c r="AV1376" s="141">
        <v>0.0714285714285714</v>
      </c>
      <c r="AW1376" s="141">
        <v>0.0236686390532544</v>
      </c>
      <c r="AX1376" s="95"/>
      <c r="AY1376" s="93"/>
    </row>
    <row r="1377" ht="14.5" spans="1:51">
      <c r="A1377" s="91"/>
      <c r="B1377" s="95"/>
      <c r="C1377" s="152" t="s">
        <v>1085</v>
      </c>
      <c r="D1377" s="153" t="s">
        <v>25</v>
      </c>
      <c r="E1377" s="130" t="s">
        <v>1086</v>
      </c>
      <c r="F1377" s="195" t="s">
        <v>1407</v>
      </c>
      <c r="G1377" s="195" t="s">
        <v>1407</v>
      </c>
      <c r="H1377" s="195" t="s">
        <v>1407</v>
      </c>
      <c r="I1377" s="195" t="s">
        <v>1407</v>
      </c>
      <c r="J1377" s="132">
        <v>0.9</v>
      </c>
      <c r="K1377" s="133">
        <v>0.971428571428571</v>
      </c>
      <c r="L1377" s="133">
        <v>0.945945945945946</v>
      </c>
      <c r="M1377" s="134">
        <v>1</v>
      </c>
      <c r="N1377" s="133">
        <v>0.95389507154213</v>
      </c>
      <c r="O1377" s="135">
        <v>0.9</v>
      </c>
      <c r="P1377" s="133">
        <v>0.984334203655353</v>
      </c>
      <c r="Q1377" s="133">
        <v>0.994394618834081</v>
      </c>
      <c r="R1377" s="133">
        <v>0.994456762749446</v>
      </c>
      <c r="S1377" s="133">
        <v>0.98489071903706</v>
      </c>
      <c r="T1377" s="135">
        <v>0.9</v>
      </c>
      <c r="U1377" s="133">
        <v>0.932114882506527</v>
      </c>
      <c r="V1377" s="133">
        <v>0.960762331838565</v>
      </c>
      <c r="W1377" s="133">
        <v>0.924057649667406</v>
      </c>
      <c r="X1377" s="133">
        <v>0.9052898321191</v>
      </c>
      <c r="Y1377" s="135">
        <v>0.92</v>
      </c>
      <c r="Z1377" s="135">
        <v>0.953125</v>
      </c>
      <c r="AA1377" s="135">
        <v>0.981544771018455</v>
      </c>
      <c r="AB1377" s="135">
        <v>0.966274509803922</v>
      </c>
      <c r="AC1377" s="135">
        <v>0.963143934105822</v>
      </c>
      <c r="AD1377" s="135">
        <v>0.92</v>
      </c>
      <c r="AE1377" s="133">
        <v>0.988654781199352</v>
      </c>
      <c r="AF1377" s="133">
        <v>0.986222732491389</v>
      </c>
      <c r="AG1377" s="133">
        <v>0.991935483870968</v>
      </c>
      <c r="AH1377" s="133">
        <v>0.996951219512195</v>
      </c>
      <c r="AI1377" s="135">
        <v>0.92</v>
      </c>
      <c r="AJ1377" s="133">
        <v>0.963245997088792</v>
      </c>
      <c r="AK1377" s="133">
        <v>0.979981521404373</v>
      </c>
      <c r="AL1377" s="133">
        <v>0.969145826567067</v>
      </c>
      <c r="AM1377" s="133">
        <v>0.972333207689408</v>
      </c>
      <c r="AN1377" s="132">
        <v>0.99</v>
      </c>
      <c r="AO1377" s="137">
        <v>1</v>
      </c>
      <c r="AP1377" s="137">
        <v>1</v>
      </c>
      <c r="AQ1377" s="137">
        <v>1</v>
      </c>
      <c r="AR1377" s="137">
        <v>1</v>
      </c>
      <c r="AS1377" s="158">
        <v>0.0721861525408278</v>
      </c>
      <c r="AT1377" s="141">
        <v>0.25</v>
      </c>
      <c r="AU1377" s="141">
        <v>0.125</v>
      </c>
      <c r="AV1377" s="141">
        <v>0</v>
      </c>
      <c r="AW1377" s="141">
        <v>0.0705128205128205</v>
      </c>
      <c r="AX1377" s="95"/>
      <c r="AY1377" s="93"/>
    </row>
    <row r="1378" ht="14.5" spans="1:51">
      <c r="A1378" s="91"/>
      <c r="B1378" s="95"/>
      <c r="C1378" s="152" t="s">
        <v>1085</v>
      </c>
      <c r="D1378" s="153" t="s">
        <v>25</v>
      </c>
      <c r="E1378" s="130" t="s">
        <v>1086</v>
      </c>
      <c r="F1378" s="195" t="s">
        <v>1408</v>
      </c>
      <c r="G1378" s="195" t="s">
        <v>1408</v>
      </c>
      <c r="H1378" s="195" t="s">
        <v>1408</v>
      </c>
      <c r="I1378" s="195" t="s">
        <v>1408</v>
      </c>
      <c r="J1378" s="132">
        <v>0.9</v>
      </c>
      <c r="K1378" s="133">
        <v>0.941176470588235</v>
      </c>
      <c r="L1378" s="133">
        <v>0.925925925925926</v>
      </c>
      <c r="M1378" s="134">
        <v>0.867924528301887</v>
      </c>
      <c r="N1378" s="133">
        <v>0.934090909090909</v>
      </c>
      <c r="O1378" s="135">
        <v>0.9</v>
      </c>
      <c r="P1378" s="133">
        <v>0.930166719094055</v>
      </c>
      <c r="Q1378" s="133">
        <v>0.953973509933775</v>
      </c>
      <c r="R1378" s="133">
        <v>0.924494859978731</v>
      </c>
      <c r="S1378" s="133">
        <v>0.926586964322813</v>
      </c>
      <c r="T1378" s="135">
        <v>0.9</v>
      </c>
      <c r="U1378" s="133">
        <v>0.892733564013841</v>
      </c>
      <c r="V1378" s="133">
        <v>0.923509933774834</v>
      </c>
      <c r="W1378" s="133">
        <v>0.895781637717122</v>
      </c>
      <c r="X1378" s="133">
        <v>0.893213968685667</v>
      </c>
      <c r="Y1378" s="135">
        <v>0.92</v>
      </c>
      <c r="Z1378" s="135">
        <v>0</v>
      </c>
      <c r="AA1378" s="135" t="s">
        <v>35</v>
      </c>
      <c r="AB1378" s="135" t="s">
        <v>35</v>
      </c>
      <c r="AC1378" s="135">
        <v>0</v>
      </c>
      <c r="AD1378" s="135">
        <v>0.92</v>
      </c>
      <c r="AE1378" s="133">
        <v>0.996587030716723</v>
      </c>
      <c r="AF1378" s="133">
        <v>0.973529411764706</v>
      </c>
      <c r="AG1378" s="133">
        <v>0.990494296577947</v>
      </c>
      <c r="AH1378" s="133">
        <v>0.992390331244405</v>
      </c>
      <c r="AI1378" s="135">
        <v>0.92</v>
      </c>
      <c r="AJ1378" s="133">
        <v>0.947815152467777</v>
      </c>
      <c r="AK1378" s="133">
        <v>0.959602649006623</v>
      </c>
      <c r="AL1378" s="133">
        <v>0.95320808224034</v>
      </c>
      <c r="AM1378" s="133">
        <v>0.953909744635072</v>
      </c>
      <c r="AN1378" s="132">
        <v>0.99</v>
      </c>
      <c r="AO1378" s="137">
        <v>1</v>
      </c>
      <c r="AP1378" s="137">
        <v>1</v>
      </c>
      <c r="AQ1378" s="137">
        <v>1</v>
      </c>
      <c r="AR1378" s="137">
        <v>1</v>
      </c>
      <c r="AS1378" s="158">
        <v>0.0721861525408278</v>
      </c>
      <c r="AT1378" s="141">
        <v>0</v>
      </c>
      <c r="AU1378" s="141">
        <v>0</v>
      </c>
      <c r="AV1378" s="141">
        <v>0</v>
      </c>
      <c r="AW1378" s="141">
        <v>0.0285714285714286</v>
      </c>
      <c r="AX1378" s="95"/>
      <c r="AY1378" s="93"/>
    </row>
    <row r="1379" ht="14.5" spans="1:51">
      <c r="A1379" s="91"/>
      <c r="B1379" s="95"/>
      <c r="C1379" s="152" t="s">
        <v>1085</v>
      </c>
      <c r="D1379" s="153" t="s">
        <v>25</v>
      </c>
      <c r="E1379" s="130" t="s">
        <v>1086</v>
      </c>
      <c r="F1379" s="195" t="s">
        <v>1409</v>
      </c>
      <c r="G1379" s="195" t="s">
        <v>1409</v>
      </c>
      <c r="H1379" s="195" t="s">
        <v>1409</v>
      </c>
      <c r="I1379" s="195" t="s">
        <v>1409</v>
      </c>
      <c r="J1379" s="132">
        <v>0.9</v>
      </c>
      <c r="K1379" s="133">
        <v>0.947368421052632</v>
      </c>
      <c r="L1379" s="133">
        <v>0.878048780487805</v>
      </c>
      <c r="M1379" s="134">
        <v>0.95</v>
      </c>
      <c r="N1379" s="133">
        <v>0.95933734939759</v>
      </c>
      <c r="O1379" s="135">
        <v>0.9</v>
      </c>
      <c r="P1379" s="133">
        <v>0.940766550522648</v>
      </c>
      <c r="Q1379" s="133">
        <v>0.960372157133012</v>
      </c>
      <c r="R1379" s="133">
        <v>0.932057057057057</v>
      </c>
      <c r="S1379" s="133">
        <v>0.949153594635984</v>
      </c>
      <c r="T1379" s="135">
        <v>0.9</v>
      </c>
      <c r="U1379" s="133">
        <v>0.902439024390244</v>
      </c>
      <c r="V1379" s="133">
        <v>0.929703652653343</v>
      </c>
      <c r="W1379" s="133">
        <v>0.906156156156156</v>
      </c>
      <c r="X1379" s="133">
        <v>0.910247920201978</v>
      </c>
      <c r="Y1379" s="135">
        <v>0.92</v>
      </c>
      <c r="Z1379" s="135">
        <v>0</v>
      </c>
      <c r="AA1379" s="135" t="s">
        <v>35</v>
      </c>
      <c r="AB1379" s="135" t="s">
        <v>35</v>
      </c>
      <c r="AC1379" s="135">
        <v>0</v>
      </c>
      <c r="AD1379" s="135">
        <v>0.92</v>
      </c>
      <c r="AE1379" s="133">
        <v>1</v>
      </c>
      <c r="AF1379" s="133">
        <v>1</v>
      </c>
      <c r="AG1379" s="133">
        <v>0.994535519125683</v>
      </c>
      <c r="AH1379" s="133">
        <v>0.995556966042526</v>
      </c>
      <c r="AI1379" s="135">
        <v>0.92</v>
      </c>
      <c r="AJ1379" s="133">
        <v>0.950939457202505</v>
      </c>
      <c r="AK1379" s="133">
        <v>0.974500344589938</v>
      </c>
      <c r="AL1379" s="133">
        <v>0.95457957957958</v>
      </c>
      <c r="AM1379" s="133">
        <v>0.964491164176634</v>
      </c>
      <c r="AN1379" s="132">
        <v>0.99</v>
      </c>
      <c r="AO1379" s="137">
        <v>1</v>
      </c>
      <c r="AP1379" s="137">
        <v>1</v>
      </c>
      <c r="AQ1379" s="137">
        <v>1</v>
      </c>
      <c r="AR1379" s="137">
        <v>1</v>
      </c>
      <c r="AS1379" s="158">
        <v>0.0721861525408278</v>
      </c>
      <c r="AT1379" s="141">
        <v>0.142857142857143</v>
      </c>
      <c r="AU1379" s="141">
        <v>0.0555555555555556</v>
      </c>
      <c r="AV1379" s="141">
        <v>0</v>
      </c>
      <c r="AW1379" s="141">
        <v>0.0523255813953488</v>
      </c>
      <c r="AX1379" s="95"/>
      <c r="AY1379" s="93"/>
    </row>
    <row r="1380" ht="14.5" spans="1:51">
      <c r="A1380" s="91"/>
      <c r="B1380" s="95"/>
      <c r="C1380" s="152" t="s">
        <v>1085</v>
      </c>
      <c r="D1380" s="153" t="s">
        <v>25</v>
      </c>
      <c r="E1380" s="130" t="s">
        <v>1086</v>
      </c>
      <c r="F1380" s="195" t="s">
        <v>1410</v>
      </c>
      <c r="G1380" s="195" t="s">
        <v>1410</v>
      </c>
      <c r="H1380" s="195" t="s">
        <v>1410</v>
      </c>
      <c r="I1380" s="195" t="s">
        <v>1410</v>
      </c>
      <c r="J1380" s="132">
        <v>0.9</v>
      </c>
      <c r="K1380" s="133">
        <v>1</v>
      </c>
      <c r="L1380" s="133">
        <v>1</v>
      </c>
      <c r="M1380" s="134">
        <v>1</v>
      </c>
      <c r="N1380" s="133">
        <v>0.992660550458716</v>
      </c>
      <c r="O1380" s="135">
        <v>0.9</v>
      </c>
      <c r="P1380" s="133">
        <v>0.995230524642289</v>
      </c>
      <c r="Q1380" s="133">
        <v>0.9925</v>
      </c>
      <c r="R1380" s="133">
        <v>0.981093300452117</v>
      </c>
      <c r="S1380" s="133">
        <v>0.981104029188532</v>
      </c>
      <c r="T1380" s="135">
        <v>0.9</v>
      </c>
      <c r="U1380" s="133">
        <v>0.917329093799682</v>
      </c>
      <c r="V1380" s="133">
        <v>0.905416666666667</v>
      </c>
      <c r="W1380" s="133">
        <v>0.89108096999589</v>
      </c>
      <c r="X1380" s="133">
        <v>0.887615143803067</v>
      </c>
      <c r="Y1380" s="135">
        <v>0.92</v>
      </c>
      <c r="Z1380" s="135" t="s">
        <v>35</v>
      </c>
      <c r="AA1380" s="135" t="s">
        <v>35</v>
      </c>
      <c r="AB1380" s="135" t="s">
        <v>35</v>
      </c>
      <c r="AC1380" s="135" t="s">
        <v>35</v>
      </c>
      <c r="AD1380" s="135">
        <v>0.92</v>
      </c>
      <c r="AE1380" s="133">
        <v>1</v>
      </c>
      <c r="AF1380" s="133">
        <v>0.992</v>
      </c>
      <c r="AG1380" s="133">
        <v>1</v>
      </c>
      <c r="AH1380" s="133">
        <v>0.996956374704092</v>
      </c>
      <c r="AI1380" s="135">
        <v>0.92</v>
      </c>
      <c r="AJ1380" s="133">
        <v>0.964626391096979</v>
      </c>
      <c r="AK1380" s="133">
        <v>0.975833333333333</v>
      </c>
      <c r="AL1380" s="133">
        <v>0.979038224414303</v>
      </c>
      <c r="AM1380" s="133">
        <v>0.972906015630279</v>
      </c>
      <c r="AN1380" s="132">
        <v>0.99</v>
      </c>
      <c r="AO1380" s="137">
        <v>1</v>
      </c>
      <c r="AP1380" s="137">
        <v>1</v>
      </c>
      <c r="AQ1380" s="137">
        <v>1</v>
      </c>
      <c r="AR1380" s="137">
        <v>1</v>
      </c>
      <c r="AS1380" s="158">
        <v>0.0721861525408278</v>
      </c>
      <c r="AT1380" s="141">
        <v>0</v>
      </c>
      <c r="AU1380" s="141">
        <v>0</v>
      </c>
      <c r="AV1380" s="141">
        <v>0</v>
      </c>
      <c r="AW1380" s="141">
        <v>0.0701754385964912</v>
      </c>
      <c r="AX1380" s="95"/>
      <c r="AY1380" s="93"/>
    </row>
    <row r="1381" ht="14.5" spans="1:51">
      <c r="A1381" s="91"/>
      <c r="B1381" s="95"/>
      <c r="C1381" s="152" t="s">
        <v>1085</v>
      </c>
      <c r="D1381" s="153" t="s">
        <v>25</v>
      </c>
      <c r="E1381" s="130" t="s">
        <v>1086</v>
      </c>
      <c r="F1381" s="195" t="s">
        <v>1411</v>
      </c>
      <c r="G1381" s="195" t="s">
        <v>1411</v>
      </c>
      <c r="H1381" s="195" t="s">
        <v>1411</v>
      </c>
      <c r="I1381" s="195" t="s">
        <v>1411</v>
      </c>
      <c r="J1381" s="132">
        <v>0.9</v>
      </c>
      <c r="K1381" s="133">
        <v>1</v>
      </c>
      <c r="L1381" s="133">
        <v>0.863636363636364</v>
      </c>
      <c r="M1381" s="134">
        <v>1</v>
      </c>
      <c r="N1381" s="133">
        <v>0.983957219251337</v>
      </c>
      <c r="O1381" s="135">
        <v>0.9</v>
      </c>
      <c r="P1381" s="133">
        <v>0.988040478380865</v>
      </c>
      <c r="Q1381" s="133">
        <v>0.971910112359551</v>
      </c>
      <c r="R1381" s="133">
        <v>0.976569037656904</v>
      </c>
      <c r="S1381" s="133">
        <v>0.973506174007664</v>
      </c>
      <c r="T1381" s="135">
        <v>0.9</v>
      </c>
      <c r="U1381" s="133">
        <v>0.957681692732291</v>
      </c>
      <c r="V1381" s="133">
        <v>0.959871589085072</v>
      </c>
      <c r="W1381" s="133">
        <v>0.96652719665272</v>
      </c>
      <c r="X1381" s="133">
        <v>0.955480910252164</v>
      </c>
      <c r="Y1381" s="135">
        <v>0.92</v>
      </c>
      <c r="Z1381" s="135">
        <v>0.949940405244339</v>
      </c>
      <c r="AA1381" s="135">
        <v>0.965909090909091</v>
      </c>
      <c r="AB1381" s="135">
        <v>0.965789473684211</v>
      </c>
      <c r="AC1381" s="135">
        <v>0.966017563955708</v>
      </c>
      <c r="AD1381" s="135">
        <v>0.92</v>
      </c>
      <c r="AE1381" s="133">
        <v>1</v>
      </c>
      <c r="AF1381" s="133">
        <v>0.995</v>
      </c>
      <c r="AG1381" s="133">
        <v>1</v>
      </c>
      <c r="AH1381" s="133">
        <v>0.99896871777243</v>
      </c>
      <c r="AI1381" s="135">
        <v>0.92</v>
      </c>
      <c r="AJ1381" s="133">
        <v>0.968847352024922</v>
      </c>
      <c r="AK1381" s="133">
        <v>0.981489841986456</v>
      </c>
      <c r="AL1381" s="133">
        <v>0.985166240409207</v>
      </c>
      <c r="AM1381" s="133">
        <v>0.980978482077443</v>
      </c>
      <c r="AN1381" s="132">
        <v>0.99</v>
      </c>
      <c r="AO1381" s="137">
        <v>1</v>
      </c>
      <c r="AP1381" s="137">
        <v>1</v>
      </c>
      <c r="AQ1381" s="137">
        <v>1</v>
      </c>
      <c r="AR1381" s="137">
        <v>1</v>
      </c>
      <c r="AS1381" s="158">
        <v>0.0721861525408278</v>
      </c>
      <c r="AT1381" s="141">
        <v>0.2</v>
      </c>
      <c r="AU1381" s="141">
        <v>0.166666666666667</v>
      </c>
      <c r="AV1381" s="141">
        <v>0.222222222222222</v>
      </c>
      <c r="AW1381" s="141">
        <v>0.0606060606060606</v>
      </c>
      <c r="AX1381" s="95"/>
      <c r="AY1381" s="93"/>
    </row>
    <row r="1382" ht="14.5" spans="1:51">
      <c r="A1382" s="91"/>
      <c r="B1382" s="95"/>
      <c r="C1382" s="152" t="s">
        <v>1085</v>
      </c>
      <c r="D1382" s="153" t="s">
        <v>25</v>
      </c>
      <c r="E1382" s="130" t="s">
        <v>1086</v>
      </c>
      <c r="F1382" s="195" t="s">
        <v>1412</v>
      </c>
      <c r="G1382" s="195" t="s">
        <v>1412</v>
      </c>
      <c r="H1382" s="195" t="s">
        <v>1412</v>
      </c>
      <c r="I1382" s="195" t="s">
        <v>1412</v>
      </c>
      <c r="J1382" s="132">
        <v>0.9</v>
      </c>
      <c r="K1382" s="133">
        <v>1</v>
      </c>
      <c r="L1382" s="133">
        <v>0.941176470588235</v>
      </c>
      <c r="M1382" s="134">
        <v>1</v>
      </c>
      <c r="N1382" s="133">
        <v>0.97841726618705</v>
      </c>
      <c r="O1382" s="135">
        <v>0.9</v>
      </c>
      <c r="P1382" s="133">
        <v>0.976031957390146</v>
      </c>
      <c r="Q1382" s="133">
        <v>0.985932004689332</v>
      </c>
      <c r="R1382" s="133">
        <v>0.981320049813201</v>
      </c>
      <c r="S1382" s="133">
        <v>0.968280701754386</v>
      </c>
      <c r="T1382" s="135">
        <v>0.9</v>
      </c>
      <c r="U1382" s="133">
        <v>0.92410119840213</v>
      </c>
      <c r="V1382" s="133">
        <v>0.960140679953107</v>
      </c>
      <c r="W1382" s="133">
        <v>0.933997509339975</v>
      </c>
      <c r="X1382" s="133">
        <v>0.931438596491228</v>
      </c>
      <c r="Y1382" s="135">
        <v>0.92</v>
      </c>
      <c r="Z1382" s="135">
        <v>0.920948616600791</v>
      </c>
      <c r="AA1382" s="135">
        <v>0.936507936507937</v>
      </c>
      <c r="AB1382" s="135">
        <v>0.958419958419958</v>
      </c>
      <c r="AC1382" s="135">
        <v>0.962238913468464</v>
      </c>
      <c r="AD1382" s="135">
        <v>0.92</v>
      </c>
      <c r="AE1382" s="133">
        <v>1</v>
      </c>
      <c r="AF1382" s="133">
        <v>1</v>
      </c>
      <c r="AG1382" s="133">
        <v>1</v>
      </c>
      <c r="AH1382" s="133">
        <v>0.999846837187931</v>
      </c>
      <c r="AI1382" s="135">
        <v>0.92</v>
      </c>
      <c r="AJ1382" s="133">
        <v>0.945902943516309</v>
      </c>
      <c r="AK1382" s="133">
        <v>0.964788732394366</v>
      </c>
      <c r="AL1382" s="133">
        <v>0.975077881619938</v>
      </c>
      <c r="AM1382" s="133">
        <v>0.975886524822695</v>
      </c>
      <c r="AN1382" s="132">
        <v>0.99</v>
      </c>
      <c r="AO1382" s="137">
        <v>1</v>
      </c>
      <c r="AP1382" s="137">
        <v>1</v>
      </c>
      <c r="AQ1382" s="137">
        <v>1</v>
      </c>
      <c r="AR1382" s="137">
        <v>1</v>
      </c>
      <c r="AS1382" s="158">
        <v>0.0721861525408278</v>
      </c>
      <c r="AT1382" s="141">
        <v>0</v>
      </c>
      <c r="AU1382" s="141">
        <v>0</v>
      </c>
      <c r="AV1382" s="141">
        <v>0</v>
      </c>
      <c r="AW1382" s="141">
        <v>0.0135135135135135</v>
      </c>
      <c r="AX1382" s="95"/>
      <c r="AY1382" s="93"/>
    </row>
    <row r="1383" ht="14.5" spans="1:51">
      <c r="A1383" s="91"/>
      <c r="B1383" s="95"/>
      <c r="C1383" s="152" t="s">
        <v>1085</v>
      </c>
      <c r="D1383" s="153" t="s">
        <v>25</v>
      </c>
      <c r="E1383" s="130" t="s">
        <v>1086</v>
      </c>
      <c r="F1383" s="195" t="s">
        <v>1413</v>
      </c>
      <c r="G1383" s="195" t="s">
        <v>1413</v>
      </c>
      <c r="H1383" s="195" t="s">
        <v>1413</v>
      </c>
      <c r="I1383" s="195" t="s">
        <v>1413</v>
      </c>
      <c r="J1383" s="132">
        <v>0.9</v>
      </c>
      <c r="K1383" s="133">
        <v>0.871794871794872</v>
      </c>
      <c r="L1383" s="133">
        <v>0.871794871794872</v>
      </c>
      <c r="M1383" s="134">
        <v>0.928571428571429</v>
      </c>
      <c r="N1383" s="133">
        <v>0.927641099855282</v>
      </c>
      <c r="O1383" s="135">
        <v>0.9</v>
      </c>
      <c r="P1383" s="133">
        <v>0.948248940441669</v>
      </c>
      <c r="Q1383" s="133">
        <v>0.938448566610455</v>
      </c>
      <c r="R1383" s="133">
        <v>0.958595022098162</v>
      </c>
      <c r="S1383" s="133">
        <v>0.94164386192328</v>
      </c>
      <c r="T1383" s="135">
        <v>0.9</v>
      </c>
      <c r="U1383" s="133">
        <v>0.917242917689048</v>
      </c>
      <c r="V1383" s="133">
        <v>0.903667790893761</v>
      </c>
      <c r="W1383" s="133">
        <v>0.916026983019307</v>
      </c>
      <c r="X1383" s="133">
        <v>0.895866340198761</v>
      </c>
      <c r="Y1383" s="135">
        <v>0.92</v>
      </c>
      <c r="Z1383" s="135">
        <v>0</v>
      </c>
      <c r="AA1383" s="135" t="s">
        <v>35</v>
      </c>
      <c r="AB1383" s="135" t="s">
        <v>35</v>
      </c>
      <c r="AC1383" s="135">
        <v>0</v>
      </c>
      <c r="AD1383" s="135">
        <v>0.92</v>
      </c>
      <c r="AE1383" s="133">
        <v>0.997118155619596</v>
      </c>
      <c r="AF1383" s="133">
        <v>0.983016983016983</v>
      </c>
      <c r="AG1383" s="133">
        <v>0.991088478676003</v>
      </c>
      <c r="AH1383" s="133">
        <v>0.985064494229464</v>
      </c>
      <c r="AI1383" s="135">
        <v>0.92</v>
      </c>
      <c r="AJ1383" s="133">
        <v>0.96969696969697</v>
      </c>
      <c r="AK1383" s="133">
        <v>0.967959527824621</v>
      </c>
      <c r="AL1383" s="133">
        <v>0.978832286578274</v>
      </c>
      <c r="AM1383" s="133">
        <v>0.973284366673868</v>
      </c>
      <c r="AN1383" s="132">
        <v>0.99</v>
      </c>
      <c r="AO1383" s="137">
        <v>1</v>
      </c>
      <c r="AP1383" s="137">
        <v>1</v>
      </c>
      <c r="AQ1383" s="137">
        <v>1</v>
      </c>
      <c r="AR1383" s="137">
        <v>1</v>
      </c>
      <c r="AS1383" s="158">
        <v>0.0721861525408278</v>
      </c>
      <c r="AT1383" s="141">
        <v>0.0555555555555556</v>
      </c>
      <c r="AU1383" s="141">
        <v>0</v>
      </c>
      <c r="AV1383" s="141">
        <v>0</v>
      </c>
      <c r="AW1383" s="141">
        <v>0.0268456375838926</v>
      </c>
      <c r="AX1383" s="95"/>
      <c r="AY1383" s="93"/>
    </row>
    <row r="1384" ht="14.5" spans="1:51">
      <c r="A1384" s="91"/>
      <c r="B1384" s="95"/>
      <c r="C1384" s="152" t="s">
        <v>1085</v>
      </c>
      <c r="D1384" s="153" t="s">
        <v>25</v>
      </c>
      <c r="E1384" s="130" t="s">
        <v>1086</v>
      </c>
      <c r="F1384" s="195" t="s">
        <v>1414</v>
      </c>
      <c r="G1384" s="195" t="s">
        <v>1414</v>
      </c>
      <c r="H1384" s="195" t="s">
        <v>1414</v>
      </c>
      <c r="I1384" s="195" t="s">
        <v>1414</v>
      </c>
      <c r="J1384" s="132">
        <v>0.9</v>
      </c>
      <c r="K1384" s="133">
        <v>0.984848484848485</v>
      </c>
      <c r="L1384" s="133">
        <v>1</v>
      </c>
      <c r="M1384" s="134">
        <v>0.985915492957746</v>
      </c>
      <c r="N1384" s="133">
        <v>0.971186440677966</v>
      </c>
      <c r="O1384" s="135">
        <v>0.9</v>
      </c>
      <c r="P1384" s="133">
        <v>0.975773496789259</v>
      </c>
      <c r="Q1384" s="133">
        <v>0.968971024412503</v>
      </c>
      <c r="R1384" s="133">
        <v>0.981486114585939</v>
      </c>
      <c r="S1384" s="133">
        <v>0.976311171768376</v>
      </c>
      <c r="T1384" s="135">
        <v>0.9</v>
      </c>
      <c r="U1384" s="133">
        <v>0.929655575014594</v>
      </c>
      <c r="V1384" s="133">
        <v>0.903947068218115</v>
      </c>
      <c r="W1384" s="133">
        <v>0.943457593194896</v>
      </c>
      <c r="X1384" s="133">
        <v>0.933125365568337</v>
      </c>
      <c r="Y1384" s="135">
        <v>0.92</v>
      </c>
      <c r="Z1384" s="135">
        <v>0.913978494623656</v>
      </c>
      <c r="AA1384" s="135">
        <v>0.928825622775801</v>
      </c>
      <c r="AB1384" s="135">
        <v>0.944654088050314</v>
      </c>
      <c r="AC1384" s="135">
        <v>0.94679037310178</v>
      </c>
      <c r="AD1384" s="135">
        <v>0.92</v>
      </c>
      <c r="AE1384" s="133">
        <v>0.994764397905759</v>
      </c>
      <c r="AF1384" s="133">
        <v>0.991510006064281</v>
      </c>
      <c r="AG1384" s="133">
        <v>0.9952</v>
      </c>
      <c r="AH1384" s="133">
        <v>0.995214339578862</v>
      </c>
      <c r="AI1384" s="135">
        <v>0.92</v>
      </c>
      <c r="AJ1384" s="133">
        <v>0.943246884472887</v>
      </c>
      <c r="AK1384" s="133">
        <v>0.948792130768118</v>
      </c>
      <c r="AL1384" s="133">
        <v>0.964274522093388</v>
      </c>
      <c r="AM1384" s="133">
        <v>0.96531952657882</v>
      </c>
      <c r="AN1384" s="132">
        <v>0.99</v>
      </c>
      <c r="AO1384" s="137">
        <v>1</v>
      </c>
      <c r="AP1384" s="137">
        <v>1</v>
      </c>
      <c r="AQ1384" s="137">
        <v>1</v>
      </c>
      <c r="AR1384" s="137">
        <v>1</v>
      </c>
      <c r="AS1384" s="158">
        <v>0.0721861525408278</v>
      </c>
      <c r="AT1384" s="141">
        <v>0.0121951219512195</v>
      </c>
      <c r="AU1384" s="141">
        <v>0.027027027027027</v>
      </c>
      <c r="AV1384" s="141">
        <v>0</v>
      </c>
      <c r="AW1384" s="141">
        <v>0.025693730729702</v>
      </c>
      <c r="AX1384" s="95"/>
      <c r="AY1384" s="93"/>
    </row>
    <row r="1385" ht="14.5" spans="1:51">
      <c r="A1385" s="91"/>
      <c r="B1385" s="95"/>
      <c r="C1385" s="152" t="s">
        <v>1085</v>
      </c>
      <c r="D1385" s="153" t="s">
        <v>25</v>
      </c>
      <c r="E1385" s="130" t="s">
        <v>1086</v>
      </c>
      <c r="F1385" s="195" t="s">
        <v>1415</v>
      </c>
      <c r="G1385" s="195" t="s">
        <v>1415</v>
      </c>
      <c r="H1385" s="195" t="s">
        <v>1415</v>
      </c>
      <c r="I1385" s="195" t="s">
        <v>1415</v>
      </c>
      <c r="J1385" s="132">
        <v>0.9</v>
      </c>
      <c r="K1385" s="133">
        <v>0.885245901639344</v>
      </c>
      <c r="L1385" s="133">
        <v>0.947368421052632</v>
      </c>
      <c r="M1385" s="134">
        <v>0.933333333333333</v>
      </c>
      <c r="N1385" s="133">
        <v>0.932955618508026</v>
      </c>
      <c r="O1385" s="135">
        <v>0.9</v>
      </c>
      <c r="P1385" s="133">
        <v>0.875036927621861</v>
      </c>
      <c r="Q1385" s="133">
        <v>0.85818824123139</v>
      </c>
      <c r="R1385" s="133">
        <v>0.857035928143713</v>
      </c>
      <c r="S1385" s="133">
        <v>0.883098551385879</v>
      </c>
      <c r="T1385" s="135">
        <v>0.9</v>
      </c>
      <c r="U1385" s="133">
        <v>0.790546528803545</v>
      </c>
      <c r="V1385" s="133">
        <v>0.720918496088822</v>
      </c>
      <c r="W1385" s="133">
        <v>0.789171656686627</v>
      </c>
      <c r="X1385" s="133">
        <v>0.795483061480552</v>
      </c>
      <c r="Y1385" s="135">
        <v>0.92</v>
      </c>
      <c r="Z1385" s="135">
        <v>0.82779827798278</v>
      </c>
      <c r="AA1385" s="135">
        <v>0.843243243243243</v>
      </c>
      <c r="AB1385" s="135">
        <v>0.900798654897016</v>
      </c>
      <c r="AC1385" s="135">
        <v>0.899867596782799</v>
      </c>
      <c r="AD1385" s="135">
        <v>0.92</v>
      </c>
      <c r="AE1385" s="133">
        <v>0.994204190815872</v>
      </c>
      <c r="AF1385" s="133">
        <v>0.987987987987988</v>
      </c>
      <c r="AG1385" s="133">
        <v>0.995458368376787</v>
      </c>
      <c r="AH1385" s="133">
        <v>0.99455196754064</v>
      </c>
      <c r="AI1385" s="135">
        <v>0.92</v>
      </c>
      <c r="AJ1385" s="133">
        <v>0.892342032967033</v>
      </c>
      <c r="AK1385" s="133">
        <v>0.887503710299792</v>
      </c>
      <c r="AL1385" s="133">
        <v>0.935817157169693</v>
      </c>
      <c r="AM1385" s="133">
        <v>0.934535787930735</v>
      </c>
      <c r="AN1385" s="132">
        <v>0.99</v>
      </c>
      <c r="AO1385" s="137">
        <v>1</v>
      </c>
      <c r="AP1385" s="137">
        <v>1</v>
      </c>
      <c r="AQ1385" s="137">
        <v>1</v>
      </c>
      <c r="AR1385" s="137">
        <v>1</v>
      </c>
      <c r="AS1385" s="158">
        <v>0.0721861525408278</v>
      </c>
      <c r="AT1385" s="141">
        <v>0.0294117647058824</v>
      </c>
      <c r="AU1385" s="141">
        <v>0.0344827586206897</v>
      </c>
      <c r="AV1385" s="141">
        <v>0.0333333333333333</v>
      </c>
      <c r="AW1385" s="141">
        <v>0.0601202404809619</v>
      </c>
      <c r="AX1385" s="95"/>
      <c r="AY1385" s="93"/>
    </row>
    <row r="1386" ht="14.5" spans="1:51">
      <c r="A1386" s="91"/>
      <c r="B1386" s="95"/>
      <c r="C1386" s="152" t="s">
        <v>1085</v>
      </c>
      <c r="D1386" s="153" t="s">
        <v>25</v>
      </c>
      <c r="E1386" s="130" t="s">
        <v>1086</v>
      </c>
      <c r="F1386" s="195" t="s">
        <v>1416</v>
      </c>
      <c r="G1386" s="195" t="s">
        <v>1416</v>
      </c>
      <c r="H1386" s="195" t="s">
        <v>1416</v>
      </c>
      <c r="I1386" s="195" t="s">
        <v>1416</v>
      </c>
      <c r="J1386" s="132">
        <v>0.9</v>
      </c>
      <c r="K1386" s="133">
        <v>0.869565217391304</v>
      </c>
      <c r="L1386" s="133">
        <v>0.844444444444444</v>
      </c>
      <c r="M1386" s="134">
        <v>0.979166666666667</v>
      </c>
      <c r="N1386" s="133">
        <v>0.911138923654568</v>
      </c>
      <c r="O1386" s="135">
        <v>0.9</v>
      </c>
      <c r="P1386" s="133">
        <v>0.976581614819993</v>
      </c>
      <c r="Q1386" s="133">
        <v>0.955478126209834</v>
      </c>
      <c r="R1386" s="133">
        <v>0.955161290322581</v>
      </c>
      <c r="S1386" s="133">
        <v>0.945301235604388</v>
      </c>
      <c r="T1386" s="135">
        <v>0.9</v>
      </c>
      <c r="U1386" s="133">
        <v>0.954211814051031</v>
      </c>
      <c r="V1386" s="133">
        <v>0.957413859852884</v>
      </c>
      <c r="W1386" s="133">
        <v>0.975161290322581</v>
      </c>
      <c r="X1386" s="133">
        <v>0.964994250880619</v>
      </c>
      <c r="Y1386" s="135">
        <v>0.92</v>
      </c>
      <c r="Z1386" s="135">
        <v>0.95467032967033</v>
      </c>
      <c r="AA1386" s="135">
        <v>0.952535059331176</v>
      </c>
      <c r="AB1386" s="135">
        <v>0.974519230769231</v>
      </c>
      <c r="AC1386" s="135">
        <v>0.965385415583065</v>
      </c>
      <c r="AD1386" s="135">
        <v>0.92</v>
      </c>
      <c r="AE1386" s="133">
        <v>1</v>
      </c>
      <c r="AF1386" s="133">
        <v>0.978328173374613</v>
      </c>
      <c r="AG1386" s="133">
        <v>1</v>
      </c>
      <c r="AH1386" s="133">
        <v>0.992370152596948</v>
      </c>
      <c r="AI1386" s="135">
        <v>0.92</v>
      </c>
      <c r="AJ1386" s="133">
        <v>0.968496641186009</v>
      </c>
      <c r="AK1386" s="133">
        <v>0.963646532438479</v>
      </c>
      <c r="AL1386" s="133">
        <v>0.982821849063887</v>
      </c>
      <c r="AM1386" s="133">
        <v>0.978317051462151</v>
      </c>
      <c r="AN1386" s="132">
        <v>0.99</v>
      </c>
      <c r="AO1386" s="137">
        <v>1</v>
      </c>
      <c r="AP1386" s="137">
        <v>1</v>
      </c>
      <c r="AQ1386" s="137">
        <v>1</v>
      </c>
      <c r="AR1386" s="137">
        <v>1</v>
      </c>
      <c r="AS1386" s="158">
        <v>0.0721861525408278</v>
      </c>
      <c r="AT1386" s="141">
        <v>0</v>
      </c>
      <c r="AU1386" s="141">
        <v>0</v>
      </c>
      <c r="AV1386" s="141">
        <v>0</v>
      </c>
      <c r="AW1386" s="141">
        <v>0.010752688172043</v>
      </c>
      <c r="AX1386" s="95"/>
      <c r="AY1386" s="93"/>
    </row>
    <row r="1387" ht="14.5" spans="1:51">
      <c r="A1387" s="91"/>
      <c r="B1387" s="95"/>
      <c r="C1387" s="152" t="s">
        <v>1085</v>
      </c>
      <c r="D1387" s="153" t="s">
        <v>25</v>
      </c>
      <c r="E1387" s="130" t="s">
        <v>1086</v>
      </c>
      <c r="F1387" s="195" t="s">
        <v>1417</v>
      </c>
      <c r="G1387" s="195" t="s">
        <v>1417</v>
      </c>
      <c r="H1387" s="195" t="s">
        <v>1417</v>
      </c>
      <c r="I1387" s="195" t="s">
        <v>1417</v>
      </c>
      <c r="J1387" s="132">
        <v>0.9</v>
      </c>
      <c r="K1387" s="133">
        <v>0.96875</v>
      </c>
      <c r="L1387" s="133">
        <v>0.967741935483871</v>
      </c>
      <c r="M1387" s="134">
        <v>1</v>
      </c>
      <c r="N1387" s="133">
        <v>0.985890652557319</v>
      </c>
      <c r="O1387" s="135">
        <v>0.9</v>
      </c>
      <c r="P1387" s="133">
        <v>0.988041853512706</v>
      </c>
      <c r="Q1387" s="133">
        <v>0.959405374499714</v>
      </c>
      <c r="R1387" s="133">
        <v>0.991019545694665</v>
      </c>
      <c r="S1387" s="133">
        <v>0.98556883324302</v>
      </c>
      <c r="T1387" s="135">
        <v>0.9</v>
      </c>
      <c r="U1387" s="133">
        <v>0.978574987543597</v>
      </c>
      <c r="V1387" s="133">
        <v>0.941680960548885</v>
      </c>
      <c r="W1387" s="133">
        <v>0.979926043317485</v>
      </c>
      <c r="X1387" s="133">
        <v>0.975700881270855</v>
      </c>
      <c r="Y1387" s="135">
        <v>0.92</v>
      </c>
      <c r="Z1387" s="135">
        <v>0.974206349206349</v>
      </c>
      <c r="AA1387" s="135">
        <v>0.970555555555556</v>
      </c>
      <c r="AB1387" s="135">
        <v>0.975894245723173</v>
      </c>
      <c r="AC1387" s="135">
        <v>0.982616060984955</v>
      </c>
      <c r="AD1387" s="135">
        <v>0.92</v>
      </c>
      <c r="AE1387" s="133">
        <v>0.996563573883162</v>
      </c>
      <c r="AF1387" s="133">
        <v>0.995268138801262</v>
      </c>
      <c r="AG1387" s="133">
        <v>0.991584852734923</v>
      </c>
      <c r="AH1387" s="133">
        <v>0.990466798159106</v>
      </c>
      <c r="AI1387" s="135">
        <v>0.92</v>
      </c>
      <c r="AJ1387" s="133">
        <v>0.983747927031509</v>
      </c>
      <c r="AK1387" s="133">
        <v>0.978021978021978</v>
      </c>
      <c r="AL1387" s="133">
        <v>0.987102862535388</v>
      </c>
      <c r="AM1387" s="133">
        <v>0.988873667680176</v>
      </c>
      <c r="AN1387" s="132">
        <v>0.99</v>
      </c>
      <c r="AO1387" s="137">
        <v>1</v>
      </c>
      <c r="AP1387" s="137">
        <v>1</v>
      </c>
      <c r="AQ1387" s="137">
        <v>1</v>
      </c>
      <c r="AR1387" s="137">
        <v>1</v>
      </c>
      <c r="AS1387" s="158">
        <v>0.0721861525408278</v>
      </c>
      <c r="AT1387" s="141">
        <v>0</v>
      </c>
      <c r="AU1387" s="141">
        <v>0</v>
      </c>
      <c r="AV1387" s="141">
        <v>0</v>
      </c>
      <c r="AW1387" s="141">
        <v>0.023121387283237</v>
      </c>
      <c r="AX1387" s="95"/>
      <c r="AY1387" s="93"/>
    </row>
    <row r="1388" ht="14.5" spans="1:51">
      <c r="A1388" s="91"/>
      <c r="B1388" s="95"/>
      <c r="C1388" s="152" t="s">
        <v>1085</v>
      </c>
      <c r="D1388" s="153" t="s">
        <v>25</v>
      </c>
      <c r="E1388" s="130" t="s">
        <v>1086</v>
      </c>
      <c r="F1388" s="195" t="s">
        <v>1418</v>
      </c>
      <c r="G1388" s="195" t="s">
        <v>1418</v>
      </c>
      <c r="H1388" s="195" t="s">
        <v>1418</v>
      </c>
      <c r="I1388" s="195" t="s">
        <v>1418</v>
      </c>
      <c r="J1388" s="132">
        <v>0.9</v>
      </c>
      <c r="K1388" s="133">
        <v>0.875</v>
      </c>
      <c r="L1388" s="133">
        <v>0.945945945945946</v>
      </c>
      <c r="M1388" s="134">
        <v>0.9</v>
      </c>
      <c r="N1388" s="133">
        <v>0.919175911251981</v>
      </c>
      <c r="O1388" s="135">
        <v>0.9</v>
      </c>
      <c r="P1388" s="133">
        <v>0.982058047493404</v>
      </c>
      <c r="Q1388" s="133">
        <v>0.98943661971831</v>
      </c>
      <c r="R1388" s="133">
        <v>0.986168032786885</v>
      </c>
      <c r="S1388" s="133">
        <v>0.982007468597941</v>
      </c>
      <c r="T1388" s="135">
        <v>0.9</v>
      </c>
      <c r="U1388" s="133">
        <v>0.955145118733509</v>
      </c>
      <c r="V1388" s="133">
        <v>0.964788732394366</v>
      </c>
      <c r="W1388" s="133">
        <v>0.96875</v>
      </c>
      <c r="X1388" s="133">
        <v>0.963251103315605</v>
      </c>
      <c r="Y1388" s="135">
        <v>0.92</v>
      </c>
      <c r="Z1388" s="135">
        <v>0.969141755062681</v>
      </c>
      <c r="AA1388" s="135">
        <v>0.960044395116537</v>
      </c>
      <c r="AB1388" s="135">
        <v>0.973540856031128</v>
      </c>
      <c r="AC1388" s="135">
        <v>0.974728099663832</v>
      </c>
      <c r="AD1388" s="135">
        <v>0.92</v>
      </c>
      <c r="AE1388" s="133">
        <v>1</v>
      </c>
      <c r="AF1388" s="133">
        <v>1</v>
      </c>
      <c r="AG1388" s="133">
        <v>1</v>
      </c>
      <c r="AH1388" s="133">
        <v>0.985155195681511</v>
      </c>
      <c r="AI1388" s="135">
        <v>0.92</v>
      </c>
      <c r="AJ1388" s="133">
        <v>0.97987721691678</v>
      </c>
      <c r="AK1388" s="133">
        <v>0.969766115231033</v>
      </c>
      <c r="AL1388" s="133">
        <v>0.983626814952116</v>
      </c>
      <c r="AM1388" s="133">
        <v>0.984118345537305</v>
      </c>
      <c r="AN1388" s="132">
        <v>0.99</v>
      </c>
      <c r="AO1388" s="137">
        <v>1</v>
      </c>
      <c r="AP1388" s="137">
        <v>1</v>
      </c>
      <c r="AQ1388" s="137">
        <v>1</v>
      </c>
      <c r="AR1388" s="137">
        <v>1</v>
      </c>
      <c r="AS1388" s="158">
        <v>0.0721861525408278</v>
      </c>
      <c r="AT1388" s="141">
        <v>0</v>
      </c>
      <c r="AU1388" s="141">
        <v>0</v>
      </c>
      <c r="AV1388" s="141">
        <v>0</v>
      </c>
      <c r="AW1388" s="141">
        <v>-0.00564971751412429</v>
      </c>
      <c r="AX1388" s="95"/>
      <c r="AY1388" s="93"/>
    </row>
    <row r="1389" ht="14.5" spans="1:51">
      <c r="A1389" s="91"/>
      <c r="B1389" s="95"/>
      <c r="C1389" s="152" t="s">
        <v>1085</v>
      </c>
      <c r="D1389" s="153" t="s">
        <v>25</v>
      </c>
      <c r="E1389" s="130" t="s">
        <v>1086</v>
      </c>
      <c r="F1389" s="195" t="s">
        <v>1419</v>
      </c>
      <c r="G1389" s="195" t="s">
        <v>1419</v>
      </c>
      <c r="H1389" s="195" t="s">
        <v>1419</v>
      </c>
      <c r="I1389" s="195" t="s">
        <v>1419</v>
      </c>
      <c r="J1389" s="132">
        <v>0.9</v>
      </c>
      <c r="K1389" s="133">
        <v>0.935483870967742</v>
      </c>
      <c r="L1389" s="133">
        <v>0.9</v>
      </c>
      <c r="M1389" s="134">
        <v>0.838709677419355</v>
      </c>
      <c r="N1389" s="133">
        <v>0.903041825095057</v>
      </c>
      <c r="O1389" s="135">
        <v>0.9</v>
      </c>
      <c r="P1389" s="133">
        <v>0.95227442207308</v>
      </c>
      <c r="Q1389" s="133">
        <v>0.944270015698587</v>
      </c>
      <c r="R1389" s="133">
        <v>0.965877437325905</v>
      </c>
      <c r="S1389" s="133">
        <v>0.966447244686854</v>
      </c>
      <c r="T1389" s="135">
        <v>0.9</v>
      </c>
      <c r="U1389" s="133">
        <v>0.94034302759135</v>
      </c>
      <c r="V1389" s="133">
        <v>0.905808477237049</v>
      </c>
      <c r="W1389" s="133">
        <v>0.942896935933148</v>
      </c>
      <c r="X1389" s="133">
        <v>0.950009403799135</v>
      </c>
      <c r="Y1389" s="135">
        <v>0.92</v>
      </c>
      <c r="Z1389" s="135">
        <v>0.914110429447853</v>
      </c>
      <c r="AA1389" s="135">
        <v>0.93610911701364</v>
      </c>
      <c r="AB1389" s="135">
        <v>0.946356275303644</v>
      </c>
      <c r="AC1389" s="135">
        <v>0.950936290406946</v>
      </c>
      <c r="AD1389" s="135">
        <v>0.92</v>
      </c>
      <c r="AE1389" s="133">
        <v>1</v>
      </c>
      <c r="AF1389" s="133">
        <v>1</v>
      </c>
      <c r="AG1389" s="133">
        <v>1</v>
      </c>
      <c r="AH1389" s="133">
        <v>0.942250530785563</v>
      </c>
      <c r="AI1389" s="135">
        <v>0.92</v>
      </c>
      <c r="AJ1389" s="133">
        <v>0.953838434520823</v>
      </c>
      <c r="AK1389" s="133">
        <v>0.951631046119235</v>
      </c>
      <c r="AL1389" s="133">
        <v>0.96493399339934</v>
      </c>
      <c r="AM1389" s="133">
        <v>0.969433078791327</v>
      </c>
      <c r="AN1389" s="132">
        <v>0.99</v>
      </c>
      <c r="AO1389" s="137">
        <v>1</v>
      </c>
      <c r="AP1389" s="137">
        <v>1</v>
      </c>
      <c r="AQ1389" s="137">
        <v>1</v>
      </c>
      <c r="AR1389" s="137">
        <v>1</v>
      </c>
      <c r="AS1389" s="158">
        <v>0.0721861525408278</v>
      </c>
      <c r="AT1389" s="141">
        <v>0</v>
      </c>
      <c r="AU1389" s="141">
        <v>0</v>
      </c>
      <c r="AV1389" s="141">
        <v>0</v>
      </c>
      <c r="AW1389" s="141">
        <v>0.0492957746478873</v>
      </c>
      <c r="AX1389" s="95"/>
      <c r="AY1389" s="93"/>
    </row>
    <row r="1390" ht="14.5" spans="1:51">
      <c r="A1390" s="91"/>
      <c r="B1390" s="95"/>
      <c r="C1390" s="152" t="s">
        <v>1085</v>
      </c>
      <c r="D1390" s="153" t="s">
        <v>25</v>
      </c>
      <c r="E1390" s="130" t="s">
        <v>1086</v>
      </c>
      <c r="F1390" s="195" t="s">
        <v>1420</v>
      </c>
      <c r="G1390" s="195" t="s">
        <v>1420</v>
      </c>
      <c r="H1390" s="195" t="s">
        <v>1420</v>
      </c>
      <c r="I1390" s="195" t="s">
        <v>1420</v>
      </c>
      <c r="J1390" s="132">
        <v>0.9</v>
      </c>
      <c r="K1390" s="133">
        <v>0.91304347826087</v>
      </c>
      <c r="L1390" s="133">
        <v>0.956521739130435</v>
      </c>
      <c r="M1390" s="134">
        <v>1</v>
      </c>
      <c r="N1390" s="133">
        <v>0.967828418230563</v>
      </c>
      <c r="O1390" s="135">
        <v>0.9</v>
      </c>
      <c r="P1390" s="133">
        <v>0.984981874676333</v>
      </c>
      <c r="Q1390" s="133">
        <v>0.992962252079335</v>
      </c>
      <c r="R1390" s="133">
        <v>0.991092636579572</v>
      </c>
      <c r="S1390" s="133">
        <v>0.990132486889318</v>
      </c>
      <c r="T1390" s="135">
        <v>0.9</v>
      </c>
      <c r="U1390" s="133">
        <v>0.922837907819782</v>
      </c>
      <c r="V1390" s="133">
        <v>0.931541906589891</v>
      </c>
      <c r="W1390" s="133">
        <v>0.945961995249406</v>
      </c>
      <c r="X1390" s="133">
        <v>0.944176097157052</v>
      </c>
      <c r="Y1390" s="135">
        <v>0.92</v>
      </c>
      <c r="Z1390" s="135" t="s">
        <v>35</v>
      </c>
      <c r="AA1390" s="135" t="s">
        <v>35</v>
      </c>
      <c r="AB1390" s="135" t="s">
        <v>35</v>
      </c>
      <c r="AC1390" s="135" t="s">
        <v>35</v>
      </c>
      <c r="AD1390" s="135">
        <v>0.92</v>
      </c>
      <c r="AE1390" s="133">
        <v>1</v>
      </c>
      <c r="AF1390" s="133">
        <v>0.998269896193772</v>
      </c>
      <c r="AG1390" s="133">
        <v>0.998015873015873</v>
      </c>
      <c r="AH1390" s="133">
        <v>0.994752186588921</v>
      </c>
      <c r="AI1390" s="135">
        <v>0.92</v>
      </c>
      <c r="AJ1390" s="133">
        <v>0.945624029000518</v>
      </c>
      <c r="AK1390" s="133">
        <v>0.947570332480818</v>
      </c>
      <c r="AL1390" s="133">
        <v>0.959619952494062</v>
      </c>
      <c r="AM1390" s="133">
        <v>0.965430395031913</v>
      </c>
      <c r="AN1390" s="132">
        <v>0.99</v>
      </c>
      <c r="AO1390" s="137">
        <v>1</v>
      </c>
      <c r="AP1390" s="137">
        <v>1</v>
      </c>
      <c r="AQ1390" s="137">
        <v>1</v>
      </c>
      <c r="AR1390" s="137">
        <v>1</v>
      </c>
      <c r="AS1390" s="158">
        <v>0.0721861525408278</v>
      </c>
      <c r="AT1390" s="141">
        <v>0</v>
      </c>
      <c r="AU1390" s="141">
        <v>0</v>
      </c>
      <c r="AV1390" s="141">
        <v>0</v>
      </c>
      <c r="AW1390" s="141">
        <v>0.0307692307692308</v>
      </c>
      <c r="AX1390" s="95"/>
      <c r="AY1390" s="93"/>
    </row>
    <row r="1391" ht="14.5" spans="1:51">
      <c r="A1391" s="91"/>
      <c r="B1391" s="95"/>
      <c r="C1391" s="152" t="s">
        <v>1085</v>
      </c>
      <c r="D1391" s="153" t="s">
        <v>25</v>
      </c>
      <c r="E1391" s="130" t="s">
        <v>1086</v>
      </c>
      <c r="F1391" s="195" t="s">
        <v>1421</v>
      </c>
      <c r="G1391" s="195" t="s">
        <v>1421</v>
      </c>
      <c r="H1391" s="195" t="s">
        <v>1421</v>
      </c>
      <c r="I1391" s="195" t="s">
        <v>1421</v>
      </c>
      <c r="J1391" s="132">
        <v>0.9</v>
      </c>
      <c r="K1391" s="133">
        <v>0.842105263157895</v>
      </c>
      <c r="L1391" s="133">
        <v>0.769230769230769</v>
      </c>
      <c r="M1391" s="134">
        <v>0.846153846153846</v>
      </c>
      <c r="N1391" s="133">
        <v>0.878234398782344</v>
      </c>
      <c r="O1391" s="135">
        <v>0.9</v>
      </c>
      <c r="P1391" s="133">
        <v>0.941124391323594</v>
      </c>
      <c r="Q1391" s="133">
        <v>0.978488982161595</v>
      </c>
      <c r="R1391" s="133">
        <v>0.987494210282538</v>
      </c>
      <c r="S1391" s="133">
        <v>0.97779668884419</v>
      </c>
      <c r="T1391" s="135">
        <v>0.9</v>
      </c>
      <c r="U1391" s="133">
        <v>0.871181938911023</v>
      </c>
      <c r="V1391" s="133">
        <v>0.901364113326338</v>
      </c>
      <c r="W1391" s="133">
        <v>0.899490504863363</v>
      </c>
      <c r="X1391" s="133">
        <v>0.905229769456909</v>
      </c>
      <c r="Y1391" s="135">
        <v>0.92</v>
      </c>
      <c r="Z1391" s="135">
        <v>0.923076923076923</v>
      </c>
      <c r="AA1391" s="135">
        <v>0.908232826428946</v>
      </c>
      <c r="AB1391" s="135">
        <v>0.939556749496306</v>
      </c>
      <c r="AC1391" s="135">
        <v>0.937089236161823</v>
      </c>
      <c r="AD1391" s="135">
        <v>0.92</v>
      </c>
      <c r="AE1391" s="133">
        <v>0.993723849372385</v>
      </c>
      <c r="AF1391" s="133">
        <v>0.998995983935743</v>
      </c>
      <c r="AG1391" s="133">
        <v>0.998329156223893</v>
      </c>
      <c r="AH1391" s="133">
        <v>0.996929801738044</v>
      </c>
      <c r="AI1391" s="135">
        <v>0.92</v>
      </c>
      <c r="AJ1391" s="133">
        <v>0.949839603382911</v>
      </c>
      <c r="AK1391" s="133">
        <v>0.936270653029111</v>
      </c>
      <c r="AL1391" s="133">
        <v>0.957236842105263</v>
      </c>
      <c r="AM1391" s="133">
        <v>0.958832063837505</v>
      </c>
      <c r="AN1391" s="132">
        <v>0.99</v>
      </c>
      <c r="AO1391" s="137">
        <v>1</v>
      </c>
      <c r="AP1391" s="137">
        <v>1</v>
      </c>
      <c r="AQ1391" s="137">
        <v>1</v>
      </c>
      <c r="AR1391" s="137">
        <v>1</v>
      </c>
      <c r="AS1391" s="158">
        <v>0.0721861525408278</v>
      </c>
      <c r="AT1391" s="141">
        <v>0</v>
      </c>
      <c r="AU1391" s="141">
        <v>0</v>
      </c>
      <c r="AV1391" s="141">
        <v>0</v>
      </c>
      <c r="AW1391" s="141">
        <v>0.0336134453781513</v>
      </c>
      <c r="AX1391" s="95"/>
      <c r="AY1391" s="93"/>
    </row>
    <row r="1392" ht="14.5" spans="1:51">
      <c r="A1392" s="91"/>
      <c r="B1392" s="95"/>
      <c r="C1392" s="152" t="s">
        <v>1085</v>
      </c>
      <c r="D1392" s="153" t="s">
        <v>25</v>
      </c>
      <c r="E1392" s="130" t="s">
        <v>1086</v>
      </c>
      <c r="F1392" s="195" t="s">
        <v>1422</v>
      </c>
      <c r="G1392" s="195" t="s">
        <v>1422</v>
      </c>
      <c r="H1392" s="195" t="s">
        <v>1422</v>
      </c>
      <c r="I1392" s="195" t="s">
        <v>1422</v>
      </c>
      <c r="J1392" s="132">
        <v>0.9</v>
      </c>
      <c r="K1392" s="133">
        <v>1</v>
      </c>
      <c r="L1392" s="133">
        <v>1</v>
      </c>
      <c r="M1392" s="134">
        <v>1</v>
      </c>
      <c r="N1392" s="133">
        <v>0.978510028653295</v>
      </c>
      <c r="O1392" s="135">
        <v>0.9</v>
      </c>
      <c r="P1392" s="133">
        <v>0.993161705551086</v>
      </c>
      <c r="Q1392" s="133">
        <v>0.992427616926503</v>
      </c>
      <c r="R1392" s="133">
        <v>0.990476190476191</v>
      </c>
      <c r="S1392" s="133">
        <v>0.989999547490837</v>
      </c>
      <c r="T1392" s="135">
        <v>0.9</v>
      </c>
      <c r="U1392" s="133">
        <v>0.923169750603379</v>
      </c>
      <c r="V1392" s="133">
        <v>0.95902004454343</v>
      </c>
      <c r="W1392" s="133">
        <v>0.96468253968254</v>
      </c>
      <c r="X1392" s="133">
        <v>0.965224670799584</v>
      </c>
      <c r="Y1392" s="135">
        <v>0.92</v>
      </c>
      <c r="Z1392" s="135">
        <v>0.952091254752852</v>
      </c>
      <c r="AA1392" s="135">
        <v>0.949275362318841</v>
      </c>
      <c r="AB1392" s="135">
        <v>0.972861356932153</v>
      </c>
      <c r="AC1392" s="135">
        <v>0.967957691709442</v>
      </c>
      <c r="AD1392" s="135">
        <v>0.92</v>
      </c>
      <c r="AE1392" s="133">
        <v>0.996760259179266</v>
      </c>
      <c r="AF1392" s="133">
        <v>0.997360084477297</v>
      </c>
      <c r="AG1392" s="133">
        <v>0.996945010183299</v>
      </c>
      <c r="AH1392" s="133">
        <v>0.994489732155537</v>
      </c>
      <c r="AI1392" s="135">
        <v>0.92</v>
      </c>
      <c r="AJ1392" s="133">
        <v>0.96316758747698</v>
      </c>
      <c r="AK1392" s="133">
        <v>0.960357220649096</v>
      </c>
      <c r="AL1392" s="133">
        <v>0.978884934756821</v>
      </c>
      <c r="AM1392" s="133">
        <v>0.9793175715502</v>
      </c>
      <c r="AN1392" s="132">
        <v>0.99</v>
      </c>
      <c r="AO1392" s="137">
        <v>1</v>
      </c>
      <c r="AP1392" s="137">
        <v>1</v>
      </c>
      <c r="AQ1392" s="137">
        <v>1</v>
      </c>
      <c r="AR1392" s="137">
        <v>1</v>
      </c>
      <c r="AS1392" s="158">
        <v>0.0721861525408278</v>
      </c>
      <c r="AT1392" s="141">
        <v>0.0740740740740741</v>
      </c>
      <c r="AU1392" s="141">
        <v>0</v>
      </c>
      <c r="AV1392" s="141">
        <v>0</v>
      </c>
      <c r="AW1392" s="141">
        <v>0.00859598853868195</v>
      </c>
      <c r="AX1392" s="95"/>
      <c r="AY1392" s="93"/>
    </row>
    <row r="1393" ht="14.5" spans="1:51">
      <c r="A1393" s="91"/>
      <c r="B1393" s="95"/>
      <c r="C1393" s="152" t="s">
        <v>1085</v>
      </c>
      <c r="D1393" s="153" t="s">
        <v>25</v>
      </c>
      <c r="E1393" s="130" t="s">
        <v>1086</v>
      </c>
      <c r="F1393" s="195" t="s">
        <v>1423</v>
      </c>
      <c r="G1393" s="195" t="s">
        <v>1423</v>
      </c>
      <c r="H1393" s="195" t="s">
        <v>1423</v>
      </c>
      <c r="I1393" s="195" t="s">
        <v>1423</v>
      </c>
      <c r="J1393" s="132">
        <v>0.9</v>
      </c>
      <c r="K1393" s="133">
        <v>0.8</v>
      </c>
      <c r="L1393" s="133">
        <v>0.72</v>
      </c>
      <c r="M1393" s="134">
        <v>0.933333333333333</v>
      </c>
      <c r="N1393" s="133">
        <v>0.838297872340426</v>
      </c>
      <c r="O1393" s="135">
        <v>0.9</v>
      </c>
      <c r="P1393" s="133">
        <v>0.994229183841715</v>
      </c>
      <c r="Q1393" s="133">
        <v>0.97318339100346</v>
      </c>
      <c r="R1393" s="133">
        <v>0.990543735224586</v>
      </c>
      <c r="S1393" s="133">
        <v>0.987417832802355</v>
      </c>
      <c r="T1393" s="135">
        <v>0.9</v>
      </c>
      <c r="U1393" s="133">
        <v>0.961253091508656</v>
      </c>
      <c r="V1393" s="133">
        <v>0.964532871972318</v>
      </c>
      <c r="W1393" s="133">
        <v>0.959022852639874</v>
      </c>
      <c r="X1393" s="133">
        <v>0.965439367665443</v>
      </c>
      <c r="Y1393" s="135">
        <v>0.92</v>
      </c>
      <c r="Z1393" s="135">
        <v>0.962848297213622</v>
      </c>
      <c r="AA1393" s="135">
        <v>0.978844589096827</v>
      </c>
      <c r="AB1393" s="135">
        <v>0.975334018499486</v>
      </c>
      <c r="AC1393" s="135">
        <v>0.977873024377176</v>
      </c>
      <c r="AD1393" s="135">
        <v>0.92</v>
      </c>
      <c r="AE1393" s="133">
        <v>0.85513078470825</v>
      </c>
      <c r="AF1393" s="133">
        <v>0.980392156862745</v>
      </c>
      <c r="AG1393" s="133">
        <v>0.990990990990991</v>
      </c>
      <c r="AH1393" s="133">
        <v>0.988688582537999</v>
      </c>
      <c r="AI1393" s="135">
        <v>0.92</v>
      </c>
      <c r="AJ1393" s="133">
        <v>0.977407208176439</v>
      </c>
      <c r="AK1393" s="133">
        <v>0.984073763621123</v>
      </c>
      <c r="AL1393" s="133">
        <v>0.985727029438002</v>
      </c>
      <c r="AM1393" s="133">
        <v>0.986219430832586</v>
      </c>
      <c r="AN1393" s="132">
        <v>0.99</v>
      </c>
      <c r="AO1393" s="137">
        <v>1</v>
      </c>
      <c r="AP1393" s="137">
        <v>1</v>
      </c>
      <c r="AQ1393" s="137">
        <v>1</v>
      </c>
      <c r="AR1393" s="137">
        <v>1</v>
      </c>
      <c r="AS1393" s="158">
        <v>0.0721861525408278</v>
      </c>
      <c r="AT1393" s="141">
        <v>0.272727272727273</v>
      </c>
      <c r="AU1393" s="141">
        <v>0.0909090909090909</v>
      </c>
      <c r="AV1393" s="141">
        <v>0</v>
      </c>
      <c r="AW1393" s="141">
        <v>0.11304347826087</v>
      </c>
      <c r="AX1393" s="95"/>
      <c r="AY1393" s="93"/>
    </row>
    <row r="1394" ht="14.5" spans="1:51">
      <c r="A1394" s="91"/>
      <c r="B1394" s="95"/>
      <c r="C1394" s="152" t="s">
        <v>1085</v>
      </c>
      <c r="D1394" s="153" t="s">
        <v>25</v>
      </c>
      <c r="E1394" s="130" t="s">
        <v>1086</v>
      </c>
      <c r="F1394" s="195" t="s">
        <v>1424</v>
      </c>
      <c r="G1394" s="195" t="s">
        <v>1424</v>
      </c>
      <c r="H1394" s="195" t="s">
        <v>1424</v>
      </c>
      <c r="I1394" s="195" t="s">
        <v>1424</v>
      </c>
      <c r="J1394" s="132">
        <v>0.9</v>
      </c>
      <c r="K1394" s="133">
        <v>0.929824561403509</v>
      </c>
      <c r="L1394" s="133">
        <v>0.946428571428571</v>
      </c>
      <c r="M1394" s="134">
        <v>0.96551724137931</v>
      </c>
      <c r="N1394" s="133">
        <v>0.849355797819623</v>
      </c>
      <c r="O1394" s="135">
        <v>0.9</v>
      </c>
      <c r="P1394" s="133">
        <v>0.978223495702006</v>
      </c>
      <c r="Q1394" s="133">
        <v>0.98589125946318</v>
      </c>
      <c r="R1394" s="133">
        <v>0.98378865205644</v>
      </c>
      <c r="S1394" s="133">
        <v>0.978065646609719</v>
      </c>
      <c r="T1394" s="135">
        <v>0.9</v>
      </c>
      <c r="U1394" s="133">
        <v>0.955587392550143</v>
      </c>
      <c r="V1394" s="133">
        <v>0.968685478320716</v>
      </c>
      <c r="W1394" s="133">
        <v>0.967877514259982</v>
      </c>
      <c r="X1394" s="133">
        <v>0.962670922118965</v>
      </c>
      <c r="Y1394" s="135">
        <v>0.92</v>
      </c>
      <c r="Z1394" s="135">
        <v>0.962284482758621</v>
      </c>
      <c r="AA1394" s="135">
        <v>0.965306778027626</v>
      </c>
      <c r="AB1394" s="135">
        <v>0.974020442930153</v>
      </c>
      <c r="AC1394" s="135">
        <v>0.971296792877829</v>
      </c>
      <c r="AD1394" s="135">
        <v>0.92</v>
      </c>
      <c r="AE1394" s="133">
        <v>0.978813559322034</v>
      </c>
      <c r="AF1394" s="133">
        <v>0.939008042895442</v>
      </c>
      <c r="AG1394" s="133">
        <v>0.991812865497076</v>
      </c>
      <c r="AH1394" s="133">
        <v>0.981594110115237</v>
      </c>
      <c r="AI1394" s="135">
        <v>0.92</v>
      </c>
      <c r="AJ1394" s="133">
        <v>0.975869809203143</v>
      </c>
      <c r="AK1394" s="133">
        <v>0.974912776208673</v>
      </c>
      <c r="AL1394" s="133">
        <v>0.984856488818454</v>
      </c>
      <c r="AM1394" s="133">
        <v>0.982821164614675</v>
      </c>
      <c r="AN1394" s="132">
        <v>0.99</v>
      </c>
      <c r="AO1394" s="137">
        <v>1</v>
      </c>
      <c r="AP1394" s="137">
        <v>1</v>
      </c>
      <c r="AQ1394" s="137">
        <v>1</v>
      </c>
      <c r="AR1394" s="137">
        <v>1</v>
      </c>
      <c r="AS1394" s="158">
        <v>0.0721861525408278</v>
      </c>
      <c r="AT1394" s="141">
        <v>0.04</v>
      </c>
      <c r="AU1394" s="141">
        <v>0</v>
      </c>
      <c r="AV1394" s="141">
        <v>0</v>
      </c>
      <c r="AW1394" s="141">
        <v>0.0377358490566038</v>
      </c>
      <c r="AX1394" s="95"/>
      <c r="AY1394" s="93"/>
    </row>
    <row r="1395" ht="14.5" spans="1:51">
      <c r="A1395" s="91"/>
      <c r="B1395" s="95"/>
      <c r="C1395" s="152" t="s">
        <v>1085</v>
      </c>
      <c r="D1395" s="153" t="s">
        <v>25</v>
      </c>
      <c r="E1395" s="130" t="s">
        <v>1086</v>
      </c>
      <c r="F1395" s="195" t="s">
        <v>1425</v>
      </c>
      <c r="G1395" s="195" t="s">
        <v>1425</v>
      </c>
      <c r="H1395" s="195" t="s">
        <v>1425</v>
      </c>
      <c r="I1395" s="195" t="s">
        <v>1425</v>
      </c>
      <c r="J1395" s="132">
        <v>0.9</v>
      </c>
      <c r="K1395" s="133">
        <v>0.815789473684211</v>
      </c>
      <c r="L1395" s="133">
        <v>0.861111111111111</v>
      </c>
      <c r="M1395" s="134">
        <v>0.842105263157895</v>
      </c>
      <c r="N1395" s="133">
        <v>0.86066763425254</v>
      </c>
      <c r="O1395" s="135">
        <v>0.9</v>
      </c>
      <c r="P1395" s="133">
        <v>0.990723562152134</v>
      </c>
      <c r="Q1395" s="133">
        <v>0.989343802579921</v>
      </c>
      <c r="R1395" s="133">
        <v>0.994801512287335</v>
      </c>
      <c r="S1395" s="133">
        <v>0.987831653572468</v>
      </c>
      <c r="T1395" s="135">
        <v>0.9</v>
      </c>
      <c r="U1395" s="133">
        <v>0.969387755102041</v>
      </c>
      <c r="V1395" s="133">
        <v>0.962422882781828</v>
      </c>
      <c r="W1395" s="133">
        <v>0.984404536862004</v>
      </c>
      <c r="X1395" s="133">
        <v>0.98074226913208</v>
      </c>
      <c r="Y1395" s="135">
        <v>0.92</v>
      </c>
      <c r="Z1395" s="135">
        <v>0.972222222222222</v>
      </c>
      <c r="AA1395" s="135">
        <v>0.954935622317597</v>
      </c>
      <c r="AB1395" s="135">
        <v>0.982014388489209</v>
      </c>
      <c r="AC1395" s="135">
        <v>0.977845854970673</v>
      </c>
      <c r="AD1395" s="135">
        <v>0.92</v>
      </c>
      <c r="AE1395" s="133">
        <v>0.998529411764706</v>
      </c>
      <c r="AF1395" s="133">
        <v>1</v>
      </c>
      <c r="AG1395" s="133">
        <v>0.99906191369606</v>
      </c>
      <c r="AH1395" s="133">
        <v>0.985272099049813</v>
      </c>
      <c r="AI1395" s="135">
        <v>0.92</v>
      </c>
      <c r="AJ1395" s="133">
        <v>0.975278121137206</v>
      </c>
      <c r="AK1395" s="133">
        <v>0.966273649574993</v>
      </c>
      <c r="AL1395" s="133">
        <v>0.987735310895608</v>
      </c>
      <c r="AM1395" s="133">
        <v>0.986062501935764</v>
      </c>
      <c r="AN1395" s="132">
        <v>0.99</v>
      </c>
      <c r="AO1395" s="137">
        <v>1</v>
      </c>
      <c r="AP1395" s="137">
        <v>1</v>
      </c>
      <c r="AQ1395" s="137">
        <v>1</v>
      </c>
      <c r="AR1395" s="137">
        <v>1</v>
      </c>
      <c r="AS1395" s="158">
        <v>0.0721861525408278</v>
      </c>
      <c r="AT1395" s="141">
        <v>0.0344827586206897</v>
      </c>
      <c r="AU1395" s="141">
        <v>0.0384615384615385</v>
      </c>
      <c r="AV1395" s="141">
        <v>0.0285714285714286</v>
      </c>
      <c r="AW1395" s="141">
        <v>0.0249376558603491</v>
      </c>
      <c r="AX1395" s="95"/>
      <c r="AY1395" s="93"/>
    </row>
    <row r="1396" ht="14.5" spans="1:51">
      <c r="A1396" s="91"/>
      <c r="B1396" s="95"/>
      <c r="C1396" s="152" t="s">
        <v>1085</v>
      </c>
      <c r="D1396" s="153" t="s">
        <v>25</v>
      </c>
      <c r="E1396" s="130" t="s">
        <v>1086</v>
      </c>
      <c r="F1396" s="195" t="s">
        <v>1426</v>
      </c>
      <c r="G1396" s="195" t="s">
        <v>1426</v>
      </c>
      <c r="H1396" s="195" t="s">
        <v>1426</v>
      </c>
      <c r="I1396" s="195" t="s">
        <v>1426</v>
      </c>
      <c r="J1396" s="132">
        <v>0.9</v>
      </c>
      <c r="K1396" s="133">
        <v>0.948717948717949</v>
      </c>
      <c r="L1396" s="133">
        <v>0.891891891891892</v>
      </c>
      <c r="M1396" s="134">
        <v>0.9</v>
      </c>
      <c r="N1396" s="133">
        <v>0.955089820359281</v>
      </c>
      <c r="O1396" s="135">
        <v>0.9</v>
      </c>
      <c r="P1396" s="133">
        <v>0.987381703470032</v>
      </c>
      <c r="Q1396" s="133">
        <v>0.942586399108138</v>
      </c>
      <c r="R1396" s="133">
        <v>0.96865037194474</v>
      </c>
      <c r="S1396" s="133">
        <v>0.971557613698082</v>
      </c>
      <c r="T1396" s="135">
        <v>0.9</v>
      </c>
      <c r="U1396" s="133">
        <v>0.93322818086225</v>
      </c>
      <c r="V1396" s="133">
        <v>0.923634336677815</v>
      </c>
      <c r="W1396" s="133">
        <v>0.931455897980871</v>
      </c>
      <c r="X1396" s="133">
        <v>0.939999428293743</v>
      </c>
      <c r="Y1396" s="135">
        <v>0.92</v>
      </c>
      <c r="Z1396" s="135">
        <v>0.933333333333333</v>
      </c>
      <c r="AA1396" s="135">
        <v>0.925869120654397</v>
      </c>
      <c r="AB1396" s="135">
        <v>0.93878954607978</v>
      </c>
      <c r="AC1396" s="135">
        <v>0.952934914841849</v>
      </c>
      <c r="AD1396" s="135">
        <v>0.92</v>
      </c>
      <c r="AE1396" s="133">
        <v>0.994186046511628</v>
      </c>
      <c r="AF1396" s="133">
        <v>1</v>
      </c>
      <c r="AG1396" s="133">
        <v>0.997849462365591</v>
      </c>
      <c r="AH1396" s="133">
        <v>0.999200319872051</v>
      </c>
      <c r="AI1396" s="135">
        <v>0.92</v>
      </c>
      <c r="AJ1396" s="133">
        <v>0.951145552560647</v>
      </c>
      <c r="AK1396" s="133">
        <v>0.947733333333333</v>
      </c>
      <c r="AL1396" s="133">
        <v>0.960431654676259</v>
      </c>
      <c r="AM1396" s="133">
        <v>0.970565680627845</v>
      </c>
      <c r="AN1396" s="132">
        <v>0.99</v>
      </c>
      <c r="AO1396" s="137">
        <v>1</v>
      </c>
      <c r="AP1396" s="137">
        <v>1</v>
      </c>
      <c r="AQ1396" s="137">
        <v>1</v>
      </c>
      <c r="AR1396" s="137">
        <v>1</v>
      </c>
      <c r="AS1396" s="158">
        <v>0.0721861525408278</v>
      </c>
      <c r="AT1396" s="141">
        <v>0</v>
      </c>
      <c r="AU1396" s="141">
        <v>0</v>
      </c>
      <c r="AV1396" s="141">
        <v>0.0526315789473684</v>
      </c>
      <c r="AW1396" s="141">
        <v>0.0321100917431193</v>
      </c>
      <c r="AX1396" s="95"/>
      <c r="AY1396" s="93"/>
    </row>
    <row r="1397" ht="14.5" spans="1:51">
      <c r="A1397" s="91"/>
      <c r="B1397" s="95"/>
      <c r="C1397" s="152" t="s">
        <v>1085</v>
      </c>
      <c r="D1397" s="153" t="s">
        <v>25</v>
      </c>
      <c r="E1397" s="130" t="s">
        <v>1086</v>
      </c>
      <c r="F1397" s="195" t="s">
        <v>1427</v>
      </c>
      <c r="G1397" s="195" t="s">
        <v>1427</v>
      </c>
      <c r="H1397" s="195" t="s">
        <v>1427</v>
      </c>
      <c r="I1397" s="195" t="s">
        <v>1427</v>
      </c>
      <c r="J1397" s="132">
        <v>0.9</v>
      </c>
      <c r="K1397" s="133">
        <v>0.964285714285714</v>
      </c>
      <c r="L1397" s="133">
        <v>0.959183673469388</v>
      </c>
      <c r="M1397" s="134">
        <v>0.943396226415094</v>
      </c>
      <c r="N1397" s="133">
        <v>0.945615982241953</v>
      </c>
      <c r="O1397" s="135">
        <v>0.9</v>
      </c>
      <c r="P1397" s="133">
        <v>0.980985150307859</v>
      </c>
      <c r="Q1397" s="133">
        <v>0.98116169544741</v>
      </c>
      <c r="R1397" s="133">
        <v>0.980833333333333</v>
      </c>
      <c r="S1397" s="133">
        <v>0.976198536192466</v>
      </c>
      <c r="T1397" s="135">
        <v>0.9</v>
      </c>
      <c r="U1397" s="133">
        <v>0.791742122419413</v>
      </c>
      <c r="V1397" s="133">
        <v>0.835389100695223</v>
      </c>
      <c r="W1397" s="133">
        <v>0.828958333333333</v>
      </c>
      <c r="X1397" s="133">
        <v>0.814210839646538</v>
      </c>
      <c r="Y1397" s="135">
        <v>0.92</v>
      </c>
      <c r="Z1397" s="135" t="s">
        <v>35</v>
      </c>
      <c r="AA1397" s="135" t="s">
        <v>35</v>
      </c>
      <c r="AB1397" s="135">
        <v>0</v>
      </c>
      <c r="AC1397" s="135">
        <v>0.5</v>
      </c>
      <c r="AD1397" s="135">
        <v>0.92</v>
      </c>
      <c r="AE1397" s="133">
        <v>0.994932432432432</v>
      </c>
      <c r="AF1397" s="133">
        <v>0.997398543184183</v>
      </c>
      <c r="AG1397" s="133">
        <v>0.998576512455516</v>
      </c>
      <c r="AH1397" s="133">
        <v>0.99806333242729</v>
      </c>
      <c r="AI1397" s="135">
        <v>0.92</v>
      </c>
      <c r="AJ1397" s="133">
        <v>0.955632017385005</v>
      </c>
      <c r="AK1397" s="133">
        <v>0.955146893922404</v>
      </c>
      <c r="AL1397" s="133">
        <v>0.971880858154551</v>
      </c>
      <c r="AM1397" s="133">
        <v>0.964864770220266</v>
      </c>
      <c r="AN1397" s="132">
        <v>0.99</v>
      </c>
      <c r="AO1397" s="137">
        <v>1</v>
      </c>
      <c r="AP1397" s="137">
        <v>1</v>
      </c>
      <c r="AQ1397" s="137">
        <v>1</v>
      </c>
      <c r="AR1397" s="137">
        <v>1</v>
      </c>
      <c r="AS1397" s="158">
        <v>0.0721861525408278</v>
      </c>
      <c r="AT1397" s="141">
        <v>0.0454545454545455</v>
      </c>
      <c r="AU1397" s="141">
        <v>0.0555555555555556</v>
      </c>
      <c r="AV1397" s="141">
        <v>0</v>
      </c>
      <c r="AW1397" s="141">
        <v>0.0334728033472803</v>
      </c>
      <c r="AX1397" s="95"/>
      <c r="AY1397" s="93"/>
    </row>
    <row r="1398" ht="14.5" spans="1:51">
      <c r="A1398" s="91"/>
      <c r="B1398" s="95"/>
      <c r="C1398" s="152" t="s">
        <v>1085</v>
      </c>
      <c r="D1398" s="153" t="s">
        <v>25</v>
      </c>
      <c r="E1398" s="130" t="s">
        <v>1086</v>
      </c>
      <c r="F1398" s="195" t="s">
        <v>1428</v>
      </c>
      <c r="G1398" s="195" t="s">
        <v>1428</v>
      </c>
      <c r="H1398" s="195" t="s">
        <v>1428</v>
      </c>
      <c r="I1398" s="195" t="s">
        <v>1428</v>
      </c>
      <c r="J1398" s="132">
        <v>0.9</v>
      </c>
      <c r="K1398" s="133">
        <v>0.948717948717949</v>
      </c>
      <c r="L1398" s="133">
        <v>0.871794871794872</v>
      </c>
      <c r="M1398" s="134">
        <v>0.945945945945946</v>
      </c>
      <c r="N1398" s="133">
        <v>0.939349112426035</v>
      </c>
      <c r="O1398" s="135">
        <v>0.9</v>
      </c>
      <c r="P1398" s="133">
        <v>0.994300745287155</v>
      </c>
      <c r="Q1398" s="133">
        <v>0.991361788617886</v>
      </c>
      <c r="R1398" s="133">
        <v>0.988505747126437</v>
      </c>
      <c r="S1398" s="133">
        <v>0.986516320474777</v>
      </c>
      <c r="T1398" s="135">
        <v>0.9</v>
      </c>
      <c r="U1398" s="133">
        <v>0.957474791758001</v>
      </c>
      <c r="V1398" s="133">
        <v>0.963414634146341</v>
      </c>
      <c r="W1398" s="133">
        <v>0.964597701149425</v>
      </c>
      <c r="X1398" s="133">
        <v>0.965270029673591</v>
      </c>
      <c r="Y1398" s="135">
        <v>0.92</v>
      </c>
      <c r="Z1398" s="135">
        <v>0.964609053497942</v>
      </c>
      <c r="AA1398" s="135">
        <v>0.965417867435158</v>
      </c>
      <c r="AB1398" s="135">
        <v>0.970841616964877</v>
      </c>
      <c r="AC1398" s="135">
        <v>0.970298693008097</v>
      </c>
      <c r="AD1398" s="135">
        <v>0.92</v>
      </c>
      <c r="AE1398" s="133">
        <v>0.997278911564626</v>
      </c>
      <c r="AF1398" s="133">
        <v>0.996354799513973</v>
      </c>
      <c r="AG1398" s="133">
        <v>0.998037676609105</v>
      </c>
      <c r="AH1398" s="133">
        <v>0.987294239897976</v>
      </c>
      <c r="AI1398" s="135">
        <v>0.92</v>
      </c>
      <c r="AJ1398" s="133">
        <v>0.973398169336384</v>
      </c>
      <c r="AK1398" s="133">
        <v>0.973333333333333</v>
      </c>
      <c r="AL1398" s="133">
        <v>0.979098805646037</v>
      </c>
      <c r="AM1398" s="133">
        <v>0.981916817359855</v>
      </c>
      <c r="AN1398" s="132">
        <v>0.99</v>
      </c>
      <c r="AO1398" s="137">
        <v>1</v>
      </c>
      <c r="AP1398" s="137">
        <v>1</v>
      </c>
      <c r="AQ1398" s="137">
        <v>1</v>
      </c>
      <c r="AR1398" s="137">
        <v>1</v>
      </c>
      <c r="AS1398" s="158">
        <v>0.0721861525408278</v>
      </c>
      <c r="AT1398" s="141">
        <v>0</v>
      </c>
      <c r="AU1398" s="141">
        <v>0</v>
      </c>
      <c r="AV1398" s="141">
        <v>0</v>
      </c>
      <c r="AW1398" s="141">
        <v>0.0146341463414634</v>
      </c>
      <c r="AX1398" s="95"/>
      <c r="AY1398" s="93"/>
    </row>
    <row r="1399" ht="14.5" spans="1:51">
      <c r="A1399" s="91"/>
      <c r="B1399" s="95"/>
      <c r="C1399" s="152" t="s">
        <v>1085</v>
      </c>
      <c r="D1399" s="153" t="s">
        <v>25</v>
      </c>
      <c r="E1399" s="130" t="s">
        <v>1086</v>
      </c>
      <c r="F1399" s="195" t="s">
        <v>1429</v>
      </c>
      <c r="G1399" s="195" t="s">
        <v>1429</v>
      </c>
      <c r="H1399" s="195" t="s">
        <v>1429</v>
      </c>
      <c r="I1399" s="195" t="s">
        <v>1429</v>
      </c>
      <c r="J1399" s="132">
        <v>0.9</v>
      </c>
      <c r="K1399" s="133">
        <v>0.968253968253968</v>
      </c>
      <c r="L1399" s="133">
        <v>0.925373134328358</v>
      </c>
      <c r="M1399" s="134">
        <v>0.971014492753623</v>
      </c>
      <c r="N1399" s="133">
        <v>0.960304054054054</v>
      </c>
      <c r="O1399" s="135">
        <v>0.9</v>
      </c>
      <c r="P1399" s="133">
        <v>0.967012252591894</v>
      </c>
      <c r="Q1399" s="133">
        <v>0.973495306460519</v>
      </c>
      <c r="R1399" s="133">
        <v>0.975528078310149</v>
      </c>
      <c r="S1399" s="133">
        <v>0.969723569079864</v>
      </c>
      <c r="T1399" s="135">
        <v>0.9</v>
      </c>
      <c r="U1399" s="133">
        <v>0.952167766258247</v>
      </c>
      <c r="V1399" s="133">
        <v>0.953616786305908</v>
      </c>
      <c r="W1399" s="133">
        <v>0.95414734672849</v>
      </c>
      <c r="X1399" s="133">
        <v>0.950175555927102</v>
      </c>
      <c r="Y1399" s="135">
        <v>0.92</v>
      </c>
      <c r="Z1399" s="135">
        <v>0.94140625</v>
      </c>
      <c r="AA1399" s="135">
        <v>0.927388535031847</v>
      </c>
      <c r="AB1399" s="135">
        <v>0.956668923493568</v>
      </c>
      <c r="AC1399" s="135">
        <v>0.946257900416217</v>
      </c>
      <c r="AD1399" s="135">
        <v>0.92</v>
      </c>
      <c r="AE1399" s="133">
        <v>0.995850622406639</v>
      </c>
      <c r="AF1399" s="133">
        <v>0.993555316863588</v>
      </c>
      <c r="AG1399" s="133">
        <v>0.994425863991081</v>
      </c>
      <c r="AH1399" s="133">
        <v>0.971897435897436</v>
      </c>
      <c r="AI1399" s="135">
        <v>0.92</v>
      </c>
      <c r="AJ1399" s="133">
        <v>0.96411117898595</v>
      </c>
      <c r="AK1399" s="133">
        <v>0.949118855174241</v>
      </c>
      <c r="AL1399" s="133">
        <v>0.972937390286717</v>
      </c>
      <c r="AM1399" s="133">
        <v>0.96849884377173</v>
      </c>
      <c r="AN1399" s="132">
        <v>0.99</v>
      </c>
      <c r="AO1399" s="137">
        <v>1</v>
      </c>
      <c r="AP1399" s="137">
        <v>1</v>
      </c>
      <c r="AQ1399" s="137">
        <v>1</v>
      </c>
      <c r="AR1399" s="137">
        <v>1</v>
      </c>
      <c r="AS1399" s="158">
        <v>0.0721861525408278</v>
      </c>
      <c r="AT1399" s="141">
        <v>0.0204081632653061</v>
      </c>
      <c r="AU1399" s="141">
        <v>0</v>
      </c>
      <c r="AV1399" s="141">
        <v>0.037037037037037</v>
      </c>
      <c r="AW1399" s="141">
        <v>0.0421348314606742</v>
      </c>
      <c r="AX1399" s="95"/>
      <c r="AY1399" s="93"/>
    </row>
    <row r="1400" ht="14.5" spans="1:51">
      <c r="A1400" s="91"/>
      <c r="B1400" s="95"/>
      <c r="C1400" s="152" t="s">
        <v>1085</v>
      </c>
      <c r="D1400" s="153" t="s">
        <v>25</v>
      </c>
      <c r="E1400" s="130" t="s">
        <v>1086</v>
      </c>
      <c r="F1400" s="195" t="s">
        <v>1430</v>
      </c>
      <c r="G1400" s="195" t="s">
        <v>1430</v>
      </c>
      <c r="H1400" s="195" t="s">
        <v>1430</v>
      </c>
      <c r="I1400" s="195" t="s">
        <v>1430</v>
      </c>
      <c r="J1400" s="132">
        <v>0.9</v>
      </c>
      <c r="K1400" s="133">
        <v>0.823529411764706</v>
      </c>
      <c r="L1400" s="133">
        <v>1</v>
      </c>
      <c r="M1400" s="134">
        <v>0.833333333333333</v>
      </c>
      <c r="N1400" s="133">
        <v>0.864583333333333</v>
      </c>
      <c r="O1400" s="135">
        <v>0.9</v>
      </c>
      <c r="P1400" s="133">
        <v>0.964912280701754</v>
      </c>
      <c r="Q1400" s="133">
        <v>0.98747591522158</v>
      </c>
      <c r="R1400" s="133">
        <v>0.975553857906799</v>
      </c>
      <c r="S1400" s="133">
        <v>0.96155830753354</v>
      </c>
      <c r="T1400" s="135">
        <v>0.9</v>
      </c>
      <c r="U1400" s="133">
        <v>0.630116959064328</v>
      </c>
      <c r="V1400" s="133">
        <v>0.690751445086705</v>
      </c>
      <c r="W1400" s="133">
        <v>0.744079449961803</v>
      </c>
      <c r="X1400" s="133">
        <v>0.689422084623323</v>
      </c>
      <c r="Y1400" s="135">
        <v>0.92</v>
      </c>
      <c r="Z1400" s="135">
        <v>0</v>
      </c>
      <c r="AA1400" s="135">
        <v>0</v>
      </c>
      <c r="AB1400" s="135" t="s">
        <v>35</v>
      </c>
      <c r="AC1400" s="135">
        <v>0</v>
      </c>
      <c r="AD1400" s="135">
        <v>0.92</v>
      </c>
      <c r="AE1400" s="133">
        <v>1</v>
      </c>
      <c r="AF1400" s="133">
        <v>1</v>
      </c>
      <c r="AG1400" s="133">
        <v>0.4</v>
      </c>
      <c r="AH1400" s="133">
        <v>0.807407407407407</v>
      </c>
      <c r="AI1400" s="135">
        <v>0.92</v>
      </c>
      <c r="AJ1400" s="133">
        <v>0.871439006574142</v>
      </c>
      <c r="AK1400" s="133">
        <v>0.839268527430221</v>
      </c>
      <c r="AL1400" s="133">
        <v>0.899159663865546</v>
      </c>
      <c r="AM1400" s="133">
        <v>0.881184543156374</v>
      </c>
      <c r="AN1400" s="132">
        <v>0.99</v>
      </c>
      <c r="AO1400" s="137">
        <v>1</v>
      </c>
      <c r="AP1400" s="137">
        <v>1</v>
      </c>
      <c r="AQ1400" s="137">
        <v>1</v>
      </c>
      <c r="AR1400" s="137">
        <v>1</v>
      </c>
      <c r="AS1400" s="158">
        <v>0.0721861525408278</v>
      </c>
      <c r="AT1400" s="141">
        <v>0.125</v>
      </c>
      <c r="AU1400" s="141">
        <v>0</v>
      </c>
      <c r="AV1400" s="141">
        <v>0</v>
      </c>
      <c r="AW1400" s="141">
        <v>0.0442477876106195</v>
      </c>
      <c r="AX1400" s="95"/>
      <c r="AY1400" s="93"/>
    </row>
    <row r="1401" ht="14.5" spans="1:51">
      <c r="A1401" s="91"/>
      <c r="B1401" s="95"/>
      <c r="C1401" s="152" t="s">
        <v>1085</v>
      </c>
      <c r="D1401" s="153" t="s">
        <v>25</v>
      </c>
      <c r="E1401" s="130" t="s">
        <v>1086</v>
      </c>
      <c r="F1401" s="195" t="s">
        <v>1431</v>
      </c>
      <c r="G1401" s="195" t="s">
        <v>1431</v>
      </c>
      <c r="H1401" s="195" t="s">
        <v>1431</v>
      </c>
      <c r="I1401" s="195" t="s">
        <v>1431</v>
      </c>
      <c r="J1401" s="132">
        <v>0.9</v>
      </c>
      <c r="K1401" s="133">
        <v>0.941176470588235</v>
      </c>
      <c r="L1401" s="133">
        <v>0.942857142857143</v>
      </c>
      <c r="M1401" s="134">
        <v>0.945945945945946</v>
      </c>
      <c r="N1401" s="133">
        <v>0.94770206022187</v>
      </c>
      <c r="O1401" s="135">
        <v>0.9</v>
      </c>
      <c r="P1401" s="133">
        <v>0.991505427088249</v>
      </c>
      <c r="Q1401" s="133">
        <v>0.992481203007519</v>
      </c>
      <c r="R1401" s="133">
        <v>0.986860628812764</v>
      </c>
      <c r="S1401" s="133">
        <v>0.978771465975306</v>
      </c>
      <c r="T1401" s="135">
        <v>0.9</v>
      </c>
      <c r="U1401" s="133">
        <v>0.945257196790939</v>
      </c>
      <c r="V1401" s="133">
        <v>0.951995373048005</v>
      </c>
      <c r="W1401" s="133">
        <v>0.961051149694979</v>
      </c>
      <c r="X1401" s="133">
        <v>0.955181353800344</v>
      </c>
      <c r="Y1401" s="135">
        <v>0.92</v>
      </c>
      <c r="Z1401" s="135">
        <v>0.98280309544282</v>
      </c>
      <c r="AA1401" s="135">
        <v>0.959915611814346</v>
      </c>
      <c r="AB1401" s="135">
        <v>0.96875</v>
      </c>
      <c r="AC1401" s="135">
        <v>0.970624888730639</v>
      </c>
      <c r="AD1401" s="135">
        <v>0.92</v>
      </c>
      <c r="AE1401" s="133">
        <v>0.999235474006116</v>
      </c>
      <c r="AF1401" s="133">
        <v>0.99836867862969</v>
      </c>
      <c r="AG1401" s="133">
        <v>0.995334370139969</v>
      </c>
      <c r="AH1401" s="133">
        <v>0.994854861004454</v>
      </c>
      <c r="AI1401" s="135">
        <v>0.92</v>
      </c>
      <c r="AJ1401" s="133">
        <v>0.980499695307739</v>
      </c>
      <c r="AK1401" s="133">
        <v>0.969111969111969</v>
      </c>
      <c r="AL1401" s="133">
        <v>0.981303271927413</v>
      </c>
      <c r="AM1401" s="133">
        <v>0.980789308832742</v>
      </c>
      <c r="AN1401" s="132">
        <v>0.99</v>
      </c>
      <c r="AO1401" s="137">
        <v>1</v>
      </c>
      <c r="AP1401" s="137">
        <v>1</v>
      </c>
      <c r="AQ1401" s="137">
        <v>1</v>
      </c>
      <c r="AR1401" s="137">
        <v>1</v>
      </c>
      <c r="AS1401" s="158">
        <v>0.0721861525408278</v>
      </c>
      <c r="AT1401" s="141">
        <v>0</v>
      </c>
      <c r="AU1401" s="141">
        <v>0</v>
      </c>
      <c r="AV1401" s="141">
        <v>0</v>
      </c>
      <c r="AW1401" s="141">
        <v>-0.00623052959501558</v>
      </c>
      <c r="AX1401" s="95"/>
      <c r="AY1401" s="93"/>
    </row>
    <row r="1402" ht="14.5" spans="1:51">
      <c r="A1402" s="91"/>
      <c r="B1402" s="95"/>
      <c r="C1402" s="152" t="s">
        <v>1085</v>
      </c>
      <c r="D1402" s="153" t="s">
        <v>25</v>
      </c>
      <c r="E1402" s="130" t="s">
        <v>1086</v>
      </c>
      <c r="F1402" s="195" t="s">
        <v>1432</v>
      </c>
      <c r="G1402" s="195" t="s">
        <v>1432</v>
      </c>
      <c r="H1402" s="195" t="s">
        <v>1432</v>
      </c>
      <c r="I1402" s="195" t="s">
        <v>1432</v>
      </c>
      <c r="J1402" s="132">
        <v>0.9</v>
      </c>
      <c r="K1402" s="133">
        <v>0.894736842105263</v>
      </c>
      <c r="L1402" s="133">
        <v>0.947368421052632</v>
      </c>
      <c r="M1402" s="134">
        <v>0.95</v>
      </c>
      <c r="N1402" s="133">
        <v>0.938775510204082</v>
      </c>
      <c r="O1402" s="135">
        <v>0.9</v>
      </c>
      <c r="P1402" s="133">
        <v>0.961930057547587</v>
      </c>
      <c r="Q1402" s="133">
        <v>0.986322188449848</v>
      </c>
      <c r="R1402" s="133">
        <v>0.991635687732342</v>
      </c>
      <c r="S1402" s="133">
        <v>0.987723359429864</v>
      </c>
      <c r="T1402" s="135">
        <v>0.9</v>
      </c>
      <c r="U1402" s="133">
        <v>0.930057547587428</v>
      </c>
      <c r="V1402" s="133">
        <v>0.939716312056738</v>
      </c>
      <c r="W1402" s="133">
        <v>0.939126394052045</v>
      </c>
      <c r="X1402" s="133">
        <v>0.94727807111088</v>
      </c>
      <c r="Y1402" s="135">
        <v>0.92</v>
      </c>
      <c r="Z1402" s="135">
        <v>0.937290969899666</v>
      </c>
      <c r="AA1402" s="135">
        <v>0.951266125179169</v>
      </c>
      <c r="AB1402" s="135">
        <v>0.956195244055069</v>
      </c>
      <c r="AC1402" s="135">
        <v>0.965243014875564</v>
      </c>
      <c r="AD1402" s="135">
        <v>0.92</v>
      </c>
      <c r="AE1402" s="133">
        <v>1</v>
      </c>
      <c r="AF1402" s="133">
        <v>0.996913580246914</v>
      </c>
      <c r="AG1402" s="133">
        <v>1</v>
      </c>
      <c r="AH1402" s="133">
        <v>0.999058299803099</v>
      </c>
      <c r="AI1402" s="135">
        <v>0.92</v>
      </c>
      <c r="AJ1402" s="133">
        <v>0.949638205499276</v>
      </c>
      <c r="AK1402" s="133">
        <v>0.959429554954512</v>
      </c>
      <c r="AL1402" s="133">
        <v>0.969333333333333</v>
      </c>
      <c r="AM1402" s="133">
        <v>0.975800882697331</v>
      </c>
      <c r="AN1402" s="132">
        <v>0.99</v>
      </c>
      <c r="AO1402" s="137">
        <v>1</v>
      </c>
      <c r="AP1402" s="137">
        <v>1</v>
      </c>
      <c r="AQ1402" s="137">
        <v>1</v>
      </c>
      <c r="AR1402" s="137">
        <v>1</v>
      </c>
      <c r="AS1402" s="158">
        <v>0.0721861525408278</v>
      </c>
      <c r="AT1402" s="141">
        <v>0</v>
      </c>
      <c r="AU1402" s="141">
        <v>0</v>
      </c>
      <c r="AV1402" s="141">
        <v>0.2</v>
      </c>
      <c r="AW1402" s="141">
        <v>0.0346820809248555</v>
      </c>
      <c r="AX1402" s="95"/>
      <c r="AY1402" s="93"/>
    </row>
    <row r="1403" ht="14.5" spans="1:51">
      <c r="A1403" s="91"/>
      <c r="B1403" s="95"/>
      <c r="C1403" s="152" t="s">
        <v>1085</v>
      </c>
      <c r="D1403" s="153" t="s">
        <v>25</v>
      </c>
      <c r="E1403" s="130" t="s">
        <v>1086</v>
      </c>
      <c r="F1403" s="195" t="s">
        <v>1433</v>
      </c>
      <c r="G1403" s="195" t="s">
        <v>1433</v>
      </c>
      <c r="H1403" s="195" t="s">
        <v>1433</v>
      </c>
      <c r="I1403" s="195" t="s">
        <v>1433</v>
      </c>
      <c r="J1403" s="132">
        <v>0.9</v>
      </c>
      <c r="K1403" s="133">
        <v>1</v>
      </c>
      <c r="L1403" s="133">
        <v>1</v>
      </c>
      <c r="M1403" s="134">
        <v>1</v>
      </c>
      <c r="N1403" s="133">
        <v>0.99250936329588</v>
      </c>
      <c r="O1403" s="135">
        <v>0.9</v>
      </c>
      <c r="P1403" s="133">
        <v>0.987900786448881</v>
      </c>
      <c r="Q1403" s="133">
        <v>0.987373044194345</v>
      </c>
      <c r="R1403" s="133">
        <v>0.989626556016598</v>
      </c>
      <c r="S1403" s="133">
        <v>0.984492881597497</v>
      </c>
      <c r="T1403" s="135">
        <v>0.9</v>
      </c>
      <c r="U1403" s="133">
        <v>0.963399879007865</v>
      </c>
      <c r="V1403" s="133">
        <v>0.951962668130662</v>
      </c>
      <c r="W1403" s="133">
        <v>0.963544754001186</v>
      </c>
      <c r="X1403" s="133">
        <v>0.952905454601788</v>
      </c>
      <c r="Y1403" s="135">
        <v>0.92</v>
      </c>
      <c r="Z1403" s="135">
        <v>0.955390334572491</v>
      </c>
      <c r="AA1403" s="135">
        <v>0.964285714285714</v>
      </c>
      <c r="AB1403" s="135">
        <v>0.939809926082365</v>
      </c>
      <c r="AC1403" s="135">
        <v>0.963787553648069</v>
      </c>
      <c r="AD1403" s="135">
        <v>0.92</v>
      </c>
      <c r="AE1403" s="133">
        <v>0.999810641923878</v>
      </c>
      <c r="AF1403" s="133">
        <v>1</v>
      </c>
      <c r="AG1403" s="133">
        <v>0.999653018736988</v>
      </c>
      <c r="AH1403" s="133">
        <v>0.995024674051325</v>
      </c>
      <c r="AI1403" s="135">
        <v>0.92</v>
      </c>
      <c r="AJ1403" s="133">
        <v>0.984391259105099</v>
      </c>
      <c r="AK1403" s="133">
        <v>0.978940367989359</v>
      </c>
      <c r="AL1403" s="133">
        <v>0.977782920620227</v>
      </c>
      <c r="AM1403" s="133">
        <v>0.985239155876024</v>
      </c>
      <c r="AN1403" s="132">
        <v>0.99</v>
      </c>
      <c r="AO1403" s="137">
        <v>1</v>
      </c>
      <c r="AP1403" s="137">
        <v>1</v>
      </c>
      <c r="AQ1403" s="137">
        <v>1</v>
      </c>
      <c r="AR1403" s="137">
        <v>1</v>
      </c>
      <c r="AS1403" s="158">
        <v>0.0721861525408278</v>
      </c>
      <c r="AT1403" s="141">
        <v>0.0555555555555556</v>
      </c>
      <c r="AU1403" s="141">
        <v>0.0526315789473684</v>
      </c>
      <c r="AV1403" s="141">
        <v>0</v>
      </c>
      <c r="AW1403" s="141">
        <v>0.0172413793103448</v>
      </c>
      <c r="AX1403" s="95"/>
      <c r="AY1403" s="93"/>
    </row>
    <row r="1404" ht="14.5" spans="1:51">
      <c r="A1404" s="91"/>
      <c r="B1404" s="95"/>
      <c r="C1404" s="152" t="s">
        <v>1085</v>
      </c>
      <c r="D1404" s="153" t="s">
        <v>25</v>
      </c>
      <c r="E1404" s="130" t="s">
        <v>1086</v>
      </c>
      <c r="F1404" s="195" t="s">
        <v>1434</v>
      </c>
      <c r="G1404" s="195" t="s">
        <v>1434</v>
      </c>
      <c r="H1404" s="195" t="s">
        <v>1434</v>
      </c>
      <c r="I1404" s="195" t="s">
        <v>1434</v>
      </c>
      <c r="J1404" s="132">
        <v>0.9</v>
      </c>
      <c r="K1404" s="133">
        <v>1</v>
      </c>
      <c r="L1404" s="133">
        <v>1</v>
      </c>
      <c r="M1404" s="134">
        <v>0.971428571428571</v>
      </c>
      <c r="N1404" s="133">
        <v>0.995033112582781</v>
      </c>
      <c r="O1404" s="135">
        <v>0.9</v>
      </c>
      <c r="P1404" s="133">
        <v>0.991046182846371</v>
      </c>
      <c r="Q1404" s="133">
        <v>0.988602785985648</v>
      </c>
      <c r="R1404" s="133">
        <v>0.994639175257732</v>
      </c>
      <c r="S1404" s="133">
        <v>0.992422222222222</v>
      </c>
      <c r="T1404" s="135">
        <v>0.9</v>
      </c>
      <c r="U1404" s="133">
        <v>0.960885956644675</v>
      </c>
      <c r="V1404" s="133">
        <v>0.949345715491769</v>
      </c>
      <c r="W1404" s="133">
        <v>0.951340206185567</v>
      </c>
      <c r="X1404" s="133">
        <v>0.9598</v>
      </c>
      <c r="Y1404" s="135">
        <v>0.92</v>
      </c>
      <c r="Z1404" s="135">
        <v>0.978978978978979</v>
      </c>
      <c r="AA1404" s="135">
        <v>0.97158081705151</v>
      </c>
      <c r="AB1404" s="135">
        <v>0.988467874794069</v>
      </c>
      <c r="AC1404" s="135">
        <v>0.984228086138914</v>
      </c>
      <c r="AD1404" s="135">
        <v>0.92</v>
      </c>
      <c r="AE1404" s="133">
        <v>1</v>
      </c>
      <c r="AF1404" s="133">
        <v>1</v>
      </c>
      <c r="AG1404" s="133">
        <v>1</v>
      </c>
      <c r="AH1404" s="133">
        <v>0.999431289987423</v>
      </c>
      <c r="AI1404" s="135">
        <v>0.92</v>
      </c>
      <c r="AJ1404" s="133">
        <v>0.986558044806517</v>
      </c>
      <c r="AK1404" s="133">
        <v>0.978854024556617</v>
      </c>
      <c r="AL1404" s="133">
        <v>0.989775725593668</v>
      </c>
      <c r="AM1404" s="133">
        <v>0.990381462454913</v>
      </c>
      <c r="AN1404" s="132">
        <v>0.99</v>
      </c>
      <c r="AO1404" s="137">
        <v>1</v>
      </c>
      <c r="AP1404" s="137">
        <v>1</v>
      </c>
      <c r="AQ1404" s="137">
        <v>1</v>
      </c>
      <c r="AR1404" s="137">
        <v>1</v>
      </c>
      <c r="AS1404" s="158">
        <v>0.0721861525408278</v>
      </c>
      <c r="AT1404" s="141">
        <v>0.0909090909090909</v>
      </c>
      <c r="AU1404" s="141">
        <v>0.0555555555555556</v>
      </c>
      <c r="AV1404" s="141">
        <v>0</v>
      </c>
      <c r="AW1404" s="141">
        <v>0.0181818181818182</v>
      </c>
      <c r="AX1404" s="95"/>
      <c r="AY1404" s="93"/>
    </row>
    <row r="1405" ht="14.5" spans="1:51">
      <c r="A1405" s="91"/>
      <c r="B1405" s="95"/>
      <c r="C1405" s="152" t="s">
        <v>1085</v>
      </c>
      <c r="D1405" s="153" t="s">
        <v>25</v>
      </c>
      <c r="E1405" s="130" t="s">
        <v>1086</v>
      </c>
      <c r="F1405" s="195" t="s">
        <v>1435</v>
      </c>
      <c r="G1405" s="195" t="s">
        <v>1435</v>
      </c>
      <c r="H1405" s="195" t="s">
        <v>1435</v>
      </c>
      <c r="I1405" s="195" t="s">
        <v>1435</v>
      </c>
      <c r="J1405" s="132">
        <v>0.9</v>
      </c>
      <c r="K1405" s="133">
        <v>0.862068965517241</v>
      </c>
      <c r="L1405" s="133">
        <v>0.870967741935484</v>
      </c>
      <c r="M1405" s="134">
        <v>0.970588235294118</v>
      </c>
      <c r="N1405" s="133">
        <v>0.920826161790017</v>
      </c>
      <c r="O1405" s="135">
        <v>0.9</v>
      </c>
      <c r="P1405" s="133">
        <v>0.985930171964565</v>
      </c>
      <c r="Q1405" s="133">
        <v>0.968161434977578</v>
      </c>
      <c r="R1405" s="133">
        <v>0.987697715289982</v>
      </c>
      <c r="S1405" s="133">
        <v>0.90905834415439</v>
      </c>
      <c r="T1405" s="135">
        <v>0.9</v>
      </c>
      <c r="U1405" s="133">
        <v>0.933298593017196</v>
      </c>
      <c r="V1405" s="133">
        <v>0.914798206278027</v>
      </c>
      <c r="W1405" s="133">
        <v>0.945518453427065</v>
      </c>
      <c r="X1405" s="133">
        <v>0.912170330900461</v>
      </c>
      <c r="Y1405" s="135">
        <v>0.92</v>
      </c>
      <c r="Z1405" s="135">
        <v>0.82122905027933</v>
      </c>
      <c r="AA1405" s="135">
        <v>0.900523560209424</v>
      </c>
      <c r="AB1405" s="135">
        <v>0.921901528013582</v>
      </c>
      <c r="AC1405" s="135">
        <v>0.925768087215064</v>
      </c>
      <c r="AD1405" s="135">
        <v>0.92</v>
      </c>
      <c r="AE1405" s="133">
        <v>0.998807631160572</v>
      </c>
      <c r="AF1405" s="133">
        <v>0.998495335540175</v>
      </c>
      <c r="AG1405" s="133">
        <v>0.995222584147666</v>
      </c>
      <c r="AH1405" s="133">
        <v>0.99572626954934</v>
      </c>
      <c r="AI1405" s="135">
        <v>0.92</v>
      </c>
      <c r="AJ1405" s="133">
        <v>0.935880544576197</v>
      </c>
      <c r="AK1405" s="133">
        <v>0.947199429183018</v>
      </c>
      <c r="AL1405" s="133">
        <v>0.962303664921466</v>
      </c>
      <c r="AM1405" s="133">
        <v>0.963568298027757</v>
      </c>
      <c r="AN1405" s="132">
        <v>0.99</v>
      </c>
      <c r="AO1405" s="137">
        <v>1</v>
      </c>
      <c r="AP1405" s="137">
        <v>1</v>
      </c>
      <c r="AQ1405" s="137">
        <v>1</v>
      </c>
      <c r="AR1405" s="137">
        <v>1</v>
      </c>
      <c r="AS1405" s="158">
        <v>0.0721861525408278</v>
      </c>
      <c r="AT1405" s="141">
        <v>0.272727272727273</v>
      </c>
      <c r="AU1405" s="141">
        <v>0</v>
      </c>
      <c r="AV1405" s="141">
        <v>0</v>
      </c>
      <c r="AW1405" s="141">
        <v>0.0443548387096774</v>
      </c>
      <c r="AX1405" s="95"/>
      <c r="AY1405" s="93"/>
    </row>
    <row r="1406" ht="14.5" spans="1:51">
      <c r="A1406" s="91"/>
      <c r="B1406" s="95"/>
      <c r="C1406" s="152" t="s">
        <v>1085</v>
      </c>
      <c r="D1406" s="153" t="s">
        <v>25</v>
      </c>
      <c r="E1406" s="130" t="s">
        <v>1086</v>
      </c>
      <c r="F1406" s="195" t="s">
        <v>1436</v>
      </c>
      <c r="G1406" s="195" t="s">
        <v>1436</v>
      </c>
      <c r="H1406" s="195" t="s">
        <v>1436</v>
      </c>
      <c r="I1406" s="195" t="s">
        <v>1436</v>
      </c>
      <c r="J1406" s="132">
        <v>0.9</v>
      </c>
      <c r="K1406" s="133">
        <v>0.971428571428571</v>
      </c>
      <c r="L1406" s="133">
        <v>0.928571428571429</v>
      </c>
      <c r="M1406" s="134">
        <v>0.971428571428571</v>
      </c>
      <c r="N1406" s="133">
        <v>0.955342902711324</v>
      </c>
      <c r="O1406" s="135">
        <v>0.9</v>
      </c>
      <c r="P1406" s="133">
        <v>0.997927461139896</v>
      </c>
      <c r="Q1406" s="133">
        <v>0.965919701213819</v>
      </c>
      <c r="R1406" s="133">
        <v>1</v>
      </c>
      <c r="S1406" s="133">
        <v>0.981131581016274</v>
      </c>
      <c r="T1406" s="135">
        <v>0.9</v>
      </c>
      <c r="U1406" s="133">
        <v>0.966839378238342</v>
      </c>
      <c r="V1406" s="133">
        <v>0.936974789915966</v>
      </c>
      <c r="W1406" s="133">
        <v>0.967428293631502</v>
      </c>
      <c r="X1406" s="133">
        <v>0.948138053932231</v>
      </c>
      <c r="Y1406" s="135">
        <v>0.92</v>
      </c>
      <c r="Z1406" s="135">
        <v>0.962837837837838</v>
      </c>
      <c r="AA1406" s="135">
        <v>0.950884086444008</v>
      </c>
      <c r="AB1406" s="135">
        <v>0.939278937381404</v>
      </c>
      <c r="AC1406" s="135">
        <v>0.962097430531334</v>
      </c>
      <c r="AD1406" s="135">
        <v>0.92</v>
      </c>
      <c r="AE1406" s="133">
        <v>0.991545893719807</v>
      </c>
      <c r="AF1406" s="133">
        <v>0.996146435452794</v>
      </c>
      <c r="AG1406" s="133">
        <v>0.978845854720796</v>
      </c>
      <c r="AH1406" s="133">
        <v>0.869917010574605</v>
      </c>
      <c r="AI1406" s="135">
        <v>0.92</v>
      </c>
      <c r="AJ1406" s="133">
        <v>0.982479784366577</v>
      </c>
      <c r="AK1406" s="133">
        <v>0.978883861236802</v>
      </c>
      <c r="AL1406" s="133">
        <v>0.977941176470588</v>
      </c>
      <c r="AM1406" s="133">
        <v>0.985866102166057</v>
      </c>
      <c r="AN1406" s="132">
        <v>0.99</v>
      </c>
      <c r="AO1406" s="137">
        <v>1</v>
      </c>
      <c r="AP1406" s="137">
        <v>1</v>
      </c>
      <c r="AQ1406" s="137">
        <v>1</v>
      </c>
      <c r="AR1406" s="137">
        <v>1</v>
      </c>
      <c r="AS1406" s="158">
        <v>0.0721861525408278</v>
      </c>
      <c r="AT1406" s="141">
        <v>0</v>
      </c>
      <c r="AU1406" s="141">
        <v>0</v>
      </c>
      <c r="AV1406" s="141">
        <v>0</v>
      </c>
      <c r="AW1406" s="141">
        <v>0.0317460317460317</v>
      </c>
      <c r="AX1406" s="95"/>
      <c r="AY1406" s="93"/>
    </row>
    <row r="1407" ht="14.5" spans="1:51">
      <c r="A1407" s="91"/>
      <c r="B1407" s="95"/>
      <c r="C1407" s="152" t="s">
        <v>1085</v>
      </c>
      <c r="D1407" s="153" t="s">
        <v>25</v>
      </c>
      <c r="E1407" s="130" t="s">
        <v>1086</v>
      </c>
      <c r="F1407" s="195" t="s">
        <v>1437</v>
      </c>
      <c r="G1407" s="195" t="s">
        <v>1437</v>
      </c>
      <c r="H1407" s="195" t="s">
        <v>1437</v>
      </c>
      <c r="I1407" s="195" t="s">
        <v>1437</v>
      </c>
      <c r="J1407" s="132">
        <v>0.9</v>
      </c>
      <c r="K1407" s="133">
        <v>0.897058823529412</v>
      </c>
      <c r="L1407" s="133">
        <v>0.896103896103896</v>
      </c>
      <c r="M1407" s="134">
        <v>0.964705882352941</v>
      </c>
      <c r="N1407" s="133">
        <v>0.929032258064516</v>
      </c>
      <c r="O1407" s="135">
        <v>0.9</v>
      </c>
      <c r="P1407" s="133">
        <v>0.985501716901946</v>
      </c>
      <c r="Q1407" s="133">
        <v>0.951065891472868</v>
      </c>
      <c r="R1407" s="133">
        <v>0.9349331615397</v>
      </c>
      <c r="S1407" s="133">
        <v>0.949962632435046</v>
      </c>
      <c r="T1407" s="135">
        <v>0.9</v>
      </c>
      <c r="U1407" s="133">
        <v>0.911102632582984</v>
      </c>
      <c r="V1407" s="133">
        <v>0.919089147286822</v>
      </c>
      <c r="W1407" s="133">
        <v>0.939120631341601</v>
      </c>
      <c r="X1407" s="133">
        <v>0.924069108014244</v>
      </c>
      <c r="Y1407" s="135">
        <v>0.92</v>
      </c>
      <c r="Z1407" s="135">
        <v>0.902380952380952</v>
      </c>
      <c r="AA1407" s="135">
        <v>0.909476661951909</v>
      </c>
      <c r="AB1407" s="135">
        <v>0.95</v>
      </c>
      <c r="AC1407" s="135">
        <v>0.929990850869167</v>
      </c>
      <c r="AD1407" s="135">
        <v>0.92</v>
      </c>
      <c r="AE1407" s="133">
        <v>0.980449322586177</v>
      </c>
      <c r="AF1407" s="133">
        <v>0.696716750139121</v>
      </c>
      <c r="AG1407" s="133">
        <v>0.903890160183066</v>
      </c>
      <c r="AH1407" s="133">
        <v>0.902303350865788</v>
      </c>
      <c r="AI1407" s="135">
        <v>0.92</v>
      </c>
      <c r="AJ1407" s="133">
        <v>0.949358763564617</v>
      </c>
      <c r="AK1407" s="133">
        <v>0.957796476465948</v>
      </c>
      <c r="AL1407" s="133">
        <v>0.968288612145333</v>
      </c>
      <c r="AM1407" s="133">
        <v>0.967071450344881</v>
      </c>
      <c r="AN1407" s="132">
        <v>0.99</v>
      </c>
      <c r="AO1407" s="137">
        <v>1</v>
      </c>
      <c r="AP1407" s="137">
        <v>1</v>
      </c>
      <c r="AQ1407" s="137">
        <v>1</v>
      </c>
      <c r="AR1407" s="137">
        <v>1</v>
      </c>
      <c r="AS1407" s="158">
        <v>0.0721861525408278</v>
      </c>
      <c r="AT1407" s="141">
        <v>0</v>
      </c>
      <c r="AU1407" s="141">
        <v>0.028169014084507</v>
      </c>
      <c r="AV1407" s="141">
        <v>0.0307692307692308</v>
      </c>
      <c r="AW1407" s="141">
        <v>0.0327485380116959</v>
      </c>
      <c r="AX1407" s="95"/>
      <c r="AY1407" s="93"/>
    </row>
    <row r="1408" ht="14.5" spans="1:51">
      <c r="A1408" s="91"/>
      <c r="B1408" s="95"/>
      <c r="C1408" s="152" t="s">
        <v>1085</v>
      </c>
      <c r="D1408" s="153" t="s">
        <v>25</v>
      </c>
      <c r="E1408" s="130" t="s">
        <v>1086</v>
      </c>
      <c r="F1408" s="195" t="s">
        <v>1438</v>
      </c>
      <c r="G1408" s="195" t="s">
        <v>1438</v>
      </c>
      <c r="H1408" s="195" t="s">
        <v>1438</v>
      </c>
      <c r="I1408" s="195" t="s">
        <v>1438</v>
      </c>
      <c r="J1408" s="132">
        <v>0.9</v>
      </c>
      <c r="K1408" s="133">
        <v>1</v>
      </c>
      <c r="L1408" s="133">
        <v>1</v>
      </c>
      <c r="M1408" s="134">
        <v>1</v>
      </c>
      <c r="N1408" s="133">
        <v>0.997542997542998</v>
      </c>
      <c r="O1408" s="135">
        <v>0.9</v>
      </c>
      <c r="P1408" s="133">
        <v>0.980463096960926</v>
      </c>
      <c r="Q1408" s="133">
        <v>0.98478642480983</v>
      </c>
      <c r="R1408" s="133">
        <v>0.994955863808323</v>
      </c>
      <c r="S1408" s="133">
        <v>0.985871433482296</v>
      </c>
      <c r="T1408" s="135">
        <v>0.9</v>
      </c>
      <c r="U1408" s="133">
        <v>0.957308248914617</v>
      </c>
      <c r="V1408" s="133">
        <v>0.944997074312463</v>
      </c>
      <c r="W1408" s="133">
        <v>0.952711223203026</v>
      </c>
      <c r="X1408" s="133">
        <v>0.949467170849089</v>
      </c>
      <c r="Y1408" s="135">
        <v>0.92</v>
      </c>
      <c r="Z1408" s="135">
        <v>0.933035714285714</v>
      </c>
      <c r="AA1408" s="135">
        <v>0.945273631840796</v>
      </c>
      <c r="AB1408" s="135">
        <v>0.952261306532663</v>
      </c>
      <c r="AC1408" s="135">
        <v>0.953307941881789</v>
      </c>
      <c r="AD1408" s="135">
        <v>0.92</v>
      </c>
      <c r="AE1408" s="133">
        <v>0.991746905089409</v>
      </c>
      <c r="AF1408" s="133">
        <v>0.995420225275405</v>
      </c>
      <c r="AG1408" s="133">
        <v>0.999664991624791</v>
      </c>
      <c r="AH1408" s="133">
        <v>0.994859082287958</v>
      </c>
      <c r="AI1408" s="135">
        <v>0.92</v>
      </c>
      <c r="AJ1408" s="133">
        <v>0.971375233354076</v>
      </c>
      <c r="AK1408" s="133">
        <v>0.971577451444813</v>
      </c>
      <c r="AL1408" s="133">
        <v>0.983366935483871</v>
      </c>
      <c r="AM1408" s="133">
        <v>0.980101152474919</v>
      </c>
      <c r="AN1408" s="132">
        <v>0.99</v>
      </c>
      <c r="AO1408" s="137">
        <v>1</v>
      </c>
      <c r="AP1408" s="137">
        <v>1</v>
      </c>
      <c r="AQ1408" s="137">
        <v>1</v>
      </c>
      <c r="AR1408" s="137">
        <v>1</v>
      </c>
      <c r="AS1408" s="158">
        <v>0.0721861525408278</v>
      </c>
      <c r="AT1408" s="141">
        <v>0</v>
      </c>
      <c r="AU1408" s="141">
        <v>0.111111111111111</v>
      </c>
      <c r="AV1408" s="141">
        <v>0.142857142857143</v>
      </c>
      <c r="AW1408" s="141">
        <v>0.0211267605633803</v>
      </c>
      <c r="AX1408" s="95"/>
      <c r="AY1408" s="93"/>
    </row>
    <row r="1409" ht="14.5" spans="1:51">
      <c r="A1409" s="91"/>
      <c r="B1409" s="95"/>
      <c r="C1409" s="152" t="s">
        <v>1085</v>
      </c>
      <c r="D1409" s="153" t="s">
        <v>25</v>
      </c>
      <c r="E1409" s="130" t="s">
        <v>1086</v>
      </c>
      <c r="F1409" s="195" t="s">
        <v>1439</v>
      </c>
      <c r="G1409" s="195" t="s">
        <v>1439</v>
      </c>
      <c r="H1409" s="195" t="s">
        <v>1439</v>
      </c>
      <c r="I1409" s="195" t="s">
        <v>1439</v>
      </c>
      <c r="J1409" s="132">
        <v>0.9</v>
      </c>
      <c r="K1409" s="133">
        <v>0.964285714285714</v>
      </c>
      <c r="L1409" s="133">
        <v>1</v>
      </c>
      <c r="M1409" s="134">
        <v>0.983870967741935</v>
      </c>
      <c r="N1409" s="133">
        <v>0.980750721847931</v>
      </c>
      <c r="O1409" s="135">
        <v>0.9</v>
      </c>
      <c r="P1409" s="133">
        <v>0.983763837638376</v>
      </c>
      <c r="Q1409" s="133">
        <v>0.98467347845402</v>
      </c>
      <c r="R1409" s="133">
        <v>0.988199907450255</v>
      </c>
      <c r="S1409" s="133">
        <v>0.979522472248671</v>
      </c>
      <c r="T1409" s="135">
        <v>0.9</v>
      </c>
      <c r="U1409" s="133">
        <v>0.946617466174662</v>
      </c>
      <c r="V1409" s="133">
        <v>0.935362061306086</v>
      </c>
      <c r="W1409" s="133">
        <v>0.946321147616844</v>
      </c>
      <c r="X1409" s="133">
        <v>0.933457074328966</v>
      </c>
      <c r="Y1409" s="135">
        <v>0.92</v>
      </c>
      <c r="Z1409" s="135">
        <v>0.932655654383736</v>
      </c>
      <c r="AA1409" s="135">
        <v>0.942558746736292</v>
      </c>
      <c r="AB1409" s="135">
        <v>0.946165191740413</v>
      </c>
      <c r="AC1409" s="135">
        <v>0.941913439635535</v>
      </c>
      <c r="AD1409" s="135">
        <v>0.92</v>
      </c>
      <c r="AE1409" s="133">
        <v>0.973664959765911</v>
      </c>
      <c r="AF1409" s="133">
        <v>0.9972288202692</v>
      </c>
      <c r="AG1409" s="133">
        <v>0.998880716341541</v>
      </c>
      <c r="AH1409" s="133">
        <v>0.995491588662696</v>
      </c>
      <c r="AI1409" s="135">
        <v>0.92</v>
      </c>
      <c r="AJ1409" s="133">
        <v>0.966213432220849</v>
      </c>
      <c r="AK1409" s="133">
        <v>0.96514508138712</v>
      </c>
      <c r="AL1409" s="133">
        <v>0.967776016904385</v>
      </c>
      <c r="AM1409" s="133">
        <v>0.974538158838467</v>
      </c>
      <c r="AN1409" s="132">
        <v>0.99</v>
      </c>
      <c r="AO1409" s="137">
        <v>1</v>
      </c>
      <c r="AP1409" s="137">
        <v>1</v>
      </c>
      <c r="AQ1409" s="137">
        <v>1</v>
      </c>
      <c r="AR1409" s="137">
        <v>1</v>
      </c>
      <c r="AS1409" s="158">
        <v>0.0721861525408278</v>
      </c>
      <c r="AT1409" s="141">
        <v>0.0303030303030303</v>
      </c>
      <c r="AU1409" s="141">
        <v>0.0263157894736842</v>
      </c>
      <c r="AV1409" s="141">
        <v>0.0196078431372549</v>
      </c>
      <c r="AW1409" s="141">
        <v>0.030664395229983</v>
      </c>
      <c r="AX1409" s="95"/>
      <c r="AY1409" s="93"/>
    </row>
    <row r="1410" ht="14.5" spans="1:51">
      <c r="A1410" s="91"/>
      <c r="B1410" s="95"/>
      <c r="C1410" s="152" t="s">
        <v>1085</v>
      </c>
      <c r="D1410" s="153" t="s">
        <v>25</v>
      </c>
      <c r="E1410" s="130" t="s">
        <v>1086</v>
      </c>
      <c r="F1410" s="195" t="s">
        <v>1440</v>
      </c>
      <c r="G1410" s="195" t="s">
        <v>1440</v>
      </c>
      <c r="H1410" s="195" t="s">
        <v>1440</v>
      </c>
      <c r="I1410" s="195" t="s">
        <v>1440</v>
      </c>
      <c r="J1410" s="132">
        <v>0.9</v>
      </c>
      <c r="K1410" s="133">
        <v>0.942028985507246</v>
      </c>
      <c r="L1410" s="133">
        <v>0.845070422535211</v>
      </c>
      <c r="M1410" s="134">
        <v>0.9375</v>
      </c>
      <c r="N1410" s="133">
        <v>0.882092851879145</v>
      </c>
      <c r="O1410" s="135">
        <v>0.9</v>
      </c>
      <c r="P1410" s="133">
        <v>0.960400081649316</v>
      </c>
      <c r="Q1410" s="133">
        <v>0.946194449174187</v>
      </c>
      <c r="R1410" s="133">
        <v>0.957380457380457</v>
      </c>
      <c r="S1410" s="133">
        <v>0.943706211416261</v>
      </c>
      <c r="T1410" s="135">
        <v>0.9</v>
      </c>
      <c r="U1410" s="133">
        <v>0.91141049193713</v>
      </c>
      <c r="V1410" s="133">
        <v>0.915205176230206</v>
      </c>
      <c r="W1410" s="133">
        <v>0.951316701316701</v>
      </c>
      <c r="X1410" s="133">
        <v>0.92915075040281</v>
      </c>
      <c r="Y1410" s="135">
        <v>0.92</v>
      </c>
      <c r="Z1410" s="135">
        <v>0.877906976744186</v>
      </c>
      <c r="AA1410" s="135">
        <v>0.887305699481865</v>
      </c>
      <c r="AB1410" s="135">
        <v>0.909993792675357</v>
      </c>
      <c r="AC1410" s="135">
        <v>0.915648262409936</v>
      </c>
      <c r="AD1410" s="135">
        <v>0.92</v>
      </c>
      <c r="AE1410" s="133">
        <v>0.99728576967817</v>
      </c>
      <c r="AF1410" s="133">
        <v>0.998901551558424</v>
      </c>
      <c r="AG1410" s="133">
        <v>0.998889026046167</v>
      </c>
      <c r="AH1410" s="133">
        <v>0.991850802035689</v>
      </c>
      <c r="AI1410" s="135">
        <v>0.92</v>
      </c>
      <c r="AJ1410" s="133">
        <v>0.935231811078312</v>
      </c>
      <c r="AK1410" s="133">
        <v>0.938924093299178</v>
      </c>
      <c r="AL1410" s="133">
        <v>0.963294053907626</v>
      </c>
      <c r="AM1410" s="133">
        <v>0.964084751137562</v>
      </c>
      <c r="AN1410" s="132">
        <v>0.99</v>
      </c>
      <c r="AO1410" s="137">
        <v>1</v>
      </c>
      <c r="AP1410" s="137">
        <v>1</v>
      </c>
      <c r="AQ1410" s="137">
        <v>1</v>
      </c>
      <c r="AR1410" s="137">
        <v>1</v>
      </c>
      <c r="AS1410" s="158">
        <v>0.0721861525408278</v>
      </c>
      <c r="AT1410" s="141">
        <v>0.0138888888888889</v>
      </c>
      <c r="AU1410" s="141">
        <v>0.0151515151515152</v>
      </c>
      <c r="AV1410" s="141">
        <v>0</v>
      </c>
      <c r="AW1410" s="141">
        <v>0.0375275938189845</v>
      </c>
      <c r="AX1410" s="95"/>
      <c r="AY1410" s="93"/>
    </row>
    <row r="1411" ht="14.5" spans="1:51">
      <c r="A1411" s="91"/>
      <c r="B1411" s="95"/>
      <c r="C1411" s="152" t="s">
        <v>1085</v>
      </c>
      <c r="D1411" s="153" t="s">
        <v>25</v>
      </c>
      <c r="E1411" s="130" t="s">
        <v>1086</v>
      </c>
      <c r="F1411" s="195" t="s">
        <v>1441</v>
      </c>
      <c r="G1411" s="195" t="s">
        <v>1441</v>
      </c>
      <c r="H1411" s="195" t="s">
        <v>1441</v>
      </c>
      <c r="I1411" s="195" t="s">
        <v>1441</v>
      </c>
      <c r="J1411" s="132">
        <v>0.9</v>
      </c>
      <c r="K1411" s="133">
        <v>0.967213114754098</v>
      </c>
      <c r="L1411" s="133">
        <v>0.918032786885246</v>
      </c>
      <c r="M1411" s="134">
        <v>0.907894736842105</v>
      </c>
      <c r="N1411" s="133">
        <v>0.942903752039152</v>
      </c>
      <c r="O1411" s="135">
        <v>0.9</v>
      </c>
      <c r="P1411" s="133">
        <v>0.959679167569911</v>
      </c>
      <c r="Q1411" s="133">
        <v>0.951536210680322</v>
      </c>
      <c r="R1411" s="133">
        <v>0.955190853770975</v>
      </c>
      <c r="S1411" s="133">
        <v>0.945840863576418</v>
      </c>
      <c r="T1411" s="135">
        <v>0.9</v>
      </c>
      <c r="U1411" s="133">
        <v>0.904617385649252</v>
      </c>
      <c r="V1411" s="133">
        <v>0.895574250182882</v>
      </c>
      <c r="W1411" s="133">
        <v>0.936935275677669</v>
      </c>
      <c r="X1411" s="133">
        <v>0.927778049137889</v>
      </c>
      <c r="Y1411" s="135">
        <v>0.92</v>
      </c>
      <c r="Z1411" s="135">
        <v>0.802702702702703</v>
      </c>
      <c r="AA1411" s="135">
        <v>0.828571428571429</v>
      </c>
      <c r="AB1411" s="135">
        <v>0.88112927191679</v>
      </c>
      <c r="AC1411" s="135">
        <v>0.904471989838378</v>
      </c>
      <c r="AD1411" s="135">
        <v>0.92</v>
      </c>
      <c r="AE1411" s="133">
        <v>0.883632089332942</v>
      </c>
      <c r="AF1411" s="133">
        <v>0.993598536808413</v>
      </c>
      <c r="AG1411" s="133">
        <v>0.993851259027913</v>
      </c>
      <c r="AH1411" s="133">
        <v>0.980382738832571</v>
      </c>
      <c r="AI1411" s="135">
        <v>0.92</v>
      </c>
      <c r="AJ1411" s="133">
        <v>0.922689075630252</v>
      </c>
      <c r="AK1411" s="133">
        <v>0.913217031342401</v>
      </c>
      <c r="AL1411" s="133">
        <v>0.955693398316349</v>
      </c>
      <c r="AM1411" s="133">
        <v>0.96136307370405</v>
      </c>
      <c r="AN1411" s="132">
        <v>0.99</v>
      </c>
      <c r="AO1411" s="137">
        <v>1</v>
      </c>
      <c r="AP1411" s="137">
        <v>1</v>
      </c>
      <c r="AQ1411" s="137">
        <v>1</v>
      </c>
      <c r="AR1411" s="137">
        <v>1</v>
      </c>
      <c r="AS1411" s="158">
        <v>0.0721861525408278</v>
      </c>
      <c r="AT1411" s="141">
        <v>0.0238095238095238</v>
      </c>
      <c r="AU1411" s="141">
        <v>0.0131578947368421</v>
      </c>
      <c r="AV1411" s="141">
        <v>0.0126582278481013</v>
      </c>
      <c r="AW1411" s="141">
        <v>0.0295109612141653</v>
      </c>
      <c r="AX1411" s="95"/>
      <c r="AY1411" s="93"/>
    </row>
    <row r="1412" ht="14.5" spans="1:51">
      <c r="A1412" s="91"/>
      <c r="B1412" s="95"/>
      <c r="C1412" s="152" t="s">
        <v>1085</v>
      </c>
      <c r="D1412" s="153" t="s">
        <v>25</v>
      </c>
      <c r="E1412" s="130" t="s">
        <v>1086</v>
      </c>
      <c r="F1412" s="195" t="s">
        <v>1442</v>
      </c>
      <c r="G1412" s="195" t="s">
        <v>1442</v>
      </c>
      <c r="H1412" s="195" t="s">
        <v>1442</v>
      </c>
      <c r="I1412" s="195" t="s">
        <v>1442</v>
      </c>
      <c r="J1412" s="132">
        <v>0.9</v>
      </c>
      <c r="K1412" s="133">
        <v>0.936507936507937</v>
      </c>
      <c r="L1412" s="133">
        <v>0.907692307692308</v>
      </c>
      <c r="M1412" s="134">
        <v>0.915492957746479</v>
      </c>
      <c r="N1412" s="133">
        <v>0.920894239036973</v>
      </c>
      <c r="O1412" s="135">
        <v>0.9</v>
      </c>
      <c r="P1412" s="133">
        <v>0.956051703877791</v>
      </c>
      <c r="Q1412" s="133">
        <v>0.954204829308909</v>
      </c>
      <c r="R1412" s="133">
        <v>0.968815403934701</v>
      </c>
      <c r="S1412" s="133">
        <v>0.939708624203269</v>
      </c>
      <c r="T1412" s="135">
        <v>0.9</v>
      </c>
      <c r="U1412" s="133">
        <v>0.901292596944771</v>
      </c>
      <c r="V1412" s="133">
        <v>0.930474604496253</v>
      </c>
      <c r="W1412" s="133">
        <v>0.948723315194642</v>
      </c>
      <c r="X1412" s="133">
        <v>0.914798595152409</v>
      </c>
      <c r="Y1412" s="135">
        <v>0.92</v>
      </c>
      <c r="Z1412" s="135">
        <v>0.897510980966325</v>
      </c>
      <c r="AA1412" s="135">
        <v>0.924193548387097</v>
      </c>
      <c r="AB1412" s="135">
        <v>0.936369725385131</v>
      </c>
      <c r="AC1412" s="135">
        <v>0.927372262773723</v>
      </c>
      <c r="AD1412" s="135">
        <v>0.92</v>
      </c>
      <c r="AE1412" s="133">
        <v>0.991574854180169</v>
      </c>
      <c r="AF1412" s="133">
        <v>0.99726430976431</v>
      </c>
      <c r="AG1412" s="133">
        <v>0.998993761320185</v>
      </c>
      <c r="AH1412" s="133">
        <v>0.995459210211857</v>
      </c>
      <c r="AI1412" s="135">
        <v>0.92</v>
      </c>
      <c r="AJ1412" s="133">
        <v>0.944916970433374</v>
      </c>
      <c r="AK1412" s="133">
        <v>0.958808933002481</v>
      </c>
      <c r="AL1412" s="133">
        <v>0.971615372348908</v>
      </c>
      <c r="AM1412" s="133">
        <v>0.968084081453908</v>
      </c>
      <c r="AN1412" s="132">
        <v>0.99</v>
      </c>
      <c r="AO1412" s="137">
        <v>1</v>
      </c>
      <c r="AP1412" s="137">
        <v>1</v>
      </c>
      <c r="AQ1412" s="137">
        <v>1</v>
      </c>
      <c r="AR1412" s="137">
        <v>1</v>
      </c>
      <c r="AS1412" s="158">
        <v>0.0721861525408278</v>
      </c>
      <c r="AT1412" s="141">
        <v>0.0465116279069767</v>
      </c>
      <c r="AU1412" s="141">
        <v>0</v>
      </c>
      <c r="AV1412" s="141">
        <v>0.0256410256410256</v>
      </c>
      <c r="AW1412" s="141">
        <v>0.0259562841530055</v>
      </c>
      <c r="AX1412" s="95"/>
      <c r="AY1412" s="93"/>
    </row>
    <row r="1413" ht="14.5" spans="1:51">
      <c r="A1413" s="91"/>
      <c r="B1413" s="95"/>
      <c r="C1413" s="152" t="s">
        <v>1085</v>
      </c>
      <c r="D1413" s="153" t="s">
        <v>25</v>
      </c>
      <c r="E1413" s="130" t="s">
        <v>1086</v>
      </c>
      <c r="F1413" s="195" t="s">
        <v>1443</v>
      </c>
      <c r="G1413" s="195" t="s">
        <v>1443</v>
      </c>
      <c r="H1413" s="195" t="s">
        <v>1443</v>
      </c>
      <c r="I1413" s="195" t="s">
        <v>1443</v>
      </c>
      <c r="J1413" s="132">
        <v>0.9</v>
      </c>
      <c r="K1413" s="133">
        <v>0.947368421052632</v>
      </c>
      <c r="L1413" s="133">
        <v>0.857142857142857</v>
      </c>
      <c r="M1413" s="134">
        <v>0.92</v>
      </c>
      <c r="N1413" s="133">
        <v>0.935233160621762</v>
      </c>
      <c r="O1413" s="135">
        <v>0.9</v>
      </c>
      <c r="P1413" s="133">
        <v>0.982869379014989</v>
      </c>
      <c r="Q1413" s="133">
        <v>0.978859705317104</v>
      </c>
      <c r="R1413" s="133">
        <v>0.988142292490119</v>
      </c>
      <c r="S1413" s="133">
        <v>0.98223184520741</v>
      </c>
      <c r="T1413" s="135">
        <v>0.9</v>
      </c>
      <c r="U1413" s="133">
        <v>0.915060670949322</v>
      </c>
      <c r="V1413" s="133">
        <v>0.937860345932095</v>
      </c>
      <c r="W1413" s="133">
        <v>0.958498023715415</v>
      </c>
      <c r="X1413" s="133">
        <v>0.941574732790322</v>
      </c>
      <c r="Y1413" s="135">
        <v>0.92</v>
      </c>
      <c r="Z1413" s="135">
        <v>0.957746478873239</v>
      </c>
      <c r="AA1413" s="135">
        <v>0.955752212389381</v>
      </c>
      <c r="AB1413" s="135">
        <v>0.976253298153034</v>
      </c>
      <c r="AC1413" s="135">
        <v>0.954517133956386</v>
      </c>
      <c r="AD1413" s="135">
        <v>0.92</v>
      </c>
      <c r="AE1413" s="133">
        <v>1</v>
      </c>
      <c r="AF1413" s="133">
        <v>1</v>
      </c>
      <c r="AG1413" s="133">
        <v>0.999460625674218</v>
      </c>
      <c r="AH1413" s="133">
        <v>0.999421562122527</v>
      </c>
      <c r="AI1413" s="135">
        <v>0.92</v>
      </c>
      <c r="AJ1413" s="133">
        <v>0.951053283767038</v>
      </c>
      <c r="AK1413" s="133">
        <v>0.963157894736842</v>
      </c>
      <c r="AL1413" s="133">
        <v>0.990516332982086</v>
      </c>
      <c r="AM1413" s="133">
        <v>0.977507530332461</v>
      </c>
      <c r="AN1413" s="132">
        <v>0.99</v>
      </c>
      <c r="AO1413" s="137">
        <v>1</v>
      </c>
      <c r="AP1413" s="137">
        <v>1</v>
      </c>
      <c r="AQ1413" s="137">
        <v>1</v>
      </c>
      <c r="AR1413" s="137">
        <v>1</v>
      </c>
      <c r="AS1413" s="158">
        <v>0.0721861525408278</v>
      </c>
      <c r="AT1413" s="141">
        <v>0</v>
      </c>
      <c r="AU1413" s="141">
        <v>0.125</v>
      </c>
      <c r="AV1413" s="141">
        <v>0</v>
      </c>
      <c r="AW1413" s="141">
        <v>0.0427350427350427</v>
      </c>
      <c r="AX1413" s="95"/>
      <c r="AY1413" s="93"/>
    </row>
    <row r="1414" ht="14.5" spans="1:51">
      <c r="A1414" s="91"/>
      <c r="B1414" s="95"/>
      <c r="C1414" s="152" t="s">
        <v>1085</v>
      </c>
      <c r="D1414" s="153" t="s">
        <v>25</v>
      </c>
      <c r="E1414" s="130" t="s">
        <v>1086</v>
      </c>
      <c r="F1414" s="195" t="s">
        <v>1444</v>
      </c>
      <c r="G1414" s="195" t="s">
        <v>1444</v>
      </c>
      <c r="H1414" s="195" t="s">
        <v>1444</v>
      </c>
      <c r="I1414" s="195" t="s">
        <v>1444</v>
      </c>
      <c r="J1414" s="132">
        <v>0.9</v>
      </c>
      <c r="K1414" s="133">
        <v>0.92</v>
      </c>
      <c r="L1414" s="133">
        <v>0.96</v>
      </c>
      <c r="M1414" s="134">
        <v>0.96551724137931</v>
      </c>
      <c r="N1414" s="133">
        <v>0.985507246376812</v>
      </c>
      <c r="O1414" s="135">
        <v>0.9</v>
      </c>
      <c r="P1414" s="133">
        <v>0.989623865110246</v>
      </c>
      <c r="Q1414" s="133">
        <v>0.993162393162393</v>
      </c>
      <c r="R1414" s="133">
        <v>0.99030233884769</v>
      </c>
      <c r="S1414" s="133">
        <v>0.991344136162276</v>
      </c>
      <c r="T1414" s="135">
        <v>0.9</v>
      </c>
      <c r="U1414" s="133">
        <v>0.933852140077821</v>
      </c>
      <c r="V1414" s="133">
        <v>0.953276353276353</v>
      </c>
      <c r="W1414" s="133">
        <v>0.956645750142613</v>
      </c>
      <c r="X1414" s="133">
        <v>0.94564583819072</v>
      </c>
      <c r="Y1414" s="135">
        <v>0.92</v>
      </c>
      <c r="Z1414" s="135">
        <v>0.941176470588235</v>
      </c>
      <c r="AA1414" s="135">
        <v>0.965357967667437</v>
      </c>
      <c r="AB1414" s="135">
        <v>0.956967213114754</v>
      </c>
      <c r="AC1414" s="135">
        <v>0.972755013077594</v>
      </c>
      <c r="AD1414" s="135">
        <v>0.92</v>
      </c>
      <c r="AE1414" s="133">
        <v>1</v>
      </c>
      <c r="AF1414" s="133">
        <v>1</v>
      </c>
      <c r="AG1414" s="133">
        <v>0.999001996007984</v>
      </c>
      <c r="AH1414" s="133">
        <v>0.999946811339822</v>
      </c>
      <c r="AI1414" s="135">
        <v>0.92</v>
      </c>
      <c r="AJ1414" s="133">
        <v>0.973595505617977</v>
      </c>
      <c r="AK1414" s="133">
        <v>0.981718464351006</v>
      </c>
      <c r="AL1414" s="133">
        <v>0.979919678714859</v>
      </c>
      <c r="AM1414" s="133">
        <v>0.983721144118459</v>
      </c>
      <c r="AN1414" s="132">
        <v>0.99</v>
      </c>
      <c r="AO1414" s="137">
        <v>1</v>
      </c>
      <c r="AP1414" s="137">
        <v>1</v>
      </c>
      <c r="AQ1414" s="137">
        <v>1</v>
      </c>
      <c r="AR1414" s="137">
        <v>1</v>
      </c>
      <c r="AS1414" s="158">
        <v>0.0721861525408278</v>
      </c>
      <c r="AT1414" s="141">
        <v>0</v>
      </c>
      <c r="AU1414" s="141">
        <v>0.0625</v>
      </c>
      <c r="AV1414" s="141">
        <v>0.0666666666666667</v>
      </c>
      <c r="AW1414" s="141">
        <v>0.0299145299145299</v>
      </c>
      <c r="AX1414" s="95"/>
      <c r="AY1414" s="93"/>
    </row>
    <row r="1415" ht="14.5" spans="1:51">
      <c r="A1415" s="91"/>
      <c r="B1415" s="95"/>
      <c r="C1415" s="152" t="s">
        <v>1085</v>
      </c>
      <c r="D1415" s="153" t="s">
        <v>25</v>
      </c>
      <c r="E1415" s="130" t="s">
        <v>1086</v>
      </c>
      <c r="F1415" s="195" t="s">
        <v>1445</v>
      </c>
      <c r="G1415" s="195" t="s">
        <v>1445</v>
      </c>
      <c r="H1415" s="195" t="s">
        <v>1445</v>
      </c>
      <c r="I1415" s="195" t="s">
        <v>1445</v>
      </c>
      <c r="J1415" s="132">
        <v>0.9</v>
      </c>
      <c r="K1415" s="133">
        <v>1</v>
      </c>
      <c r="L1415" s="133">
        <v>0.902439024390244</v>
      </c>
      <c r="M1415" s="134">
        <v>0.930232558139535</v>
      </c>
      <c r="N1415" s="133">
        <v>0.925587467362924</v>
      </c>
      <c r="O1415" s="135">
        <v>0.9</v>
      </c>
      <c r="P1415" s="133">
        <v>0.972222222222222</v>
      </c>
      <c r="Q1415" s="133">
        <v>0.981159846923756</v>
      </c>
      <c r="R1415" s="133">
        <v>0.990396530359356</v>
      </c>
      <c r="S1415" s="133">
        <v>0.971579328029456</v>
      </c>
      <c r="T1415" s="135">
        <v>0.9</v>
      </c>
      <c r="U1415" s="133">
        <v>0.938888888888889</v>
      </c>
      <c r="V1415" s="133">
        <v>0.952016485133942</v>
      </c>
      <c r="W1415" s="133">
        <v>0.974287484510533</v>
      </c>
      <c r="X1415" s="133">
        <v>0.955897823657045</v>
      </c>
      <c r="Y1415" s="135">
        <v>0.92</v>
      </c>
      <c r="Z1415" s="135">
        <v>0.876923076923077</v>
      </c>
      <c r="AA1415" s="135">
        <v>0.927741935483871</v>
      </c>
      <c r="AB1415" s="135">
        <v>0.960765550239234</v>
      </c>
      <c r="AC1415" s="135">
        <v>0.931134940804562</v>
      </c>
      <c r="AD1415" s="135">
        <v>0.92</v>
      </c>
      <c r="AE1415" s="133">
        <v>0.99479843953186</v>
      </c>
      <c r="AF1415" s="133">
        <v>0.866302186878728</v>
      </c>
      <c r="AG1415" s="133">
        <v>0.992084726867336</v>
      </c>
      <c r="AH1415" s="133">
        <v>0.938245220026685</v>
      </c>
      <c r="AI1415" s="135">
        <v>0.92</v>
      </c>
      <c r="AJ1415" s="133">
        <v>0.945715962441315</v>
      </c>
      <c r="AK1415" s="133">
        <v>0.962476099426386</v>
      </c>
      <c r="AL1415" s="133">
        <v>0.98107034353821</v>
      </c>
      <c r="AM1415" s="133">
        <v>0.970527572027137</v>
      </c>
      <c r="AN1415" s="132">
        <v>0.99</v>
      </c>
      <c r="AO1415" s="137">
        <v>1</v>
      </c>
      <c r="AP1415" s="137">
        <v>1</v>
      </c>
      <c r="AQ1415" s="137">
        <v>1</v>
      </c>
      <c r="AR1415" s="137">
        <v>1</v>
      </c>
      <c r="AS1415" s="158">
        <v>0.0721861525408278</v>
      </c>
      <c r="AT1415" s="141">
        <v>0.0689655172413793</v>
      </c>
      <c r="AU1415" s="141">
        <v>0</v>
      </c>
      <c r="AV1415" s="141">
        <v>0</v>
      </c>
      <c r="AW1415" s="141">
        <v>0.0233644859813084</v>
      </c>
      <c r="AX1415" s="95"/>
      <c r="AY1415" s="93"/>
    </row>
    <row r="1416" ht="14.5" spans="1:51">
      <c r="A1416" s="91"/>
      <c r="B1416" s="95"/>
      <c r="C1416" s="152" t="s">
        <v>1085</v>
      </c>
      <c r="D1416" s="153" t="s">
        <v>125</v>
      </c>
      <c r="E1416" s="130" t="s">
        <v>1086</v>
      </c>
      <c r="F1416" s="195" t="s">
        <v>1446</v>
      </c>
      <c r="G1416" s="195" t="s">
        <v>1446</v>
      </c>
      <c r="H1416" s="195" t="s">
        <v>1446</v>
      </c>
      <c r="I1416" s="195" t="s">
        <v>1446</v>
      </c>
      <c r="J1416" s="132">
        <v>0.9</v>
      </c>
      <c r="K1416" s="133" t="s">
        <v>35</v>
      </c>
      <c r="L1416" s="133" t="s">
        <v>35</v>
      </c>
      <c r="M1416" s="134" t="s">
        <v>35</v>
      </c>
      <c r="N1416" s="133" t="s">
        <v>35</v>
      </c>
      <c r="O1416" s="135">
        <v>0.9</v>
      </c>
      <c r="P1416" s="133" t="s">
        <v>35</v>
      </c>
      <c r="Q1416" s="133" t="s">
        <v>35</v>
      </c>
      <c r="R1416" s="133" t="s">
        <v>35</v>
      </c>
      <c r="S1416" s="133" t="s">
        <v>35</v>
      </c>
      <c r="T1416" s="135">
        <v>0.9</v>
      </c>
      <c r="U1416" s="133" t="s">
        <v>35</v>
      </c>
      <c r="V1416" s="133" t="s">
        <v>35</v>
      </c>
      <c r="W1416" s="133" t="s">
        <v>35</v>
      </c>
      <c r="X1416" s="133" t="s">
        <v>35</v>
      </c>
      <c r="Y1416" s="135">
        <v>0.92</v>
      </c>
      <c r="Z1416" s="135" t="s">
        <v>35</v>
      </c>
      <c r="AA1416" s="135" t="s">
        <v>35</v>
      </c>
      <c r="AB1416" s="135" t="s">
        <v>35</v>
      </c>
      <c r="AC1416" s="135" t="s">
        <v>35</v>
      </c>
      <c r="AD1416" s="135">
        <v>0.92</v>
      </c>
      <c r="AE1416" s="133">
        <v>1</v>
      </c>
      <c r="AF1416" s="133">
        <v>1</v>
      </c>
      <c r="AG1416" s="133">
        <v>0.998949579831933</v>
      </c>
      <c r="AH1416" s="133">
        <v>0.99899990624121</v>
      </c>
      <c r="AI1416" s="135">
        <v>0.92</v>
      </c>
      <c r="AJ1416" s="133" t="s">
        <v>35</v>
      </c>
      <c r="AK1416" s="133" t="s">
        <v>35</v>
      </c>
      <c r="AL1416" s="133" t="s">
        <v>35</v>
      </c>
      <c r="AM1416" s="133" t="s">
        <v>35</v>
      </c>
      <c r="AN1416" s="132">
        <v>0.99</v>
      </c>
      <c r="AO1416" s="137">
        <v>1</v>
      </c>
      <c r="AP1416" s="137">
        <v>1</v>
      </c>
      <c r="AQ1416" s="137">
        <v>1</v>
      </c>
      <c r="AR1416" s="137">
        <v>1</v>
      </c>
      <c r="AS1416" s="158">
        <v>0.0721861525408278</v>
      </c>
      <c r="AT1416" s="141" t="s">
        <v>35</v>
      </c>
      <c r="AU1416" s="141" t="s">
        <v>35</v>
      </c>
      <c r="AV1416" s="141" t="s">
        <v>35</v>
      </c>
      <c r="AW1416" s="141" t="s">
        <v>35</v>
      </c>
      <c r="AX1416" s="95"/>
      <c r="AY1416" s="93"/>
    </row>
    <row r="1417" ht="14.5" spans="1:51">
      <c r="A1417" s="91"/>
      <c r="B1417" s="95"/>
      <c r="C1417" s="152" t="s">
        <v>1085</v>
      </c>
      <c r="D1417" s="153" t="s">
        <v>25</v>
      </c>
      <c r="E1417" s="130" t="s">
        <v>1086</v>
      </c>
      <c r="F1417" s="195" t="s">
        <v>1447</v>
      </c>
      <c r="G1417" s="195" t="s">
        <v>1447</v>
      </c>
      <c r="H1417" s="195" t="s">
        <v>1447</v>
      </c>
      <c r="I1417" s="195" t="s">
        <v>1447</v>
      </c>
      <c r="J1417" s="132">
        <v>0.9</v>
      </c>
      <c r="K1417" s="133">
        <v>0.839285714285714</v>
      </c>
      <c r="L1417" s="133">
        <v>0.844827586206897</v>
      </c>
      <c r="M1417" s="134">
        <v>0.888888888888889</v>
      </c>
      <c r="N1417" s="133">
        <v>0.869565217391304</v>
      </c>
      <c r="O1417" s="135">
        <v>0.9</v>
      </c>
      <c r="P1417" s="133">
        <v>0.981345769487009</v>
      </c>
      <c r="Q1417" s="133">
        <v>0.957794146924149</v>
      </c>
      <c r="R1417" s="133">
        <v>0.972095784682367</v>
      </c>
      <c r="S1417" s="133">
        <v>0.947394428987313</v>
      </c>
      <c r="T1417" s="135">
        <v>0.9</v>
      </c>
      <c r="U1417" s="133">
        <v>0.888518765267599</v>
      </c>
      <c r="V1417" s="133">
        <v>0.896078041011348</v>
      </c>
      <c r="W1417" s="133">
        <v>0.946170591727686</v>
      </c>
      <c r="X1417" s="133">
        <v>0.892908936609052</v>
      </c>
      <c r="Y1417" s="135">
        <v>0.92</v>
      </c>
      <c r="Z1417" s="135">
        <v>0.845986984815618</v>
      </c>
      <c r="AA1417" s="135">
        <v>0.902698282910875</v>
      </c>
      <c r="AB1417" s="135">
        <v>0.957553956834532</v>
      </c>
      <c r="AC1417" s="135">
        <v>0.931300021630976</v>
      </c>
      <c r="AD1417" s="135">
        <v>0.92</v>
      </c>
      <c r="AE1417" s="133">
        <v>0.996156387003784</v>
      </c>
      <c r="AF1417" s="133">
        <v>0.998160128197519</v>
      </c>
      <c r="AG1417" s="133">
        <v>0.995290762982805</v>
      </c>
      <c r="AH1417" s="133">
        <v>0.956003487024746</v>
      </c>
      <c r="AI1417" s="135">
        <v>0.92</v>
      </c>
      <c r="AJ1417" s="133">
        <v>0.927031509121061</v>
      </c>
      <c r="AK1417" s="133">
        <v>0.937590014402304</v>
      </c>
      <c r="AL1417" s="133">
        <v>0.975015518311608</v>
      </c>
      <c r="AM1417" s="133">
        <v>0.962454724561871</v>
      </c>
      <c r="AN1417" s="132">
        <v>0.99</v>
      </c>
      <c r="AO1417" s="137">
        <v>1</v>
      </c>
      <c r="AP1417" s="137">
        <v>1</v>
      </c>
      <c r="AQ1417" s="137">
        <v>1</v>
      </c>
      <c r="AR1417" s="137">
        <v>1</v>
      </c>
      <c r="AS1417" s="158">
        <v>0.0721861525408278</v>
      </c>
      <c r="AT1417" s="141">
        <v>0.0470588235294118</v>
      </c>
      <c r="AU1417" s="141">
        <v>0.130434782608696</v>
      </c>
      <c r="AV1417" s="141">
        <v>0</v>
      </c>
      <c r="AW1417" s="141">
        <v>0.041025641025641</v>
      </c>
      <c r="AX1417" s="95"/>
      <c r="AY1417" s="93"/>
    </row>
    <row r="1418" ht="14.5" spans="1:51">
      <c r="A1418" s="91"/>
      <c r="B1418" s="95"/>
      <c r="C1418" s="152" t="s">
        <v>1085</v>
      </c>
      <c r="D1418" s="153" t="s">
        <v>25</v>
      </c>
      <c r="E1418" s="130" t="s">
        <v>1086</v>
      </c>
      <c r="F1418" s="195" t="s">
        <v>1448</v>
      </c>
      <c r="G1418" s="195" t="s">
        <v>1448</v>
      </c>
      <c r="H1418" s="195" t="s">
        <v>1448</v>
      </c>
      <c r="I1418" s="195" t="s">
        <v>1448</v>
      </c>
      <c r="J1418" s="132">
        <v>0.9</v>
      </c>
      <c r="K1418" s="133">
        <v>0.976744186046512</v>
      </c>
      <c r="L1418" s="133">
        <v>0.978260869565217</v>
      </c>
      <c r="M1418" s="134">
        <v>0.980392156862745</v>
      </c>
      <c r="N1418" s="133">
        <v>0.972748815165877</v>
      </c>
      <c r="O1418" s="135">
        <v>0.9</v>
      </c>
      <c r="P1418" s="133">
        <v>0.997754701094583</v>
      </c>
      <c r="Q1418" s="133">
        <v>0.989708835341365</v>
      </c>
      <c r="R1418" s="133">
        <v>0.990843850532046</v>
      </c>
      <c r="S1418" s="133">
        <v>0.976662027620169</v>
      </c>
      <c r="T1418" s="135">
        <v>0.9</v>
      </c>
      <c r="U1418" s="133">
        <v>0.9264664608476</v>
      </c>
      <c r="V1418" s="133">
        <v>0.950050200803213</v>
      </c>
      <c r="W1418" s="133">
        <v>0.959415986142044</v>
      </c>
      <c r="X1418" s="133">
        <v>0.941882560753667</v>
      </c>
      <c r="Y1418" s="135">
        <v>0.92</v>
      </c>
      <c r="Z1418" s="135">
        <v>0.904545454545455</v>
      </c>
      <c r="AA1418" s="135">
        <v>0.906562847608454</v>
      </c>
      <c r="AB1418" s="135">
        <v>0.927970065481759</v>
      </c>
      <c r="AC1418" s="135">
        <v>0.934719710669078</v>
      </c>
      <c r="AD1418" s="135">
        <v>0.92</v>
      </c>
      <c r="AE1418" s="133">
        <v>0.859776168531929</v>
      </c>
      <c r="AF1418" s="133">
        <v>0.998580931263858</v>
      </c>
      <c r="AG1418" s="133">
        <v>0.998715103375774</v>
      </c>
      <c r="AH1418" s="133">
        <v>0.960161085694514</v>
      </c>
      <c r="AI1418" s="135">
        <v>0.92</v>
      </c>
      <c r="AJ1418" s="133">
        <v>0.949810606060606</v>
      </c>
      <c r="AK1418" s="133">
        <v>0.959254709254709</v>
      </c>
      <c r="AL1418" s="133">
        <v>0.970254403131115</v>
      </c>
      <c r="AM1418" s="133">
        <v>0.96795243778262</v>
      </c>
      <c r="AN1418" s="132">
        <v>0.99</v>
      </c>
      <c r="AO1418" s="137">
        <v>1</v>
      </c>
      <c r="AP1418" s="137">
        <v>1</v>
      </c>
      <c r="AQ1418" s="137">
        <v>1</v>
      </c>
      <c r="AR1418" s="137">
        <v>1</v>
      </c>
      <c r="AS1418" s="158">
        <v>0.0721861525408278</v>
      </c>
      <c r="AT1418" s="141">
        <v>0.0333333333333333</v>
      </c>
      <c r="AU1418" s="141">
        <v>0.0263157894736842</v>
      </c>
      <c r="AV1418" s="141">
        <v>0.0222222222222222</v>
      </c>
      <c r="AW1418" s="141">
        <v>0.0470262793914246</v>
      </c>
      <c r="AX1418" s="95"/>
      <c r="AY1418" s="93"/>
    </row>
    <row r="1419" ht="14.5" spans="1:51">
      <c r="A1419" s="91"/>
      <c r="B1419" s="95"/>
      <c r="C1419" s="152" t="s">
        <v>1085</v>
      </c>
      <c r="D1419" s="153" t="s">
        <v>25</v>
      </c>
      <c r="E1419" s="130" t="s">
        <v>1086</v>
      </c>
      <c r="F1419" s="195" t="s">
        <v>1449</v>
      </c>
      <c r="G1419" s="195" t="s">
        <v>1449</v>
      </c>
      <c r="H1419" s="195" t="s">
        <v>1449</v>
      </c>
      <c r="I1419" s="195" t="s">
        <v>1449</v>
      </c>
      <c r="J1419" s="132">
        <v>0.9</v>
      </c>
      <c r="K1419" s="133">
        <v>0.962962962962963</v>
      </c>
      <c r="L1419" s="133">
        <v>0.925925925925926</v>
      </c>
      <c r="M1419" s="134">
        <v>0.952380952380952</v>
      </c>
      <c r="N1419" s="133">
        <v>0.92578125</v>
      </c>
      <c r="O1419" s="135">
        <v>0.9</v>
      </c>
      <c r="P1419" s="133">
        <v>0.977151965993624</v>
      </c>
      <c r="Q1419" s="133">
        <v>0.975047080979284</v>
      </c>
      <c r="R1419" s="133">
        <v>0.976090993500464</v>
      </c>
      <c r="S1419" s="133">
        <v>0.923232099585471</v>
      </c>
      <c r="T1419" s="135">
        <v>0.9</v>
      </c>
      <c r="U1419" s="133">
        <v>0.899043570669501</v>
      </c>
      <c r="V1419" s="133">
        <v>0.915254237288136</v>
      </c>
      <c r="W1419" s="133">
        <v>0.9152739090065</v>
      </c>
      <c r="X1419" s="133">
        <v>0.892763570611462</v>
      </c>
      <c r="Y1419" s="135">
        <v>0.92</v>
      </c>
      <c r="Z1419" s="135">
        <v>0.90190336749634</v>
      </c>
      <c r="AA1419" s="135">
        <v>0.869565217391304</v>
      </c>
      <c r="AB1419" s="135">
        <v>0.929026387625114</v>
      </c>
      <c r="AC1419" s="135">
        <v>0.912302641863374</v>
      </c>
      <c r="AD1419" s="135">
        <v>0.92</v>
      </c>
      <c r="AE1419" s="133">
        <v>0.995672333848532</v>
      </c>
      <c r="AF1419" s="133">
        <v>0.997634212920837</v>
      </c>
      <c r="AG1419" s="133">
        <v>0.961039922968669</v>
      </c>
      <c r="AH1419" s="133">
        <v>0.961441903329343</v>
      </c>
      <c r="AI1419" s="135">
        <v>0.92</v>
      </c>
      <c r="AJ1419" s="133">
        <v>0.945356420058466</v>
      </c>
      <c r="AK1419" s="133">
        <v>0.94076980568012</v>
      </c>
      <c r="AL1419" s="133">
        <v>0.969853893101535</v>
      </c>
      <c r="AM1419" s="133">
        <v>0.962435194491159</v>
      </c>
      <c r="AN1419" s="132">
        <v>0.99</v>
      </c>
      <c r="AO1419" s="137">
        <v>1</v>
      </c>
      <c r="AP1419" s="137">
        <v>1</v>
      </c>
      <c r="AQ1419" s="137">
        <v>1</v>
      </c>
      <c r="AR1419" s="137">
        <v>0.99945295404814</v>
      </c>
      <c r="AS1419" s="158">
        <v>0.0721861525408278</v>
      </c>
      <c r="AT1419" s="141">
        <v>0.0285714285714286</v>
      </c>
      <c r="AU1419" s="141">
        <v>0.138888888888889</v>
      </c>
      <c r="AV1419" s="141">
        <v>0</v>
      </c>
      <c r="AW1419" s="141">
        <v>0.0594262295081967</v>
      </c>
      <c r="AX1419" s="95"/>
      <c r="AY1419" s="93"/>
    </row>
    <row r="1420" ht="14.5" spans="1:51">
      <c r="A1420" s="91"/>
      <c r="B1420" s="95"/>
      <c r="C1420" s="152" t="s">
        <v>1085</v>
      </c>
      <c r="D1420" s="153" t="s">
        <v>25</v>
      </c>
      <c r="E1420" s="130" t="s">
        <v>1086</v>
      </c>
      <c r="F1420" s="195" t="s">
        <v>1450</v>
      </c>
      <c r="G1420" s="195" t="s">
        <v>1450</v>
      </c>
      <c r="H1420" s="195" t="s">
        <v>1450</v>
      </c>
      <c r="I1420" s="195" t="s">
        <v>1450</v>
      </c>
      <c r="J1420" s="132">
        <v>0.9</v>
      </c>
      <c r="K1420" s="133">
        <v>0.892857142857143</v>
      </c>
      <c r="L1420" s="133">
        <v>0.929824561403509</v>
      </c>
      <c r="M1420" s="134">
        <v>0.932203389830508</v>
      </c>
      <c r="N1420" s="133">
        <v>0.935384615384615</v>
      </c>
      <c r="O1420" s="135">
        <v>0.9</v>
      </c>
      <c r="P1420" s="133">
        <v>0.96551724137931</v>
      </c>
      <c r="Q1420" s="133">
        <v>0.959934395501406</v>
      </c>
      <c r="R1420" s="133">
        <v>0.979933110367893</v>
      </c>
      <c r="S1420" s="133">
        <v>0.927224510091416</v>
      </c>
      <c r="T1420" s="135">
        <v>0.9</v>
      </c>
      <c r="U1420" s="133">
        <v>0.933997844827586</v>
      </c>
      <c r="V1420" s="133">
        <v>0.929006560449859</v>
      </c>
      <c r="W1420" s="133">
        <v>0.946249402771142</v>
      </c>
      <c r="X1420" s="133">
        <v>0.925503295806612</v>
      </c>
      <c r="Y1420" s="135">
        <v>0.92</v>
      </c>
      <c r="Z1420" s="135">
        <v>0.889044943820225</v>
      </c>
      <c r="AA1420" s="135">
        <v>0.916500994035785</v>
      </c>
      <c r="AB1420" s="135">
        <v>0.94167450611477</v>
      </c>
      <c r="AC1420" s="135">
        <v>0.921073446327684</v>
      </c>
      <c r="AD1420" s="135">
        <v>0.92</v>
      </c>
      <c r="AE1420" s="133">
        <v>0.995193312434692</v>
      </c>
      <c r="AF1420" s="133">
        <v>0.995820817552566</v>
      </c>
      <c r="AG1420" s="133">
        <v>0.994513753194048</v>
      </c>
      <c r="AH1420" s="133">
        <v>0.960751934881238</v>
      </c>
      <c r="AI1420" s="135">
        <v>0.92</v>
      </c>
      <c r="AJ1420" s="133">
        <v>0.948010849909584</v>
      </c>
      <c r="AK1420" s="133">
        <v>0.952787258248009</v>
      </c>
      <c r="AL1420" s="133">
        <v>0.967803391122119</v>
      </c>
      <c r="AM1420" s="133">
        <v>0.965259719997504</v>
      </c>
      <c r="AN1420" s="132">
        <v>0.99</v>
      </c>
      <c r="AO1420" s="137">
        <v>1</v>
      </c>
      <c r="AP1420" s="137">
        <v>1</v>
      </c>
      <c r="AQ1420" s="137">
        <v>1</v>
      </c>
      <c r="AR1420" s="137">
        <v>1</v>
      </c>
      <c r="AS1420" s="158">
        <v>0.0721861525408278</v>
      </c>
      <c r="AT1420" s="141">
        <v>0.0344827586206897</v>
      </c>
      <c r="AU1420" s="141">
        <v>0.0454545454545455</v>
      </c>
      <c r="AV1420" s="141">
        <v>0</v>
      </c>
      <c r="AW1420" s="141">
        <v>0.0407673860911271</v>
      </c>
      <c r="AX1420" s="95"/>
      <c r="AY1420" s="93"/>
    </row>
    <row r="1421" ht="14.5" spans="1:51">
      <c r="A1421" s="91"/>
      <c r="B1421" s="95"/>
      <c r="C1421" s="152" t="s">
        <v>1085</v>
      </c>
      <c r="D1421" s="153" t="s">
        <v>25</v>
      </c>
      <c r="E1421" s="130" t="s">
        <v>1086</v>
      </c>
      <c r="F1421" s="195" t="s">
        <v>1451</v>
      </c>
      <c r="G1421" s="195" t="s">
        <v>1451</v>
      </c>
      <c r="H1421" s="195" t="s">
        <v>1451</v>
      </c>
      <c r="I1421" s="195" t="s">
        <v>1451</v>
      </c>
      <c r="J1421" s="132">
        <v>0.9</v>
      </c>
      <c r="K1421" s="133">
        <v>0.914893617021277</v>
      </c>
      <c r="L1421" s="133">
        <v>0.92</v>
      </c>
      <c r="M1421" s="134">
        <v>0.927272727272727</v>
      </c>
      <c r="N1421" s="133">
        <v>0.944567627494457</v>
      </c>
      <c r="O1421" s="135">
        <v>0.9</v>
      </c>
      <c r="P1421" s="133">
        <v>0.974666666666667</v>
      </c>
      <c r="Q1421" s="133">
        <v>0.971775331639853</v>
      </c>
      <c r="R1421" s="133">
        <v>0.96590572190928</v>
      </c>
      <c r="S1421" s="133">
        <v>0.974187863818232</v>
      </c>
      <c r="T1421" s="135">
        <v>0.9</v>
      </c>
      <c r="U1421" s="133">
        <v>0.918666666666667</v>
      </c>
      <c r="V1421" s="133">
        <v>0.913350268134349</v>
      </c>
      <c r="W1421" s="133">
        <v>0.946635042988438</v>
      </c>
      <c r="X1421" s="133">
        <v>0.943002412214181</v>
      </c>
      <c r="Y1421" s="135">
        <v>0.92</v>
      </c>
      <c r="Z1421" s="135">
        <v>0.824817518248175</v>
      </c>
      <c r="AA1421" s="135">
        <v>0.81573275862069</v>
      </c>
      <c r="AB1421" s="135">
        <v>0.861553784860558</v>
      </c>
      <c r="AC1421" s="135">
        <v>0.893684144110038</v>
      </c>
      <c r="AD1421" s="135">
        <v>0.92</v>
      </c>
      <c r="AE1421" s="133">
        <v>0.970415778251599</v>
      </c>
      <c r="AF1421" s="133">
        <v>0.992838452003856</v>
      </c>
      <c r="AG1421" s="133">
        <v>0.955458167330677</v>
      </c>
      <c r="AH1421" s="133">
        <v>0.979524674701391</v>
      </c>
      <c r="AI1421" s="135">
        <v>0.92</v>
      </c>
      <c r="AJ1421" s="133">
        <v>0.925310033821871</v>
      </c>
      <c r="AK1421" s="133">
        <v>0.916573473495862</v>
      </c>
      <c r="AL1421" s="133">
        <v>0.947909527073338</v>
      </c>
      <c r="AM1421" s="133">
        <v>0.959615429820644</v>
      </c>
      <c r="AN1421" s="132">
        <v>0.99</v>
      </c>
      <c r="AO1421" s="137">
        <v>1</v>
      </c>
      <c r="AP1421" s="137">
        <v>1</v>
      </c>
      <c r="AQ1421" s="137">
        <v>1</v>
      </c>
      <c r="AR1421" s="137">
        <v>1</v>
      </c>
      <c r="AS1421" s="158">
        <v>0.0721861525408278</v>
      </c>
      <c r="AT1421" s="141">
        <v>0.0652173913043478</v>
      </c>
      <c r="AU1421" s="141">
        <v>0.0476190476190476</v>
      </c>
      <c r="AV1421" s="141">
        <v>0.0277777777777778</v>
      </c>
      <c r="AW1421" s="141">
        <v>0.0434782608695652</v>
      </c>
      <c r="AX1421" s="95"/>
      <c r="AY1421" s="93"/>
    </row>
    <row r="1422" ht="14.5" spans="1:51">
      <c r="A1422" s="91"/>
      <c r="B1422" s="95"/>
      <c r="C1422" s="152" t="s">
        <v>1085</v>
      </c>
      <c r="D1422" s="153" t="s">
        <v>1452</v>
      </c>
      <c r="E1422" s="130" t="s">
        <v>1086</v>
      </c>
      <c r="F1422" s="195" t="s">
        <v>1453</v>
      </c>
      <c r="G1422" s="195" t="s">
        <v>1453</v>
      </c>
      <c r="H1422" s="195" t="s">
        <v>1453</v>
      </c>
      <c r="I1422" s="195" t="s">
        <v>1453</v>
      </c>
      <c r="J1422" s="132">
        <v>0.9</v>
      </c>
      <c r="K1422" s="133" t="s">
        <v>35</v>
      </c>
      <c r="L1422" s="133" t="s">
        <v>35</v>
      </c>
      <c r="M1422" s="134" t="s">
        <v>35</v>
      </c>
      <c r="N1422" s="133" t="s">
        <v>35</v>
      </c>
      <c r="O1422" s="135">
        <v>0.9</v>
      </c>
      <c r="P1422" s="133" t="s">
        <v>35</v>
      </c>
      <c r="Q1422" s="133" t="s">
        <v>35</v>
      </c>
      <c r="R1422" s="133" t="s">
        <v>35</v>
      </c>
      <c r="S1422" s="133" t="s">
        <v>35</v>
      </c>
      <c r="T1422" s="135">
        <v>0.9</v>
      </c>
      <c r="U1422" s="133" t="s">
        <v>35</v>
      </c>
      <c r="V1422" s="133" t="s">
        <v>35</v>
      </c>
      <c r="W1422" s="133" t="s">
        <v>35</v>
      </c>
      <c r="X1422" s="133" t="s">
        <v>35</v>
      </c>
      <c r="Y1422" s="135">
        <v>0.92</v>
      </c>
      <c r="Z1422" s="135" t="s">
        <v>35</v>
      </c>
      <c r="AA1422" s="135" t="s">
        <v>35</v>
      </c>
      <c r="AB1422" s="135" t="s">
        <v>35</v>
      </c>
      <c r="AC1422" s="135" t="s">
        <v>35</v>
      </c>
      <c r="AD1422" s="135">
        <v>0.92</v>
      </c>
      <c r="AE1422" s="133" t="s">
        <v>35</v>
      </c>
      <c r="AF1422" s="133" t="s">
        <v>35</v>
      </c>
      <c r="AG1422" s="133" t="s">
        <v>35</v>
      </c>
      <c r="AH1422" s="133" t="s">
        <v>35</v>
      </c>
      <c r="AI1422" s="135">
        <v>0.92</v>
      </c>
      <c r="AJ1422" s="133" t="s">
        <v>35</v>
      </c>
      <c r="AK1422" s="133" t="s">
        <v>35</v>
      </c>
      <c r="AL1422" s="133" t="s">
        <v>35</v>
      </c>
      <c r="AM1422" s="133" t="s">
        <v>35</v>
      </c>
      <c r="AN1422" s="132">
        <v>0.99</v>
      </c>
      <c r="AO1422" s="137" t="s">
        <v>35</v>
      </c>
      <c r="AP1422" s="137" t="s">
        <v>35</v>
      </c>
      <c r="AQ1422" s="137" t="s">
        <v>35</v>
      </c>
      <c r="AR1422" s="137" t="s">
        <v>35</v>
      </c>
      <c r="AS1422" s="158">
        <v>0.0721861525408278</v>
      </c>
      <c r="AT1422" s="141" t="s">
        <v>35</v>
      </c>
      <c r="AU1422" s="141" t="s">
        <v>35</v>
      </c>
      <c r="AV1422" s="141" t="s">
        <v>35</v>
      </c>
      <c r="AW1422" s="141" t="s">
        <v>35</v>
      </c>
      <c r="AX1422" s="95"/>
      <c r="AY1422" s="93"/>
    </row>
    <row r="1423" ht="14.5" spans="1:51">
      <c r="A1423" s="91"/>
      <c r="B1423" s="95"/>
      <c r="C1423" s="152" t="s">
        <v>1085</v>
      </c>
      <c r="D1423" s="153" t="s">
        <v>25</v>
      </c>
      <c r="E1423" s="130" t="s">
        <v>1086</v>
      </c>
      <c r="F1423" s="195" t="s">
        <v>1454</v>
      </c>
      <c r="G1423" s="195" t="s">
        <v>1454</v>
      </c>
      <c r="H1423" s="195" t="s">
        <v>1454</v>
      </c>
      <c r="I1423" s="195" t="s">
        <v>1454</v>
      </c>
      <c r="J1423" s="132">
        <v>0.9</v>
      </c>
      <c r="K1423" s="133" t="s">
        <v>35</v>
      </c>
      <c r="L1423" s="133" t="s">
        <v>35</v>
      </c>
      <c r="M1423" s="134" t="s">
        <v>35</v>
      </c>
      <c r="N1423" s="133" t="s">
        <v>35</v>
      </c>
      <c r="O1423" s="135">
        <v>0.9</v>
      </c>
      <c r="P1423" s="133" t="s">
        <v>35</v>
      </c>
      <c r="Q1423" s="133" t="s">
        <v>35</v>
      </c>
      <c r="R1423" s="133" t="s">
        <v>35</v>
      </c>
      <c r="S1423" s="133" t="s">
        <v>35</v>
      </c>
      <c r="T1423" s="135">
        <v>0.9</v>
      </c>
      <c r="U1423" s="133" t="s">
        <v>35</v>
      </c>
      <c r="V1423" s="133" t="s">
        <v>35</v>
      </c>
      <c r="W1423" s="133" t="s">
        <v>35</v>
      </c>
      <c r="X1423" s="133" t="s">
        <v>35</v>
      </c>
      <c r="Y1423" s="135">
        <v>0.92</v>
      </c>
      <c r="Z1423" s="135" t="s">
        <v>35</v>
      </c>
      <c r="AA1423" s="135" t="s">
        <v>35</v>
      </c>
      <c r="AB1423" s="135" t="s">
        <v>35</v>
      </c>
      <c r="AC1423" s="135" t="s">
        <v>35</v>
      </c>
      <c r="AD1423" s="135">
        <v>0.92</v>
      </c>
      <c r="AE1423" s="133" t="s">
        <v>35</v>
      </c>
      <c r="AF1423" s="133" t="s">
        <v>35</v>
      </c>
      <c r="AG1423" s="133" t="s">
        <v>35</v>
      </c>
      <c r="AH1423" s="133" t="s">
        <v>35</v>
      </c>
      <c r="AI1423" s="135">
        <v>0.92</v>
      </c>
      <c r="AJ1423" s="133" t="s">
        <v>35</v>
      </c>
      <c r="AK1423" s="133" t="s">
        <v>35</v>
      </c>
      <c r="AL1423" s="133" t="s">
        <v>35</v>
      </c>
      <c r="AM1423" s="133" t="s">
        <v>35</v>
      </c>
      <c r="AN1423" s="132">
        <v>0.99</v>
      </c>
      <c r="AO1423" s="137" t="s">
        <v>35</v>
      </c>
      <c r="AP1423" s="137" t="s">
        <v>35</v>
      </c>
      <c r="AQ1423" s="137" t="s">
        <v>35</v>
      </c>
      <c r="AR1423" s="137" t="s">
        <v>35</v>
      </c>
      <c r="AS1423" s="158">
        <v>0.0721861525408278</v>
      </c>
      <c r="AT1423" s="141" t="s">
        <v>35</v>
      </c>
      <c r="AU1423" s="141" t="s">
        <v>35</v>
      </c>
      <c r="AV1423" s="141" t="s">
        <v>35</v>
      </c>
      <c r="AW1423" s="141" t="s">
        <v>35</v>
      </c>
      <c r="AX1423" s="95"/>
      <c r="AY1423" s="93"/>
    </row>
    <row r="1424" ht="14.5" spans="1:51">
      <c r="A1424" s="91"/>
      <c r="B1424" s="95"/>
      <c r="C1424" s="174"/>
      <c r="D1424" s="175"/>
      <c r="E1424" s="176"/>
      <c r="F1424" s="176"/>
      <c r="G1424" s="145"/>
      <c r="H1424" s="145"/>
      <c r="I1424" s="176"/>
      <c r="J1424" s="177"/>
      <c r="K1424" s="199"/>
      <c r="L1424" s="199"/>
      <c r="M1424" s="199"/>
      <c r="N1424" s="199"/>
      <c r="O1424" s="150"/>
      <c r="P1424" s="178"/>
      <c r="Q1424" s="178"/>
      <c r="R1424" s="133"/>
      <c r="S1424" s="178"/>
      <c r="T1424" s="150"/>
      <c r="U1424" s="178"/>
      <c r="V1424" s="178"/>
      <c r="W1424" s="133"/>
      <c r="X1424" s="178"/>
      <c r="Y1424" s="150"/>
      <c r="Z1424" s="150"/>
      <c r="AA1424" s="150"/>
      <c r="AB1424" s="135"/>
      <c r="AC1424" s="150"/>
      <c r="AD1424" s="178"/>
      <c r="AE1424" s="178"/>
      <c r="AF1424" s="178"/>
      <c r="AG1424" s="133"/>
      <c r="AH1424" s="178"/>
      <c r="AI1424" s="178"/>
      <c r="AJ1424" s="178"/>
      <c r="AK1424" s="178"/>
      <c r="AL1424" s="133"/>
      <c r="AM1424" s="178"/>
      <c r="AN1424" s="177"/>
      <c r="AO1424" s="177"/>
      <c r="AP1424" s="177"/>
      <c r="AQ1424" s="137"/>
      <c r="AR1424" s="177"/>
      <c r="AS1424" s="178"/>
      <c r="AT1424" s="177"/>
      <c r="AU1424" s="177"/>
      <c r="AV1424" s="141"/>
      <c r="AW1424" s="177"/>
      <c r="AX1424" s="95"/>
      <c r="AY1424" s="93"/>
    </row>
    <row r="1425" ht="14.5" spans="1:51">
      <c r="A1425" s="91"/>
      <c r="B1425" s="95"/>
      <c r="C1425" s="152" t="s">
        <v>1455</v>
      </c>
      <c r="D1425" s="153" t="s">
        <v>125</v>
      </c>
      <c r="E1425" s="130" t="s">
        <v>1456</v>
      </c>
      <c r="F1425" s="200" t="s">
        <v>1457</v>
      </c>
      <c r="G1425" s="200" t="s">
        <v>1457</v>
      </c>
      <c r="H1425" s="200" t="s">
        <v>1457</v>
      </c>
      <c r="I1425" s="200" t="s">
        <v>1457</v>
      </c>
      <c r="J1425" s="132">
        <v>0.9</v>
      </c>
      <c r="K1425" s="133" t="s">
        <v>35</v>
      </c>
      <c r="L1425" s="133" t="s">
        <v>35</v>
      </c>
      <c r="M1425" s="134" t="s">
        <v>35</v>
      </c>
      <c r="N1425" s="133" t="s">
        <v>35</v>
      </c>
      <c r="O1425" s="135">
        <v>0.9</v>
      </c>
      <c r="P1425" s="133">
        <v>0</v>
      </c>
      <c r="Q1425" s="133" t="s">
        <v>35</v>
      </c>
      <c r="R1425" s="133" t="s">
        <v>35</v>
      </c>
      <c r="S1425" s="133">
        <v>0</v>
      </c>
      <c r="T1425" s="135">
        <v>0.9</v>
      </c>
      <c r="U1425" s="133">
        <v>1</v>
      </c>
      <c r="V1425" s="133" t="s">
        <v>35</v>
      </c>
      <c r="W1425" s="133" t="s">
        <v>35</v>
      </c>
      <c r="X1425" s="133">
        <v>1</v>
      </c>
      <c r="Y1425" s="135">
        <v>0.92</v>
      </c>
      <c r="Z1425" s="135" t="s">
        <v>35</v>
      </c>
      <c r="AA1425" s="135" t="s">
        <v>35</v>
      </c>
      <c r="AB1425" s="135" t="s">
        <v>35</v>
      </c>
      <c r="AC1425" s="135" t="s">
        <v>35</v>
      </c>
      <c r="AD1425" s="135">
        <v>0.92</v>
      </c>
      <c r="AE1425" s="133">
        <v>0.990974729241877</v>
      </c>
      <c r="AF1425" s="133">
        <v>1</v>
      </c>
      <c r="AG1425" s="133">
        <v>1</v>
      </c>
      <c r="AH1425" s="133">
        <v>0.991727572082564</v>
      </c>
      <c r="AI1425" s="135">
        <v>0.92</v>
      </c>
      <c r="AJ1425" s="133">
        <v>1</v>
      </c>
      <c r="AK1425" s="133" t="s">
        <v>35</v>
      </c>
      <c r="AL1425" s="133" t="s">
        <v>35</v>
      </c>
      <c r="AM1425" s="133">
        <v>1</v>
      </c>
      <c r="AN1425" s="132">
        <v>0.99</v>
      </c>
      <c r="AO1425" s="137">
        <v>1</v>
      </c>
      <c r="AP1425" s="137">
        <v>1</v>
      </c>
      <c r="AQ1425" s="137">
        <v>1</v>
      </c>
      <c r="AR1425" s="137">
        <v>1</v>
      </c>
      <c r="AS1425" s="158">
        <v>0.110069253262963</v>
      </c>
      <c r="AT1425" s="141" t="s">
        <v>35</v>
      </c>
      <c r="AU1425" s="141" t="s">
        <v>35</v>
      </c>
      <c r="AV1425" s="141" t="s">
        <v>35</v>
      </c>
      <c r="AW1425" s="141" t="s">
        <v>35</v>
      </c>
      <c r="AX1425" s="95"/>
      <c r="AY1425" s="93"/>
    </row>
    <row r="1426" ht="14.5" spans="1:51">
      <c r="A1426" s="91"/>
      <c r="B1426" s="95"/>
      <c r="C1426" s="152" t="s">
        <v>1455</v>
      </c>
      <c r="D1426" s="153" t="s">
        <v>125</v>
      </c>
      <c r="E1426" s="130" t="s">
        <v>1456</v>
      </c>
      <c r="F1426" s="201" t="s">
        <v>1458</v>
      </c>
      <c r="G1426" s="201" t="s">
        <v>1458</v>
      </c>
      <c r="H1426" s="201" t="s">
        <v>1458</v>
      </c>
      <c r="I1426" s="201" t="s">
        <v>1458</v>
      </c>
      <c r="J1426" s="132">
        <v>0.9</v>
      </c>
      <c r="K1426" s="133" t="s">
        <v>35</v>
      </c>
      <c r="L1426" s="133" t="s">
        <v>35</v>
      </c>
      <c r="M1426" s="134" t="s">
        <v>35</v>
      </c>
      <c r="N1426" s="133" t="s">
        <v>35</v>
      </c>
      <c r="O1426" s="135">
        <v>0.9</v>
      </c>
      <c r="P1426" s="133" t="s">
        <v>35</v>
      </c>
      <c r="Q1426" s="133" t="s">
        <v>35</v>
      </c>
      <c r="R1426" s="133" t="s">
        <v>35</v>
      </c>
      <c r="S1426" s="133">
        <v>0</v>
      </c>
      <c r="T1426" s="135">
        <v>0.9</v>
      </c>
      <c r="U1426" s="133" t="s">
        <v>35</v>
      </c>
      <c r="V1426" s="133" t="s">
        <v>35</v>
      </c>
      <c r="W1426" s="133" t="s">
        <v>35</v>
      </c>
      <c r="X1426" s="133">
        <v>1</v>
      </c>
      <c r="Y1426" s="135">
        <v>0.92</v>
      </c>
      <c r="Z1426" s="135" t="s">
        <v>35</v>
      </c>
      <c r="AA1426" s="135" t="s">
        <v>35</v>
      </c>
      <c r="AB1426" s="135" t="s">
        <v>35</v>
      </c>
      <c r="AC1426" s="135" t="s">
        <v>35</v>
      </c>
      <c r="AD1426" s="135">
        <v>0.92</v>
      </c>
      <c r="AE1426" s="133">
        <v>0.924528301886792</v>
      </c>
      <c r="AF1426" s="133">
        <v>0.940217391304348</v>
      </c>
      <c r="AG1426" s="133">
        <v>0.970238095238095</v>
      </c>
      <c r="AH1426" s="133">
        <v>0.976973684210526</v>
      </c>
      <c r="AI1426" s="135">
        <v>0.92</v>
      </c>
      <c r="AJ1426" s="133" t="s">
        <v>35</v>
      </c>
      <c r="AK1426" s="133" t="s">
        <v>35</v>
      </c>
      <c r="AL1426" s="133" t="s">
        <v>35</v>
      </c>
      <c r="AM1426" s="133">
        <v>1</v>
      </c>
      <c r="AN1426" s="132">
        <v>0.99</v>
      </c>
      <c r="AO1426" s="137" t="s">
        <v>35</v>
      </c>
      <c r="AP1426" s="137" t="s">
        <v>35</v>
      </c>
      <c r="AQ1426" s="137" t="s">
        <v>35</v>
      </c>
      <c r="AR1426" s="137">
        <v>1</v>
      </c>
      <c r="AS1426" s="158">
        <v>0.110069253262963</v>
      </c>
      <c r="AT1426" s="141" t="s">
        <v>35</v>
      </c>
      <c r="AU1426" s="141" t="s">
        <v>35</v>
      </c>
      <c r="AV1426" s="141" t="s">
        <v>35</v>
      </c>
      <c r="AW1426" s="141" t="s">
        <v>35</v>
      </c>
      <c r="AX1426" s="95"/>
      <c r="AY1426" s="93"/>
    </row>
    <row r="1427" ht="14.5" spans="1:51">
      <c r="A1427" s="91"/>
      <c r="B1427" s="95"/>
      <c r="C1427" s="152" t="s">
        <v>1455</v>
      </c>
      <c r="D1427" s="153" t="s">
        <v>125</v>
      </c>
      <c r="E1427" s="130" t="s">
        <v>1456</v>
      </c>
      <c r="F1427" s="200" t="s">
        <v>1459</v>
      </c>
      <c r="G1427" s="200" t="s">
        <v>1459</v>
      </c>
      <c r="H1427" s="200" t="s">
        <v>1459</v>
      </c>
      <c r="I1427" s="200" t="s">
        <v>1459</v>
      </c>
      <c r="J1427" s="132">
        <v>0.9</v>
      </c>
      <c r="K1427" s="133" t="s">
        <v>35</v>
      </c>
      <c r="L1427" s="133" t="s">
        <v>35</v>
      </c>
      <c r="M1427" s="134" t="s">
        <v>35</v>
      </c>
      <c r="N1427" s="133" t="s">
        <v>35</v>
      </c>
      <c r="O1427" s="135">
        <v>0.9</v>
      </c>
      <c r="P1427" s="133" t="s">
        <v>35</v>
      </c>
      <c r="Q1427" s="133" t="s">
        <v>35</v>
      </c>
      <c r="R1427" s="133" t="s">
        <v>35</v>
      </c>
      <c r="S1427" s="133" t="s">
        <v>35</v>
      </c>
      <c r="T1427" s="135">
        <v>0.9</v>
      </c>
      <c r="U1427" s="133" t="s">
        <v>35</v>
      </c>
      <c r="V1427" s="133" t="s">
        <v>35</v>
      </c>
      <c r="W1427" s="133" t="s">
        <v>35</v>
      </c>
      <c r="X1427" s="133" t="s">
        <v>35</v>
      </c>
      <c r="Y1427" s="135">
        <v>0.92</v>
      </c>
      <c r="Z1427" s="135" t="s">
        <v>35</v>
      </c>
      <c r="AA1427" s="135" t="s">
        <v>35</v>
      </c>
      <c r="AB1427" s="135" t="s">
        <v>35</v>
      </c>
      <c r="AC1427" s="135" t="s">
        <v>35</v>
      </c>
      <c r="AD1427" s="135">
        <v>0.92</v>
      </c>
      <c r="AE1427" s="133">
        <v>1</v>
      </c>
      <c r="AF1427" s="133">
        <v>0.678899082568807</v>
      </c>
      <c r="AG1427" s="133">
        <v>0.981651376146789</v>
      </c>
      <c r="AH1427" s="133">
        <v>0.898313492063492</v>
      </c>
      <c r="AI1427" s="135">
        <v>0.92</v>
      </c>
      <c r="AJ1427" s="133" t="s">
        <v>35</v>
      </c>
      <c r="AK1427" s="133" t="s">
        <v>35</v>
      </c>
      <c r="AL1427" s="133" t="s">
        <v>35</v>
      </c>
      <c r="AM1427" s="133" t="s">
        <v>35</v>
      </c>
      <c r="AN1427" s="132">
        <v>0.99</v>
      </c>
      <c r="AO1427" s="137" t="s">
        <v>35</v>
      </c>
      <c r="AP1427" s="137" t="s">
        <v>35</v>
      </c>
      <c r="AQ1427" s="137" t="s">
        <v>35</v>
      </c>
      <c r="AR1427" s="137">
        <v>1</v>
      </c>
      <c r="AS1427" s="158">
        <v>0.110069253262963</v>
      </c>
      <c r="AT1427" s="141" t="s">
        <v>35</v>
      </c>
      <c r="AU1427" s="141" t="s">
        <v>35</v>
      </c>
      <c r="AV1427" s="141" t="s">
        <v>35</v>
      </c>
      <c r="AW1427" s="141" t="s">
        <v>35</v>
      </c>
      <c r="AX1427" s="95"/>
      <c r="AY1427" s="93"/>
    </row>
    <row r="1428" ht="14.5" spans="1:51">
      <c r="A1428" s="91"/>
      <c r="B1428" s="95"/>
      <c r="C1428" s="152" t="s">
        <v>1455</v>
      </c>
      <c r="D1428" s="153" t="s">
        <v>125</v>
      </c>
      <c r="E1428" s="130" t="s">
        <v>1456</v>
      </c>
      <c r="F1428" s="201" t="s">
        <v>1460</v>
      </c>
      <c r="G1428" s="201" t="s">
        <v>1460</v>
      </c>
      <c r="H1428" s="201" t="s">
        <v>1460</v>
      </c>
      <c r="I1428" s="201" t="s">
        <v>1460</v>
      </c>
      <c r="J1428" s="132">
        <v>0.9</v>
      </c>
      <c r="K1428" s="133" t="s">
        <v>35</v>
      </c>
      <c r="L1428" s="133" t="s">
        <v>35</v>
      </c>
      <c r="M1428" s="134" t="s">
        <v>35</v>
      </c>
      <c r="N1428" s="133" t="s">
        <v>35</v>
      </c>
      <c r="O1428" s="135">
        <v>0.9</v>
      </c>
      <c r="P1428" s="133">
        <v>0</v>
      </c>
      <c r="Q1428" s="133">
        <v>0</v>
      </c>
      <c r="R1428" s="133">
        <v>0</v>
      </c>
      <c r="S1428" s="133">
        <v>0</v>
      </c>
      <c r="T1428" s="135">
        <v>0.9</v>
      </c>
      <c r="U1428" s="133">
        <v>1</v>
      </c>
      <c r="V1428" s="133">
        <v>1</v>
      </c>
      <c r="W1428" s="133">
        <v>1</v>
      </c>
      <c r="X1428" s="133">
        <v>1</v>
      </c>
      <c r="Y1428" s="135">
        <v>0.92</v>
      </c>
      <c r="Z1428" s="135">
        <v>1</v>
      </c>
      <c r="AA1428" s="135" t="s">
        <v>35</v>
      </c>
      <c r="AB1428" s="135" t="s">
        <v>35</v>
      </c>
      <c r="AC1428" s="135">
        <v>0.952380952380952</v>
      </c>
      <c r="AD1428" s="135">
        <v>0.92</v>
      </c>
      <c r="AE1428" s="133">
        <v>0.999745611803612</v>
      </c>
      <c r="AF1428" s="133">
        <v>0.999798954563731</v>
      </c>
      <c r="AG1428" s="133">
        <v>0.99811320754717</v>
      </c>
      <c r="AH1428" s="133">
        <v>0.997667276419353</v>
      </c>
      <c r="AI1428" s="135">
        <v>0.92</v>
      </c>
      <c r="AJ1428" s="133">
        <v>1</v>
      </c>
      <c r="AK1428" s="133">
        <v>1</v>
      </c>
      <c r="AL1428" s="133">
        <v>1</v>
      </c>
      <c r="AM1428" s="133">
        <v>0.979310344827586</v>
      </c>
      <c r="AN1428" s="132">
        <v>0.99</v>
      </c>
      <c r="AO1428" s="137">
        <v>1</v>
      </c>
      <c r="AP1428" s="137">
        <v>1</v>
      </c>
      <c r="AQ1428" s="137">
        <v>1</v>
      </c>
      <c r="AR1428" s="137">
        <v>1</v>
      </c>
      <c r="AS1428" s="158">
        <v>0.110069253262963</v>
      </c>
      <c r="AT1428" s="141" t="s">
        <v>35</v>
      </c>
      <c r="AU1428" s="141" t="s">
        <v>35</v>
      </c>
      <c r="AV1428" s="141" t="s">
        <v>35</v>
      </c>
      <c r="AW1428" s="141" t="s">
        <v>35</v>
      </c>
      <c r="AX1428" s="95"/>
      <c r="AY1428" s="93"/>
    </row>
    <row r="1429" ht="14.5" spans="1:51">
      <c r="A1429" s="91"/>
      <c r="B1429" s="95"/>
      <c r="C1429" s="152" t="s">
        <v>1455</v>
      </c>
      <c r="D1429" s="153" t="s">
        <v>125</v>
      </c>
      <c r="E1429" s="130" t="s">
        <v>1456</v>
      </c>
      <c r="F1429" s="201" t="s">
        <v>1461</v>
      </c>
      <c r="G1429" s="201" t="s">
        <v>1461</v>
      </c>
      <c r="H1429" s="201" t="s">
        <v>1461</v>
      </c>
      <c r="I1429" s="201" t="s">
        <v>1461</v>
      </c>
      <c r="J1429" s="132">
        <v>0.9</v>
      </c>
      <c r="K1429" s="133" t="s">
        <v>35</v>
      </c>
      <c r="L1429" s="133" t="s">
        <v>35</v>
      </c>
      <c r="M1429" s="134" t="s">
        <v>35</v>
      </c>
      <c r="N1429" s="133" t="s">
        <v>35</v>
      </c>
      <c r="O1429" s="135">
        <v>0.9</v>
      </c>
      <c r="P1429" s="133" t="s">
        <v>35</v>
      </c>
      <c r="Q1429" s="133" t="s">
        <v>35</v>
      </c>
      <c r="R1429" s="133" t="s">
        <v>35</v>
      </c>
      <c r="S1429" s="133">
        <v>0</v>
      </c>
      <c r="T1429" s="135">
        <v>0.9</v>
      </c>
      <c r="U1429" s="133" t="s">
        <v>35</v>
      </c>
      <c r="V1429" s="133" t="s">
        <v>35</v>
      </c>
      <c r="W1429" s="133" t="s">
        <v>35</v>
      </c>
      <c r="X1429" s="133">
        <v>0.75</v>
      </c>
      <c r="Y1429" s="135">
        <v>0.92</v>
      </c>
      <c r="Z1429" s="135" t="s">
        <v>35</v>
      </c>
      <c r="AA1429" s="135" t="s">
        <v>35</v>
      </c>
      <c r="AB1429" s="135" t="s">
        <v>35</v>
      </c>
      <c r="AC1429" s="135" t="s">
        <v>35</v>
      </c>
      <c r="AD1429" s="135">
        <v>0.92</v>
      </c>
      <c r="AE1429" s="133">
        <v>0.975609756097561</v>
      </c>
      <c r="AF1429" s="133">
        <v>0.927113702623907</v>
      </c>
      <c r="AG1429" s="133">
        <v>0.993135011441648</v>
      </c>
      <c r="AH1429" s="133">
        <v>0.96802436239056</v>
      </c>
      <c r="AI1429" s="135">
        <v>0.92</v>
      </c>
      <c r="AJ1429" s="133" t="s">
        <v>35</v>
      </c>
      <c r="AK1429" s="133" t="s">
        <v>35</v>
      </c>
      <c r="AL1429" s="133" t="s">
        <v>35</v>
      </c>
      <c r="AM1429" s="133">
        <v>0.75</v>
      </c>
      <c r="AN1429" s="132">
        <v>0.99</v>
      </c>
      <c r="AO1429" s="137">
        <v>1</v>
      </c>
      <c r="AP1429" s="137">
        <v>1</v>
      </c>
      <c r="AQ1429" s="137">
        <v>1</v>
      </c>
      <c r="AR1429" s="137">
        <v>1</v>
      </c>
      <c r="AS1429" s="158">
        <v>0.110069253262963</v>
      </c>
      <c r="AT1429" s="141" t="s">
        <v>35</v>
      </c>
      <c r="AU1429" s="141" t="s">
        <v>35</v>
      </c>
      <c r="AV1429" s="141" t="s">
        <v>35</v>
      </c>
      <c r="AW1429" s="141" t="s">
        <v>35</v>
      </c>
      <c r="AX1429" s="95"/>
      <c r="AY1429" s="93"/>
    </row>
    <row r="1430" ht="14.5" spans="1:51">
      <c r="A1430" s="91"/>
      <c r="B1430" s="95"/>
      <c r="C1430" s="152" t="s">
        <v>1455</v>
      </c>
      <c r="D1430" s="153" t="s">
        <v>125</v>
      </c>
      <c r="E1430" s="130" t="s">
        <v>1456</v>
      </c>
      <c r="F1430" s="201" t="s">
        <v>1462</v>
      </c>
      <c r="G1430" s="201" t="s">
        <v>1462</v>
      </c>
      <c r="H1430" s="201" t="s">
        <v>1462</v>
      </c>
      <c r="I1430" s="201" t="s">
        <v>1462</v>
      </c>
      <c r="J1430" s="132">
        <v>0.9</v>
      </c>
      <c r="K1430" s="133" t="s">
        <v>35</v>
      </c>
      <c r="L1430" s="133" t="s">
        <v>35</v>
      </c>
      <c r="M1430" s="134" t="s">
        <v>35</v>
      </c>
      <c r="N1430" s="133" t="s">
        <v>35</v>
      </c>
      <c r="O1430" s="135">
        <v>0.9</v>
      </c>
      <c r="P1430" s="133" t="s">
        <v>35</v>
      </c>
      <c r="Q1430" s="133" t="s">
        <v>35</v>
      </c>
      <c r="R1430" s="133" t="s">
        <v>35</v>
      </c>
      <c r="S1430" s="133">
        <v>0</v>
      </c>
      <c r="T1430" s="135">
        <v>0.9</v>
      </c>
      <c r="U1430" s="133" t="s">
        <v>35</v>
      </c>
      <c r="V1430" s="133" t="s">
        <v>35</v>
      </c>
      <c r="W1430" s="133" t="s">
        <v>35</v>
      </c>
      <c r="X1430" s="133">
        <v>0</v>
      </c>
      <c r="Y1430" s="135">
        <v>0.92</v>
      </c>
      <c r="Z1430" s="135" t="s">
        <v>35</v>
      </c>
      <c r="AA1430" s="135">
        <v>0</v>
      </c>
      <c r="AB1430" s="135" t="s">
        <v>35</v>
      </c>
      <c r="AC1430" s="135">
        <v>0</v>
      </c>
      <c r="AD1430" s="135">
        <v>0.92</v>
      </c>
      <c r="AE1430" s="133">
        <v>1</v>
      </c>
      <c r="AF1430" s="133">
        <v>0.99562363238512</v>
      </c>
      <c r="AG1430" s="133">
        <v>0.993877551020408</v>
      </c>
      <c r="AH1430" s="133">
        <v>0.981824925816024</v>
      </c>
      <c r="AI1430" s="135">
        <v>0.92</v>
      </c>
      <c r="AJ1430" s="133" t="s">
        <v>35</v>
      </c>
      <c r="AK1430" s="133">
        <v>0.5</v>
      </c>
      <c r="AL1430" s="133" t="s">
        <v>35</v>
      </c>
      <c r="AM1430" s="133">
        <v>0.384615384615385</v>
      </c>
      <c r="AN1430" s="132">
        <v>0.99</v>
      </c>
      <c r="AO1430" s="137">
        <v>1</v>
      </c>
      <c r="AP1430" s="137">
        <v>1</v>
      </c>
      <c r="AQ1430" s="137">
        <v>1</v>
      </c>
      <c r="AR1430" s="137">
        <v>1</v>
      </c>
      <c r="AS1430" s="158">
        <v>0.110069253262963</v>
      </c>
      <c r="AT1430" s="141" t="s">
        <v>35</v>
      </c>
      <c r="AU1430" s="141" t="s">
        <v>35</v>
      </c>
      <c r="AV1430" s="141" t="s">
        <v>35</v>
      </c>
      <c r="AW1430" s="141" t="s">
        <v>35</v>
      </c>
      <c r="AX1430" s="95"/>
      <c r="AY1430" s="93"/>
    </row>
    <row r="1431" ht="14.5" spans="1:51">
      <c r="A1431" s="91"/>
      <c r="B1431" s="95"/>
      <c r="C1431" s="152" t="s">
        <v>1455</v>
      </c>
      <c r="D1431" s="153" t="s">
        <v>125</v>
      </c>
      <c r="E1431" s="130" t="s">
        <v>1456</v>
      </c>
      <c r="F1431" s="201" t="s">
        <v>1463</v>
      </c>
      <c r="G1431" s="201" t="s">
        <v>1463</v>
      </c>
      <c r="H1431" s="201" t="s">
        <v>1463</v>
      </c>
      <c r="I1431" s="201" t="s">
        <v>1463</v>
      </c>
      <c r="J1431" s="132">
        <v>0.9</v>
      </c>
      <c r="K1431" s="133" t="s">
        <v>35</v>
      </c>
      <c r="L1431" s="133" t="s">
        <v>35</v>
      </c>
      <c r="M1431" s="134" t="s">
        <v>35</v>
      </c>
      <c r="N1431" s="133" t="s">
        <v>35</v>
      </c>
      <c r="O1431" s="135">
        <v>0.9</v>
      </c>
      <c r="P1431" s="133">
        <v>0</v>
      </c>
      <c r="Q1431" s="133" t="s">
        <v>35</v>
      </c>
      <c r="R1431" s="133" t="s">
        <v>35</v>
      </c>
      <c r="S1431" s="133">
        <v>0</v>
      </c>
      <c r="T1431" s="135">
        <v>0.9</v>
      </c>
      <c r="U1431" s="133">
        <v>1</v>
      </c>
      <c r="V1431" s="133" t="s">
        <v>35</v>
      </c>
      <c r="W1431" s="133" t="s">
        <v>35</v>
      </c>
      <c r="X1431" s="133">
        <v>1</v>
      </c>
      <c r="Y1431" s="135">
        <v>0.92</v>
      </c>
      <c r="Z1431" s="135" t="s">
        <v>35</v>
      </c>
      <c r="AA1431" s="135" t="s">
        <v>35</v>
      </c>
      <c r="AB1431" s="135" t="s">
        <v>35</v>
      </c>
      <c r="AC1431" s="135" t="s">
        <v>35</v>
      </c>
      <c r="AD1431" s="135">
        <v>0.92</v>
      </c>
      <c r="AE1431" s="133">
        <v>1</v>
      </c>
      <c r="AF1431" s="133">
        <v>1</v>
      </c>
      <c r="AG1431" s="133">
        <v>0.997899159663866</v>
      </c>
      <c r="AH1431" s="133">
        <v>0.99694384311728</v>
      </c>
      <c r="AI1431" s="135">
        <v>0.92</v>
      </c>
      <c r="AJ1431" s="133">
        <v>1</v>
      </c>
      <c r="AK1431" s="133" t="s">
        <v>35</v>
      </c>
      <c r="AL1431" s="133" t="s">
        <v>35</v>
      </c>
      <c r="AM1431" s="133">
        <v>1</v>
      </c>
      <c r="AN1431" s="132">
        <v>0.99</v>
      </c>
      <c r="AO1431" s="137">
        <v>1</v>
      </c>
      <c r="AP1431" s="137">
        <v>1</v>
      </c>
      <c r="AQ1431" s="137">
        <v>1</v>
      </c>
      <c r="AR1431" s="137">
        <v>1</v>
      </c>
      <c r="AS1431" s="158">
        <v>0.110069253262963</v>
      </c>
      <c r="AT1431" s="141" t="s">
        <v>35</v>
      </c>
      <c r="AU1431" s="141" t="s">
        <v>35</v>
      </c>
      <c r="AV1431" s="141" t="s">
        <v>35</v>
      </c>
      <c r="AW1431" s="141" t="s">
        <v>35</v>
      </c>
      <c r="AX1431" s="95"/>
      <c r="AY1431" s="93"/>
    </row>
    <row r="1432" ht="14.5" spans="1:51">
      <c r="A1432" s="91"/>
      <c r="B1432" s="95"/>
      <c r="C1432" s="152" t="s">
        <v>1455</v>
      </c>
      <c r="D1432" s="153" t="s">
        <v>125</v>
      </c>
      <c r="E1432" s="130" t="s">
        <v>1456</v>
      </c>
      <c r="F1432" s="201" t="s">
        <v>1464</v>
      </c>
      <c r="G1432" s="201" t="s">
        <v>1464</v>
      </c>
      <c r="H1432" s="201" t="s">
        <v>1464</v>
      </c>
      <c r="I1432" s="201" t="s">
        <v>1464</v>
      </c>
      <c r="J1432" s="132">
        <v>0.9</v>
      </c>
      <c r="K1432" s="133" t="s">
        <v>35</v>
      </c>
      <c r="L1432" s="133" t="s">
        <v>35</v>
      </c>
      <c r="M1432" s="134" t="s">
        <v>35</v>
      </c>
      <c r="N1432" s="133" t="s">
        <v>35</v>
      </c>
      <c r="O1432" s="135">
        <v>0.9</v>
      </c>
      <c r="P1432" s="133" t="s">
        <v>35</v>
      </c>
      <c r="Q1432" s="133" t="s">
        <v>35</v>
      </c>
      <c r="R1432" s="133" t="s">
        <v>35</v>
      </c>
      <c r="S1432" s="133">
        <v>0</v>
      </c>
      <c r="T1432" s="135">
        <v>0.9</v>
      </c>
      <c r="U1432" s="133" t="s">
        <v>35</v>
      </c>
      <c r="V1432" s="133" t="s">
        <v>35</v>
      </c>
      <c r="W1432" s="133" t="s">
        <v>35</v>
      </c>
      <c r="X1432" s="133">
        <v>0.619047619047619</v>
      </c>
      <c r="Y1432" s="135">
        <v>0.92</v>
      </c>
      <c r="Z1432" s="135" t="s">
        <v>35</v>
      </c>
      <c r="AA1432" s="135" t="s">
        <v>35</v>
      </c>
      <c r="AB1432" s="135" t="s">
        <v>35</v>
      </c>
      <c r="AC1432" s="135">
        <v>0</v>
      </c>
      <c r="AD1432" s="135">
        <v>0.92</v>
      </c>
      <c r="AE1432" s="133">
        <v>0.99781181619256</v>
      </c>
      <c r="AF1432" s="133">
        <v>0.98589562764457</v>
      </c>
      <c r="AG1432" s="133">
        <v>0.99734395750332</v>
      </c>
      <c r="AH1432" s="133">
        <v>0.99472224101766</v>
      </c>
      <c r="AI1432" s="135">
        <v>0.92</v>
      </c>
      <c r="AJ1432" s="133" t="s">
        <v>35</v>
      </c>
      <c r="AK1432" s="133" t="s">
        <v>35</v>
      </c>
      <c r="AL1432" s="133" t="s">
        <v>35</v>
      </c>
      <c r="AM1432" s="133">
        <v>0.818181818181818</v>
      </c>
      <c r="AN1432" s="132">
        <v>0.99</v>
      </c>
      <c r="AO1432" s="137" t="s">
        <v>35</v>
      </c>
      <c r="AP1432" s="137" t="s">
        <v>35</v>
      </c>
      <c r="AQ1432" s="137">
        <v>1</v>
      </c>
      <c r="AR1432" s="137">
        <v>1</v>
      </c>
      <c r="AS1432" s="158">
        <v>0.110069253262963</v>
      </c>
      <c r="AT1432" s="141" t="s">
        <v>35</v>
      </c>
      <c r="AU1432" s="141" t="s">
        <v>35</v>
      </c>
      <c r="AV1432" s="141" t="s">
        <v>35</v>
      </c>
      <c r="AW1432" s="141" t="s">
        <v>35</v>
      </c>
      <c r="AX1432" s="95"/>
      <c r="AY1432" s="93"/>
    </row>
    <row r="1433" ht="14.5" spans="1:51">
      <c r="A1433" s="91"/>
      <c r="B1433" s="95"/>
      <c r="C1433" s="152" t="s">
        <v>1455</v>
      </c>
      <c r="D1433" s="153" t="s">
        <v>125</v>
      </c>
      <c r="E1433" s="130" t="s">
        <v>1456</v>
      </c>
      <c r="F1433" s="200" t="s">
        <v>1465</v>
      </c>
      <c r="G1433" s="200" t="s">
        <v>1465</v>
      </c>
      <c r="H1433" s="200" t="s">
        <v>1465</v>
      </c>
      <c r="I1433" s="200" t="s">
        <v>1465</v>
      </c>
      <c r="J1433" s="132">
        <v>0.9</v>
      </c>
      <c r="K1433" s="133" t="s">
        <v>35</v>
      </c>
      <c r="L1433" s="133" t="s">
        <v>35</v>
      </c>
      <c r="M1433" s="134" t="s">
        <v>35</v>
      </c>
      <c r="N1433" s="133" t="s">
        <v>35</v>
      </c>
      <c r="O1433" s="135">
        <v>0.9</v>
      </c>
      <c r="P1433" s="133" t="s">
        <v>35</v>
      </c>
      <c r="Q1433" s="133" t="s">
        <v>35</v>
      </c>
      <c r="R1433" s="133" t="s">
        <v>35</v>
      </c>
      <c r="S1433" s="133">
        <v>0</v>
      </c>
      <c r="T1433" s="135">
        <v>0.9</v>
      </c>
      <c r="U1433" s="133" t="s">
        <v>35</v>
      </c>
      <c r="V1433" s="133" t="s">
        <v>35</v>
      </c>
      <c r="W1433" s="133" t="s">
        <v>35</v>
      </c>
      <c r="X1433" s="133">
        <v>1</v>
      </c>
      <c r="Y1433" s="135">
        <v>0.92</v>
      </c>
      <c r="Z1433" s="135" t="s">
        <v>35</v>
      </c>
      <c r="AA1433" s="135" t="s">
        <v>35</v>
      </c>
      <c r="AB1433" s="135" t="s">
        <v>35</v>
      </c>
      <c r="AC1433" s="135" t="s">
        <v>35</v>
      </c>
      <c r="AD1433" s="135">
        <v>0.92</v>
      </c>
      <c r="AE1433" s="133">
        <v>0.904761904761905</v>
      </c>
      <c r="AF1433" s="133">
        <v>0.882352941176471</v>
      </c>
      <c r="AG1433" s="133">
        <v>1</v>
      </c>
      <c r="AH1433" s="133">
        <v>0.985125371865703</v>
      </c>
      <c r="AI1433" s="135">
        <v>0.92</v>
      </c>
      <c r="AJ1433" s="133" t="s">
        <v>35</v>
      </c>
      <c r="AK1433" s="133">
        <v>1</v>
      </c>
      <c r="AL1433" s="133" t="s">
        <v>35</v>
      </c>
      <c r="AM1433" s="133">
        <v>1</v>
      </c>
      <c r="AN1433" s="132">
        <v>0.99</v>
      </c>
      <c r="AO1433" s="137" t="s">
        <v>35</v>
      </c>
      <c r="AP1433" s="137" t="s">
        <v>35</v>
      </c>
      <c r="AQ1433" s="137">
        <v>1</v>
      </c>
      <c r="AR1433" s="137">
        <v>1</v>
      </c>
      <c r="AS1433" s="158">
        <v>0.110069253262963</v>
      </c>
      <c r="AT1433" s="141" t="s">
        <v>35</v>
      </c>
      <c r="AU1433" s="141" t="s">
        <v>35</v>
      </c>
      <c r="AV1433" s="141" t="s">
        <v>35</v>
      </c>
      <c r="AW1433" s="141" t="s">
        <v>35</v>
      </c>
      <c r="AX1433" s="95"/>
      <c r="AY1433" s="93"/>
    </row>
    <row r="1434" ht="14.5" spans="1:51">
      <c r="A1434" s="91"/>
      <c r="B1434" s="95"/>
      <c r="C1434" s="152" t="s">
        <v>1455</v>
      </c>
      <c r="D1434" s="153" t="s">
        <v>125</v>
      </c>
      <c r="E1434" s="130" t="s">
        <v>1456</v>
      </c>
      <c r="F1434" s="201" t="s">
        <v>1466</v>
      </c>
      <c r="G1434" s="201" t="s">
        <v>1466</v>
      </c>
      <c r="H1434" s="201" t="s">
        <v>1466</v>
      </c>
      <c r="I1434" s="201" t="s">
        <v>1466</v>
      </c>
      <c r="J1434" s="132">
        <v>0.9</v>
      </c>
      <c r="K1434" s="133" t="s">
        <v>35</v>
      </c>
      <c r="L1434" s="133" t="s">
        <v>35</v>
      </c>
      <c r="M1434" s="134" t="s">
        <v>35</v>
      </c>
      <c r="N1434" s="133" t="s">
        <v>35</v>
      </c>
      <c r="O1434" s="135">
        <v>0.9</v>
      </c>
      <c r="P1434" s="133" t="s">
        <v>35</v>
      </c>
      <c r="Q1434" s="133" t="s">
        <v>35</v>
      </c>
      <c r="R1434" s="133" t="s">
        <v>35</v>
      </c>
      <c r="S1434" s="133" t="s">
        <v>35</v>
      </c>
      <c r="T1434" s="135">
        <v>0.9</v>
      </c>
      <c r="U1434" s="133" t="s">
        <v>35</v>
      </c>
      <c r="V1434" s="133" t="s">
        <v>35</v>
      </c>
      <c r="W1434" s="133" t="s">
        <v>35</v>
      </c>
      <c r="X1434" s="133" t="s">
        <v>35</v>
      </c>
      <c r="Y1434" s="135">
        <v>0.92</v>
      </c>
      <c r="Z1434" s="135" t="s">
        <v>35</v>
      </c>
      <c r="AA1434" s="135" t="s">
        <v>35</v>
      </c>
      <c r="AB1434" s="135" t="s">
        <v>35</v>
      </c>
      <c r="AC1434" s="135" t="s">
        <v>35</v>
      </c>
      <c r="AD1434" s="135">
        <v>0.92</v>
      </c>
      <c r="AE1434" s="133">
        <v>1</v>
      </c>
      <c r="AF1434" s="133">
        <v>0.967741935483871</v>
      </c>
      <c r="AG1434" s="133">
        <v>1</v>
      </c>
      <c r="AH1434" s="133">
        <v>0.955801104972376</v>
      </c>
      <c r="AI1434" s="135">
        <v>0.92</v>
      </c>
      <c r="AJ1434" s="133" t="s">
        <v>35</v>
      </c>
      <c r="AK1434" s="133" t="s">
        <v>35</v>
      </c>
      <c r="AL1434" s="133" t="s">
        <v>35</v>
      </c>
      <c r="AM1434" s="133" t="s">
        <v>35</v>
      </c>
      <c r="AN1434" s="132">
        <v>0.99</v>
      </c>
      <c r="AO1434" s="137" t="s">
        <v>35</v>
      </c>
      <c r="AP1434" s="137" t="s">
        <v>35</v>
      </c>
      <c r="AQ1434" s="137" t="s">
        <v>35</v>
      </c>
      <c r="AR1434" s="137" t="s">
        <v>35</v>
      </c>
      <c r="AS1434" s="158">
        <v>0.110069253262963</v>
      </c>
      <c r="AT1434" s="141" t="s">
        <v>35</v>
      </c>
      <c r="AU1434" s="141" t="s">
        <v>35</v>
      </c>
      <c r="AV1434" s="141" t="s">
        <v>35</v>
      </c>
      <c r="AW1434" s="141" t="s">
        <v>35</v>
      </c>
      <c r="AX1434" s="95"/>
      <c r="AY1434" s="93"/>
    </row>
    <row r="1435" ht="14.5" spans="1:51">
      <c r="A1435" s="91"/>
      <c r="B1435" s="95"/>
      <c r="C1435" s="152" t="s">
        <v>1455</v>
      </c>
      <c r="D1435" s="153" t="s">
        <v>125</v>
      </c>
      <c r="E1435" s="130" t="s">
        <v>1456</v>
      </c>
      <c r="F1435" s="200" t="s">
        <v>1467</v>
      </c>
      <c r="G1435" s="200" t="s">
        <v>1467</v>
      </c>
      <c r="H1435" s="200" t="s">
        <v>1467</v>
      </c>
      <c r="I1435" s="200" t="s">
        <v>1467</v>
      </c>
      <c r="J1435" s="132">
        <v>0.9</v>
      </c>
      <c r="K1435" s="133" t="s">
        <v>35</v>
      </c>
      <c r="L1435" s="133" t="s">
        <v>35</v>
      </c>
      <c r="M1435" s="134" t="s">
        <v>35</v>
      </c>
      <c r="N1435" s="133" t="s">
        <v>35</v>
      </c>
      <c r="O1435" s="135">
        <v>0.9</v>
      </c>
      <c r="P1435" s="133">
        <v>0</v>
      </c>
      <c r="Q1435" s="133">
        <v>0</v>
      </c>
      <c r="R1435" s="133" t="s">
        <v>35</v>
      </c>
      <c r="S1435" s="133">
        <v>0</v>
      </c>
      <c r="T1435" s="135">
        <v>0.9</v>
      </c>
      <c r="U1435" s="133">
        <v>1</v>
      </c>
      <c r="V1435" s="133">
        <v>0.666666666666667</v>
      </c>
      <c r="W1435" s="133" t="s">
        <v>35</v>
      </c>
      <c r="X1435" s="133">
        <v>0.861111111111111</v>
      </c>
      <c r="Y1435" s="135">
        <v>0.92</v>
      </c>
      <c r="Z1435" s="135" t="s">
        <v>35</v>
      </c>
      <c r="AA1435" s="135" t="s">
        <v>35</v>
      </c>
      <c r="AB1435" s="135" t="s">
        <v>35</v>
      </c>
      <c r="AC1435" s="135">
        <v>0.5</v>
      </c>
      <c r="AD1435" s="135">
        <v>0.92</v>
      </c>
      <c r="AE1435" s="133">
        <v>0.998713826366559</v>
      </c>
      <c r="AF1435" s="133">
        <v>0.997524752475248</v>
      </c>
      <c r="AG1435" s="133">
        <v>0.991643454038997</v>
      </c>
      <c r="AH1435" s="133">
        <v>0.971810662475199</v>
      </c>
      <c r="AI1435" s="135">
        <v>0.92</v>
      </c>
      <c r="AJ1435" s="133">
        <v>1</v>
      </c>
      <c r="AK1435" s="133">
        <v>0.571428571428571</v>
      </c>
      <c r="AL1435" s="133">
        <v>1</v>
      </c>
      <c r="AM1435" s="133">
        <v>0.87719298245614</v>
      </c>
      <c r="AN1435" s="132">
        <v>0.99</v>
      </c>
      <c r="AO1435" s="137">
        <v>1</v>
      </c>
      <c r="AP1435" s="137" t="s">
        <v>35</v>
      </c>
      <c r="AQ1435" s="137" t="s">
        <v>35</v>
      </c>
      <c r="AR1435" s="137">
        <v>1</v>
      </c>
      <c r="AS1435" s="158">
        <v>0.110069253262963</v>
      </c>
      <c r="AT1435" s="141" t="s">
        <v>35</v>
      </c>
      <c r="AU1435" s="141" t="s">
        <v>35</v>
      </c>
      <c r="AV1435" s="141" t="s">
        <v>35</v>
      </c>
      <c r="AW1435" s="141" t="s">
        <v>35</v>
      </c>
      <c r="AX1435" s="95"/>
      <c r="AY1435" s="93"/>
    </row>
    <row r="1436" ht="14.5" spans="1:51">
      <c r="A1436" s="91"/>
      <c r="B1436" s="95"/>
      <c r="C1436" s="152" t="s">
        <v>1455</v>
      </c>
      <c r="D1436" s="153" t="s">
        <v>125</v>
      </c>
      <c r="E1436" s="130" t="s">
        <v>1456</v>
      </c>
      <c r="F1436" s="200" t="s">
        <v>1468</v>
      </c>
      <c r="G1436" s="200" t="s">
        <v>1468</v>
      </c>
      <c r="H1436" s="200" t="s">
        <v>1468</v>
      </c>
      <c r="I1436" s="200" t="s">
        <v>1468</v>
      </c>
      <c r="J1436" s="132">
        <v>0.9</v>
      </c>
      <c r="K1436" s="133" t="s">
        <v>35</v>
      </c>
      <c r="L1436" s="133" t="s">
        <v>35</v>
      </c>
      <c r="M1436" s="134" t="s">
        <v>35</v>
      </c>
      <c r="N1436" s="133" t="s">
        <v>35</v>
      </c>
      <c r="O1436" s="135">
        <v>0.9</v>
      </c>
      <c r="P1436" s="133" t="s">
        <v>35</v>
      </c>
      <c r="Q1436" s="133" t="s">
        <v>35</v>
      </c>
      <c r="R1436" s="133" t="s">
        <v>35</v>
      </c>
      <c r="S1436" s="133" t="s">
        <v>35</v>
      </c>
      <c r="T1436" s="135">
        <v>0.9</v>
      </c>
      <c r="U1436" s="133" t="s">
        <v>35</v>
      </c>
      <c r="V1436" s="133" t="s">
        <v>35</v>
      </c>
      <c r="W1436" s="133" t="s">
        <v>35</v>
      </c>
      <c r="X1436" s="133" t="s">
        <v>35</v>
      </c>
      <c r="Y1436" s="135">
        <v>0.92</v>
      </c>
      <c r="Z1436" s="135" t="s">
        <v>35</v>
      </c>
      <c r="AA1436" s="135" t="s">
        <v>35</v>
      </c>
      <c r="AB1436" s="135" t="s">
        <v>35</v>
      </c>
      <c r="AC1436" s="135" t="s">
        <v>35</v>
      </c>
      <c r="AD1436" s="135">
        <v>0.92</v>
      </c>
      <c r="AE1436" s="133">
        <v>1</v>
      </c>
      <c r="AF1436" s="133">
        <v>1</v>
      </c>
      <c r="AG1436" s="133">
        <v>1</v>
      </c>
      <c r="AH1436" s="133">
        <v>1</v>
      </c>
      <c r="AI1436" s="135">
        <v>0.92</v>
      </c>
      <c r="AJ1436" s="133" t="s">
        <v>35</v>
      </c>
      <c r="AK1436" s="133" t="s">
        <v>35</v>
      </c>
      <c r="AL1436" s="133" t="s">
        <v>35</v>
      </c>
      <c r="AM1436" s="133" t="s">
        <v>35</v>
      </c>
      <c r="AN1436" s="132">
        <v>0.99</v>
      </c>
      <c r="AO1436" s="137">
        <v>1</v>
      </c>
      <c r="AP1436" s="137" t="s">
        <v>35</v>
      </c>
      <c r="AQ1436" s="137" t="s">
        <v>35</v>
      </c>
      <c r="AR1436" s="137">
        <v>1</v>
      </c>
      <c r="AS1436" s="158">
        <v>0.110069253262963</v>
      </c>
      <c r="AT1436" s="141" t="s">
        <v>35</v>
      </c>
      <c r="AU1436" s="141" t="s">
        <v>35</v>
      </c>
      <c r="AV1436" s="141" t="s">
        <v>35</v>
      </c>
      <c r="AW1436" s="141" t="s">
        <v>35</v>
      </c>
      <c r="AX1436" s="95"/>
      <c r="AY1436" s="93"/>
    </row>
    <row r="1437" ht="14.5" spans="1:51">
      <c r="A1437" s="91"/>
      <c r="B1437" s="95"/>
      <c r="C1437" s="152" t="s">
        <v>1455</v>
      </c>
      <c r="D1437" s="153" t="s">
        <v>125</v>
      </c>
      <c r="E1437" s="130" t="s">
        <v>1456</v>
      </c>
      <c r="F1437" s="201" t="s">
        <v>1469</v>
      </c>
      <c r="G1437" s="201" t="s">
        <v>1469</v>
      </c>
      <c r="H1437" s="201" t="s">
        <v>1469</v>
      </c>
      <c r="I1437" s="201" t="s">
        <v>1469</v>
      </c>
      <c r="J1437" s="132">
        <v>0.9</v>
      </c>
      <c r="K1437" s="133" t="s">
        <v>35</v>
      </c>
      <c r="L1437" s="133" t="s">
        <v>35</v>
      </c>
      <c r="M1437" s="134" t="s">
        <v>35</v>
      </c>
      <c r="N1437" s="133" t="s">
        <v>35</v>
      </c>
      <c r="O1437" s="135">
        <v>0.9</v>
      </c>
      <c r="P1437" s="133" t="s">
        <v>35</v>
      </c>
      <c r="Q1437" s="133" t="s">
        <v>35</v>
      </c>
      <c r="R1437" s="133" t="s">
        <v>35</v>
      </c>
      <c r="S1437" s="133">
        <v>0</v>
      </c>
      <c r="T1437" s="135">
        <v>0.9</v>
      </c>
      <c r="U1437" s="133" t="s">
        <v>35</v>
      </c>
      <c r="V1437" s="133" t="s">
        <v>35</v>
      </c>
      <c r="W1437" s="133" t="s">
        <v>35</v>
      </c>
      <c r="X1437" s="133">
        <v>1</v>
      </c>
      <c r="Y1437" s="135">
        <v>0.92</v>
      </c>
      <c r="Z1437" s="135" t="s">
        <v>35</v>
      </c>
      <c r="AA1437" s="135" t="s">
        <v>35</v>
      </c>
      <c r="AB1437" s="135" t="s">
        <v>35</v>
      </c>
      <c r="AC1437" s="135" t="s">
        <v>35</v>
      </c>
      <c r="AD1437" s="135">
        <v>0.92</v>
      </c>
      <c r="AE1437" s="133">
        <v>1</v>
      </c>
      <c r="AF1437" s="133">
        <v>0.998287671232877</v>
      </c>
      <c r="AG1437" s="133">
        <v>0.995581737849779</v>
      </c>
      <c r="AH1437" s="133">
        <v>0.991772981995946</v>
      </c>
      <c r="AI1437" s="135">
        <v>0.92</v>
      </c>
      <c r="AJ1437" s="133" t="s">
        <v>35</v>
      </c>
      <c r="AK1437" s="133" t="s">
        <v>35</v>
      </c>
      <c r="AL1437" s="133" t="s">
        <v>35</v>
      </c>
      <c r="AM1437" s="133">
        <v>1</v>
      </c>
      <c r="AN1437" s="132">
        <v>0.99</v>
      </c>
      <c r="AO1437" s="137">
        <v>1</v>
      </c>
      <c r="AP1437" s="137" t="s">
        <v>35</v>
      </c>
      <c r="AQ1437" s="137" t="s">
        <v>35</v>
      </c>
      <c r="AR1437" s="137">
        <v>1</v>
      </c>
      <c r="AS1437" s="158">
        <v>0.110069253262963</v>
      </c>
      <c r="AT1437" s="141" t="s">
        <v>35</v>
      </c>
      <c r="AU1437" s="141" t="s">
        <v>35</v>
      </c>
      <c r="AV1437" s="141" t="s">
        <v>35</v>
      </c>
      <c r="AW1437" s="141" t="s">
        <v>35</v>
      </c>
      <c r="AX1437" s="95"/>
      <c r="AY1437" s="93"/>
    </row>
    <row r="1438" ht="14.5" spans="1:51">
      <c r="A1438" s="91"/>
      <c r="B1438" s="95"/>
      <c r="C1438" s="152" t="s">
        <v>1455</v>
      </c>
      <c r="D1438" s="153" t="s">
        <v>125</v>
      </c>
      <c r="E1438" s="130" t="s">
        <v>1456</v>
      </c>
      <c r="F1438" s="201" t="s">
        <v>1470</v>
      </c>
      <c r="G1438" s="201" t="s">
        <v>1470</v>
      </c>
      <c r="H1438" s="201" t="s">
        <v>1470</v>
      </c>
      <c r="I1438" s="201" t="s">
        <v>1470</v>
      </c>
      <c r="J1438" s="132">
        <v>0.9</v>
      </c>
      <c r="K1438" s="133" t="s">
        <v>35</v>
      </c>
      <c r="L1438" s="133" t="s">
        <v>35</v>
      </c>
      <c r="M1438" s="134" t="s">
        <v>35</v>
      </c>
      <c r="N1438" s="133" t="s">
        <v>35</v>
      </c>
      <c r="O1438" s="135">
        <v>0.9</v>
      </c>
      <c r="P1438" s="133" t="s">
        <v>35</v>
      </c>
      <c r="Q1438" s="133" t="s">
        <v>35</v>
      </c>
      <c r="R1438" s="133" t="s">
        <v>35</v>
      </c>
      <c r="S1438" s="133">
        <v>0</v>
      </c>
      <c r="T1438" s="135">
        <v>0.9</v>
      </c>
      <c r="U1438" s="133" t="s">
        <v>35</v>
      </c>
      <c r="V1438" s="133" t="s">
        <v>35</v>
      </c>
      <c r="W1438" s="133" t="s">
        <v>35</v>
      </c>
      <c r="X1438" s="133">
        <v>1</v>
      </c>
      <c r="Y1438" s="135">
        <v>0.92</v>
      </c>
      <c r="Z1438" s="135" t="s">
        <v>35</v>
      </c>
      <c r="AA1438" s="135" t="s">
        <v>35</v>
      </c>
      <c r="AB1438" s="135" t="s">
        <v>35</v>
      </c>
      <c r="AC1438" s="135" t="s">
        <v>35</v>
      </c>
      <c r="AD1438" s="135">
        <v>0.92</v>
      </c>
      <c r="AE1438" s="133">
        <v>1</v>
      </c>
      <c r="AF1438" s="133">
        <v>0.962962962962963</v>
      </c>
      <c r="AG1438" s="133">
        <v>1</v>
      </c>
      <c r="AH1438" s="133">
        <v>0.994732881866065</v>
      </c>
      <c r="AI1438" s="135">
        <v>0.92</v>
      </c>
      <c r="AJ1438" s="133" t="s">
        <v>35</v>
      </c>
      <c r="AK1438" s="133" t="s">
        <v>35</v>
      </c>
      <c r="AL1438" s="133" t="s">
        <v>35</v>
      </c>
      <c r="AM1438" s="133">
        <v>1</v>
      </c>
      <c r="AN1438" s="132">
        <v>0.99</v>
      </c>
      <c r="AO1438" s="137" t="s">
        <v>35</v>
      </c>
      <c r="AP1438" s="137" t="s">
        <v>35</v>
      </c>
      <c r="AQ1438" s="137" t="s">
        <v>35</v>
      </c>
      <c r="AR1438" s="137" t="s">
        <v>35</v>
      </c>
      <c r="AS1438" s="158">
        <v>0.110069253262963</v>
      </c>
      <c r="AT1438" s="141" t="s">
        <v>35</v>
      </c>
      <c r="AU1438" s="141" t="s">
        <v>35</v>
      </c>
      <c r="AV1438" s="141" t="s">
        <v>35</v>
      </c>
      <c r="AW1438" s="141" t="s">
        <v>35</v>
      </c>
      <c r="AX1438" s="95"/>
      <c r="AY1438" s="93"/>
    </row>
    <row r="1439" ht="14.5" spans="1:51">
      <c r="A1439" s="91"/>
      <c r="B1439" s="95"/>
      <c r="C1439" s="152" t="s">
        <v>1455</v>
      </c>
      <c r="D1439" s="153" t="s">
        <v>125</v>
      </c>
      <c r="E1439" s="130" t="s">
        <v>1456</v>
      </c>
      <c r="F1439" s="201" t="s">
        <v>1471</v>
      </c>
      <c r="G1439" s="201" t="s">
        <v>1471</v>
      </c>
      <c r="H1439" s="201" t="s">
        <v>1471</v>
      </c>
      <c r="I1439" s="201" t="s">
        <v>1471</v>
      </c>
      <c r="J1439" s="132">
        <v>0.9</v>
      </c>
      <c r="K1439" s="133" t="s">
        <v>35</v>
      </c>
      <c r="L1439" s="133" t="s">
        <v>35</v>
      </c>
      <c r="M1439" s="134" t="s">
        <v>35</v>
      </c>
      <c r="N1439" s="133" t="s">
        <v>35</v>
      </c>
      <c r="O1439" s="135">
        <v>0.9</v>
      </c>
      <c r="P1439" s="133" t="s">
        <v>35</v>
      </c>
      <c r="Q1439" s="133" t="s">
        <v>35</v>
      </c>
      <c r="R1439" s="133" t="s">
        <v>35</v>
      </c>
      <c r="S1439" s="133" t="s">
        <v>35</v>
      </c>
      <c r="T1439" s="135">
        <v>0.9</v>
      </c>
      <c r="U1439" s="133" t="s">
        <v>35</v>
      </c>
      <c r="V1439" s="133" t="s">
        <v>35</v>
      </c>
      <c r="W1439" s="133" t="s">
        <v>35</v>
      </c>
      <c r="X1439" s="133" t="s">
        <v>35</v>
      </c>
      <c r="Y1439" s="135">
        <v>0.92</v>
      </c>
      <c r="Z1439" s="135" t="s">
        <v>35</v>
      </c>
      <c r="AA1439" s="135" t="s">
        <v>35</v>
      </c>
      <c r="AB1439" s="135" t="s">
        <v>35</v>
      </c>
      <c r="AC1439" s="135" t="s">
        <v>35</v>
      </c>
      <c r="AD1439" s="135">
        <v>0.92</v>
      </c>
      <c r="AE1439" s="133">
        <v>1</v>
      </c>
      <c r="AF1439" s="133">
        <v>1</v>
      </c>
      <c r="AG1439" s="133">
        <v>1</v>
      </c>
      <c r="AH1439" s="133">
        <v>0.999772365126337</v>
      </c>
      <c r="AI1439" s="135">
        <v>0.92</v>
      </c>
      <c r="AJ1439" s="133" t="s">
        <v>35</v>
      </c>
      <c r="AK1439" s="133" t="s">
        <v>35</v>
      </c>
      <c r="AL1439" s="133" t="s">
        <v>35</v>
      </c>
      <c r="AM1439" s="133" t="s">
        <v>35</v>
      </c>
      <c r="AN1439" s="132">
        <v>0.99</v>
      </c>
      <c r="AO1439" s="137" t="s">
        <v>35</v>
      </c>
      <c r="AP1439" s="137" t="s">
        <v>35</v>
      </c>
      <c r="AQ1439" s="137" t="s">
        <v>35</v>
      </c>
      <c r="AR1439" s="137" t="s">
        <v>35</v>
      </c>
      <c r="AS1439" s="158">
        <v>0.110069253262963</v>
      </c>
      <c r="AT1439" s="141" t="s">
        <v>35</v>
      </c>
      <c r="AU1439" s="141" t="s">
        <v>35</v>
      </c>
      <c r="AV1439" s="141" t="s">
        <v>35</v>
      </c>
      <c r="AW1439" s="141" t="s">
        <v>35</v>
      </c>
      <c r="AX1439" s="95"/>
      <c r="AY1439" s="93"/>
    </row>
    <row r="1440" ht="14.5" spans="1:51">
      <c r="A1440" s="91"/>
      <c r="B1440" s="95"/>
      <c r="C1440" s="152" t="s">
        <v>1455</v>
      </c>
      <c r="D1440" s="153" t="s">
        <v>125</v>
      </c>
      <c r="E1440" s="130" t="s">
        <v>1456</v>
      </c>
      <c r="F1440" s="201" t="s">
        <v>1472</v>
      </c>
      <c r="G1440" s="201" t="s">
        <v>1472</v>
      </c>
      <c r="H1440" s="201" t="s">
        <v>1472</v>
      </c>
      <c r="I1440" s="201" t="s">
        <v>1472</v>
      </c>
      <c r="J1440" s="132">
        <v>0.9</v>
      </c>
      <c r="K1440" s="133" t="s">
        <v>35</v>
      </c>
      <c r="L1440" s="133" t="s">
        <v>35</v>
      </c>
      <c r="M1440" s="134" t="s">
        <v>35</v>
      </c>
      <c r="N1440" s="133" t="s">
        <v>35</v>
      </c>
      <c r="O1440" s="135">
        <v>0.9</v>
      </c>
      <c r="P1440" s="133" t="s">
        <v>35</v>
      </c>
      <c r="Q1440" s="133" t="s">
        <v>35</v>
      </c>
      <c r="R1440" s="133" t="s">
        <v>35</v>
      </c>
      <c r="S1440" s="133">
        <v>0</v>
      </c>
      <c r="T1440" s="135">
        <v>0.9</v>
      </c>
      <c r="U1440" s="133" t="s">
        <v>35</v>
      </c>
      <c r="V1440" s="133" t="s">
        <v>35</v>
      </c>
      <c r="W1440" s="133" t="s">
        <v>35</v>
      </c>
      <c r="X1440" s="133">
        <v>1</v>
      </c>
      <c r="Y1440" s="135">
        <v>0.92</v>
      </c>
      <c r="Z1440" s="135" t="s">
        <v>35</v>
      </c>
      <c r="AA1440" s="135" t="s">
        <v>35</v>
      </c>
      <c r="AB1440" s="135" t="s">
        <v>35</v>
      </c>
      <c r="AC1440" s="135" t="s">
        <v>35</v>
      </c>
      <c r="AD1440" s="135">
        <v>0.92</v>
      </c>
      <c r="AE1440" s="133">
        <v>1</v>
      </c>
      <c r="AF1440" s="133">
        <v>0.992125984251969</v>
      </c>
      <c r="AG1440" s="133">
        <v>1</v>
      </c>
      <c r="AH1440" s="133">
        <v>0.989355231143552</v>
      </c>
      <c r="AI1440" s="135">
        <v>0.92</v>
      </c>
      <c r="AJ1440" s="133" t="s">
        <v>35</v>
      </c>
      <c r="AK1440" s="133" t="s">
        <v>35</v>
      </c>
      <c r="AL1440" s="133" t="s">
        <v>35</v>
      </c>
      <c r="AM1440" s="133">
        <v>1</v>
      </c>
      <c r="AN1440" s="132">
        <v>0.99</v>
      </c>
      <c r="AO1440" s="137" t="s">
        <v>35</v>
      </c>
      <c r="AP1440" s="137" t="s">
        <v>35</v>
      </c>
      <c r="AQ1440" s="137" t="s">
        <v>35</v>
      </c>
      <c r="AR1440" s="137" t="s">
        <v>35</v>
      </c>
      <c r="AS1440" s="158">
        <v>0.110069253262963</v>
      </c>
      <c r="AT1440" s="141" t="s">
        <v>35</v>
      </c>
      <c r="AU1440" s="141" t="s">
        <v>35</v>
      </c>
      <c r="AV1440" s="141" t="s">
        <v>35</v>
      </c>
      <c r="AW1440" s="141" t="s">
        <v>35</v>
      </c>
      <c r="AX1440" s="95"/>
      <c r="AY1440" s="93"/>
    </row>
    <row r="1441" ht="14.5" spans="1:51">
      <c r="A1441" s="91"/>
      <c r="B1441" s="95"/>
      <c r="C1441" s="152" t="s">
        <v>1455</v>
      </c>
      <c r="D1441" s="153" t="s">
        <v>125</v>
      </c>
      <c r="E1441" s="130" t="s">
        <v>1456</v>
      </c>
      <c r="F1441" s="201" t="s">
        <v>1473</v>
      </c>
      <c r="G1441" s="201" t="s">
        <v>1473</v>
      </c>
      <c r="H1441" s="201" t="s">
        <v>1473</v>
      </c>
      <c r="I1441" s="201" t="s">
        <v>1473</v>
      </c>
      <c r="J1441" s="132">
        <v>0.9</v>
      </c>
      <c r="K1441" s="133" t="s">
        <v>35</v>
      </c>
      <c r="L1441" s="133" t="s">
        <v>35</v>
      </c>
      <c r="M1441" s="134" t="s">
        <v>35</v>
      </c>
      <c r="N1441" s="133" t="s">
        <v>35</v>
      </c>
      <c r="O1441" s="135">
        <v>0.9</v>
      </c>
      <c r="P1441" s="133" t="s">
        <v>35</v>
      </c>
      <c r="Q1441" s="133" t="s">
        <v>35</v>
      </c>
      <c r="R1441" s="133">
        <v>0</v>
      </c>
      <c r="S1441" s="133">
        <v>0</v>
      </c>
      <c r="T1441" s="135">
        <v>0.9</v>
      </c>
      <c r="U1441" s="133" t="s">
        <v>35</v>
      </c>
      <c r="V1441" s="133" t="s">
        <v>35</v>
      </c>
      <c r="W1441" s="133">
        <v>1</v>
      </c>
      <c r="X1441" s="133">
        <v>1</v>
      </c>
      <c r="Y1441" s="135">
        <v>0.92</v>
      </c>
      <c r="Z1441" s="135" t="s">
        <v>35</v>
      </c>
      <c r="AA1441" s="135" t="s">
        <v>35</v>
      </c>
      <c r="AB1441" s="135" t="s">
        <v>35</v>
      </c>
      <c r="AC1441" s="135">
        <v>1</v>
      </c>
      <c r="AD1441" s="135">
        <v>0.92</v>
      </c>
      <c r="AE1441" s="133">
        <v>0.989641434262948</v>
      </c>
      <c r="AF1441" s="133">
        <v>0.96048632218845</v>
      </c>
      <c r="AG1441" s="133">
        <v>0.998079385403329</v>
      </c>
      <c r="AH1441" s="133">
        <v>0.994838501552482</v>
      </c>
      <c r="AI1441" s="135">
        <v>0.92</v>
      </c>
      <c r="AJ1441" s="133" t="s">
        <v>35</v>
      </c>
      <c r="AK1441" s="133" t="s">
        <v>35</v>
      </c>
      <c r="AL1441" s="133">
        <v>1</v>
      </c>
      <c r="AM1441" s="133">
        <v>1</v>
      </c>
      <c r="AN1441" s="132">
        <v>0.99</v>
      </c>
      <c r="AO1441" s="137" t="s">
        <v>35</v>
      </c>
      <c r="AP1441" s="137" t="s">
        <v>35</v>
      </c>
      <c r="AQ1441" s="137" t="s">
        <v>35</v>
      </c>
      <c r="AR1441" s="137">
        <v>1</v>
      </c>
      <c r="AS1441" s="158">
        <v>0.110069253262963</v>
      </c>
      <c r="AT1441" s="141" t="s">
        <v>35</v>
      </c>
      <c r="AU1441" s="141" t="s">
        <v>35</v>
      </c>
      <c r="AV1441" s="141" t="s">
        <v>35</v>
      </c>
      <c r="AW1441" s="141" t="s">
        <v>35</v>
      </c>
      <c r="AX1441" s="95"/>
      <c r="AY1441" s="93"/>
    </row>
    <row r="1442" ht="14.5" spans="1:51">
      <c r="A1442" s="91"/>
      <c r="B1442" s="95"/>
      <c r="C1442" s="152" t="s">
        <v>1455</v>
      </c>
      <c r="D1442" s="153" t="s">
        <v>125</v>
      </c>
      <c r="E1442" s="130" t="s">
        <v>1456</v>
      </c>
      <c r="F1442" s="201" t="s">
        <v>1474</v>
      </c>
      <c r="G1442" s="201" t="s">
        <v>1474</v>
      </c>
      <c r="H1442" s="201" t="s">
        <v>1474</v>
      </c>
      <c r="I1442" s="201" t="s">
        <v>1474</v>
      </c>
      <c r="J1442" s="132">
        <v>0.9</v>
      </c>
      <c r="K1442" s="133" t="s">
        <v>35</v>
      </c>
      <c r="L1442" s="133" t="s">
        <v>35</v>
      </c>
      <c r="M1442" s="134" t="s">
        <v>35</v>
      </c>
      <c r="N1442" s="133" t="s">
        <v>35</v>
      </c>
      <c r="O1442" s="135">
        <v>0.9</v>
      </c>
      <c r="P1442" s="133" t="s">
        <v>35</v>
      </c>
      <c r="Q1442" s="133" t="s">
        <v>35</v>
      </c>
      <c r="R1442" s="133" t="s">
        <v>35</v>
      </c>
      <c r="S1442" s="133" t="s">
        <v>35</v>
      </c>
      <c r="T1442" s="135">
        <v>0.9</v>
      </c>
      <c r="U1442" s="133" t="s">
        <v>35</v>
      </c>
      <c r="V1442" s="133" t="s">
        <v>35</v>
      </c>
      <c r="W1442" s="133" t="s">
        <v>35</v>
      </c>
      <c r="X1442" s="133" t="s">
        <v>35</v>
      </c>
      <c r="Y1442" s="135">
        <v>0.92</v>
      </c>
      <c r="Z1442" s="135" t="s">
        <v>35</v>
      </c>
      <c r="AA1442" s="135" t="s">
        <v>35</v>
      </c>
      <c r="AB1442" s="135" t="s">
        <v>35</v>
      </c>
      <c r="AC1442" s="135" t="s">
        <v>35</v>
      </c>
      <c r="AD1442" s="135">
        <v>0.92</v>
      </c>
      <c r="AE1442" s="133">
        <v>0.610958904109589</v>
      </c>
      <c r="AF1442" s="133">
        <v>0.970822281167109</v>
      </c>
      <c r="AG1442" s="133">
        <v>0.898461538461538</v>
      </c>
      <c r="AH1442" s="133">
        <v>0.853161059645701</v>
      </c>
      <c r="AI1442" s="135">
        <v>0.92</v>
      </c>
      <c r="AJ1442" s="133" t="s">
        <v>35</v>
      </c>
      <c r="AK1442" s="133" t="s">
        <v>35</v>
      </c>
      <c r="AL1442" s="133" t="s">
        <v>35</v>
      </c>
      <c r="AM1442" s="133" t="s">
        <v>35</v>
      </c>
      <c r="AN1442" s="132">
        <v>0.99</v>
      </c>
      <c r="AO1442" s="137" t="s">
        <v>35</v>
      </c>
      <c r="AP1442" s="137" t="s">
        <v>35</v>
      </c>
      <c r="AQ1442" s="137" t="s">
        <v>35</v>
      </c>
      <c r="AR1442" s="137">
        <v>1</v>
      </c>
      <c r="AS1442" s="158">
        <v>0.110069253262963</v>
      </c>
      <c r="AT1442" s="141" t="s">
        <v>35</v>
      </c>
      <c r="AU1442" s="141" t="s">
        <v>35</v>
      </c>
      <c r="AV1442" s="141" t="s">
        <v>35</v>
      </c>
      <c r="AW1442" s="141" t="s">
        <v>35</v>
      </c>
      <c r="AX1442" s="95"/>
      <c r="AY1442" s="93"/>
    </row>
    <row r="1443" ht="14.5" spans="1:51">
      <c r="A1443" s="91"/>
      <c r="B1443" s="95"/>
      <c r="C1443" s="152" t="s">
        <v>1455</v>
      </c>
      <c r="D1443" s="153" t="s">
        <v>125</v>
      </c>
      <c r="E1443" s="130" t="s">
        <v>1456</v>
      </c>
      <c r="F1443" s="200" t="s">
        <v>1475</v>
      </c>
      <c r="G1443" s="200" t="s">
        <v>1475</v>
      </c>
      <c r="H1443" s="200" t="s">
        <v>1475</v>
      </c>
      <c r="I1443" s="200" t="s">
        <v>1475</v>
      </c>
      <c r="J1443" s="132">
        <v>0.9</v>
      </c>
      <c r="K1443" s="133" t="s">
        <v>35</v>
      </c>
      <c r="L1443" s="133" t="s">
        <v>35</v>
      </c>
      <c r="M1443" s="134" t="s">
        <v>35</v>
      </c>
      <c r="N1443" s="133" t="s">
        <v>35</v>
      </c>
      <c r="O1443" s="135">
        <v>0.9</v>
      </c>
      <c r="P1443" s="133">
        <v>0</v>
      </c>
      <c r="Q1443" s="133" t="s">
        <v>35</v>
      </c>
      <c r="R1443" s="133" t="s">
        <v>35</v>
      </c>
      <c r="S1443" s="133">
        <v>0</v>
      </c>
      <c r="T1443" s="135">
        <v>0.9</v>
      </c>
      <c r="U1443" s="133">
        <v>0</v>
      </c>
      <c r="V1443" s="133" t="s">
        <v>35</v>
      </c>
      <c r="W1443" s="133" t="s">
        <v>35</v>
      </c>
      <c r="X1443" s="133">
        <v>0.5</v>
      </c>
      <c r="Y1443" s="135">
        <v>0.92</v>
      </c>
      <c r="Z1443" s="135" t="s">
        <v>35</v>
      </c>
      <c r="AA1443" s="135" t="s">
        <v>35</v>
      </c>
      <c r="AB1443" s="135" t="s">
        <v>35</v>
      </c>
      <c r="AC1443" s="135" t="s">
        <v>35</v>
      </c>
      <c r="AD1443" s="135">
        <v>0.92</v>
      </c>
      <c r="AE1443" s="133">
        <v>0.925373134328358</v>
      </c>
      <c r="AF1443" s="133">
        <v>0.950867052023121</v>
      </c>
      <c r="AG1443" s="133">
        <v>1</v>
      </c>
      <c r="AH1443" s="133">
        <v>0.995490981963928</v>
      </c>
      <c r="AI1443" s="135">
        <v>0.92</v>
      </c>
      <c r="AJ1443" s="133">
        <v>0</v>
      </c>
      <c r="AK1443" s="133">
        <v>1</v>
      </c>
      <c r="AL1443" s="133" t="s">
        <v>35</v>
      </c>
      <c r="AM1443" s="133">
        <v>0.666666666666667</v>
      </c>
      <c r="AN1443" s="132">
        <v>0.99</v>
      </c>
      <c r="AO1443" s="137" t="s">
        <v>35</v>
      </c>
      <c r="AP1443" s="137" t="s">
        <v>35</v>
      </c>
      <c r="AQ1443" s="137">
        <v>1</v>
      </c>
      <c r="AR1443" s="137">
        <v>1</v>
      </c>
      <c r="AS1443" s="158">
        <v>0.110069253262963</v>
      </c>
      <c r="AT1443" s="141" t="s">
        <v>35</v>
      </c>
      <c r="AU1443" s="141" t="s">
        <v>35</v>
      </c>
      <c r="AV1443" s="141" t="s">
        <v>35</v>
      </c>
      <c r="AW1443" s="141" t="s">
        <v>35</v>
      </c>
      <c r="AX1443" s="95"/>
      <c r="AY1443" s="93"/>
    </row>
    <row r="1444" ht="14.5" spans="1:51">
      <c r="A1444" s="91"/>
      <c r="B1444" s="95"/>
      <c r="C1444" s="152" t="s">
        <v>1455</v>
      </c>
      <c r="D1444" s="153" t="s">
        <v>125</v>
      </c>
      <c r="E1444" s="130" t="s">
        <v>1456</v>
      </c>
      <c r="F1444" s="200" t="s">
        <v>1476</v>
      </c>
      <c r="G1444" s="200" t="s">
        <v>1476</v>
      </c>
      <c r="H1444" s="200" t="s">
        <v>1476</v>
      </c>
      <c r="I1444" s="200" t="s">
        <v>1476</v>
      </c>
      <c r="J1444" s="132">
        <v>0.9</v>
      </c>
      <c r="K1444" s="133" t="s">
        <v>35</v>
      </c>
      <c r="L1444" s="133" t="s">
        <v>35</v>
      </c>
      <c r="M1444" s="134" t="s">
        <v>35</v>
      </c>
      <c r="N1444" s="133" t="s">
        <v>35</v>
      </c>
      <c r="O1444" s="135">
        <v>0.9</v>
      </c>
      <c r="P1444" s="133" t="s">
        <v>35</v>
      </c>
      <c r="Q1444" s="133" t="s">
        <v>35</v>
      </c>
      <c r="R1444" s="133" t="s">
        <v>35</v>
      </c>
      <c r="S1444" s="133" t="s">
        <v>35</v>
      </c>
      <c r="T1444" s="135">
        <v>0.9</v>
      </c>
      <c r="U1444" s="133" t="s">
        <v>35</v>
      </c>
      <c r="V1444" s="133" t="s">
        <v>35</v>
      </c>
      <c r="W1444" s="133" t="s">
        <v>35</v>
      </c>
      <c r="X1444" s="133" t="s">
        <v>35</v>
      </c>
      <c r="Y1444" s="135">
        <v>0.92</v>
      </c>
      <c r="Z1444" s="135" t="s">
        <v>35</v>
      </c>
      <c r="AA1444" s="135" t="s">
        <v>35</v>
      </c>
      <c r="AB1444" s="135" t="s">
        <v>35</v>
      </c>
      <c r="AC1444" s="135" t="s">
        <v>35</v>
      </c>
      <c r="AD1444" s="135">
        <v>0.92</v>
      </c>
      <c r="AE1444" s="133">
        <v>0.117647058823529</v>
      </c>
      <c r="AF1444" s="133">
        <v>0.25</v>
      </c>
      <c r="AG1444" s="133">
        <v>0.9375</v>
      </c>
      <c r="AH1444" s="133">
        <v>0.365740740740741</v>
      </c>
      <c r="AI1444" s="135">
        <v>0.92</v>
      </c>
      <c r="AJ1444" s="133" t="s">
        <v>35</v>
      </c>
      <c r="AK1444" s="133" t="s">
        <v>35</v>
      </c>
      <c r="AL1444" s="133" t="s">
        <v>35</v>
      </c>
      <c r="AM1444" s="133" t="s">
        <v>35</v>
      </c>
      <c r="AN1444" s="132">
        <v>0.99</v>
      </c>
      <c r="AO1444" s="137" t="s">
        <v>35</v>
      </c>
      <c r="AP1444" s="137" t="s">
        <v>35</v>
      </c>
      <c r="AQ1444" s="137" t="s">
        <v>35</v>
      </c>
      <c r="AR1444" s="137" t="s">
        <v>35</v>
      </c>
      <c r="AS1444" s="158">
        <v>0.110069253262963</v>
      </c>
      <c r="AT1444" s="141" t="s">
        <v>35</v>
      </c>
      <c r="AU1444" s="141" t="s">
        <v>35</v>
      </c>
      <c r="AV1444" s="141" t="s">
        <v>35</v>
      </c>
      <c r="AW1444" s="141" t="s">
        <v>35</v>
      </c>
      <c r="AX1444" s="95"/>
      <c r="AY1444" s="93"/>
    </row>
    <row r="1445" ht="14.5" spans="1:51">
      <c r="A1445" s="91"/>
      <c r="B1445" s="95"/>
      <c r="C1445" s="152" t="s">
        <v>1455</v>
      </c>
      <c r="D1445" s="153" t="s">
        <v>125</v>
      </c>
      <c r="E1445" s="130" t="s">
        <v>1456</v>
      </c>
      <c r="F1445" s="200" t="s">
        <v>1477</v>
      </c>
      <c r="G1445" s="200" t="s">
        <v>1477</v>
      </c>
      <c r="H1445" s="200" t="s">
        <v>1477</v>
      </c>
      <c r="I1445" s="200" t="s">
        <v>1477</v>
      </c>
      <c r="J1445" s="132">
        <v>0.9</v>
      </c>
      <c r="K1445" s="133" t="s">
        <v>35</v>
      </c>
      <c r="L1445" s="133" t="s">
        <v>35</v>
      </c>
      <c r="M1445" s="134" t="s">
        <v>35</v>
      </c>
      <c r="N1445" s="133" t="s">
        <v>35</v>
      </c>
      <c r="O1445" s="135">
        <v>0.9</v>
      </c>
      <c r="P1445" s="133" t="s">
        <v>35</v>
      </c>
      <c r="Q1445" s="133" t="s">
        <v>35</v>
      </c>
      <c r="R1445" s="133" t="s">
        <v>35</v>
      </c>
      <c r="S1445" s="133" t="s">
        <v>35</v>
      </c>
      <c r="T1445" s="135">
        <v>0.9</v>
      </c>
      <c r="U1445" s="133" t="s">
        <v>35</v>
      </c>
      <c r="V1445" s="133" t="s">
        <v>35</v>
      </c>
      <c r="W1445" s="133" t="s">
        <v>35</v>
      </c>
      <c r="X1445" s="133" t="s">
        <v>35</v>
      </c>
      <c r="Y1445" s="135">
        <v>0.92</v>
      </c>
      <c r="Z1445" s="135" t="s">
        <v>35</v>
      </c>
      <c r="AA1445" s="135" t="s">
        <v>35</v>
      </c>
      <c r="AB1445" s="135" t="s">
        <v>35</v>
      </c>
      <c r="AC1445" s="135" t="s">
        <v>35</v>
      </c>
      <c r="AD1445" s="135">
        <v>0.92</v>
      </c>
      <c r="AE1445" s="133">
        <v>1</v>
      </c>
      <c r="AF1445" s="133">
        <v>1</v>
      </c>
      <c r="AG1445" s="133">
        <v>1</v>
      </c>
      <c r="AH1445" s="133">
        <v>0.884892086330935</v>
      </c>
      <c r="AI1445" s="135">
        <v>0.92</v>
      </c>
      <c r="AJ1445" s="133" t="s">
        <v>35</v>
      </c>
      <c r="AK1445" s="133" t="s">
        <v>35</v>
      </c>
      <c r="AL1445" s="133" t="s">
        <v>35</v>
      </c>
      <c r="AM1445" s="133" t="s">
        <v>35</v>
      </c>
      <c r="AN1445" s="132">
        <v>0.99</v>
      </c>
      <c r="AO1445" s="137" t="s">
        <v>35</v>
      </c>
      <c r="AP1445" s="137" t="s">
        <v>35</v>
      </c>
      <c r="AQ1445" s="137" t="s">
        <v>35</v>
      </c>
      <c r="AR1445" s="137" t="s">
        <v>35</v>
      </c>
      <c r="AS1445" s="158">
        <v>0.110069253262963</v>
      </c>
      <c r="AT1445" s="141" t="s">
        <v>35</v>
      </c>
      <c r="AU1445" s="141" t="s">
        <v>35</v>
      </c>
      <c r="AV1445" s="141" t="s">
        <v>35</v>
      </c>
      <c r="AW1445" s="141" t="s">
        <v>35</v>
      </c>
      <c r="AX1445" s="95"/>
      <c r="AY1445" s="93"/>
    </row>
    <row r="1446" ht="14.5" spans="1:51">
      <c r="A1446" s="91"/>
      <c r="B1446" s="95"/>
      <c r="C1446" s="152" t="s">
        <v>1455</v>
      </c>
      <c r="D1446" s="153" t="s">
        <v>125</v>
      </c>
      <c r="E1446" s="130" t="s">
        <v>1456</v>
      </c>
      <c r="F1446" s="201" t="s">
        <v>1478</v>
      </c>
      <c r="G1446" s="201" t="s">
        <v>1478</v>
      </c>
      <c r="H1446" s="201" t="s">
        <v>1478</v>
      </c>
      <c r="I1446" s="201" t="s">
        <v>1478</v>
      </c>
      <c r="J1446" s="132">
        <v>0.9</v>
      </c>
      <c r="K1446" s="133" t="s">
        <v>35</v>
      </c>
      <c r="L1446" s="133" t="s">
        <v>35</v>
      </c>
      <c r="M1446" s="134" t="s">
        <v>35</v>
      </c>
      <c r="N1446" s="133" t="s">
        <v>35</v>
      </c>
      <c r="O1446" s="135">
        <v>0.9</v>
      </c>
      <c r="P1446" s="133">
        <v>0</v>
      </c>
      <c r="Q1446" s="133" t="s">
        <v>35</v>
      </c>
      <c r="R1446" s="133">
        <v>0</v>
      </c>
      <c r="S1446" s="133">
        <v>0</v>
      </c>
      <c r="T1446" s="135">
        <v>0.9</v>
      </c>
      <c r="U1446" s="133">
        <v>1</v>
      </c>
      <c r="V1446" s="133" t="s">
        <v>35</v>
      </c>
      <c r="W1446" s="133">
        <v>1</v>
      </c>
      <c r="X1446" s="133">
        <v>0.6</v>
      </c>
      <c r="Y1446" s="135">
        <v>0.92</v>
      </c>
      <c r="Z1446" s="135" t="s">
        <v>35</v>
      </c>
      <c r="AA1446" s="135" t="s">
        <v>35</v>
      </c>
      <c r="AB1446" s="135" t="s">
        <v>35</v>
      </c>
      <c r="AC1446" s="135">
        <v>0.0697674418604651</v>
      </c>
      <c r="AD1446" s="135">
        <v>0.92</v>
      </c>
      <c r="AE1446" s="133">
        <v>1</v>
      </c>
      <c r="AF1446" s="133">
        <v>0.999891493055556</v>
      </c>
      <c r="AG1446" s="133">
        <v>0.999949117183127</v>
      </c>
      <c r="AH1446" s="133">
        <v>0.999739891075374</v>
      </c>
      <c r="AI1446" s="135">
        <v>0.92</v>
      </c>
      <c r="AJ1446" s="133">
        <v>1</v>
      </c>
      <c r="AK1446" s="133" t="s">
        <v>35</v>
      </c>
      <c r="AL1446" s="133">
        <v>0.571428571428571</v>
      </c>
      <c r="AM1446" s="133">
        <v>0.365853658536585</v>
      </c>
      <c r="AN1446" s="132">
        <v>0.99</v>
      </c>
      <c r="AO1446" s="137" t="s">
        <v>35</v>
      </c>
      <c r="AP1446" s="137">
        <v>1</v>
      </c>
      <c r="AQ1446" s="137">
        <v>1</v>
      </c>
      <c r="AR1446" s="137">
        <v>1</v>
      </c>
      <c r="AS1446" s="158">
        <v>0.110069253262963</v>
      </c>
      <c r="AT1446" s="141" t="s">
        <v>35</v>
      </c>
      <c r="AU1446" s="141" t="s">
        <v>35</v>
      </c>
      <c r="AV1446" s="141" t="s">
        <v>35</v>
      </c>
      <c r="AW1446" s="141" t="s">
        <v>35</v>
      </c>
      <c r="AX1446" s="95"/>
      <c r="AY1446" s="93"/>
    </row>
    <row r="1447" ht="14.5" spans="1:51">
      <c r="A1447" s="91"/>
      <c r="B1447" s="95"/>
      <c r="C1447" s="152" t="s">
        <v>1455</v>
      </c>
      <c r="D1447" s="153" t="s">
        <v>125</v>
      </c>
      <c r="E1447" s="130" t="s">
        <v>1456</v>
      </c>
      <c r="F1447" s="201" t="s">
        <v>1479</v>
      </c>
      <c r="G1447" s="201" t="s">
        <v>1479</v>
      </c>
      <c r="H1447" s="201" t="s">
        <v>1479</v>
      </c>
      <c r="I1447" s="201" t="s">
        <v>1479</v>
      </c>
      <c r="J1447" s="132">
        <v>0.9</v>
      </c>
      <c r="K1447" s="133" t="s">
        <v>35</v>
      </c>
      <c r="L1447" s="133" t="s">
        <v>35</v>
      </c>
      <c r="M1447" s="134" t="s">
        <v>35</v>
      </c>
      <c r="N1447" s="133" t="s">
        <v>35</v>
      </c>
      <c r="O1447" s="135">
        <v>0.9</v>
      </c>
      <c r="P1447" s="133" t="s">
        <v>35</v>
      </c>
      <c r="Q1447" s="133" t="s">
        <v>35</v>
      </c>
      <c r="R1447" s="133" t="s">
        <v>35</v>
      </c>
      <c r="S1447" s="133" t="s">
        <v>35</v>
      </c>
      <c r="T1447" s="135">
        <v>0.9</v>
      </c>
      <c r="U1447" s="133" t="s">
        <v>35</v>
      </c>
      <c r="V1447" s="133" t="s">
        <v>35</v>
      </c>
      <c r="W1447" s="133" t="s">
        <v>35</v>
      </c>
      <c r="X1447" s="133" t="s">
        <v>35</v>
      </c>
      <c r="Y1447" s="135">
        <v>0.92</v>
      </c>
      <c r="Z1447" s="135" t="s">
        <v>35</v>
      </c>
      <c r="AA1447" s="135" t="s">
        <v>35</v>
      </c>
      <c r="AB1447" s="135" t="s">
        <v>35</v>
      </c>
      <c r="AC1447" s="135" t="s">
        <v>35</v>
      </c>
      <c r="AD1447" s="135">
        <v>0.92</v>
      </c>
      <c r="AE1447" s="133">
        <v>0.978571428571429</v>
      </c>
      <c r="AF1447" s="133">
        <v>0.961538461538462</v>
      </c>
      <c r="AG1447" s="133">
        <v>0.961538461538462</v>
      </c>
      <c r="AH1447" s="133">
        <v>0.920575145498117</v>
      </c>
      <c r="AI1447" s="135">
        <v>0.92</v>
      </c>
      <c r="AJ1447" s="133" t="s">
        <v>35</v>
      </c>
      <c r="AK1447" s="133" t="s">
        <v>35</v>
      </c>
      <c r="AL1447" s="133" t="s">
        <v>35</v>
      </c>
      <c r="AM1447" s="133" t="s">
        <v>35</v>
      </c>
      <c r="AN1447" s="132">
        <v>0.99</v>
      </c>
      <c r="AO1447" s="137">
        <v>1</v>
      </c>
      <c r="AP1447" s="137">
        <v>1</v>
      </c>
      <c r="AQ1447" s="137">
        <v>1</v>
      </c>
      <c r="AR1447" s="137">
        <v>1</v>
      </c>
      <c r="AS1447" s="158">
        <v>0.110069253262963</v>
      </c>
      <c r="AT1447" s="141" t="s">
        <v>35</v>
      </c>
      <c r="AU1447" s="141" t="s">
        <v>35</v>
      </c>
      <c r="AV1447" s="141" t="s">
        <v>35</v>
      </c>
      <c r="AW1447" s="141" t="s">
        <v>35</v>
      </c>
      <c r="AX1447" s="95"/>
      <c r="AY1447" s="93"/>
    </row>
    <row r="1448" ht="14.5" spans="1:51">
      <c r="A1448" s="91"/>
      <c r="B1448" s="95"/>
      <c r="C1448" s="152" t="s">
        <v>1455</v>
      </c>
      <c r="D1448" s="153" t="s">
        <v>125</v>
      </c>
      <c r="E1448" s="130" t="s">
        <v>1456</v>
      </c>
      <c r="F1448" s="201" t="s">
        <v>1480</v>
      </c>
      <c r="G1448" s="201" t="s">
        <v>1480</v>
      </c>
      <c r="H1448" s="201" t="s">
        <v>1480</v>
      </c>
      <c r="I1448" s="201" t="s">
        <v>1480</v>
      </c>
      <c r="J1448" s="132">
        <v>0.9</v>
      </c>
      <c r="K1448" s="133" t="s">
        <v>35</v>
      </c>
      <c r="L1448" s="133" t="s">
        <v>35</v>
      </c>
      <c r="M1448" s="134" t="s">
        <v>35</v>
      </c>
      <c r="N1448" s="133" t="s">
        <v>35</v>
      </c>
      <c r="O1448" s="135">
        <v>0.9</v>
      </c>
      <c r="P1448" s="133" t="s">
        <v>35</v>
      </c>
      <c r="Q1448" s="133" t="s">
        <v>35</v>
      </c>
      <c r="R1448" s="133" t="s">
        <v>35</v>
      </c>
      <c r="S1448" s="133" t="s">
        <v>35</v>
      </c>
      <c r="T1448" s="135">
        <v>0.9</v>
      </c>
      <c r="U1448" s="133" t="s">
        <v>35</v>
      </c>
      <c r="V1448" s="133" t="s">
        <v>35</v>
      </c>
      <c r="W1448" s="133" t="s">
        <v>35</v>
      </c>
      <c r="X1448" s="133" t="s">
        <v>35</v>
      </c>
      <c r="Y1448" s="135">
        <v>0.92</v>
      </c>
      <c r="Z1448" s="135" t="s">
        <v>35</v>
      </c>
      <c r="AA1448" s="135" t="s">
        <v>35</v>
      </c>
      <c r="AB1448" s="135" t="s">
        <v>35</v>
      </c>
      <c r="AC1448" s="135" t="s">
        <v>35</v>
      </c>
      <c r="AD1448" s="135">
        <v>0.92</v>
      </c>
      <c r="AE1448" s="133">
        <v>1</v>
      </c>
      <c r="AF1448" s="133">
        <v>1</v>
      </c>
      <c r="AG1448" s="133">
        <v>0.553990610328638</v>
      </c>
      <c r="AH1448" s="133">
        <v>0.815553850089537</v>
      </c>
      <c r="AI1448" s="135">
        <v>0.92</v>
      </c>
      <c r="AJ1448" s="133" t="s">
        <v>35</v>
      </c>
      <c r="AK1448" s="133" t="s">
        <v>35</v>
      </c>
      <c r="AL1448" s="133" t="s">
        <v>35</v>
      </c>
      <c r="AM1448" s="133" t="s">
        <v>35</v>
      </c>
      <c r="AN1448" s="132">
        <v>0.99</v>
      </c>
      <c r="AO1448" s="137">
        <v>1</v>
      </c>
      <c r="AP1448" s="137" t="s">
        <v>35</v>
      </c>
      <c r="AQ1448" s="137">
        <v>1</v>
      </c>
      <c r="AR1448" s="137">
        <v>1</v>
      </c>
      <c r="AS1448" s="158">
        <v>0.110069253262963</v>
      </c>
      <c r="AT1448" s="141" t="s">
        <v>35</v>
      </c>
      <c r="AU1448" s="141" t="s">
        <v>35</v>
      </c>
      <c r="AV1448" s="141" t="s">
        <v>35</v>
      </c>
      <c r="AW1448" s="141" t="s">
        <v>35</v>
      </c>
      <c r="AX1448" s="95"/>
      <c r="AY1448" s="93"/>
    </row>
    <row r="1449" ht="14.5" spans="1:51">
      <c r="A1449" s="91"/>
      <c r="B1449" s="95"/>
      <c r="C1449" s="152" t="s">
        <v>1455</v>
      </c>
      <c r="D1449" s="153" t="s">
        <v>125</v>
      </c>
      <c r="E1449" s="130" t="s">
        <v>1456</v>
      </c>
      <c r="F1449" s="200" t="s">
        <v>1481</v>
      </c>
      <c r="G1449" s="200" t="s">
        <v>1481</v>
      </c>
      <c r="H1449" s="200" t="s">
        <v>1481</v>
      </c>
      <c r="I1449" s="200" t="s">
        <v>1481</v>
      </c>
      <c r="J1449" s="132">
        <v>0.9</v>
      </c>
      <c r="K1449" s="133" t="s">
        <v>35</v>
      </c>
      <c r="L1449" s="133" t="s">
        <v>35</v>
      </c>
      <c r="M1449" s="134" t="s">
        <v>35</v>
      </c>
      <c r="N1449" s="133" t="s">
        <v>35</v>
      </c>
      <c r="O1449" s="135">
        <v>0.9</v>
      </c>
      <c r="P1449" s="133" t="s">
        <v>35</v>
      </c>
      <c r="Q1449" s="133" t="s">
        <v>35</v>
      </c>
      <c r="R1449" s="133" t="s">
        <v>35</v>
      </c>
      <c r="S1449" s="133" t="s">
        <v>35</v>
      </c>
      <c r="T1449" s="135">
        <v>0.9</v>
      </c>
      <c r="U1449" s="133" t="s">
        <v>35</v>
      </c>
      <c r="V1449" s="133" t="s">
        <v>35</v>
      </c>
      <c r="W1449" s="133" t="s">
        <v>35</v>
      </c>
      <c r="X1449" s="133" t="s">
        <v>35</v>
      </c>
      <c r="Y1449" s="135">
        <v>0.92</v>
      </c>
      <c r="Z1449" s="135" t="s">
        <v>35</v>
      </c>
      <c r="AA1449" s="135" t="s">
        <v>35</v>
      </c>
      <c r="AB1449" s="135" t="s">
        <v>35</v>
      </c>
      <c r="AC1449" s="135" t="s">
        <v>35</v>
      </c>
      <c r="AD1449" s="135">
        <v>0.92</v>
      </c>
      <c r="AE1449" s="133" t="s">
        <v>35</v>
      </c>
      <c r="AF1449" s="133">
        <v>0.387096774193548</v>
      </c>
      <c r="AG1449" s="133">
        <v>0.227272727272727</v>
      </c>
      <c r="AH1449" s="133">
        <v>0.50418410041841</v>
      </c>
      <c r="AI1449" s="135">
        <v>0.92</v>
      </c>
      <c r="AJ1449" s="133" t="s">
        <v>35</v>
      </c>
      <c r="AK1449" s="133" t="s">
        <v>35</v>
      </c>
      <c r="AL1449" s="133" t="s">
        <v>35</v>
      </c>
      <c r="AM1449" s="133">
        <v>0</v>
      </c>
      <c r="AN1449" s="132">
        <v>0.99</v>
      </c>
      <c r="AO1449" s="137" t="s">
        <v>35</v>
      </c>
      <c r="AP1449" s="137" t="s">
        <v>35</v>
      </c>
      <c r="AQ1449" s="137" t="s">
        <v>35</v>
      </c>
      <c r="AR1449" s="137">
        <v>1</v>
      </c>
      <c r="AS1449" s="158">
        <v>0.110069253262963</v>
      </c>
      <c r="AT1449" s="141" t="s">
        <v>35</v>
      </c>
      <c r="AU1449" s="141" t="s">
        <v>35</v>
      </c>
      <c r="AV1449" s="141" t="s">
        <v>35</v>
      </c>
      <c r="AW1449" s="141" t="s">
        <v>35</v>
      </c>
      <c r="AX1449" s="95"/>
      <c r="AY1449" s="93"/>
    </row>
    <row r="1450" ht="14.5" spans="1:51">
      <c r="A1450" s="91"/>
      <c r="B1450" s="95"/>
      <c r="C1450" s="152" t="s">
        <v>1455</v>
      </c>
      <c r="D1450" s="153" t="s">
        <v>125</v>
      </c>
      <c r="E1450" s="130" t="s">
        <v>1456</v>
      </c>
      <c r="F1450" s="200" t="s">
        <v>1482</v>
      </c>
      <c r="G1450" s="200" t="s">
        <v>1482</v>
      </c>
      <c r="H1450" s="200" t="s">
        <v>1482</v>
      </c>
      <c r="I1450" s="200" t="s">
        <v>1482</v>
      </c>
      <c r="J1450" s="132">
        <v>0.9</v>
      </c>
      <c r="K1450" s="133" t="s">
        <v>35</v>
      </c>
      <c r="L1450" s="133" t="s">
        <v>35</v>
      </c>
      <c r="M1450" s="134" t="s">
        <v>35</v>
      </c>
      <c r="N1450" s="133" t="s">
        <v>35</v>
      </c>
      <c r="O1450" s="135">
        <v>0.9</v>
      </c>
      <c r="P1450" s="133" t="s">
        <v>35</v>
      </c>
      <c r="Q1450" s="133">
        <v>0</v>
      </c>
      <c r="R1450" s="133" t="s">
        <v>35</v>
      </c>
      <c r="S1450" s="133">
        <v>0</v>
      </c>
      <c r="T1450" s="135">
        <v>0.9</v>
      </c>
      <c r="U1450" s="133" t="s">
        <v>35</v>
      </c>
      <c r="V1450" s="133">
        <v>0</v>
      </c>
      <c r="W1450" s="133" t="s">
        <v>35</v>
      </c>
      <c r="X1450" s="133">
        <v>0.692307692307692</v>
      </c>
      <c r="Y1450" s="135">
        <v>0.92</v>
      </c>
      <c r="Z1450" s="135" t="s">
        <v>35</v>
      </c>
      <c r="AA1450" s="135" t="s">
        <v>35</v>
      </c>
      <c r="AB1450" s="135" t="s">
        <v>35</v>
      </c>
      <c r="AC1450" s="135" t="s">
        <v>35</v>
      </c>
      <c r="AD1450" s="135">
        <v>0.92</v>
      </c>
      <c r="AE1450" s="133">
        <v>0.99620253164557</v>
      </c>
      <c r="AF1450" s="133">
        <v>0.996677740863787</v>
      </c>
      <c r="AG1450" s="133">
        <v>0.782814614343708</v>
      </c>
      <c r="AH1450" s="133">
        <v>0.737744955515497</v>
      </c>
      <c r="AI1450" s="135">
        <v>0.92</v>
      </c>
      <c r="AJ1450" s="133" t="s">
        <v>35</v>
      </c>
      <c r="AK1450" s="133">
        <v>0</v>
      </c>
      <c r="AL1450" s="133" t="s">
        <v>35</v>
      </c>
      <c r="AM1450" s="133">
        <v>0.642857142857143</v>
      </c>
      <c r="AN1450" s="132">
        <v>0.99</v>
      </c>
      <c r="AO1450" s="137" t="s">
        <v>35</v>
      </c>
      <c r="AP1450" s="137">
        <v>1</v>
      </c>
      <c r="AQ1450" s="137">
        <v>1</v>
      </c>
      <c r="AR1450" s="137">
        <v>1</v>
      </c>
      <c r="AS1450" s="158">
        <v>0.110069253262963</v>
      </c>
      <c r="AT1450" s="141" t="s">
        <v>35</v>
      </c>
      <c r="AU1450" s="141" t="s">
        <v>35</v>
      </c>
      <c r="AV1450" s="141" t="s">
        <v>35</v>
      </c>
      <c r="AW1450" s="141" t="s">
        <v>35</v>
      </c>
      <c r="AX1450" s="95"/>
      <c r="AY1450" s="93"/>
    </row>
    <row r="1451" ht="14.5" spans="1:51">
      <c r="A1451" s="91"/>
      <c r="B1451" s="95"/>
      <c r="C1451" s="152" t="s">
        <v>1455</v>
      </c>
      <c r="D1451" s="153" t="s">
        <v>125</v>
      </c>
      <c r="E1451" s="130" t="s">
        <v>1456</v>
      </c>
      <c r="F1451" s="200" t="s">
        <v>1483</v>
      </c>
      <c r="G1451" s="200" t="s">
        <v>1483</v>
      </c>
      <c r="H1451" s="200" t="s">
        <v>1483</v>
      </c>
      <c r="I1451" s="200" t="s">
        <v>1483</v>
      </c>
      <c r="J1451" s="132">
        <v>0.9</v>
      </c>
      <c r="K1451" s="133" t="s">
        <v>35</v>
      </c>
      <c r="L1451" s="133" t="s">
        <v>35</v>
      </c>
      <c r="M1451" s="134" t="s">
        <v>35</v>
      </c>
      <c r="N1451" s="133" t="s">
        <v>35</v>
      </c>
      <c r="O1451" s="135">
        <v>0.9</v>
      </c>
      <c r="P1451" s="133" t="s">
        <v>35</v>
      </c>
      <c r="Q1451" s="133" t="s">
        <v>35</v>
      </c>
      <c r="R1451" s="133" t="s">
        <v>35</v>
      </c>
      <c r="S1451" s="133" t="s">
        <v>35</v>
      </c>
      <c r="T1451" s="135">
        <v>0.9</v>
      </c>
      <c r="U1451" s="133" t="s">
        <v>35</v>
      </c>
      <c r="V1451" s="133" t="s">
        <v>35</v>
      </c>
      <c r="W1451" s="133" t="s">
        <v>35</v>
      </c>
      <c r="X1451" s="133" t="s">
        <v>35</v>
      </c>
      <c r="Y1451" s="135">
        <v>0.92</v>
      </c>
      <c r="Z1451" s="135" t="s">
        <v>35</v>
      </c>
      <c r="AA1451" s="135" t="s">
        <v>35</v>
      </c>
      <c r="AB1451" s="135" t="s">
        <v>35</v>
      </c>
      <c r="AC1451" s="135" t="s">
        <v>35</v>
      </c>
      <c r="AD1451" s="135">
        <v>0.92</v>
      </c>
      <c r="AE1451" s="133">
        <v>1</v>
      </c>
      <c r="AF1451" s="133">
        <v>1</v>
      </c>
      <c r="AG1451" s="133">
        <v>1</v>
      </c>
      <c r="AH1451" s="133">
        <v>0.887658227848101</v>
      </c>
      <c r="AI1451" s="135">
        <v>0.92</v>
      </c>
      <c r="AJ1451" s="133" t="s">
        <v>35</v>
      </c>
      <c r="AK1451" s="133" t="s">
        <v>35</v>
      </c>
      <c r="AL1451" s="133" t="s">
        <v>35</v>
      </c>
      <c r="AM1451" s="133" t="s">
        <v>35</v>
      </c>
      <c r="AN1451" s="132">
        <v>0.99</v>
      </c>
      <c r="AO1451" s="137" t="s">
        <v>35</v>
      </c>
      <c r="AP1451" s="137" t="s">
        <v>35</v>
      </c>
      <c r="AQ1451" s="137">
        <v>1</v>
      </c>
      <c r="AR1451" s="137">
        <v>1</v>
      </c>
      <c r="AS1451" s="158">
        <v>0.110069253262963</v>
      </c>
      <c r="AT1451" s="141" t="s">
        <v>35</v>
      </c>
      <c r="AU1451" s="141" t="s">
        <v>35</v>
      </c>
      <c r="AV1451" s="141" t="s">
        <v>35</v>
      </c>
      <c r="AW1451" s="141" t="s">
        <v>35</v>
      </c>
      <c r="AX1451" s="95"/>
      <c r="AY1451" s="93"/>
    </row>
    <row r="1452" ht="14.5" spans="1:51">
      <c r="A1452" s="91"/>
      <c r="B1452" s="95"/>
      <c r="C1452" s="152" t="s">
        <v>1455</v>
      </c>
      <c r="D1452" s="153" t="s">
        <v>125</v>
      </c>
      <c r="E1452" s="130" t="s">
        <v>1456</v>
      </c>
      <c r="F1452" s="200" t="s">
        <v>1484</v>
      </c>
      <c r="G1452" s="200" t="s">
        <v>1484</v>
      </c>
      <c r="H1452" s="200" t="s">
        <v>1484</v>
      </c>
      <c r="I1452" s="200" t="s">
        <v>1484</v>
      </c>
      <c r="J1452" s="132">
        <v>0.9</v>
      </c>
      <c r="K1452" s="133" t="s">
        <v>35</v>
      </c>
      <c r="L1452" s="133" t="s">
        <v>35</v>
      </c>
      <c r="M1452" s="134" t="s">
        <v>35</v>
      </c>
      <c r="N1452" s="133" t="s">
        <v>35</v>
      </c>
      <c r="O1452" s="135">
        <v>0.9</v>
      </c>
      <c r="P1452" s="133" t="s">
        <v>35</v>
      </c>
      <c r="Q1452" s="133" t="s">
        <v>35</v>
      </c>
      <c r="R1452" s="133" t="s">
        <v>35</v>
      </c>
      <c r="S1452" s="133" t="s">
        <v>35</v>
      </c>
      <c r="T1452" s="135">
        <v>0.9</v>
      </c>
      <c r="U1452" s="133" t="s">
        <v>35</v>
      </c>
      <c r="V1452" s="133" t="s">
        <v>35</v>
      </c>
      <c r="W1452" s="133" t="s">
        <v>35</v>
      </c>
      <c r="X1452" s="133" t="s">
        <v>35</v>
      </c>
      <c r="Y1452" s="135">
        <v>0.92</v>
      </c>
      <c r="Z1452" s="135" t="s">
        <v>35</v>
      </c>
      <c r="AA1452" s="135" t="s">
        <v>35</v>
      </c>
      <c r="AB1452" s="135" t="s">
        <v>35</v>
      </c>
      <c r="AC1452" s="135" t="s">
        <v>35</v>
      </c>
      <c r="AD1452" s="135">
        <v>0.92</v>
      </c>
      <c r="AE1452" s="133">
        <v>1</v>
      </c>
      <c r="AF1452" s="133">
        <v>0.661971830985915</v>
      </c>
      <c r="AG1452" s="133">
        <v>0.926829268292683</v>
      </c>
      <c r="AH1452" s="133">
        <v>0.934006211180124</v>
      </c>
      <c r="AI1452" s="135">
        <v>0.92</v>
      </c>
      <c r="AJ1452" s="133" t="s">
        <v>35</v>
      </c>
      <c r="AK1452" s="133" t="s">
        <v>35</v>
      </c>
      <c r="AL1452" s="133" t="s">
        <v>35</v>
      </c>
      <c r="AM1452" s="133" t="s">
        <v>35</v>
      </c>
      <c r="AN1452" s="132">
        <v>0.99</v>
      </c>
      <c r="AO1452" s="137" t="s">
        <v>35</v>
      </c>
      <c r="AP1452" s="137" t="s">
        <v>35</v>
      </c>
      <c r="AQ1452" s="137" t="s">
        <v>35</v>
      </c>
      <c r="AR1452" s="137">
        <v>1</v>
      </c>
      <c r="AS1452" s="158">
        <v>0.110069253262963</v>
      </c>
      <c r="AT1452" s="141" t="s">
        <v>35</v>
      </c>
      <c r="AU1452" s="141" t="s">
        <v>35</v>
      </c>
      <c r="AV1452" s="141" t="s">
        <v>35</v>
      </c>
      <c r="AW1452" s="141" t="s">
        <v>35</v>
      </c>
      <c r="AX1452" s="95"/>
      <c r="AY1452" s="93"/>
    </row>
    <row r="1453" ht="14.5" spans="1:51">
      <c r="A1453" s="91"/>
      <c r="B1453" s="95"/>
      <c r="C1453" s="152" t="s">
        <v>1455</v>
      </c>
      <c r="D1453" s="153" t="s">
        <v>125</v>
      </c>
      <c r="E1453" s="130" t="s">
        <v>1456</v>
      </c>
      <c r="F1453" s="200" t="s">
        <v>1485</v>
      </c>
      <c r="G1453" s="200" t="s">
        <v>1485</v>
      </c>
      <c r="H1453" s="200" t="s">
        <v>1485</v>
      </c>
      <c r="I1453" s="200" t="s">
        <v>1485</v>
      </c>
      <c r="J1453" s="132">
        <v>0.9</v>
      </c>
      <c r="K1453" s="133" t="s">
        <v>35</v>
      </c>
      <c r="L1453" s="133" t="s">
        <v>35</v>
      </c>
      <c r="M1453" s="134" t="s">
        <v>35</v>
      </c>
      <c r="N1453" s="133" t="s">
        <v>35</v>
      </c>
      <c r="O1453" s="135">
        <v>0.9</v>
      </c>
      <c r="P1453" s="133" t="s">
        <v>35</v>
      </c>
      <c r="Q1453" s="133">
        <v>0</v>
      </c>
      <c r="R1453" s="133" t="s">
        <v>35</v>
      </c>
      <c r="S1453" s="133">
        <v>0</v>
      </c>
      <c r="T1453" s="135">
        <v>0.9</v>
      </c>
      <c r="U1453" s="133" t="s">
        <v>35</v>
      </c>
      <c r="V1453" s="133">
        <v>1</v>
      </c>
      <c r="W1453" s="133" t="s">
        <v>35</v>
      </c>
      <c r="X1453" s="133">
        <v>1</v>
      </c>
      <c r="Y1453" s="135">
        <v>0.92</v>
      </c>
      <c r="Z1453" s="135" t="s">
        <v>35</v>
      </c>
      <c r="AA1453" s="135" t="s">
        <v>35</v>
      </c>
      <c r="AB1453" s="135" t="s">
        <v>35</v>
      </c>
      <c r="AC1453" s="135" t="s">
        <v>35</v>
      </c>
      <c r="AD1453" s="135">
        <v>0.92</v>
      </c>
      <c r="AE1453" s="133">
        <v>1</v>
      </c>
      <c r="AF1453" s="133">
        <v>1</v>
      </c>
      <c r="AG1453" s="133">
        <v>1</v>
      </c>
      <c r="AH1453" s="133">
        <v>0.999266862170088</v>
      </c>
      <c r="AI1453" s="135">
        <v>0.92</v>
      </c>
      <c r="AJ1453" s="133" t="s">
        <v>35</v>
      </c>
      <c r="AK1453" s="133">
        <v>1</v>
      </c>
      <c r="AL1453" s="133" t="s">
        <v>35</v>
      </c>
      <c r="AM1453" s="133">
        <v>1</v>
      </c>
      <c r="AN1453" s="132">
        <v>0.99</v>
      </c>
      <c r="AO1453" s="137" t="s">
        <v>35</v>
      </c>
      <c r="AP1453" s="137" t="s">
        <v>35</v>
      </c>
      <c r="AQ1453" s="137" t="s">
        <v>35</v>
      </c>
      <c r="AR1453" s="137">
        <v>1</v>
      </c>
      <c r="AS1453" s="158">
        <v>0.110069253262963</v>
      </c>
      <c r="AT1453" s="141" t="s">
        <v>35</v>
      </c>
      <c r="AU1453" s="141" t="s">
        <v>35</v>
      </c>
      <c r="AV1453" s="141" t="s">
        <v>35</v>
      </c>
      <c r="AW1453" s="141" t="s">
        <v>35</v>
      </c>
      <c r="AX1453" s="95"/>
      <c r="AY1453" s="93"/>
    </row>
    <row r="1454" ht="14.5" spans="1:51">
      <c r="A1454" s="91"/>
      <c r="B1454" s="95"/>
      <c r="C1454" s="152" t="s">
        <v>1455</v>
      </c>
      <c r="D1454" s="153" t="s">
        <v>125</v>
      </c>
      <c r="E1454" s="130" t="s">
        <v>1456</v>
      </c>
      <c r="F1454" s="200" t="s">
        <v>1486</v>
      </c>
      <c r="G1454" s="200" t="s">
        <v>1486</v>
      </c>
      <c r="H1454" s="200" t="s">
        <v>1486</v>
      </c>
      <c r="I1454" s="200" t="s">
        <v>1486</v>
      </c>
      <c r="J1454" s="132">
        <v>0.9</v>
      </c>
      <c r="K1454" s="133" t="s">
        <v>35</v>
      </c>
      <c r="L1454" s="133" t="s">
        <v>35</v>
      </c>
      <c r="M1454" s="134" t="s">
        <v>35</v>
      </c>
      <c r="N1454" s="133" t="s">
        <v>35</v>
      </c>
      <c r="O1454" s="135">
        <v>0.9</v>
      </c>
      <c r="P1454" s="133">
        <v>0</v>
      </c>
      <c r="Q1454" s="133">
        <v>0</v>
      </c>
      <c r="R1454" s="133">
        <v>0</v>
      </c>
      <c r="S1454" s="133">
        <v>0</v>
      </c>
      <c r="T1454" s="135">
        <v>0.9</v>
      </c>
      <c r="U1454" s="133">
        <v>1</v>
      </c>
      <c r="V1454" s="133">
        <v>1</v>
      </c>
      <c r="W1454" s="133">
        <v>1</v>
      </c>
      <c r="X1454" s="133">
        <v>1</v>
      </c>
      <c r="Y1454" s="135">
        <v>0.92</v>
      </c>
      <c r="Z1454" s="135" t="s">
        <v>35</v>
      </c>
      <c r="AA1454" s="135">
        <v>1</v>
      </c>
      <c r="AB1454" s="135" t="s">
        <v>35</v>
      </c>
      <c r="AC1454" s="135">
        <v>0.7</v>
      </c>
      <c r="AD1454" s="135">
        <v>0.92</v>
      </c>
      <c r="AE1454" s="133">
        <v>1</v>
      </c>
      <c r="AF1454" s="133">
        <v>0.999321113374066</v>
      </c>
      <c r="AG1454" s="133">
        <v>0.998803032318127</v>
      </c>
      <c r="AH1454" s="133">
        <v>0.995960546913486</v>
      </c>
      <c r="AI1454" s="135">
        <v>0.92</v>
      </c>
      <c r="AJ1454" s="133">
        <v>1</v>
      </c>
      <c r="AK1454" s="133">
        <v>1</v>
      </c>
      <c r="AL1454" s="133">
        <v>1</v>
      </c>
      <c r="AM1454" s="133">
        <v>0.987179487179487</v>
      </c>
      <c r="AN1454" s="132">
        <v>0.99</v>
      </c>
      <c r="AO1454" s="137">
        <v>1</v>
      </c>
      <c r="AP1454" s="137">
        <v>1</v>
      </c>
      <c r="AQ1454" s="137">
        <v>1</v>
      </c>
      <c r="AR1454" s="137">
        <v>1</v>
      </c>
      <c r="AS1454" s="158">
        <v>0.110069253262963</v>
      </c>
      <c r="AT1454" s="141" t="s">
        <v>35</v>
      </c>
      <c r="AU1454" s="141" t="s">
        <v>35</v>
      </c>
      <c r="AV1454" s="141" t="s">
        <v>35</v>
      </c>
      <c r="AW1454" s="141" t="s">
        <v>35</v>
      </c>
      <c r="AX1454" s="95"/>
      <c r="AY1454" s="93"/>
    </row>
    <row r="1455" ht="14.5" spans="1:51">
      <c r="A1455" s="91"/>
      <c r="B1455" s="95"/>
      <c r="C1455" s="152" t="s">
        <v>1455</v>
      </c>
      <c r="D1455" s="153" t="s">
        <v>125</v>
      </c>
      <c r="E1455" s="130" t="s">
        <v>1456</v>
      </c>
      <c r="F1455" s="200" t="s">
        <v>1487</v>
      </c>
      <c r="G1455" s="200" t="s">
        <v>1487</v>
      </c>
      <c r="H1455" s="200" t="s">
        <v>1487</v>
      </c>
      <c r="I1455" s="200" t="s">
        <v>1487</v>
      </c>
      <c r="J1455" s="132">
        <v>0.9</v>
      </c>
      <c r="K1455" s="133" t="s">
        <v>35</v>
      </c>
      <c r="L1455" s="133" t="s">
        <v>35</v>
      </c>
      <c r="M1455" s="134" t="s">
        <v>35</v>
      </c>
      <c r="N1455" s="133" t="s">
        <v>35</v>
      </c>
      <c r="O1455" s="135">
        <v>0.9</v>
      </c>
      <c r="P1455" s="133">
        <v>0</v>
      </c>
      <c r="Q1455" s="133" t="s">
        <v>35</v>
      </c>
      <c r="R1455" s="133" t="s">
        <v>35</v>
      </c>
      <c r="S1455" s="133">
        <v>0</v>
      </c>
      <c r="T1455" s="135">
        <v>0.9</v>
      </c>
      <c r="U1455" s="133">
        <v>1</v>
      </c>
      <c r="V1455" s="133" t="s">
        <v>35</v>
      </c>
      <c r="W1455" s="133" t="s">
        <v>35</v>
      </c>
      <c r="X1455" s="133">
        <v>1</v>
      </c>
      <c r="Y1455" s="135">
        <v>0.92</v>
      </c>
      <c r="Z1455" s="135" t="s">
        <v>35</v>
      </c>
      <c r="AA1455" s="135" t="s">
        <v>35</v>
      </c>
      <c r="AB1455" s="135" t="s">
        <v>35</v>
      </c>
      <c r="AC1455" s="135" t="s">
        <v>35</v>
      </c>
      <c r="AD1455" s="135">
        <v>0.92</v>
      </c>
      <c r="AE1455" s="133">
        <v>1</v>
      </c>
      <c r="AF1455" s="133">
        <v>1</v>
      </c>
      <c r="AG1455" s="133">
        <v>1</v>
      </c>
      <c r="AH1455" s="133">
        <v>0.999620745235612</v>
      </c>
      <c r="AI1455" s="135">
        <v>0.92</v>
      </c>
      <c r="AJ1455" s="133">
        <v>1</v>
      </c>
      <c r="AK1455" s="133" t="s">
        <v>35</v>
      </c>
      <c r="AL1455" s="133" t="s">
        <v>35</v>
      </c>
      <c r="AM1455" s="133">
        <v>1</v>
      </c>
      <c r="AN1455" s="132">
        <v>0.99</v>
      </c>
      <c r="AO1455" s="137">
        <v>1</v>
      </c>
      <c r="AP1455" s="137" t="s">
        <v>35</v>
      </c>
      <c r="AQ1455" s="137" t="s">
        <v>35</v>
      </c>
      <c r="AR1455" s="137">
        <v>1</v>
      </c>
      <c r="AS1455" s="158">
        <v>0.110069253262963</v>
      </c>
      <c r="AT1455" s="141" t="s">
        <v>35</v>
      </c>
      <c r="AU1455" s="141" t="s">
        <v>35</v>
      </c>
      <c r="AV1455" s="141" t="s">
        <v>35</v>
      </c>
      <c r="AW1455" s="141" t="s">
        <v>35</v>
      </c>
      <c r="AX1455" s="95"/>
      <c r="AY1455" s="93"/>
    </row>
    <row r="1456" ht="14.5" spans="1:51">
      <c r="A1456" s="91"/>
      <c r="B1456" s="95"/>
      <c r="C1456" s="152" t="s">
        <v>1455</v>
      </c>
      <c r="D1456" s="153" t="s">
        <v>125</v>
      </c>
      <c r="E1456" s="130" t="s">
        <v>1456</v>
      </c>
      <c r="F1456" s="200" t="s">
        <v>1488</v>
      </c>
      <c r="G1456" s="200" t="s">
        <v>1488</v>
      </c>
      <c r="H1456" s="200" t="s">
        <v>1488</v>
      </c>
      <c r="I1456" s="200" t="s">
        <v>1488</v>
      </c>
      <c r="J1456" s="132">
        <v>0.9</v>
      </c>
      <c r="K1456" s="133" t="s">
        <v>35</v>
      </c>
      <c r="L1456" s="133" t="s">
        <v>35</v>
      </c>
      <c r="M1456" s="134" t="s">
        <v>35</v>
      </c>
      <c r="N1456" s="133" t="s">
        <v>35</v>
      </c>
      <c r="O1456" s="135">
        <v>0.9</v>
      </c>
      <c r="P1456" s="133" t="s">
        <v>35</v>
      </c>
      <c r="Q1456" s="133" t="s">
        <v>35</v>
      </c>
      <c r="R1456" s="133" t="s">
        <v>35</v>
      </c>
      <c r="S1456" s="133" t="s">
        <v>35</v>
      </c>
      <c r="T1456" s="135">
        <v>0.9</v>
      </c>
      <c r="U1456" s="133" t="s">
        <v>35</v>
      </c>
      <c r="V1456" s="133" t="s">
        <v>35</v>
      </c>
      <c r="W1456" s="133" t="s">
        <v>35</v>
      </c>
      <c r="X1456" s="133" t="s">
        <v>35</v>
      </c>
      <c r="Y1456" s="135">
        <v>0.92</v>
      </c>
      <c r="Z1456" s="135" t="s">
        <v>35</v>
      </c>
      <c r="AA1456" s="135" t="s">
        <v>35</v>
      </c>
      <c r="AB1456" s="135" t="s">
        <v>35</v>
      </c>
      <c r="AC1456" s="135" t="s">
        <v>35</v>
      </c>
      <c r="AD1456" s="135">
        <v>0.92</v>
      </c>
      <c r="AE1456" s="133">
        <v>0</v>
      </c>
      <c r="AF1456" s="133">
        <v>1</v>
      </c>
      <c r="AG1456" s="133">
        <v>1</v>
      </c>
      <c r="AH1456" s="133">
        <v>0.824051654560129</v>
      </c>
      <c r="AI1456" s="135">
        <v>0.92</v>
      </c>
      <c r="AJ1456" s="133" t="s">
        <v>35</v>
      </c>
      <c r="AK1456" s="133" t="s">
        <v>35</v>
      </c>
      <c r="AL1456" s="133" t="s">
        <v>35</v>
      </c>
      <c r="AM1456" s="133" t="s">
        <v>35</v>
      </c>
      <c r="AN1456" s="132">
        <v>0.99</v>
      </c>
      <c r="AO1456" s="137" t="s">
        <v>35</v>
      </c>
      <c r="AP1456" s="137" t="s">
        <v>35</v>
      </c>
      <c r="AQ1456" s="137" t="s">
        <v>35</v>
      </c>
      <c r="AR1456" s="137">
        <v>1</v>
      </c>
      <c r="AS1456" s="158">
        <v>0.110069253262963</v>
      </c>
      <c r="AT1456" s="141" t="s">
        <v>35</v>
      </c>
      <c r="AU1456" s="141" t="s">
        <v>35</v>
      </c>
      <c r="AV1456" s="141" t="s">
        <v>35</v>
      </c>
      <c r="AW1456" s="141" t="s">
        <v>35</v>
      </c>
      <c r="AX1456" s="95"/>
      <c r="AY1456" s="93"/>
    </row>
    <row r="1457" ht="14.5" spans="1:51">
      <c r="A1457" s="91"/>
      <c r="B1457" s="95"/>
      <c r="C1457" s="152" t="s">
        <v>1455</v>
      </c>
      <c r="D1457" s="153" t="s">
        <v>125</v>
      </c>
      <c r="E1457" s="130" t="s">
        <v>1456</v>
      </c>
      <c r="F1457" s="202" t="s">
        <v>1489</v>
      </c>
      <c r="G1457" s="202" t="s">
        <v>1489</v>
      </c>
      <c r="H1457" s="202" t="s">
        <v>1489</v>
      </c>
      <c r="I1457" s="202" t="s">
        <v>1489</v>
      </c>
      <c r="J1457" s="132">
        <v>0.9</v>
      </c>
      <c r="K1457" s="133" t="s">
        <v>35</v>
      </c>
      <c r="L1457" s="133" t="s">
        <v>35</v>
      </c>
      <c r="M1457" s="134" t="s">
        <v>35</v>
      </c>
      <c r="N1457" s="133" t="s">
        <v>35</v>
      </c>
      <c r="O1457" s="135">
        <v>0.9</v>
      </c>
      <c r="P1457" s="133" t="s">
        <v>35</v>
      </c>
      <c r="Q1457" s="133" t="s">
        <v>35</v>
      </c>
      <c r="R1457" s="133" t="s">
        <v>35</v>
      </c>
      <c r="S1457" s="133" t="s">
        <v>35</v>
      </c>
      <c r="T1457" s="135">
        <v>0.9</v>
      </c>
      <c r="U1457" s="133" t="s">
        <v>35</v>
      </c>
      <c r="V1457" s="133" t="s">
        <v>35</v>
      </c>
      <c r="W1457" s="133" t="s">
        <v>35</v>
      </c>
      <c r="X1457" s="133" t="s">
        <v>35</v>
      </c>
      <c r="Y1457" s="135">
        <v>0.92</v>
      </c>
      <c r="Z1457" s="135" t="s">
        <v>35</v>
      </c>
      <c r="AA1457" s="135" t="s">
        <v>35</v>
      </c>
      <c r="AB1457" s="135" t="s">
        <v>35</v>
      </c>
      <c r="AC1457" s="135" t="s">
        <v>35</v>
      </c>
      <c r="AD1457" s="135">
        <v>0.92</v>
      </c>
      <c r="AE1457" s="133">
        <v>1</v>
      </c>
      <c r="AF1457" s="133">
        <v>0.979757085020243</v>
      </c>
      <c r="AG1457" s="133">
        <v>0.930722891566265</v>
      </c>
      <c r="AH1457" s="133">
        <v>0.895255813953488</v>
      </c>
      <c r="AI1457" s="135">
        <v>0.92</v>
      </c>
      <c r="AJ1457" s="133" t="s">
        <v>35</v>
      </c>
      <c r="AK1457" s="133" t="s">
        <v>35</v>
      </c>
      <c r="AL1457" s="133" t="s">
        <v>35</v>
      </c>
      <c r="AM1457" s="133" t="s">
        <v>35</v>
      </c>
      <c r="AN1457" s="132">
        <v>0.99</v>
      </c>
      <c r="AO1457" s="137">
        <v>1</v>
      </c>
      <c r="AP1457" s="137">
        <v>1</v>
      </c>
      <c r="AQ1457" s="137">
        <v>1</v>
      </c>
      <c r="AR1457" s="137">
        <v>1</v>
      </c>
      <c r="AS1457" s="158">
        <v>0.110069253262963</v>
      </c>
      <c r="AT1457" s="141" t="s">
        <v>35</v>
      </c>
      <c r="AU1457" s="141" t="s">
        <v>35</v>
      </c>
      <c r="AV1457" s="141" t="s">
        <v>35</v>
      </c>
      <c r="AW1457" s="141" t="s">
        <v>35</v>
      </c>
      <c r="AX1457" s="95"/>
      <c r="AY1457" s="93"/>
    </row>
    <row r="1458" ht="14.5" spans="1:51">
      <c r="A1458" s="91"/>
      <c r="B1458" s="95"/>
      <c r="C1458" s="152" t="s">
        <v>1455</v>
      </c>
      <c r="D1458" s="153" t="s">
        <v>125</v>
      </c>
      <c r="E1458" s="130" t="s">
        <v>1456</v>
      </c>
      <c r="F1458" s="202" t="s">
        <v>1490</v>
      </c>
      <c r="G1458" s="202" t="s">
        <v>1490</v>
      </c>
      <c r="H1458" s="202" t="s">
        <v>1490</v>
      </c>
      <c r="I1458" s="202" t="s">
        <v>1490</v>
      </c>
      <c r="J1458" s="132">
        <v>0.9</v>
      </c>
      <c r="K1458" s="133" t="s">
        <v>35</v>
      </c>
      <c r="L1458" s="133" t="s">
        <v>35</v>
      </c>
      <c r="M1458" s="134" t="s">
        <v>35</v>
      </c>
      <c r="N1458" s="133" t="s">
        <v>35</v>
      </c>
      <c r="O1458" s="135">
        <v>0.9</v>
      </c>
      <c r="P1458" s="133" t="s">
        <v>35</v>
      </c>
      <c r="Q1458" s="133" t="s">
        <v>35</v>
      </c>
      <c r="R1458" s="133" t="s">
        <v>35</v>
      </c>
      <c r="S1458" s="133" t="s">
        <v>35</v>
      </c>
      <c r="T1458" s="135">
        <v>0.9</v>
      </c>
      <c r="U1458" s="133" t="s">
        <v>35</v>
      </c>
      <c r="V1458" s="133" t="s">
        <v>35</v>
      </c>
      <c r="W1458" s="133" t="s">
        <v>35</v>
      </c>
      <c r="X1458" s="133" t="s">
        <v>35</v>
      </c>
      <c r="Y1458" s="135">
        <v>0.92</v>
      </c>
      <c r="Z1458" s="135" t="s">
        <v>35</v>
      </c>
      <c r="AA1458" s="135" t="s">
        <v>35</v>
      </c>
      <c r="AB1458" s="135" t="s">
        <v>35</v>
      </c>
      <c r="AC1458" s="135" t="s">
        <v>35</v>
      </c>
      <c r="AD1458" s="135">
        <v>0.92</v>
      </c>
      <c r="AE1458" s="133">
        <v>1</v>
      </c>
      <c r="AF1458" s="133">
        <v>1</v>
      </c>
      <c r="AG1458" s="133">
        <v>1</v>
      </c>
      <c r="AH1458" s="133">
        <v>0.998382115016914</v>
      </c>
      <c r="AI1458" s="135">
        <v>0.92</v>
      </c>
      <c r="AJ1458" s="133" t="s">
        <v>35</v>
      </c>
      <c r="AK1458" s="133" t="s">
        <v>35</v>
      </c>
      <c r="AL1458" s="133" t="s">
        <v>35</v>
      </c>
      <c r="AM1458" s="133" t="s">
        <v>35</v>
      </c>
      <c r="AN1458" s="132">
        <v>0.99</v>
      </c>
      <c r="AO1458" s="137">
        <v>1</v>
      </c>
      <c r="AP1458" s="137" t="s">
        <v>35</v>
      </c>
      <c r="AQ1458" s="137">
        <v>1</v>
      </c>
      <c r="AR1458" s="137">
        <v>1</v>
      </c>
      <c r="AS1458" s="158">
        <v>0.110069253262963</v>
      </c>
      <c r="AT1458" s="141" t="s">
        <v>35</v>
      </c>
      <c r="AU1458" s="141" t="s">
        <v>35</v>
      </c>
      <c r="AV1458" s="141" t="s">
        <v>35</v>
      </c>
      <c r="AW1458" s="141" t="s">
        <v>35</v>
      </c>
      <c r="AX1458" s="95"/>
      <c r="AY1458" s="93"/>
    </row>
    <row r="1459" ht="14.5" spans="1:51">
      <c r="A1459" s="91"/>
      <c r="B1459" s="95"/>
      <c r="C1459" s="152" t="s">
        <v>1455</v>
      </c>
      <c r="D1459" s="153" t="s">
        <v>125</v>
      </c>
      <c r="E1459" s="130" t="s">
        <v>1456</v>
      </c>
      <c r="F1459" s="200" t="s">
        <v>1491</v>
      </c>
      <c r="G1459" s="200" t="s">
        <v>1491</v>
      </c>
      <c r="H1459" s="200" t="s">
        <v>1491</v>
      </c>
      <c r="I1459" s="200" t="s">
        <v>1491</v>
      </c>
      <c r="J1459" s="132">
        <v>0.9</v>
      </c>
      <c r="K1459" s="133" t="s">
        <v>35</v>
      </c>
      <c r="L1459" s="133" t="s">
        <v>35</v>
      </c>
      <c r="M1459" s="134" t="s">
        <v>35</v>
      </c>
      <c r="N1459" s="133" t="s">
        <v>35</v>
      </c>
      <c r="O1459" s="135">
        <v>0.9</v>
      </c>
      <c r="P1459" s="133" t="s">
        <v>35</v>
      </c>
      <c r="Q1459" s="133">
        <v>0</v>
      </c>
      <c r="R1459" s="133">
        <v>0</v>
      </c>
      <c r="S1459" s="133">
        <v>0</v>
      </c>
      <c r="T1459" s="135">
        <v>0.9</v>
      </c>
      <c r="U1459" s="133" t="s">
        <v>35</v>
      </c>
      <c r="V1459" s="133">
        <v>1</v>
      </c>
      <c r="W1459" s="133">
        <v>1</v>
      </c>
      <c r="X1459" s="133">
        <v>1</v>
      </c>
      <c r="Y1459" s="135">
        <v>0.92</v>
      </c>
      <c r="Z1459" s="135" t="s">
        <v>35</v>
      </c>
      <c r="AA1459" s="135" t="s">
        <v>35</v>
      </c>
      <c r="AB1459" s="135" t="s">
        <v>35</v>
      </c>
      <c r="AC1459" s="135">
        <v>1</v>
      </c>
      <c r="AD1459" s="135">
        <v>0.92</v>
      </c>
      <c r="AE1459" s="133">
        <v>0.992647058823529</v>
      </c>
      <c r="AF1459" s="133">
        <v>1</v>
      </c>
      <c r="AG1459" s="133">
        <v>0.974217311233886</v>
      </c>
      <c r="AH1459" s="133">
        <v>0.990830115830116</v>
      </c>
      <c r="AI1459" s="135">
        <v>0.92</v>
      </c>
      <c r="AJ1459" s="133" t="s">
        <v>35</v>
      </c>
      <c r="AK1459" s="133">
        <v>1</v>
      </c>
      <c r="AL1459" s="133">
        <v>1</v>
      </c>
      <c r="AM1459" s="133">
        <v>1</v>
      </c>
      <c r="AN1459" s="132">
        <v>0.99</v>
      </c>
      <c r="AO1459" s="137">
        <v>1</v>
      </c>
      <c r="AP1459" s="137">
        <v>1</v>
      </c>
      <c r="AQ1459" s="137">
        <v>1</v>
      </c>
      <c r="AR1459" s="137">
        <v>1</v>
      </c>
      <c r="AS1459" s="158">
        <v>0.110069253262963</v>
      </c>
      <c r="AT1459" s="141" t="s">
        <v>35</v>
      </c>
      <c r="AU1459" s="141" t="s">
        <v>35</v>
      </c>
      <c r="AV1459" s="141" t="s">
        <v>35</v>
      </c>
      <c r="AW1459" s="141" t="s">
        <v>35</v>
      </c>
      <c r="AX1459" s="95"/>
      <c r="AY1459" s="93"/>
    </row>
    <row r="1460" ht="14.5" spans="1:51">
      <c r="A1460" s="91"/>
      <c r="B1460" s="95"/>
      <c r="C1460" s="152" t="s">
        <v>1455</v>
      </c>
      <c r="D1460" s="153" t="s">
        <v>25</v>
      </c>
      <c r="E1460" s="130" t="s">
        <v>1456</v>
      </c>
      <c r="F1460" s="171" t="s">
        <v>1492</v>
      </c>
      <c r="G1460" s="171" t="s">
        <v>1492</v>
      </c>
      <c r="H1460" s="171" t="s">
        <v>1492</v>
      </c>
      <c r="I1460" s="171" t="s">
        <v>1492</v>
      </c>
      <c r="J1460" s="132">
        <v>0.9</v>
      </c>
      <c r="K1460" s="133">
        <v>1</v>
      </c>
      <c r="L1460" s="133">
        <v>1</v>
      </c>
      <c r="M1460" s="134">
        <v>1</v>
      </c>
      <c r="N1460" s="133">
        <v>0.995762711864407</v>
      </c>
      <c r="O1460" s="135">
        <v>0.9</v>
      </c>
      <c r="P1460" s="133">
        <v>0.686500888099467</v>
      </c>
      <c r="Q1460" s="133">
        <v>0.735472679965308</v>
      </c>
      <c r="R1460" s="133">
        <v>0.911433172302738</v>
      </c>
      <c r="S1460" s="133">
        <v>0.956934234055235</v>
      </c>
      <c r="T1460" s="135">
        <v>0.9</v>
      </c>
      <c r="U1460" s="133">
        <v>0.922735346358792</v>
      </c>
      <c r="V1460" s="133">
        <v>0.971379011274935</v>
      </c>
      <c r="W1460" s="133">
        <v>0.93719806763285</v>
      </c>
      <c r="X1460" s="133">
        <v>0.930011921319293</v>
      </c>
      <c r="Y1460" s="135">
        <v>0.92</v>
      </c>
      <c r="Z1460" s="135" t="s">
        <v>35</v>
      </c>
      <c r="AA1460" s="135" t="s">
        <v>35</v>
      </c>
      <c r="AB1460" s="135" t="s">
        <v>35</v>
      </c>
      <c r="AC1460" s="135" t="s">
        <v>35</v>
      </c>
      <c r="AD1460" s="135">
        <v>0.92</v>
      </c>
      <c r="AE1460" s="133">
        <v>1</v>
      </c>
      <c r="AF1460" s="133">
        <v>1</v>
      </c>
      <c r="AG1460" s="133">
        <v>1</v>
      </c>
      <c r="AH1460" s="133">
        <v>0.969543147208122</v>
      </c>
      <c r="AI1460" s="135">
        <v>0.92</v>
      </c>
      <c r="AJ1460" s="133">
        <v>0.957371225577265</v>
      </c>
      <c r="AK1460" s="133">
        <v>0.996530789245447</v>
      </c>
      <c r="AL1460" s="133">
        <v>0.984702093397746</v>
      </c>
      <c r="AM1460" s="133">
        <v>0.987879992052454</v>
      </c>
      <c r="AN1460" s="132">
        <v>0.99</v>
      </c>
      <c r="AO1460" s="137">
        <v>1</v>
      </c>
      <c r="AP1460" s="137">
        <v>1</v>
      </c>
      <c r="AQ1460" s="137">
        <v>1</v>
      </c>
      <c r="AR1460" s="137">
        <v>1</v>
      </c>
      <c r="AS1460" s="158">
        <v>0.110069253262963</v>
      </c>
      <c r="AT1460" s="141">
        <v>0.0833333333333333</v>
      </c>
      <c r="AU1460" s="141">
        <v>0.2</v>
      </c>
      <c r="AV1460" s="141">
        <v>0.05</v>
      </c>
      <c r="AW1460" s="141">
        <v>0.0970464135021097</v>
      </c>
      <c r="AX1460" s="95"/>
      <c r="AY1460" s="93"/>
    </row>
    <row r="1461" ht="14.5" spans="1:51">
      <c r="A1461" s="91"/>
      <c r="B1461" s="95"/>
      <c r="C1461" s="152" t="s">
        <v>1455</v>
      </c>
      <c r="D1461" s="153" t="s">
        <v>25</v>
      </c>
      <c r="E1461" s="130" t="s">
        <v>1456</v>
      </c>
      <c r="F1461" s="171" t="s">
        <v>1493</v>
      </c>
      <c r="G1461" s="171" t="s">
        <v>1493</v>
      </c>
      <c r="H1461" s="171" t="s">
        <v>1493</v>
      </c>
      <c r="I1461" s="171" t="s">
        <v>1493</v>
      </c>
      <c r="J1461" s="132">
        <v>0.9</v>
      </c>
      <c r="K1461" s="133">
        <v>0.941176470588235</v>
      </c>
      <c r="L1461" s="133">
        <v>0.96969696969697</v>
      </c>
      <c r="M1461" s="134">
        <v>1</v>
      </c>
      <c r="N1461" s="133">
        <v>0.985840707964602</v>
      </c>
      <c r="O1461" s="135">
        <v>0.9</v>
      </c>
      <c r="P1461" s="133">
        <v>0.998063266623628</v>
      </c>
      <c r="Q1461" s="133">
        <v>0.998801438274071</v>
      </c>
      <c r="R1461" s="133">
        <v>0.998508575689784</v>
      </c>
      <c r="S1461" s="133">
        <v>0.998552711761121</v>
      </c>
      <c r="T1461" s="135">
        <v>0.9</v>
      </c>
      <c r="U1461" s="133">
        <v>0.941575209812782</v>
      </c>
      <c r="V1461" s="133">
        <v>0.951258489812225</v>
      </c>
      <c r="W1461" s="133">
        <v>0.959234402187422</v>
      </c>
      <c r="X1461" s="133">
        <v>0.963589274832419</v>
      </c>
      <c r="Y1461" s="135">
        <v>0.92</v>
      </c>
      <c r="Z1461" s="135" t="s">
        <v>35</v>
      </c>
      <c r="AA1461" s="135">
        <v>0</v>
      </c>
      <c r="AB1461" s="135" t="s">
        <v>35</v>
      </c>
      <c r="AC1461" s="135">
        <v>0</v>
      </c>
      <c r="AD1461" s="135">
        <v>0.92</v>
      </c>
      <c r="AE1461" s="133">
        <v>1</v>
      </c>
      <c r="AF1461" s="133">
        <v>0.833333333333333</v>
      </c>
      <c r="AG1461" s="133">
        <v>0.25</v>
      </c>
      <c r="AH1461" s="133">
        <v>0.780068728522337</v>
      </c>
      <c r="AI1461" s="135">
        <v>0.92</v>
      </c>
      <c r="AJ1461" s="133">
        <v>0.9770819883796</v>
      </c>
      <c r="AK1461" s="133">
        <v>0.982827476038339</v>
      </c>
      <c r="AL1461" s="133">
        <v>0.988814317673378</v>
      </c>
      <c r="AM1461" s="133">
        <v>0.989107459105364</v>
      </c>
      <c r="AN1461" s="132">
        <v>0.99</v>
      </c>
      <c r="AO1461" s="137">
        <v>1</v>
      </c>
      <c r="AP1461" s="137">
        <v>1</v>
      </c>
      <c r="AQ1461" s="137">
        <v>1</v>
      </c>
      <c r="AR1461" s="137">
        <v>1</v>
      </c>
      <c r="AS1461" s="158">
        <v>0.110069253262963</v>
      </c>
      <c r="AT1461" s="141">
        <v>0.0909090909090909</v>
      </c>
      <c r="AU1461" s="141">
        <v>0</v>
      </c>
      <c r="AV1461" s="141">
        <v>0.0714285714285714</v>
      </c>
      <c r="AW1461" s="141">
        <v>0.0353982300884956</v>
      </c>
      <c r="AX1461" s="95"/>
      <c r="AY1461" s="93"/>
    </row>
    <row r="1462" ht="14.5" spans="1:51">
      <c r="A1462" s="91"/>
      <c r="B1462" s="95"/>
      <c r="C1462" s="152" t="s">
        <v>1455</v>
      </c>
      <c r="D1462" s="153" t="s">
        <v>25</v>
      </c>
      <c r="E1462" s="130" t="s">
        <v>1456</v>
      </c>
      <c r="F1462" s="171" t="s">
        <v>1494</v>
      </c>
      <c r="G1462" s="171" t="s">
        <v>1494</v>
      </c>
      <c r="H1462" s="171" t="s">
        <v>1494</v>
      </c>
      <c r="I1462" s="171" t="s">
        <v>1494</v>
      </c>
      <c r="J1462" s="132">
        <v>0.9</v>
      </c>
      <c r="K1462" s="133" t="s">
        <v>35</v>
      </c>
      <c r="L1462" s="133" t="s">
        <v>35</v>
      </c>
      <c r="M1462" s="134" t="s">
        <v>35</v>
      </c>
      <c r="N1462" s="133" t="s">
        <v>35</v>
      </c>
      <c r="O1462" s="135">
        <v>0.9</v>
      </c>
      <c r="P1462" s="133" t="s">
        <v>35</v>
      </c>
      <c r="Q1462" s="133" t="s">
        <v>35</v>
      </c>
      <c r="R1462" s="133" t="s">
        <v>35</v>
      </c>
      <c r="S1462" s="133" t="s">
        <v>35</v>
      </c>
      <c r="T1462" s="135">
        <v>0.9</v>
      </c>
      <c r="U1462" s="133" t="s">
        <v>35</v>
      </c>
      <c r="V1462" s="133" t="s">
        <v>35</v>
      </c>
      <c r="W1462" s="133" t="s">
        <v>35</v>
      </c>
      <c r="X1462" s="133" t="s">
        <v>35</v>
      </c>
      <c r="Y1462" s="135">
        <v>0.92</v>
      </c>
      <c r="Z1462" s="135" t="s">
        <v>35</v>
      </c>
      <c r="AA1462" s="135" t="s">
        <v>35</v>
      </c>
      <c r="AB1462" s="135" t="s">
        <v>35</v>
      </c>
      <c r="AC1462" s="135" t="s">
        <v>35</v>
      </c>
      <c r="AD1462" s="135">
        <v>0.92</v>
      </c>
      <c r="AE1462" s="133" t="s">
        <v>35</v>
      </c>
      <c r="AF1462" s="133" t="s">
        <v>35</v>
      </c>
      <c r="AG1462" s="133" t="s">
        <v>35</v>
      </c>
      <c r="AH1462" s="133" t="s">
        <v>35</v>
      </c>
      <c r="AI1462" s="135">
        <v>0.92</v>
      </c>
      <c r="AJ1462" s="133" t="s">
        <v>35</v>
      </c>
      <c r="AK1462" s="133" t="s">
        <v>35</v>
      </c>
      <c r="AL1462" s="133" t="s">
        <v>35</v>
      </c>
      <c r="AM1462" s="133" t="s">
        <v>35</v>
      </c>
      <c r="AN1462" s="132">
        <v>0.99</v>
      </c>
      <c r="AO1462" s="137" t="s">
        <v>35</v>
      </c>
      <c r="AP1462" s="137" t="s">
        <v>35</v>
      </c>
      <c r="AQ1462" s="137" t="s">
        <v>35</v>
      </c>
      <c r="AR1462" s="137" t="s">
        <v>35</v>
      </c>
      <c r="AS1462" s="158">
        <v>0.110069253262963</v>
      </c>
      <c r="AT1462" s="141" t="s">
        <v>35</v>
      </c>
      <c r="AU1462" s="141" t="s">
        <v>35</v>
      </c>
      <c r="AV1462" s="141" t="s">
        <v>35</v>
      </c>
      <c r="AW1462" s="141" t="s">
        <v>35</v>
      </c>
      <c r="AX1462" s="95"/>
      <c r="AY1462" s="93"/>
    </row>
    <row r="1463" ht="14.5" spans="1:51">
      <c r="A1463" s="91"/>
      <c r="B1463" s="95"/>
      <c r="C1463" s="152" t="s">
        <v>1455</v>
      </c>
      <c r="D1463" s="153" t="s">
        <v>25</v>
      </c>
      <c r="E1463" s="130" t="s">
        <v>1456</v>
      </c>
      <c r="F1463" s="171" t="s">
        <v>1495</v>
      </c>
      <c r="G1463" s="171" t="s">
        <v>1495</v>
      </c>
      <c r="H1463" s="171" t="s">
        <v>1495</v>
      </c>
      <c r="I1463" s="171" t="s">
        <v>1495</v>
      </c>
      <c r="J1463" s="132">
        <v>0.9</v>
      </c>
      <c r="K1463" s="133">
        <v>0.666666666666667</v>
      </c>
      <c r="L1463" s="133">
        <v>0.75</v>
      </c>
      <c r="M1463" s="134">
        <v>0.666666666666667</v>
      </c>
      <c r="N1463" s="133">
        <v>0.71551724137931</v>
      </c>
      <c r="O1463" s="135">
        <v>0.9</v>
      </c>
      <c r="P1463" s="133">
        <v>0.992141453831041</v>
      </c>
      <c r="Q1463" s="133">
        <v>0.347826086956522</v>
      </c>
      <c r="R1463" s="133">
        <v>0.928571428571429</v>
      </c>
      <c r="S1463" s="133">
        <v>0.708058864751226</v>
      </c>
      <c r="T1463" s="135">
        <v>0.9</v>
      </c>
      <c r="U1463" s="133">
        <v>0.643745907007204</v>
      </c>
      <c r="V1463" s="133">
        <v>0.347826086956522</v>
      </c>
      <c r="W1463" s="133">
        <v>0.0714285714285714</v>
      </c>
      <c r="X1463" s="133">
        <v>0.536089698668535</v>
      </c>
      <c r="Y1463" s="135">
        <v>0.92</v>
      </c>
      <c r="Z1463" s="135" t="s">
        <v>35</v>
      </c>
      <c r="AA1463" s="135" t="s">
        <v>35</v>
      </c>
      <c r="AB1463" s="135" t="s">
        <v>35</v>
      </c>
      <c r="AC1463" s="135" t="s">
        <v>35</v>
      </c>
      <c r="AD1463" s="135">
        <v>0.92</v>
      </c>
      <c r="AE1463" s="133">
        <v>0</v>
      </c>
      <c r="AF1463" s="133" t="s">
        <v>35</v>
      </c>
      <c r="AG1463" s="133">
        <v>1</v>
      </c>
      <c r="AH1463" s="133">
        <v>0.974358974358974</v>
      </c>
      <c r="AI1463" s="135">
        <v>0.92</v>
      </c>
      <c r="AJ1463" s="133">
        <v>0.691301504251145</v>
      </c>
      <c r="AK1463" s="133">
        <v>0.414285714285714</v>
      </c>
      <c r="AL1463" s="133">
        <v>0.555555555555556</v>
      </c>
      <c r="AM1463" s="133">
        <v>0.589270862212365</v>
      </c>
      <c r="AN1463" s="132">
        <v>0.99</v>
      </c>
      <c r="AO1463" s="137">
        <v>1</v>
      </c>
      <c r="AP1463" s="137" t="s">
        <v>35</v>
      </c>
      <c r="AQ1463" s="137">
        <v>1</v>
      </c>
      <c r="AR1463" s="137">
        <v>1</v>
      </c>
      <c r="AS1463" s="158">
        <v>0.110069253262963</v>
      </c>
      <c r="AT1463" s="141">
        <v>0.0681818181818182</v>
      </c>
      <c r="AU1463" s="141">
        <v>0.0555555555555556</v>
      </c>
      <c r="AV1463" s="141">
        <v>0.266666666666667</v>
      </c>
      <c r="AW1463" s="141">
        <v>0.107438016528926</v>
      </c>
      <c r="AX1463" s="95"/>
      <c r="AY1463" s="93"/>
    </row>
    <row r="1464" ht="14.5" spans="1:51">
      <c r="A1464" s="91"/>
      <c r="B1464" s="95"/>
      <c r="C1464" s="152" t="s">
        <v>1455</v>
      </c>
      <c r="D1464" s="153" t="s">
        <v>25</v>
      </c>
      <c r="E1464" s="130" t="s">
        <v>1456</v>
      </c>
      <c r="F1464" s="171" t="s">
        <v>1496</v>
      </c>
      <c r="G1464" s="171" t="s">
        <v>1496</v>
      </c>
      <c r="H1464" s="171" t="s">
        <v>1496</v>
      </c>
      <c r="I1464" s="171" t="s">
        <v>1496</v>
      </c>
      <c r="J1464" s="132">
        <v>0.9</v>
      </c>
      <c r="K1464" s="133">
        <v>1</v>
      </c>
      <c r="L1464" s="133">
        <v>0.875</v>
      </c>
      <c r="M1464" s="134">
        <v>1</v>
      </c>
      <c r="N1464" s="133">
        <v>0.910714285714286</v>
      </c>
      <c r="O1464" s="135">
        <v>0.9</v>
      </c>
      <c r="P1464" s="133" t="s">
        <v>35</v>
      </c>
      <c r="Q1464" s="133" t="s">
        <v>35</v>
      </c>
      <c r="R1464" s="133" t="s">
        <v>35</v>
      </c>
      <c r="S1464" s="133">
        <v>0.333333333333333</v>
      </c>
      <c r="T1464" s="135">
        <v>0.9</v>
      </c>
      <c r="U1464" s="133" t="s">
        <v>35</v>
      </c>
      <c r="V1464" s="133" t="s">
        <v>35</v>
      </c>
      <c r="W1464" s="133" t="s">
        <v>35</v>
      </c>
      <c r="X1464" s="133">
        <v>0</v>
      </c>
      <c r="Y1464" s="135">
        <v>0.92</v>
      </c>
      <c r="Z1464" s="135" t="s">
        <v>35</v>
      </c>
      <c r="AA1464" s="135" t="s">
        <v>35</v>
      </c>
      <c r="AB1464" s="135" t="s">
        <v>35</v>
      </c>
      <c r="AC1464" s="135" t="s">
        <v>35</v>
      </c>
      <c r="AD1464" s="135">
        <v>0.92</v>
      </c>
      <c r="AE1464" s="133">
        <v>0</v>
      </c>
      <c r="AF1464" s="133">
        <v>0</v>
      </c>
      <c r="AG1464" s="133">
        <v>0.2</v>
      </c>
      <c r="AH1464" s="133">
        <v>0.0789473684210526</v>
      </c>
      <c r="AI1464" s="135">
        <v>0.92</v>
      </c>
      <c r="AJ1464" s="133">
        <v>0.851282051282051</v>
      </c>
      <c r="AK1464" s="133">
        <v>0.901574803149606</v>
      </c>
      <c r="AL1464" s="133">
        <v>0.886194029850746</v>
      </c>
      <c r="AM1464" s="133">
        <v>0.881828073993471</v>
      </c>
      <c r="AN1464" s="132">
        <v>0.99</v>
      </c>
      <c r="AO1464" s="137" t="s">
        <v>35</v>
      </c>
      <c r="AP1464" s="137" t="s">
        <v>35</v>
      </c>
      <c r="AQ1464" s="137" t="s">
        <v>35</v>
      </c>
      <c r="AR1464" s="137" t="s">
        <v>35</v>
      </c>
      <c r="AS1464" s="158">
        <v>0.110069253262963</v>
      </c>
      <c r="AT1464" s="141">
        <v>0.1</v>
      </c>
      <c r="AU1464" s="141">
        <v>0.133333333333333</v>
      </c>
      <c r="AV1464" s="141">
        <v>0</v>
      </c>
      <c r="AW1464" s="141">
        <v>0.0909090909090909</v>
      </c>
      <c r="AX1464" s="95"/>
      <c r="AY1464" s="93"/>
    </row>
    <row r="1465" ht="14.5" spans="1:51">
      <c r="A1465" s="91"/>
      <c r="B1465" s="95"/>
      <c r="C1465" s="152" t="s">
        <v>1455</v>
      </c>
      <c r="D1465" s="153" t="s">
        <v>25</v>
      </c>
      <c r="E1465" s="130" t="s">
        <v>1456</v>
      </c>
      <c r="F1465" s="171" t="s">
        <v>1497</v>
      </c>
      <c r="G1465" s="171" t="s">
        <v>1497</v>
      </c>
      <c r="H1465" s="171" t="s">
        <v>1497</v>
      </c>
      <c r="I1465" s="171" t="s">
        <v>1497</v>
      </c>
      <c r="J1465" s="132">
        <v>0.9</v>
      </c>
      <c r="K1465" s="133">
        <v>0.423076923076923</v>
      </c>
      <c r="L1465" s="133">
        <v>0.476190476190476</v>
      </c>
      <c r="M1465" s="134">
        <v>0.666666666666667</v>
      </c>
      <c r="N1465" s="133">
        <v>0.545673076923077</v>
      </c>
      <c r="O1465" s="135">
        <v>0.9</v>
      </c>
      <c r="P1465" s="133">
        <v>0.662693156732892</v>
      </c>
      <c r="Q1465" s="133">
        <v>0.794561933534743</v>
      </c>
      <c r="R1465" s="133">
        <v>0.756280299691494</v>
      </c>
      <c r="S1465" s="133">
        <v>0.780042350449973</v>
      </c>
      <c r="T1465" s="135">
        <v>0.9</v>
      </c>
      <c r="U1465" s="133">
        <v>0.369977924944812</v>
      </c>
      <c r="V1465" s="133">
        <v>0.55840886203424</v>
      </c>
      <c r="W1465" s="133">
        <v>0.543851917144116</v>
      </c>
      <c r="X1465" s="133">
        <v>0.53146873713311</v>
      </c>
      <c r="Y1465" s="135">
        <v>0.92</v>
      </c>
      <c r="Z1465" s="135" t="s">
        <v>35</v>
      </c>
      <c r="AA1465" s="135" t="s">
        <v>35</v>
      </c>
      <c r="AB1465" s="135" t="s">
        <v>35</v>
      </c>
      <c r="AC1465" s="135" t="s">
        <v>35</v>
      </c>
      <c r="AD1465" s="135">
        <v>0.92</v>
      </c>
      <c r="AE1465" s="133">
        <v>1</v>
      </c>
      <c r="AF1465" s="133">
        <v>1</v>
      </c>
      <c r="AG1465" s="133">
        <v>1</v>
      </c>
      <c r="AH1465" s="133">
        <v>0.991769547325103</v>
      </c>
      <c r="AI1465" s="135">
        <v>0.92</v>
      </c>
      <c r="AJ1465" s="133">
        <v>0.738631346578366</v>
      </c>
      <c r="AK1465" s="133">
        <v>0.806143001007049</v>
      </c>
      <c r="AL1465" s="133">
        <v>0.836491846628471</v>
      </c>
      <c r="AM1465" s="133">
        <v>0.837862478677725</v>
      </c>
      <c r="AN1465" s="132">
        <v>0.99</v>
      </c>
      <c r="AO1465" s="137">
        <v>1</v>
      </c>
      <c r="AP1465" s="137">
        <v>1</v>
      </c>
      <c r="AQ1465" s="137">
        <v>1</v>
      </c>
      <c r="AR1465" s="137">
        <v>1</v>
      </c>
      <c r="AS1465" s="158">
        <v>0.110069253262963</v>
      </c>
      <c r="AT1465" s="141">
        <v>0.192307692307692</v>
      </c>
      <c r="AU1465" s="141">
        <v>0.142857142857143</v>
      </c>
      <c r="AV1465" s="141">
        <v>0.0303030303030303</v>
      </c>
      <c r="AW1465" s="141">
        <v>0.1441647597254</v>
      </c>
      <c r="AX1465" s="95"/>
      <c r="AY1465" s="93"/>
    </row>
    <row r="1466" ht="14.5" spans="1:51">
      <c r="A1466" s="91"/>
      <c r="B1466" s="95"/>
      <c r="C1466" s="152" t="s">
        <v>1455</v>
      </c>
      <c r="D1466" s="153" t="s">
        <v>25</v>
      </c>
      <c r="E1466" s="130" t="s">
        <v>1456</v>
      </c>
      <c r="F1466" s="171" t="s">
        <v>1498</v>
      </c>
      <c r="G1466" s="171" t="s">
        <v>1498</v>
      </c>
      <c r="H1466" s="171" t="s">
        <v>1498</v>
      </c>
      <c r="I1466" s="171" t="s">
        <v>1498</v>
      </c>
      <c r="J1466" s="132">
        <v>0.9</v>
      </c>
      <c r="K1466" s="133">
        <v>0.933333333333333</v>
      </c>
      <c r="L1466" s="133">
        <v>0.923076923076923</v>
      </c>
      <c r="M1466" s="134">
        <v>0.833333333333333</v>
      </c>
      <c r="N1466" s="133">
        <v>0.8</v>
      </c>
      <c r="O1466" s="135">
        <v>0.9</v>
      </c>
      <c r="P1466" s="133">
        <v>0.955500618046972</v>
      </c>
      <c r="Q1466" s="133">
        <v>0.930515063168124</v>
      </c>
      <c r="R1466" s="133">
        <v>1</v>
      </c>
      <c r="S1466" s="133">
        <v>0.986541877305643</v>
      </c>
      <c r="T1466" s="135">
        <v>0.9</v>
      </c>
      <c r="U1466" s="133">
        <v>0.724351050679852</v>
      </c>
      <c r="V1466" s="133">
        <v>0.816326530612245</v>
      </c>
      <c r="W1466" s="133">
        <v>1</v>
      </c>
      <c r="X1466" s="133">
        <v>0.905178303046864</v>
      </c>
      <c r="Y1466" s="135">
        <v>0.92</v>
      </c>
      <c r="Z1466" s="135" t="s">
        <v>35</v>
      </c>
      <c r="AA1466" s="135" t="s">
        <v>35</v>
      </c>
      <c r="AB1466" s="135" t="s">
        <v>35</v>
      </c>
      <c r="AC1466" s="135" t="s">
        <v>35</v>
      </c>
      <c r="AD1466" s="135">
        <v>0.92</v>
      </c>
      <c r="AE1466" s="133">
        <v>0</v>
      </c>
      <c r="AF1466" s="133">
        <v>0</v>
      </c>
      <c r="AG1466" s="133">
        <v>0</v>
      </c>
      <c r="AH1466" s="133">
        <v>0.326086956521739</v>
      </c>
      <c r="AI1466" s="135">
        <v>0.92</v>
      </c>
      <c r="AJ1466" s="133">
        <v>0.824474660074166</v>
      </c>
      <c r="AK1466" s="133">
        <v>0.874271844660194</v>
      </c>
      <c r="AL1466" s="133">
        <v>0.970588235294118</v>
      </c>
      <c r="AM1466" s="133">
        <v>0.941678035470669</v>
      </c>
      <c r="AN1466" s="132">
        <v>0.99</v>
      </c>
      <c r="AO1466" s="137" t="s">
        <v>35</v>
      </c>
      <c r="AP1466" s="137">
        <v>1</v>
      </c>
      <c r="AQ1466" s="137" t="s">
        <v>35</v>
      </c>
      <c r="AR1466" s="137">
        <v>1</v>
      </c>
      <c r="AS1466" s="158">
        <v>0.110069253262963</v>
      </c>
      <c r="AT1466" s="141">
        <v>0.04</v>
      </c>
      <c r="AU1466" s="141">
        <v>0.125</v>
      </c>
      <c r="AV1466" s="141">
        <v>0.1</v>
      </c>
      <c r="AW1466" s="141">
        <v>0.0997876857749469</v>
      </c>
      <c r="AX1466" s="95"/>
      <c r="AY1466" s="93"/>
    </row>
    <row r="1467" ht="14.5" spans="1:51">
      <c r="A1467" s="91"/>
      <c r="B1467" s="95"/>
      <c r="C1467" s="152" t="s">
        <v>1455</v>
      </c>
      <c r="D1467" s="153" t="s">
        <v>25</v>
      </c>
      <c r="E1467" s="130" t="s">
        <v>1456</v>
      </c>
      <c r="F1467" s="171" t="s">
        <v>1499</v>
      </c>
      <c r="G1467" s="171" t="s">
        <v>1499</v>
      </c>
      <c r="H1467" s="171" t="s">
        <v>1499</v>
      </c>
      <c r="I1467" s="171" t="s">
        <v>1499</v>
      </c>
      <c r="J1467" s="132">
        <v>0.9</v>
      </c>
      <c r="K1467" s="133">
        <v>1</v>
      </c>
      <c r="L1467" s="133">
        <v>0.9375</v>
      </c>
      <c r="M1467" s="134">
        <v>1</v>
      </c>
      <c r="N1467" s="133">
        <v>0.970149253731343</v>
      </c>
      <c r="O1467" s="135">
        <v>0.9</v>
      </c>
      <c r="P1467" s="133">
        <v>0.966629588431591</v>
      </c>
      <c r="Q1467" s="133">
        <v>0.987475280158207</v>
      </c>
      <c r="R1467" s="133">
        <v>0.921553090332805</v>
      </c>
      <c r="S1467" s="133">
        <v>0.963588561550097</v>
      </c>
      <c r="T1467" s="135">
        <v>0.9</v>
      </c>
      <c r="U1467" s="133">
        <v>0.525583982202447</v>
      </c>
      <c r="V1467" s="133">
        <v>0.57152274225445</v>
      </c>
      <c r="W1467" s="133">
        <v>0.60459587955626</v>
      </c>
      <c r="X1467" s="133">
        <v>0.395807822516747</v>
      </c>
      <c r="Y1467" s="135">
        <v>0.92</v>
      </c>
      <c r="Z1467" s="135" t="s">
        <v>35</v>
      </c>
      <c r="AA1467" s="135" t="s">
        <v>35</v>
      </c>
      <c r="AB1467" s="135" t="s">
        <v>35</v>
      </c>
      <c r="AC1467" s="135" t="s">
        <v>35</v>
      </c>
      <c r="AD1467" s="135">
        <v>0.92</v>
      </c>
      <c r="AE1467" s="133">
        <v>1</v>
      </c>
      <c r="AF1467" s="133">
        <v>1</v>
      </c>
      <c r="AG1467" s="133">
        <v>1</v>
      </c>
      <c r="AH1467" s="133">
        <v>0.9375</v>
      </c>
      <c r="AI1467" s="135">
        <v>0.92</v>
      </c>
      <c r="AJ1467" s="133">
        <v>0.943826473859844</v>
      </c>
      <c r="AK1467" s="133">
        <v>0.912326961107449</v>
      </c>
      <c r="AL1467" s="133">
        <v>0.810618066561014</v>
      </c>
      <c r="AM1467" s="133">
        <v>0.913383274508392</v>
      </c>
      <c r="AN1467" s="132">
        <v>0.99</v>
      </c>
      <c r="AO1467" s="137">
        <v>1</v>
      </c>
      <c r="AP1467" s="137">
        <v>1</v>
      </c>
      <c r="AQ1467" s="137">
        <v>1</v>
      </c>
      <c r="AR1467" s="137">
        <v>1</v>
      </c>
      <c r="AS1467" s="158">
        <v>0.110069253262963</v>
      </c>
      <c r="AT1467" s="141">
        <v>0.0909090909090909</v>
      </c>
      <c r="AU1467" s="141">
        <v>0.142857142857143</v>
      </c>
      <c r="AV1467" s="141">
        <v>0</v>
      </c>
      <c r="AW1467" s="141">
        <v>0.0760869565217391</v>
      </c>
      <c r="AX1467" s="95"/>
      <c r="AY1467" s="93"/>
    </row>
    <row r="1468" ht="14.5" spans="1:51">
      <c r="A1468" s="91"/>
      <c r="B1468" s="95"/>
      <c r="C1468" s="152" t="s">
        <v>1455</v>
      </c>
      <c r="D1468" s="153" t="s">
        <v>25</v>
      </c>
      <c r="E1468" s="130" t="s">
        <v>1456</v>
      </c>
      <c r="F1468" s="171" t="s">
        <v>1500</v>
      </c>
      <c r="G1468" s="171" t="s">
        <v>1500</v>
      </c>
      <c r="H1468" s="171" t="s">
        <v>1500</v>
      </c>
      <c r="I1468" s="171" t="s">
        <v>1500</v>
      </c>
      <c r="J1468" s="132">
        <v>0.9</v>
      </c>
      <c r="K1468" s="133">
        <v>1</v>
      </c>
      <c r="L1468" s="133">
        <v>0.666666666666667</v>
      </c>
      <c r="M1468" s="134">
        <v>0.833333333333333</v>
      </c>
      <c r="N1468" s="133">
        <v>0.849462365591398</v>
      </c>
      <c r="O1468" s="135">
        <v>0.9</v>
      </c>
      <c r="P1468" s="133" t="s">
        <v>35</v>
      </c>
      <c r="Q1468" s="133">
        <v>0</v>
      </c>
      <c r="R1468" s="133">
        <v>1</v>
      </c>
      <c r="S1468" s="133">
        <v>0.666666666666667</v>
      </c>
      <c r="T1468" s="135">
        <v>0.9</v>
      </c>
      <c r="U1468" s="133" t="s">
        <v>35</v>
      </c>
      <c r="V1468" s="133">
        <v>0</v>
      </c>
      <c r="W1468" s="133">
        <v>0</v>
      </c>
      <c r="X1468" s="133">
        <v>0</v>
      </c>
      <c r="Y1468" s="135">
        <v>0.92</v>
      </c>
      <c r="Z1468" s="135" t="s">
        <v>35</v>
      </c>
      <c r="AA1468" s="135" t="s">
        <v>35</v>
      </c>
      <c r="AB1468" s="135" t="s">
        <v>35</v>
      </c>
      <c r="AC1468" s="135" t="s">
        <v>35</v>
      </c>
      <c r="AD1468" s="135">
        <v>0.92</v>
      </c>
      <c r="AE1468" s="133">
        <v>0</v>
      </c>
      <c r="AF1468" s="133">
        <v>0</v>
      </c>
      <c r="AG1468" s="133">
        <v>0</v>
      </c>
      <c r="AH1468" s="133">
        <v>0.175438596491228</v>
      </c>
      <c r="AI1468" s="135">
        <v>0.92</v>
      </c>
      <c r="AJ1468" s="133">
        <v>0.911654135338346</v>
      </c>
      <c r="AK1468" s="133">
        <v>0.978313253012048</v>
      </c>
      <c r="AL1468" s="133">
        <v>0.991416309012876</v>
      </c>
      <c r="AM1468" s="133">
        <v>0.951115030868086</v>
      </c>
      <c r="AN1468" s="132">
        <v>0.99</v>
      </c>
      <c r="AO1468" s="137" t="s">
        <v>35</v>
      </c>
      <c r="AP1468" s="137">
        <v>1</v>
      </c>
      <c r="AQ1468" s="137">
        <v>1</v>
      </c>
      <c r="AR1468" s="137">
        <v>1</v>
      </c>
      <c r="AS1468" s="158">
        <v>0.110069253262963</v>
      </c>
      <c r="AT1468" s="141">
        <v>0</v>
      </c>
      <c r="AU1468" s="141">
        <v>0</v>
      </c>
      <c r="AV1468" s="141">
        <v>0</v>
      </c>
      <c r="AW1468" s="141">
        <v>0.051948051948052</v>
      </c>
      <c r="AX1468" s="95"/>
      <c r="AY1468" s="93"/>
    </row>
    <row r="1469" ht="14.5" spans="1:51">
      <c r="A1469" s="91"/>
      <c r="B1469" s="95"/>
      <c r="C1469" s="152" t="s">
        <v>1455</v>
      </c>
      <c r="D1469" s="153" t="s">
        <v>25</v>
      </c>
      <c r="E1469" s="130" t="s">
        <v>1456</v>
      </c>
      <c r="F1469" s="171" t="s">
        <v>1501</v>
      </c>
      <c r="G1469" s="171" t="s">
        <v>1501</v>
      </c>
      <c r="H1469" s="171" t="s">
        <v>1501</v>
      </c>
      <c r="I1469" s="171" t="s">
        <v>1501</v>
      </c>
      <c r="J1469" s="132">
        <v>0.9</v>
      </c>
      <c r="K1469" s="133">
        <v>1</v>
      </c>
      <c r="L1469" s="133">
        <v>0.916666666666667</v>
      </c>
      <c r="M1469" s="134">
        <v>1</v>
      </c>
      <c r="N1469" s="133">
        <v>0.92</v>
      </c>
      <c r="O1469" s="135">
        <v>0.9</v>
      </c>
      <c r="P1469" s="133" t="s">
        <v>35</v>
      </c>
      <c r="Q1469" s="133" t="s">
        <v>35</v>
      </c>
      <c r="R1469" s="133" t="s">
        <v>35</v>
      </c>
      <c r="S1469" s="133">
        <v>1</v>
      </c>
      <c r="T1469" s="135">
        <v>0.9</v>
      </c>
      <c r="U1469" s="133" t="s">
        <v>35</v>
      </c>
      <c r="V1469" s="133" t="s">
        <v>35</v>
      </c>
      <c r="W1469" s="133" t="s">
        <v>35</v>
      </c>
      <c r="X1469" s="133">
        <v>0</v>
      </c>
      <c r="Y1469" s="135">
        <v>0.92</v>
      </c>
      <c r="Z1469" s="135" t="s">
        <v>35</v>
      </c>
      <c r="AA1469" s="135" t="s">
        <v>35</v>
      </c>
      <c r="AB1469" s="135" t="s">
        <v>35</v>
      </c>
      <c r="AC1469" s="135" t="s">
        <v>35</v>
      </c>
      <c r="AD1469" s="135">
        <v>0.92</v>
      </c>
      <c r="AE1469" s="133">
        <v>1</v>
      </c>
      <c r="AF1469" s="133">
        <v>0</v>
      </c>
      <c r="AG1469" s="133">
        <v>0</v>
      </c>
      <c r="AH1469" s="133">
        <v>0.101010101010101</v>
      </c>
      <c r="AI1469" s="135">
        <v>0.92</v>
      </c>
      <c r="AJ1469" s="133">
        <v>0.924107142857143</v>
      </c>
      <c r="AK1469" s="133">
        <v>0.947849954254346</v>
      </c>
      <c r="AL1469" s="133">
        <v>0.965480043149946</v>
      </c>
      <c r="AM1469" s="133">
        <v>0.957780988879814</v>
      </c>
      <c r="AN1469" s="132">
        <v>0.99</v>
      </c>
      <c r="AO1469" s="137" t="s">
        <v>35</v>
      </c>
      <c r="AP1469" s="137" t="s">
        <v>35</v>
      </c>
      <c r="AQ1469" s="137" t="s">
        <v>35</v>
      </c>
      <c r="AR1469" s="137">
        <v>1</v>
      </c>
      <c r="AS1469" s="158">
        <v>0.110069253262963</v>
      </c>
      <c r="AT1469" s="141">
        <v>0.333333333333333</v>
      </c>
      <c r="AU1469" s="141">
        <v>0.25</v>
      </c>
      <c r="AV1469" s="141">
        <v>0.0714285714285714</v>
      </c>
      <c r="AW1469" s="141">
        <v>0.127962085308057</v>
      </c>
      <c r="AX1469" s="95"/>
      <c r="AY1469" s="93"/>
    </row>
    <row r="1470" ht="14.5" spans="1:51">
      <c r="A1470" s="91"/>
      <c r="B1470" s="95"/>
      <c r="C1470" s="152" t="s">
        <v>1455</v>
      </c>
      <c r="D1470" s="153" t="s">
        <v>25</v>
      </c>
      <c r="E1470" s="130" t="s">
        <v>1456</v>
      </c>
      <c r="F1470" s="171" t="s">
        <v>1502</v>
      </c>
      <c r="G1470" s="171" t="s">
        <v>1502</v>
      </c>
      <c r="H1470" s="171" t="s">
        <v>1502</v>
      </c>
      <c r="I1470" s="171" t="s">
        <v>1502</v>
      </c>
      <c r="J1470" s="132">
        <v>0.9</v>
      </c>
      <c r="K1470" s="133">
        <v>0.263157894736842</v>
      </c>
      <c r="L1470" s="133">
        <v>0.263157894736842</v>
      </c>
      <c r="M1470" s="134">
        <v>0.333333333333333</v>
      </c>
      <c r="N1470" s="133">
        <v>0.34</v>
      </c>
      <c r="O1470" s="135">
        <v>0.9</v>
      </c>
      <c r="P1470" s="133">
        <v>0.922138047138047</v>
      </c>
      <c r="Q1470" s="133">
        <v>0.985706117781589</v>
      </c>
      <c r="R1470" s="133">
        <v>0.982201235016346</v>
      </c>
      <c r="S1470" s="133">
        <v>0.978633052920149</v>
      </c>
      <c r="T1470" s="135">
        <v>0.9</v>
      </c>
      <c r="U1470" s="133">
        <v>0.663720538720539</v>
      </c>
      <c r="V1470" s="133">
        <v>0.803316180674671</v>
      </c>
      <c r="W1470" s="133">
        <v>0.822738830366872</v>
      </c>
      <c r="X1470" s="133">
        <v>0.753433493697423</v>
      </c>
      <c r="Y1470" s="135">
        <v>0.92</v>
      </c>
      <c r="Z1470" s="135" t="s">
        <v>35</v>
      </c>
      <c r="AA1470" s="135" t="s">
        <v>35</v>
      </c>
      <c r="AB1470" s="135" t="s">
        <v>35</v>
      </c>
      <c r="AC1470" s="135" t="s">
        <v>35</v>
      </c>
      <c r="AD1470" s="135">
        <v>0.92</v>
      </c>
      <c r="AE1470" s="133">
        <v>0.583333333333333</v>
      </c>
      <c r="AF1470" s="133">
        <v>0.904761904761905</v>
      </c>
      <c r="AG1470" s="133">
        <v>0.771428571428571</v>
      </c>
      <c r="AH1470" s="133">
        <v>0.881632653061225</v>
      </c>
      <c r="AI1470" s="135">
        <v>0.92</v>
      </c>
      <c r="AJ1470" s="133">
        <v>0.823232323232323</v>
      </c>
      <c r="AK1470" s="133">
        <v>0.894225271583762</v>
      </c>
      <c r="AL1470" s="133">
        <v>0.92916818016709</v>
      </c>
      <c r="AM1470" s="133">
        <v>0.897196764049776</v>
      </c>
      <c r="AN1470" s="132">
        <v>0.99</v>
      </c>
      <c r="AO1470" s="137">
        <v>1</v>
      </c>
      <c r="AP1470" s="137">
        <v>1</v>
      </c>
      <c r="AQ1470" s="137" t="s">
        <v>35</v>
      </c>
      <c r="AR1470" s="137">
        <v>1</v>
      </c>
      <c r="AS1470" s="158">
        <v>0.110069253262963</v>
      </c>
      <c r="AT1470" s="141">
        <v>0.0833333333333333</v>
      </c>
      <c r="AU1470" s="141">
        <v>0.333333333333333</v>
      </c>
      <c r="AV1470" s="141">
        <v>0.214285714285714</v>
      </c>
      <c r="AW1470" s="141">
        <v>0.0958549222797927</v>
      </c>
      <c r="AX1470" s="95"/>
      <c r="AY1470" s="93"/>
    </row>
    <row r="1471" ht="14.5" spans="1:51">
      <c r="A1471" s="91"/>
      <c r="B1471" s="95"/>
      <c r="C1471" s="152" t="s">
        <v>1455</v>
      </c>
      <c r="D1471" s="153" t="s">
        <v>25</v>
      </c>
      <c r="E1471" s="130" t="s">
        <v>1456</v>
      </c>
      <c r="F1471" s="171" t="s">
        <v>1503</v>
      </c>
      <c r="G1471" s="171" t="s">
        <v>1503</v>
      </c>
      <c r="H1471" s="171" t="s">
        <v>1503</v>
      </c>
      <c r="I1471" s="171" t="s">
        <v>1503</v>
      </c>
      <c r="J1471" s="132">
        <v>0.9</v>
      </c>
      <c r="K1471" s="133">
        <v>1</v>
      </c>
      <c r="L1471" s="133">
        <v>1</v>
      </c>
      <c r="M1471" s="134">
        <v>1</v>
      </c>
      <c r="N1471" s="133">
        <v>1</v>
      </c>
      <c r="O1471" s="135">
        <v>0.9</v>
      </c>
      <c r="P1471" s="133">
        <v>0.956152758132956</v>
      </c>
      <c r="Q1471" s="133">
        <v>0.973883740522325</v>
      </c>
      <c r="R1471" s="133">
        <v>0.966747769667478</v>
      </c>
      <c r="S1471" s="133">
        <v>0.967175820604485</v>
      </c>
      <c r="T1471" s="135">
        <v>0.9</v>
      </c>
      <c r="U1471" s="133">
        <v>0.81046676096181</v>
      </c>
      <c r="V1471" s="133">
        <v>0.748104465037911</v>
      </c>
      <c r="W1471" s="133">
        <v>0.83698296836983</v>
      </c>
      <c r="X1471" s="133">
        <v>0.796369376479874</v>
      </c>
      <c r="Y1471" s="135">
        <v>0.92</v>
      </c>
      <c r="Z1471" s="135">
        <v>0.835431654676259</v>
      </c>
      <c r="AA1471" s="135">
        <v>0.818681318681319</v>
      </c>
      <c r="AB1471" s="135">
        <v>0.920382165605096</v>
      </c>
      <c r="AC1471" s="135">
        <v>0.894292250835924</v>
      </c>
      <c r="AD1471" s="135">
        <v>0.92</v>
      </c>
      <c r="AE1471" s="133">
        <v>1</v>
      </c>
      <c r="AF1471" s="133">
        <v>0.954545454545455</v>
      </c>
      <c r="AG1471" s="133">
        <v>0.944444444444444</v>
      </c>
      <c r="AH1471" s="133">
        <v>0.890052356020942</v>
      </c>
      <c r="AI1471" s="135">
        <v>0.92</v>
      </c>
      <c r="AJ1471" s="133">
        <v>0.882422802850356</v>
      </c>
      <c r="AK1471" s="133">
        <v>0.870767763471626</v>
      </c>
      <c r="AL1471" s="133">
        <v>0.942068965517241</v>
      </c>
      <c r="AM1471" s="133">
        <v>0.923314155393148</v>
      </c>
      <c r="AN1471" s="132">
        <v>0.99</v>
      </c>
      <c r="AO1471" s="137">
        <v>1</v>
      </c>
      <c r="AP1471" s="137">
        <v>1</v>
      </c>
      <c r="AQ1471" s="137">
        <v>1</v>
      </c>
      <c r="AR1471" s="137">
        <v>1</v>
      </c>
      <c r="AS1471" s="158">
        <v>0.110069253262963</v>
      </c>
      <c r="AT1471" s="141">
        <v>0.25</v>
      </c>
      <c r="AU1471" s="141">
        <v>0</v>
      </c>
      <c r="AV1471" s="141">
        <v>0.25</v>
      </c>
      <c r="AW1471" s="141">
        <v>0.116438356164384</v>
      </c>
      <c r="AX1471" s="95"/>
      <c r="AY1471" s="93"/>
    </row>
    <row r="1472" ht="14.5" spans="1:51">
      <c r="A1472" s="91"/>
      <c r="B1472" s="95"/>
      <c r="C1472" s="152" t="s">
        <v>1455</v>
      </c>
      <c r="D1472" s="153" t="s">
        <v>25</v>
      </c>
      <c r="E1472" s="130" t="s">
        <v>1456</v>
      </c>
      <c r="F1472" s="171" t="s">
        <v>1504</v>
      </c>
      <c r="G1472" s="171" t="s">
        <v>1504</v>
      </c>
      <c r="H1472" s="171" t="s">
        <v>1504</v>
      </c>
      <c r="I1472" s="171" t="s">
        <v>1504</v>
      </c>
      <c r="J1472" s="132">
        <v>0.9</v>
      </c>
      <c r="K1472" s="133">
        <v>0.870967741935484</v>
      </c>
      <c r="L1472" s="133">
        <v>0.846153846153846</v>
      </c>
      <c r="M1472" s="134">
        <v>0.888888888888889</v>
      </c>
      <c r="N1472" s="133">
        <v>0.798076923076923</v>
      </c>
      <c r="O1472" s="135">
        <v>0.9</v>
      </c>
      <c r="P1472" s="133">
        <v>0.531702898550725</v>
      </c>
      <c r="Q1472" s="133">
        <v>0.73609865470852</v>
      </c>
      <c r="R1472" s="133">
        <v>0.845126835781041</v>
      </c>
      <c r="S1472" s="133">
        <v>0.695478226462377</v>
      </c>
      <c r="T1472" s="135">
        <v>0.9</v>
      </c>
      <c r="U1472" s="133">
        <v>0.392210144927536</v>
      </c>
      <c r="V1472" s="133">
        <v>0.603363228699552</v>
      </c>
      <c r="W1472" s="133">
        <v>0.677570093457944</v>
      </c>
      <c r="X1472" s="133">
        <v>0.530808291750017</v>
      </c>
      <c r="Y1472" s="135">
        <v>0.92</v>
      </c>
      <c r="Z1472" s="135" t="s">
        <v>35</v>
      </c>
      <c r="AA1472" s="135" t="s">
        <v>35</v>
      </c>
      <c r="AB1472" s="135" t="s">
        <v>35</v>
      </c>
      <c r="AC1472" s="135" t="s">
        <v>35</v>
      </c>
      <c r="AD1472" s="135">
        <v>0.92</v>
      </c>
      <c r="AE1472" s="133">
        <v>0.944444444444444</v>
      </c>
      <c r="AF1472" s="133">
        <v>1</v>
      </c>
      <c r="AG1472" s="133">
        <v>0.833333333333333</v>
      </c>
      <c r="AH1472" s="133">
        <v>0.943181818181818</v>
      </c>
      <c r="AI1472" s="135">
        <v>0.92</v>
      </c>
      <c r="AJ1472" s="133">
        <v>0.588949275362319</v>
      </c>
      <c r="AK1472" s="133">
        <v>0.726008968609866</v>
      </c>
      <c r="AL1472" s="133">
        <v>0.811081441922563</v>
      </c>
      <c r="AM1472" s="133">
        <v>0.725747950143985</v>
      </c>
      <c r="AN1472" s="132">
        <v>0.99</v>
      </c>
      <c r="AO1472" s="137">
        <v>1</v>
      </c>
      <c r="AP1472" s="137" t="s">
        <v>35</v>
      </c>
      <c r="AQ1472" s="137" t="s">
        <v>35</v>
      </c>
      <c r="AR1472" s="137">
        <v>1</v>
      </c>
      <c r="AS1472" s="158">
        <v>0.110069253262963</v>
      </c>
      <c r="AT1472" s="141">
        <v>0.121212121212121</v>
      </c>
      <c r="AU1472" s="141">
        <v>0.214285714285714</v>
      </c>
      <c r="AV1472" s="141">
        <v>0.210526315789474</v>
      </c>
      <c r="AW1472" s="141">
        <v>0.173160173160173</v>
      </c>
      <c r="AX1472" s="95"/>
      <c r="AY1472" s="93"/>
    </row>
    <row r="1473" ht="14.5" spans="1:51">
      <c r="A1473" s="91"/>
      <c r="B1473" s="95"/>
      <c r="C1473" s="152" t="s">
        <v>1455</v>
      </c>
      <c r="D1473" s="153" t="s">
        <v>25</v>
      </c>
      <c r="E1473" s="130" t="s">
        <v>1456</v>
      </c>
      <c r="F1473" s="171" t="s">
        <v>1505</v>
      </c>
      <c r="G1473" s="171" t="s">
        <v>1505</v>
      </c>
      <c r="H1473" s="171" t="s">
        <v>1505</v>
      </c>
      <c r="I1473" s="171" t="s">
        <v>1505</v>
      </c>
      <c r="J1473" s="132">
        <v>0.9</v>
      </c>
      <c r="K1473" s="133">
        <v>0.833333333333333</v>
      </c>
      <c r="L1473" s="133">
        <v>0.785714285714286</v>
      </c>
      <c r="M1473" s="134">
        <v>0.823529411764706</v>
      </c>
      <c r="N1473" s="133">
        <v>0.858208955223881</v>
      </c>
      <c r="O1473" s="135">
        <v>0.9</v>
      </c>
      <c r="P1473" s="133">
        <v>1</v>
      </c>
      <c r="Q1473" s="133">
        <v>0.996575342465753</v>
      </c>
      <c r="R1473" s="133">
        <v>0.988095238095238</v>
      </c>
      <c r="S1473" s="133">
        <v>0.376737207833228</v>
      </c>
      <c r="T1473" s="135">
        <v>0.9</v>
      </c>
      <c r="U1473" s="133">
        <v>0.145539906103286</v>
      </c>
      <c r="V1473" s="133">
        <v>0.0753424657534247</v>
      </c>
      <c r="W1473" s="133">
        <v>0.261904761904762</v>
      </c>
      <c r="X1473" s="133">
        <v>0.215690145293746</v>
      </c>
      <c r="Y1473" s="135">
        <v>0.92</v>
      </c>
      <c r="Z1473" s="135">
        <v>0</v>
      </c>
      <c r="AA1473" s="135" t="s">
        <v>35</v>
      </c>
      <c r="AB1473" s="135" t="s">
        <v>35</v>
      </c>
      <c r="AC1473" s="135">
        <v>0</v>
      </c>
      <c r="AD1473" s="135">
        <v>0.92</v>
      </c>
      <c r="AE1473" s="133">
        <v>1</v>
      </c>
      <c r="AF1473" s="133">
        <v>0.75</v>
      </c>
      <c r="AG1473" s="133">
        <v>0.714285714285714</v>
      </c>
      <c r="AH1473" s="133">
        <v>0.728260869565217</v>
      </c>
      <c r="AI1473" s="135">
        <v>0.92</v>
      </c>
      <c r="AJ1473" s="133">
        <v>0.960176991150443</v>
      </c>
      <c r="AK1473" s="133">
        <v>0.0466472303206997</v>
      </c>
      <c r="AL1473" s="133">
        <v>0.112612612612613</v>
      </c>
      <c r="AM1473" s="133">
        <v>0.271283992583436</v>
      </c>
      <c r="AN1473" s="132">
        <v>0.99</v>
      </c>
      <c r="AO1473" s="137">
        <v>1</v>
      </c>
      <c r="AP1473" s="137">
        <v>1</v>
      </c>
      <c r="AQ1473" s="137">
        <v>1</v>
      </c>
      <c r="AR1473" s="137">
        <v>1</v>
      </c>
      <c r="AS1473" s="158">
        <v>0.110069253262963</v>
      </c>
      <c r="AT1473" s="141">
        <v>0.377777777777778</v>
      </c>
      <c r="AU1473" s="141">
        <v>0.025974025974026</v>
      </c>
      <c r="AV1473" s="141">
        <v>0.06</v>
      </c>
      <c r="AW1473" s="141">
        <v>0.0972338642078793</v>
      </c>
      <c r="AX1473" s="95"/>
      <c r="AY1473" s="93"/>
    </row>
    <row r="1474" ht="14.5" spans="1:51">
      <c r="A1474" s="91"/>
      <c r="B1474" s="95"/>
      <c r="C1474" s="152" t="s">
        <v>1455</v>
      </c>
      <c r="D1474" s="153" t="s">
        <v>25</v>
      </c>
      <c r="E1474" s="130" t="s">
        <v>1456</v>
      </c>
      <c r="F1474" s="171" t="s">
        <v>1506</v>
      </c>
      <c r="G1474" s="171" t="s">
        <v>1506</v>
      </c>
      <c r="H1474" s="171" t="s">
        <v>1506</v>
      </c>
      <c r="I1474" s="171" t="s">
        <v>1506</v>
      </c>
      <c r="J1474" s="132">
        <v>0.9</v>
      </c>
      <c r="K1474" s="133">
        <v>0.8</v>
      </c>
      <c r="L1474" s="133">
        <v>1</v>
      </c>
      <c r="M1474" s="134" t="s">
        <v>35</v>
      </c>
      <c r="N1474" s="133">
        <v>0.87378640776699</v>
      </c>
      <c r="O1474" s="135">
        <v>0.9</v>
      </c>
      <c r="P1474" s="133">
        <v>0.966666666666667</v>
      </c>
      <c r="Q1474" s="133">
        <v>0.400554016620499</v>
      </c>
      <c r="R1474" s="133">
        <v>0.00769230769230769</v>
      </c>
      <c r="S1474" s="133">
        <v>0.526500638569604</v>
      </c>
      <c r="T1474" s="135">
        <v>0.9</v>
      </c>
      <c r="U1474" s="133">
        <v>0.9</v>
      </c>
      <c r="V1474" s="133">
        <v>0.372299168975069</v>
      </c>
      <c r="W1474" s="133">
        <v>0</v>
      </c>
      <c r="X1474" s="133">
        <v>0.359674329501916</v>
      </c>
      <c r="Y1474" s="135">
        <v>0.92</v>
      </c>
      <c r="Z1474" s="135" t="s">
        <v>35</v>
      </c>
      <c r="AA1474" s="135" t="s">
        <v>35</v>
      </c>
      <c r="AB1474" s="135" t="s">
        <v>35</v>
      </c>
      <c r="AC1474" s="135" t="s">
        <v>35</v>
      </c>
      <c r="AD1474" s="135">
        <v>0.92</v>
      </c>
      <c r="AE1474" s="133" t="s">
        <v>35</v>
      </c>
      <c r="AF1474" s="133" t="s">
        <v>35</v>
      </c>
      <c r="AG1474" s="133" t="s">
        <v>35</v>
      </c>
      <c r="AH1474" s="133">
        <v>0.672413793103448</v>
      </c>
      <c r="AI1474" s="135">
        <v>0.92</v>
      </c>
      <c r="AJ1474" s="133">
        <v>0.403614457831325</v>
      </c>
      <c r="AK1474" s="133">
        <v>0.381818181818182</v>
      </c>
      <c r="AL1474" s="133">
        <v>0</v>
      </c>
      <c r="AM1474" s="133">
        <v>0.391257000622278</v>
      </c>
      <c r="AN1474" s="132">
        <v>0.99</v>
      </c>
      <c r="AO1474" s="137" t="s">
        <v>35</v>
      </c>
      <c r="AP1474" s="137" t="s">
        <v>35</v>
      </c>
      <c r="AQ1474" s="137" t="s">
        <v>35</v>
      </c>
      <c r="AR1474" s="137">
        <v>1</v>
      </c>
      <c r="AS1474" s="158">
        <v>0.110069253262963</v>
      </c>
      <c r="AT1474" s="141">
        <v>0.739130434782609</v>
      </c>
      <c r="AU1474" s="141">
        <v>0.0888888888888889</v>
      </c>
      <c r="AV1474" s="141" t="s">
        <v>35</v>
      </c>
      <c r="AW1474" s="141">
        <v>0.125894134477825</v>
      </c>
      <c r="AX1474" s="95"/>
      <c r="AY1474" s="93"/>
    </row>
    <row r="1475" ht="14.5" spans="1:51">
      <c r="A1475" s="91"/>
      <c r="B1475" s="95"/>
      <c r="C1475" s="152" t="s">
        <v>1455</v>
      </c>
      <c r="D1475" s="153" t="s">
        <v>25</v>
      </c>
      <c r="E1475" s="130" t="s">
        <v>1456</v>
      </c>
      <c r="F1475" s="171" t="s">
        <v>1507</v>
      </c>
      <c r="G1475" s="171" t="s">
        <v>1507</v>
      </c>
      <c r="H1475" s="171" t="s">
        <v>1507</v>
      </c>
      <c r="I1475" s="171" t="s">
        <v>1507</v>
      </c>
      <c r="J1475" s="132">
        <v>0.9</v>
      </c>
      <c r="K1475" s="133">
        <v>0.789473684210526</v>
      </c>
      <c r="L1475" s="133">
        <v>0.9</v>
      </c>
      <c r="M1475" s="134">
        <v>0.85</v>
      </c>
      <c r="N1475" s="133">
        <v>0.821529745042493</v>
      </c>
      <c r="O1475" s="135">
        <v>0.9</v>
      </c>
      <c r="P1475" s="133" t="s">
        <v>35</v>
      </c>
      <c r="Q1475" s="133" t="s">
        <v>35</v>
      </c>
      <c r="R1475" s="133" t="s">
        <v>35</v>
      </c>
      <c r="S1475" s="133" t="s">
        <v>35</v>
      </c>
      <c r="T1475" s="135">
        <v>0.9</v>
      </c>
      <c r="U1475" s="133" t="s">
        <v>35</v>
      </c>
      <c r="V1475" s="133" t="s">
        <v>35</v>
      </c>
      <c r="W1475" s="133" t="s">
        <v>35</v>
      </c>
      <c r="X1475" s="133" t="s">
        <v>35</v>
      </c>
      <c r="Y1475" s="135">
        <v>0.92</v>
      </c>
      <c r="Z1475" s="135" t="s">
        <v>35</v>
      </c>
      <c r="AA1475" s="135" t="s">
        <v>35</v>
      </c>
      <c r="AB1475" s="135" t="s">
        <v>35</v>
      </c>
      <c r="AC1475" s="135" t="s">
        <v>35</v>
      </c>
      <c r="AD1475" s="135">
        <v>0.92</v>
      </c>
      <c r="AE1475" s="133">
        <v>0.5</v>
      </c>
      <c r="AF1475" s="133">
        <v>0</v>
      </c>
      <c r="AG1475" s="133">
        <v>0</v>
      </c>
      <c r="AH1475" s="133">
        <v>0.195121951219512</v>
      </c>
      <c r="AI1475" s="135">
        <v>0.92</v>
      </c>
      <c r="AJ1475" s="133">
        <v>0.835913312693498</v>
      </c>
      <c r="AK1475" s="133">
        <v>0.868444846292948</v>
      </c>
      <c r="AL1475" s="133">
        <v>0.894117647058824</v>
      </c>
      <c r="AM1475" s="133">
        <v>0.928890974503363</v>
      </c>
      <c r="AN1475" s="132">
        <v>0.99</v>
      </c>
      <c r="AO1475" s="137">
        <v>1</v>
      </c>
      <c r="AP1475" s="137">
        <v>1</v>
      </c>
      <c r="AQ1475" s="137">
        <v>1</v>
      </c>
      <c r="AR1475" s="137">
        <v>1</v>
      </c>
      <c r="AS1475" s="158">
        <v>0.110069253262963</v>
      </c>
      <c r="AT1475" s="141">
        <v>0.0277777777777778</v>
      </c>
      <c r="AU1475" s="141">
        <v>0.0909090909090909</v>
      </c>
      <c r="AV1475" s="141">
        <v>0</v>
      </c>
      <c r="AW1475" s="141">
        <v>0.0866807610993657</v>
      </c>
      <c r="AX1475" s="95"/>
      <c r="AY1475" s="93"/>
    </row>
    <row r="1476" ht="14.5" spans="1:51">
      <c r="A1476" s="91"/>
      <c r="B1476" s="95"/>
      <c r="C1476" s="152" t="s">
        <v>1455</v>
      </c>
      <c r="D1476" s="153" t="s">
        <v>25</v>
      </c>
      <c r="E1476" s="130" t="s">
        <v>1456</v>
      </c>
      <c r="F1476" s="171" t="s">
        <v>1508</v>
      </c>
      <c r="G1476" s="171" t="s">
        <v>1508</v>
      </c>
      <c r="H1476" s="171" t="s">
        <v>1508</v>
      </c>
      <c r="I1476" s="171" t="s">
        <v>1508</v>
      </c>
      <c r="J1476" s="132">
        <v>0.9</v>
      </c>
      <c r="K1476" s="133">
        <v>0.789473684210526</v>
      </c>
      <c r="L1476" s="133">
        <v>0.733333333333333</v>
      </c>
      <c r="M1476" s="134">
        <v>0.823529411764706</v>
      </c>
      <c r="N1476" s="133">
        <v>0.885375494071146</v>
      </c>
      <c r="O1476" s="135">
        <v>0.9</v>
      </c>
      <c r="P1476" s="133">
        <v>1</v>
      </c>
      <c r="Q1476" s="133">
        <v>1</v>
      </c>
      <c r="R1476" s="133">
        <v>0.808888888888889</v>
      </c>
      <c r="S1476" s="133">
        <v>0.453306761829726</v>
      </c>
      <c r="T1476" s="135">
        <v>0.9</v>
      </c>
      <c r="U1476" s="133">
        <v>0.708249496981891</v>
      </c>
      <c r="V1476" s="133">
        <v>0.604651162790698</v>
      </c>
      <c r="W1476" s="133">
        <v>0.702222222222222</v>
      </c>
      <c r="X1476" s="133">
        <v>0.346387356907819</v>
      </c>
      <c r="Y1476" s="135">
        <v>0.92</v>
      </c>
      <c r="Z1476" s="135" t="s">
        <v>35</v>
      </c>
      <c r="AA1476" s="135" t="s">
        <v>35</v>
      </c>
      <c r="AB1476" s="135" t="s">
        <v>35</v>
      </c>
      <c r="AC1476" s="135">
        <v>0</v>
      </c>
      <c r="AD1476" s="135">
        <v>0.92</v>
      </c>
      <c r="AE1476" s="133">
        <v>0.857142857142857</v>
      </c>
      <c r="AF1476" s="133">
        <v>0.111111111111111</v>
      </c>
      <c r="AG1476" s="133">
        <v>0.166666666666667</v>
      </c>
      <c r="AH1476" s="133">
        <v>0.289473684210526</v>
      </c>
      <c r="AI1476" s="135">
        <v>0.92</v>
      </c>
      <c r="AJ1476" s="133">
        <v>0.283319002579536</v>
      </c>
      <c r="AK1476" s="133">
        <v>0.124257425742574</v>
      </c>
      <c r="AL1476" s="133">
        <v>0.153846153846154</v>
      </c>
      <c r="AM1476" s="133">
        <v>0.374889648025179</v>
      </c>
      <c r="AN1476" s="132">
        <v>0.99</v>
      </c>
      <c r="AO1476" s="137" t="s">
        <v>35</v>
      </c>
      <c r="AP1476" s="137" t="s">
        <v>35</v>
      </c>
      <c r="AQ1476" s="137" t="s">
        <v>35</v>
      </c>
      <c r="AR1476" s="137">
        <v>1</v>
      </c>
      <c r="AS1476" s="158">
        <v>0.110069253262963</v>
      </c>
      <c r="AT1476" s="141">
        <v>0.209090909090909</v>
      </c>
      <c r="AU1476" s="141">
        <v>0.0434782608695652</v>
      </c>
      <c r="AV1476" s="141">
        <v>0.101010101010101</v>
      </c>
      <c r="AW1476" s="141">
        <v>0.117065127782358</v>
      </c>
      <c r="AX1476" s="95"/>
      <c r="AY1476" s="93"/>
    </row>
    <row r="1477" ht="14.5" spans="1:51">
      <c r="A1477" s="91"/>
      <c r="B1477" s="95"/>
      <c r="C1477" s="152" t="s">
        <v>1455</v>
      </c>
      <c r="D1477" s="153" t="s">
        <v>25</v>
      </c>
      <c r="E1477" s="130" t="s">
        <v>1456</v>
      </c>
      <c r="F1477" s="171" t="s">
        <v>1509</v>
      </c>
      <c r="G1477" s="171" t="s">
        <v>1509</v>
      </c>
      <c r="H1477" s="171" t="s">
        <v>1509</v>
      </c>
      <c r="I1477" s="171" t="s">
        <v>1509</v>
      </c>
      <c r="J1477" s="132">
        <v>0.9</v>
      </c>
      <c r="K1477" s="133">
        <v>0.909090909090909</v>
      </c>
      <c r="L1477" s="133">
        <v>1</v>
      </c>
      <c r="M1477" s="134">
        <v>0.9</v>
      </c>
      <c r="N1477" s="133">
        <v>0.972826086956522</v>
      </c>
      <c r="O1477" s="135">
        <v>0.9</v>
      </c>
      <c r="P1477" s="133">
        <v>0.98961038961039</v>
      </c>
      <c r="Q1477" s="133">
        <v>0.95679012345679</v>
      </c>
      <c r="R1477" s="133">
        <v>0.972350230414747</v>
      </c>
      <c r="S1477" s="133">
        <v>0.522577257725773</v>
      </c>
      <c r="T1477" s="135">
        <v>0.9</v>
      </c>
      <c r="U1477" s="133">
        <v>0.724675324675325</v>
      </c>
      <c r="V1477" s="133">
        <v>0.648148148148148</v>
      </c>
      <c r="W1477" s="133">
        <v>0.80184331797235</v>
      </c>
      <c r="X1477" s="133">
        <v>0.411641164116412</v>
      </c>
      <c r="Y1477" s="135">
        <v>0.92</v>
      </c>
      <c r="Z1477" s="135" t="s">
        <v>35</v>
      </c>
      <c r="AA1477" s="135" t="s">
        <v>35</v>
      </c>
      <c r="AB1477" s="135" t="s">
        <v>35</v>
      </c>
      <c r="AC1477" s="135">
        <v>0</v>
      </c>
      <c r="AD1477" s="135">
        <v>0.92</v>
      </c>
      <c r="AE1477" s="133">
        <v>1</v>
      </c>
      <c r="AF1477" s="133">
        <v>0.75</v>
      </c>
      <c r="AG1477" s="133">
        <v>1</v>
      </c>
      <c r="AH1477" s="133">
        <v>0.688172043010753</v>
      </c>
      <c r="AI1477" s="135">
        <v>0.92</v>
      </c>
      <c r="AJ1477" s="133">
        <v>0.626829268292683</v>
      </c>
      <c r="AK1477" s="133">
        <v>0.202749140893471</v>
      </c>
      <c r="AL1477" s="133">
        <v>0.302052785923754</v>
      </c>
      <c r="AM1477" s="133">
        <v>0.451466824177988</v>
      </c>
      <c r="AN1477" s="132">
        <v>0.99</v>
      </c>
      <c r="AO1477" s="137">
        <v>1</v>
      </c>
      <c r="AP1477" s="137">
        <v>1</v>
      </c>
      <c r="AQ1477" s="137" t="s">
        <v>35</v>
      </c>
      <c r="AR1477" s="137">
        <v>1</v>
      </c>
      <c r="AS1477" s="158">
        <v>0.110069253262963</v>
      </c>
      <c r="AT1477" s="141">
        <v>0.2625</v>
      </c>
      <c r="AU1477" s="141">
        <v>0.164383561643836</v>
      </c>
      <c r="AV1477" s="141">
        <v>0.1625</v>
      </c>
      <c r="AW1477" s="141">
        <v>0.114788004136505</v>
      </c>
      <c r="AX1477" s="95"/>
      <c r="AY1477" s="93"/>
    </row>
    <row r="1478" ht="14.5" spans="1:51">
      <c r="A1478" s="91"/>
      <c r="B1478" s="95"/>
      <c r="C1478" s="152" t="s">
        <v>1455</v>
      </c>
      <c r="D1478" s="153" t="s">
        <v>25</v>
      </c>
      <c r="E1478" s="130" t="s">
        <v>1456</v>
      </c>
      <c r="F1478" s="171" t="s">
        <v>1510</v>
      </c>
      <c r="G1478" s="171" t="s">
        <v>1510</v>
      </c>
      <c r="H1478" s="171" t="s">
        <v>1510</v>
      </c>
      <c r="I1478" s="171" t="s">
        <v>1510</v>
      </c>
      <c r="J1478" s="132">
        <v>0.9</v>
      </c>
      <c r="K1478" s="133">
        <v>1</v>
      </c>
      <c r="L1478" s="133">
        <v>1</v>
      </c>
      <c r="M1478" s="134">
        <v>0.666666666666667</v>
      </c>
      <c r="N1478" s="133">
        <v>0.971153846153846</v>
      </c>
      <c r="O1478" s="135">
        <v>0.9</v>
      </c>
      <c r="P1478" s="133">
        <v>0.99798873692679</v>
      </c>
      <c r="Q1478" s="133">
        <v>0.998590887740723</v>
      </c>
      <c r="R1478" s="133">
        <v>0.970414201183432</v>
      </c>
      <c r="S1478" s="133">
        <v>0.996475918778319</v>
      </c>
      <c r="T1478" s="135">
        <v>0.9</v>
      </c>
      <c r="U1478" s="133">
        <v>0.733708769106999</v>
      </c>
      <c r="V1478" s="133">
        <v>0.656176608736496</v>
      </c>
      <c r="W1478" s="133">
        <v>0.756213017751479</v>
      </c>
      <c r="X1478" s="133">
        <v>0.80958773843486</v>
      </c>
      <c r="Y1478" s="135">
        <v>0.92</v>
      </c>
      <c r="Z1478" s="135" t="s">
        <v>35</v>
      </c>
      <c r="AA1478" s="135" t="s">
        <v>35</v>
      </c>
      <c r="AB1478" s="135" t="s">
        <v>35</v>
      </c>
      <c r="AC1478" s="135" t="s">
        <v>35</v>
      </c>
      <c r="AD1478" s="135">
        <v>0.92</v>
      </c>
      <c r="AE1478" s="133">
        <v>0.96078431372549</v>
      </c>
      <c r="AF1478" s="133" t="s">
        <v>35</v>
      </c>
      <c r="AG1478" s="133">
        <v>1</v>
      </c>
      <c r="AH1478" s="133">
        <v>0.790076335877863</v>
      </c>
      <c r="AI1478" s="135">
        <v>0.92</v>
      </c>
      <c r="AJ1478" s="133">
        <v>0.744971842316975</v>
      </c>
      <c r="AK1478" s="133">
        <v>0.674495068107092</v>
      </c>
      <c r="AL1478" s="133">
        <v>0.76094674556213</v>
      </c>
      <c r="AM1478" s="133">
        <v>0.833650296453742</v>
      </c>
      <c r="AN1478" s="132">
        <v>0.99</v>
      </c>
      <c r="AO1478" s="137">
        <v>1</v>
      </c>
      <c r="AP1478" s="137">
        <v>1</v>
      </c>
      <c r="AQ1478" s="137" t="s">
        <v>35</v>
      </c>
      <c r="AR1478" s="137">
        <v>1</v>
      </c>
      <c r="AS1478" s="158">
        <v>0.110069253262963</v>
      </c>
      <c r="AT1478" s="141">
        <v>0.105263157894737</v>
      </c>
      <c r="AU1478" s="141">
        <v>0.0408163265306122</v>
      </c>
      <c r="AV1478" s="141">
        <v>0</v>
      </c>
      <c r="AW1478" s="141">
        <v>0.121669626998224</v>
      </c>
      <c r="AX1478" s="95"/>
      <c r="AY1478" s="93"/>
    </row>
    <row r="1479" ht="14.5" spans="1:51">
      <c r="A1479" s="91"/>
      <c r="B1479" s="95"/>
      <c r="C1479" s="152" t="s">
        <v>1455</v>
      </c>
      <c r="D1479" s="153" t="s">
        <v>25</v>
      </c>
      <c r="E1479" s="130" t="s">
        <v>1456</v>
      </c>
      <c r="F1479" s="171" t="s">
        <v>1511</v>
      </c>
      <c r="G1479" s="171" t="s">
        <v>1511</v>
      </c>
      <c r="H1479" s="171" t="s">
        <v>1511</v>
      </c>
      <c r="I1479" s="171" t="s">
        <v>1511</v>
      </c>
      <c r="J1479" s="132">
        <v>0.9</v>
      </c>
      <c r="K1479" s="133">
        <v>0.967741935483871</v>
      </c>
      <c r="L1479" s="133">
        <v>0.96875</v>
      </c>
      <c r="M1479" s="134">
        <v>0.96551724137931</v>
      </c>
      <c r="N1479" s="133">
        <v>0.969289827255278</v>
      </c>
      <c r="O1479" s="135">
        <v>0.9</v>
      </c>
      <c r="P1479" s="133">
        <v>0.995902930980145</v>
      </c>
      <c r="Q1479" s="133">
        <v>0.995762711864407</v>
      </c>
      <c r="R1479" s="133">
        <v>0.996349476758335</v>
      </c>
      <c r="S1479" s="133">
        <v>0.993685774421196</v>
      </c>
      <c r="T1479" s="135">
        <v>0.9</v>
      </c>
      <c r="U1479" s="133">
        <v>0.887488181531674</v>
      </c>
      <c r="V1479" s="133">
        <v>0.919844632768362</v>
      </c>
      <c r="W1479" s="133">
        <v>0.952056461426138</v>
      </c>
      <c r="X1479" s="133">
        <v>0.919842940271317</v>
      </c>
      <c r="Y1479" s="135">
        <v>0.92</v>
      </c>
      <c r="Z1479" s="135" t="s">
        <v>35</v>
      </c>
      <c r="AA1479" s="135" t="s">
        <v>35</v>
      </c>
      <c r="AB1479" s="135" t="s">
        <v>35</v>
      </c>
      <c r="AC1479" s="135" t="s">
        <v>35</v>
      </c>
      <c r="AD1479" s="135">
        <v>0.92</v>
      </c>
      <c r="AE1479" s="133">
        <v>1</v>
      </c>
      <c r="AF1479" s="133">
        <v>1</v>
      </c>
      <c r="AG1479" s="133">
        <v>1</v>
      </c>
      <c r="AH1479" s="133">
        <v>0.963562753036437</v>
      </c>
      <c r="AI1479" s="135">
        <v>0.92</v>
      </c>
      <c r="AJ1479" s="133">
        <v>0.948645242596093</v>
      </c>
      <c r="AK1479" s="133">
        <v>0.974576271186441</v>
      </c>
      <c r="AL1479" s="133">
        <v>0.98758822097834</v>
      </c>
      <c r="AM1479" s="133">
        <v>0.980049522461974</v>
      </c>
      <c r="AN1479" s="132">
        <v>0.99</v>
      </c>
      <c r="AO1479" s="137">
        <v>1</v>
      </c>
      <c r="AP1479" s="137">
        <v>1</v>
      </c>
      <c r="AQ1479" s="137">
        <v>1</v>
      </c>
      <c r="AR1479" s="137">
        <v>1</v>
      </c>
      <c r="AS1479" s="158">
        <v>0.110069253262963</v>
      </c>
      <c r="AT1479" s="141">
        <v>0</v>
      </c>
      <c r="AU1479" s="141">
        <v>0.117647058823529</v>
      </c>
      <c r="AV1479" s="141">
        <v>0.307692307692308</v>
      </c>
      <c r="AW1479" s="141">
        <v>0.0757575757575758</v>
      </c>
      <c r="AX1479" s="95"/>
      <c r="AY1479" s="93"/>
    </row>
    <row r="1480" ht="14.5" spans="1:51">
      <c r="A1480" s="91"/>
      <c r="B1480" s="95"/>
      <c r="C1480" s="152" t="s">
        <v>1455</v>
      </c>
      <c r="D1480" s="153" t="s">
        <v>25</v>
      </c>
      <c r="E1480" s="130" t="s">
        <v>1456</v>
      </c>
      <c r="F1480" s="171" t="s">
        <v>1512</v>
      </c>
      <c r="G1480" s="171" t="s">
        <v>1512</v>
      </c>
      <c r="H1480" s="171" t="s">
        <v>1512</v>
      </c>
      <c r="I1480" s="171" t="s">
        <v>1512</v>
      </c>
      <c r="J1480" s="132">
        <v>0.9</v>
      </c>
      <c r="K1480" s="133">
        <v>0.227272727272727</v>
      </c>
      <c r="L1480" s="133">
        <v>0.166666666666667</v>
      </c>
      <c r="M1480" s="134">
        <v>0.363636363636364</v>
      </c>
      <c r="N1480" s="133">
        <v>0.255892255892256</v>
      </c>
      <c r="O1480" s="135">
        <v>0.9</v>
      </c>
      <c r="P1480" s="133">
        <v>0.583442838370565</v>
      </c>
      <c r="Q1480" s="133">
        <v>0.592255125284738</v>
      </c>
      <c r="R1480" s="133">
        <v>0.646017699115044</v>
      </c>
      <c r="S1480" s="133">
        <v>0.727792590513612</v>
      </c>
      <c r="T1480" s="135">
        <v>0.9</v>
      </c>
      <c r="U1480" s="133">
        <v>0.715724923346474</v>
      </c>
      <c r="V1480" s="133">
        <v>0.777334851936219</v>
      </c>
      <c r="W1480" s="133">
        <v>0.97724399494311</v>
      </c>
      <c r="X1480" s="133">
        <v>0.744597249508841</v>
      </c>
      <c r="Y1480" s="135">
        <v>0.92</v>
      </c>
      <c r="Z1480" s="135" t="s">
        <v>35</v>
      </c>
      <c r="AA1480" s="135" t="s">
        <v>35</v>
      </c>
      <c r="AB1480" s="135" t="s">
        <v>35</v>
      </c>
      <c r="AC1480" s="135" t="s">
        <v>35</v>
      </c>
      <c r="AD1480" s="135">
        <v>0.92</v>
      </c>
      <c r="AE1480" s="133" t="s">
        <v>35</v>
      </c>
      <c r="AF1480" s="133">
        <v>1</v>
      </c>
      <c r="AG1480" s="133">
        <v>0.333333333333333</v>
      </c>
      <c r="AH1480" s="133">
        <v>0.259259259259259</v>
      </c>
      <c r="AI1480" s="135">
        <v>0.92</v>
      </c>
      <c r="AJ1480" s="133">
        <v>0.734997809899255</v>
      </c>
      <c r="AK1480" s="133">
        <v>0.794536141149687</v>
      </c>
      <c r="AL1480" s="133">
        <v>0.97724399494311</v>
      </c>
      <c r="AM1480" s="133">
        <v>0.804988423489792</v>
      </c>
      <c r="AN1480" s="132">
        <v>0.99</v>
      </c>
      <c r="AO1480" s="137">
        <v>1</v>
      </c>
      <c r="AP1480" s="137">
        <v>1</v>
      </c>
      <c r="AQ1480" s="137">
        <v>1</v>
      </c>
      <c r="AR1480" s="137">
        <v>1</v>
      </c>
      <c r="AS1480" s="158">
        <v>0.110069253262963</v>
      </c>
      <c r="AT1480" s="141">
        <v>0.774193548387097</v>
      </c>
      <c r="AU1480" s="141">
        <v>0.0606060606060606</v>
      </c>
      <c r="AV1480" s="141">
        <v>0.244897959183673</v>
      </c>
      <c r="AW1480" s="141">
        <v>0.265944645006017</v>
      </c>
      <c r="AX1480" s="95"/>
      <c r="AY1480" s="93"/>
    </row>
    <row r="1481" ht="14.5" spans="1:51">
      <c r="A1481" s="91"/>
      <c r="B1481" s="95"/>
      <c r="C1481" s="152" t="s">
        <v>1455</v>
      </c>
      <c r="D1481" s="153" t="s">
        <v>25</v>
      </c>
      <c r="E1481" s="130" t="s">
        <v>1456</v>
      </c>
      <c r="F1481" s="171" t="s">
        <v>1513</v>
      </c>
      <c r="G1481" s="171" t="s">
        <v>1513</v>
      </c>
      <c r="H1481" s="171" t="s">
        <v>1513</v>
      </c>
      <c r="I1481" s="171" t="s">
        <v>1513</v>
      </c>
      <c r="J1481" s="132">
        <v>0.9</v>
      </c>
      <c r="K1481" s="133">
        <v>0.666666666666667</v>
      </c>
      <c r="L1481" s="133">
        <v>0.448275862068966</v>
      </c>
      <c r="M1481" s="134">
        <v>0.567567567567568</v>
      </c>
      <c r="N1481" s="133">
        <v>0.539805825242718</v>
      </c>
      <c r="O1481" s="135">
        <v>0.9</v>
      </c>
      <c r="P1481" s="133">
        <v>0.696727549467275</v>
      </c>
      <c r="Q1481" s="133">
        <v>0.744348153730219</v>
      </c>
      <c r="R1481" s="133">
        <v>0.684626436781609</v>
      </c>
      <c r="S1481" s="133">
        <v>0.683021375567615</v>
      </c>
      <c r="T1481" s="135">
        <v>0.9</v>
      </c>
      <c r="U1481" s="133">
        <v>0.496194824961948</v>
      </c>
      <c r="V1481" s="133">
        <v>0.578937452901281</v>
      </c>
      <c r="W1481" s="133">
        <v>0.59698275862069</v>
      </c>
      <c r="X1481" s="133">
        <v>0.538354192047846</v>
      </c>
      <c r="Y1481" s="135">
        <v>0.92</v>
      </c>
      <c r="Z1481" s="135" t="s">
        <v>35</v>
      </c>
      <c r="AA1481" s="135" t="s">
        <v>35</v>
      </c>
      <c r="AB1481" s="135" t="s">
        <v>35</v>
      </c>
      <c r="AC1481" s="135">
        <v>0</v>
      </c>
      <c r="AD1481" s="135">
        <v>0.92</v>
      </c>
      <c r="AE1481" s="133">
        <v>0.9</v>
      </c>
      <c r="AF1481" s="133">
        <v>0.909090909090909</v>
      </c>
      <c r="AG1481" s="133">
        <v>1</v>
      </c>
      <c r="AH1481" s="133">
        <v>0.880281690140845</v>
      </c>
      <c r="AI1481" s="135">
        <v>0.92</v>
      </c>
      <c r="AJ1481" s="133">
        <v>0.648211567732116</v>
      </c>
      <c r="AK1481" s="133">
        <v>0.683685003767898</v>
      </c>
      <c r="AL1481" s="133">
        <v>0.729166666666667</v>
      </c>
      <c r="AM1481" s="133">
        <v>0.694952045540124</v>
      </c>
      <c r="AN1481" s="132">
        <v>0.99</v>
      </c>
      <c r="AO1481" s="137">
        <v>1</v>
      </c>
      <c r="AP1481" s="137" t="s">
        <v>35</v>
      </c>
      <c r="AQ1481" s="137" t="s">
        <v>35</v>
      </c>
      <c r="AR1481" s="137">
        <v>1</v>
      </c>
      <c r="AS1481" s="158">
        <v>0.110069253262963</v>
      </c>
      <c r="AT1481" s="141">
        <v>0.0769230769230769</v>
      </c>
      <c r="AU1481" s="141">
        <v>0.130434782608696</v>
      </c>
      <c r="AV1481" s="141">
        <v>0.107142857142857</v>
      </c>
      <c r="AW1481" s="141">
        <v>0.155092592592593</v>
      </c>
      <c r="AX1481" s="95"/>
      <c r="AY1481" s="93"/>
    </row>
    <row r="1482" ht="14.5" spans="1:51">
      <c r="A1482" s="91"/>
      <c r="B1482" s="95"/>
      <c r="C1482" s="152" t="s">
        <v>1455</v>
      </c>
      <c r="D1482" s="153" t="s">
        <v>25</v>
      </c>
      <c r="E1482" s="130" t="s">
        <v>1456</v>
      </c>
      <c r="F1482" s="171" t="s">
        <v>1514</v>
      </c>
      <c r="G1482" s="171" t="s">
        <v>1514</v>
      </c>
      <c r="H1482" s="171" t="s">
        <v>1514</v>
      </c>
      <c r="I1482" s="171" t="s">
        <v>1514</v>
      </c>
      <c r="J1482" s="132">
        <v>0.9</v>
      </c>
      <c r="K1482" s="133">
        <v>0.857142857142857</v>
      </c>
      <c r="L1482" s="133">
        <v>0.64</v>
      </c>
      <c r="M1482" s="134">
        <v>0.888888888888889</v>
      </c>
      <c r="N1482" s="133">
        <v>0.776018099547511</v>
      </c>
      <c r="O1482" s="135">
        <v>0.9</v>
      </c>
      <c r="P1482" s="133">
        <v>0.726968174204355</v>
      </c>
      <c r="Q1482" s="133">
        <v>0.84904184591318</v>
      </c>
      <c r="R1482" s="133">
        <v>0.830597014925373</v>
      </c>
      <c r="S1482" s="133">
        <v>0.828968203021355</v>
      </c>
      <c r="T1482" s="135">
        <v>0.9</v>
      </c>
      <c r="U1482" s="133">
        <v>0.505862646566164</v>
      </c>
      <c r="V1482" s="133">
        <v>0.692608525615956</v>
      </c>
      <c r="W1482" s="133">
        <v>0.732835820895522</v>
      </c>
      <c r="X1482" s="133">
        <v>0.661980570890572</v>
      </c>
      <c r="Y1482" s="135">
        <v>0.92</v>
      </c>
      <c r="Z1482" s="135" t="s">
        <v>35</v>
      </c>
      <c r="AA1482" s="135" t="s">
        <v>35</v>
      </c>
      <c r="AB1482" s="135" t="s">
        <v>35</v>
      </c>
      <c r="AC1482" s="135" t="s">
        <v>35</v>
      </c>
      <c r="AD1482" s="135">
        <v>0.92</v>
      </c>
      <c r="AE1482" s="133">
        <v>1</v>
      </c>
      <c r="AF1482" s="133">
        <v>0.222222222222222</v>
      </c>
      <c r="AG1482" s="133">
        <v>0.857142857142857</v>
      </c>
      <c r="AH1482" s="133">
        <v>0.829365079365079</v>
      </c>
      <c r="AI1482" s="135">
        <v>0.92</v>
      </c>
      <c r="AJ1482" s="133">
        <v>0.6594715295869</v>
      </c>
      <c r="AK1482" s="133">
        <v>0.774149393820884</v>
      </c>
      <c r="AL1482" s="133">
        <v>0.872388059701493</v>
      </c>
      <c r="AM1482" s="133">
        <v>0.821012089440462</v>
      </c>
      <c r="AN1482" s="132">
        <v>0.99</v>
      </c>
      <c r="AO1482" s="137">
        <v>1</v>
      </c>
      <c r="AP1482" s="137">
        <v>1</v>
      </c>
      <c r="AQ1482" s="137">
        <v>1</v>
      </c>
      <c r="AR1482" s="137">
        <v>1</v>
      </c>
      <c r="AS1482" s="158">
        <v>0.110069253262963</v>
      </c>
      <c r="AT1482" s="141">
        <v>0.0434782608695652</v>
      </c>
      <c r="AU1482" s="141">
        <v>0.117647058823529</v>
      </c>
      <c r="AV1482" s="141">
        <v>0.230769230769231</v>
      </c>
      <c r="AW1482" s="141">
        <v>0.0997229916897507</v>
      </c>
      <c r="AX1482" s="95"/>
      <c r="AY1482" s="93"/>
    </row>
    <row r="1483" ht="14.5" spans="1:51">
      <c r="A1483" s="91"/>
      <c r="B1483" s="95"/>
      <c r="C1483" s="152" t="s">
        <v>1455</v>
      </c>
      <c r="D1483" s="153" t="s">
        <v>125</v>
      </c>
      <c r="E1483" s="130" t="s">
        <v>1456</v>
      </c>
      <c r="F1483" s="171" t="s">
        <v>1515</v>
      </c>
      <c r="G1483" s="171" t="s">
        <v>1515</v>
      </c>
      <c r="H1483" s="171" t="s">
        <v>1515</v>
      </c>
      <c r="I1483" s="171" t="s">
        <v>1515</v>
      </c>
      <c r="J1483" s="132">
        <v>0.9</v>
      </c>
      <c r="K1483" s="133" t="s">
        <v>35</v>
      </c>
      <c r="L1483" s="133" t="s">
        <v>35</v>
      </c>
      <c r="M1483" s="134" t="s">
        <v>35</v>
      </c>
      <c r="N1483" s="133" t="s">
        <v>35</v>
      </c>
      <c r="O1483" s="135">
        <v>0.9</v>
      </c>
      <c r="P1483" s="133">
        <v>0</v>
      </c>
      <c r="Q1483" s="133" t="s">
        <v>35</v>
      </c>
      <c r="R1483" s="133" t="s">
        <v>35</v>
      </c>
      <c r="S1483" s="133">
        <v>0</v>
      </c>
      <c r="T1483" s="135">
        <v>0.9</v>
      </c>
      <c r="U1483" s="133">
        <v>1</v>
      </c>
      <c r="V1483" s="133" t="s">
        <v>35</v>
      </c>
      <c r="W1483" s="133" t="s">
        <v>35</v>
      </c>
      <c r="X1483" s="133">
        <v>1</v>
      </c>
      <c r="Y1483" s="135">
        <v>0.92</v>
      </c>
      <c r="Z1483" s="135" t="s">
        <v>35</v>
      </c>
      <c r="AA1483" s="135" t="s">
        <v>35</v>
      </c>
      <c r="AB1483" s="135" t="s">
        <v>35</v>
      </c>
      <c r="AC1483" s="135" t="s">
        <v>35</v>
      </c>
      <c r="AD1483" s="135">
        <v>0.92</v>
      </c>
      <c r="AE1483" s="133">
        <v>0.666666666666667</v>
      </c>
      <c r="AF1483" s="133">
        <v>0.644230769230769</v>
      </c>
      <c r="AG1483" s="133">
        <v>0.797127468581688</v>
      </c>
      <c r="AH1483" s="133">
        <v>0.806670567583382</v>
      </c>
      <c r="AI1483" s="135">
        <v>0.92</v>
      </c>
      <c r="AJ1483" s="133">
        <v>1</v>
      </c>
      <c r="AK1483" s="133" t="s">
        <v>35</v>
      </c>
      <c r="AL1483" s="133" t="s">
        <v>35</v>
      </c>
      <c r="AM1483" s="133">
        <v>1</v>
      </c>
      <c r="AN1483" s="132">
        <v>0.99</v>
      </c>
      <c r="AO1483" s="137">
        <v>1</v>
      </c>
      <c r="AP1483" s="137">
        <v>1</v>
      </c>
      <c r="AQ1483" s="137">
        <v>1</v>
      </c>
      <c r="AR1483" s="137">
        <v>1</v>
      </c>
      <c r="AS1483" s="158">
        <v>0.110069253262963</v>
      </c>
      <c r="AT1483" s="141" t="s">
        <v>35</v>
      </c>
      <c r="AU1483" s="141" t="s">
        <v>35</v>
      </c>
      <c r="AV1483" s="141" t="s">
        <v>35</v>
      </c>
      <c r="AW1483" s="141" t="s">
        <v>35</v>
      </c>
      <c r="AX1483" s="95"/>
      <c r="AY1483" s="93"/>
    </row>
    <row r="1484" ht="14.5" spans="1:51">
      <c r="A1484" s="91"/>
      <c r="B1484" s="95"/>
      <c r="C1484" s="152" t="s">
        <v>1455</v>
      </c>
      <c r="D1484" s="153" t="s">
        <v>25</v>
      </c>
      <c r="E1484" s="130" t="s">
        <v>1456</v>
      </c>
      <c r="F1484" s="171" t="s">
        <v>1516</v>
      </c>
      <c r="G1484" s="171" t="s">
        <v>1516</v>
      </c>
      <c r="H1484" s="171" t="s">
        <v>1516</v>
      </c>
      <c r="I1484" s="171" t="s">
        <v>1516</v>
      </c>
      <c r="J1484" s="132">
        <v>0.9</v>
      </c>
      <c r="K1484" s="133">
        <v>1</v>
      </c>
      <c r="L1484" s="133">
        <v>1</v>
      </c>
      <c r="M1484" s="134">
        <v>1</v>
      </c>
      <c r="N1484" s="133">
        <v>0.995</v>
      </c>
      <c r="O1484" s="135">
        <v>0.9</v>
      </c>
      <c r="P1484" s="133">
        <v>0.969366916269571</v>
      </c>
      <c r="Q1484" s="133">
        <v>0.951372549019608</v>
      </c>
      <c r="R1484" s="133">
        <v>0.953150242326333</v>
      </c>
      <c r="S1484" s="133">
        <v>0.961533330368657</v>
      </c>
      <c r="T1484" s="135">
        <v>0.9</v>
      </c>
      <c r="U1484" s="133">
        <v>0.785568413886998</v>
      </c>
      <c r="V1484" s="133">
        <v>0.778039215686275</v>
      </c>
      <c r="W1484" s="133">
        <v>0.850565428109855</v>
      </c>
      <c r="X1484" s="133">
        <v>0.805443144928181</v>
      </c>
      <c r="Y1484" s="135">
        <v>0.92</v>
      </c>
      <c r="Z1484" s="135">
        <v>0.815559440559441</v>
      </c>
      <c r="AA1484" s="135">
        <v>0.792880258899676</v>
      </c>
      <c r="AB1484" s="135">
        <v>0.864948453608247</v>
      </c>
      <c r="AC1484" s="135">
        <v>0.851260022909507</v>
      </c>
      <c r="AD1484" s="135">
        <v>0.92</v>
      </c>
      <c r="AE1484" s="133">
        <v>0.404761904761905</v>
      </c>
      <c r="AF1484" s="133">
        <v>0.818181818181818</v>
      </c>
      <c r="AG1484" s="133">
        <v>1</v>
      </c>
      <c r="AH1484" s="133">
        <v>0.841221374045802</v>
      </c>
      <c r="AI1484" s="135">
        <v>0.92</v>
      </c>
      <c r="AJ1484" s="133">
        <v>0.859548411787218</v>
      </c>
      <c r="AK1484" s="133">
        <v>0.857856494096276</v>
      </c>
      <c r="AL1484" s="133">
        <v>0.904891304347826</v>
      </c>
      <c r="AM1484" s="133">
        <v>0.895892262634859</v>
      </c>
      <c r="AN1484" s="132">
        <v>0.99</v>
      </c>
      <c r="AO1484" s="137">
        <v>1</v>
      </c>
      <c r="AP1484" s="137">
        <v>1</v>
      </c>
      <c r="AQ1484" s="137">
        <v>1</v>
      </c>
      <c r="AR1484" s="137">
        <v>1</v>
      </c>
      <c r="AS1484" s="158">
        <v>0.110069253262963</v>
      </c>
      <c r="AT1484" s="141">
        <v>0.166666666666667</v>
      </c>
      <c r="AU1484" s="141">
        <v>0.125</v>
      </c>
      <c r="AV1484" s="141">
        <v>0.272727272727273</v>
      </c>
      <c r="AW1484" s="141">
        <v>0.114285714285714</v>
      </c>
      <c r="AX1484" s="95"/>
      <c r="AY1484" s="93"/>
    </row>
    <row r="1485" ht="14.5" spans="1:51">
      <c r="A1485" s="91"/>
      <c r="B1485" s="95"/>
      <c r="C1485" s="152" t="s">
        <v>1455</v>
      </c>
      <c r="D1485" s="153" t="s">
        <v>25</v>
      </c>
      <c r="E1485" s="130" t="s">
        <v>1456</v>
      </c>
      <c r="F1485" s="171" t="s">
        <v>1517</v>
      </c>
      <c r="G1485" s="171" t="s">
        <v>1517</v>
      </c>
      <c r="H1485" s="171" t="s">
        <v>1517</v>
      </c>
      <c r="I1485" s="171" t="s">
        <v>1517</v>
      </c>
      <c r="J1485" s="132">
        <v>0.9</v>
      </c>
      <c r="K1485" s="133">
        <v>1</v>
      </c>
      <c r="L1485" s="133">
        <v>1</v>
      </c>
      <c r="M1485" s="134">
        <v>1</v>
      </c>
      <c r="N1485" s="133">
        <v>0.992481203007519</v>
      </c>
      <c r="O1485" s="135">
        <v>0.9</v>
      </c>
      <c r="P1485" s="133">
        <v>0.978290366350068</v>
      </c>
      <c r="Q1485" s="133">
        <v>0.984006734006734</v>
      </c>
      <c r="R1485" s="133">
        <v>0.983682983682984</v>
      </c>
      <c r="S1485" s="133">
        <v>0.970820399113082</v>
      </c>
      <c r="T1485" s="135">
        <v>0.9</v>
      </c>
      <c r="U1485" s="133">
        <v>0.860922659430122</v>
      </c>
      <c r="V1485" s="133">
        <v>0.861952861952862</v>
      </c>
      <c r="W1485" s="133">
        <v>0.887334887334887</v>
      </c>
      <c r="X1485" s="133">
        <v>0.81219512195122</v>
      </c>
      <c r="Y1485" s="135">
        <v>0.92</v>
      </c>
      <c r="Z1485" s="135">
        <v>0.908675799086758</v>
      </c>
      <c r="AA1485" s="135">
        <v>0.924686192468619</v>
      </c>
      <c r="AB1485" s="135">
        <v>0.933333333333333</v>
      </c>
      <c r="AC1485" s="135">
        <v>0.921287018481407</v>
      </c>
      <c r="AD1485" s="135">
        <v>0.92</v>
      </c>
      <c r="AE1485" s="133">
        <v>1</v>
      </c>
      <c r="AF1485" s="133">
        <v>1</v>
      </c>
      <c r="AG1485" s="133">
        <v>1</v>
      </c>
      <c r="AH1485" s="133">
        <v>0.937592867756315</v>
      </c>
      <c r="AI1485" s="135">
        <v>0.92</v>
      </c>
      <c r="AJ1485" s="133">
        <v>0.932269365511872</v>
      </c>
      <c r="AK1485" s="133">
        <v>0.950582750582751</v>
      </c>
      <c r="AL1485" s="133">
        <v>0.958781362007168</v>
      </c>
      <c r="AM1485" s="133">
        <v>0.947083940074537</v>
      </c>
      <c r="AN1485" s="132">
        <v>0.99</v>
      </c>
      <c r="AO1485" s="137">
        <v>1</v>
      </c>
      <c r="AP1485" s="137">
        <v>1</v>
      </c>
      <c r="AQ1485" s="137">
        <v>1</v>
      </c>
      <c r="AR1485" s="137">
        <v>1</v>
      </c>
      <c r="AS1485" s="158">
        <v>0.110069253262963</v>
      </c>
      <c r="AT1485" s="141">
        <v>0</v>
      </c>
      <c r="AU1485" s="141">
        <v>0.0909090909090909</v>
      </c>
      <c r="AV1485" s="141">
        <v>0.0909090909090909</v>
      </c>
      <c r="AW1485" s="141">
        <v>0.0921052631578947</v>
      </c>
      <c r="AX1485" s="95"/>
      <c r="AY1485" s="93"/>
    </row>
    <row r="1486" ht="14.5" spans="1:51">
      <c r="A1486" s="91"/>
      <c r="B1486" s="95"/>
      <c r="C1486" s="152" t="s">
        <v>1455</v>
      </c>
      <c r="D1486" s="153" t="s">
        <v>25</v>
      </c>
      <c r="E1486" s="130" t="s">
        <v>1456</v>
      </c>
      <c r="F1486" s="171" t="s">
        <v>1518</v>
      </c>
      <c r="G1486" s="171" t="s">
        <v>1518</v>
      </c>
      <c r="H1486" s="171" t="s">
        <v>1518</v>
      </c>
      <c r="I1486" s="171" t="s">
        <v>1518</v>
      </c>
      <c r="J1486" s="132">
        <v>0.9</v>
      </c>
      <c r="K1486" s="133">
        <v>0.333333333333333</v>
      </c>
      <c r="L1486" s="133">
        <v>0</v>
      </c>
      <c r="M1486" s="134">
        <v>0.142857142857143</v>
      </c>
      <c r="N1486" s="133">
        <v>0.204819277108434</v>
      </c>
      <c r="O1486" s="135">
        <v>0.9</v>
      </c>
      <c r="P1486" s="133">
        <v>0.538461538461538</v>
      </c>
      <c r="Q1486" s="133">
        <v>1</v>
      </c>
      <c r="R1486" s="133">
        <v>1</v>
      </c>
      <c r="S1486" s="133">
        <v>0.0754017305315204</v>
      </c>
      <c r="T1486" s="135">
        <v>0.9</v>
      </c>
      <c r="U1486" s="133">
        <v>0.538461538461538</v>
      </c>
      <c r="V1486" s="133">
        <v>0.428571428571429</v>
      </c>
      <c r="W1486" s="133">
        <v>0.666666666666667</v>
      </c>
      <c r="X1486" s="133">
        <v>0.0339925834363412</v>
      </c>
      <c r="Y1486" s="135">
        <v>0.92</v>
      </c>
      <c r="Z1486" s="135" t="s">
        <v>35</v>
      </c>
      <c r="AA1486" s="135" t="s">
        <v>35</v>
      </c>
      <c r="AB1486" s="135" t="s">
        <v>35</v>
      </c>
      <c r="AC1486" s="135" t="s">
        <v>35</v>
      </c>
      <c r="AD1486" s="135">
        <v>0.92</v>
      </c>
      <c r="AE1486" s="133">
        <v>0</v>
      </c>
      <c r="AF1486" s="133" t="s">
        <v>35</v>
      </c>
      <c r="AG1486" s="133">
        <v>1</v>
      </c>
      <c r="AH1486" s="133">
        <v>0.84</v>
      </c>
      <c r="AI1486" s="135">
        <v>0.92</v>
      </c>
      <c r="AJ1486" s="133">
        <v>0.538461538461538</v>
      </c>
      <c r="AK1486" s="133">
        <v>0.428571428571429</v>
      </c>
      <c r="AL1486" s="133">
        <v>0.666666666666667</v>
      </c>
      <c r="AM1486" s="133">
        <v>0.0411001236093943</v>
      </c>
      <c r="AN1486" s="132">
        <v>0.99</v>
      </c>
      <c r="AO1486" s="137" t="s">
        <v>35</v>
      </c>
      <c r="AP1486" s="137" t="s">
        <v>35</v>
      </c>
      <c r="AQ1486" s="137" t="s">
        <v>35</v>
      </c>
      <c r="AR1486" s="137" t="s">
        <v>35</v>
      </c>
      <c r="AS1486" s="158">
        <v>0.110069253262963</v>
      </c>
      <c r="AT1486" s="141">
        <v>1.5</v>
      </c>
      <c r="AU1486" s="141">
        <v>0</v>
      </c>
      <c r="AV1486" s="141">
        <v>0.072463768115942</v>
      </c>
      <c r="AW1486" s="141">
        <v>0.0937081659973226</v>
      </c>
      <c r="AX1486" s="95"/>
      <c r="AY1486" s="93"/>
    </row>
    <row r="1487" ht="14.5" spans="1:51">
      <c r="A1487" s="91"/>
      <c r="B1487" s="95"/>
      <c r="C1487" s="152" t="s">
        <v>1455</v>
      </c>
      <c r="D1487" s="153" t="s">
        <v>125</v>
      </c>
      <c r="E1487" s="130" t="s">
        <v>1456</v>
      </c>
      <c r="F1487" s="171" t="s">
        <v>1519</v>
      </c>
      <c r="G1487" s="171" t="s">
        <v>1519</v>
      </c>
      <c r="H1487" s="171" t="s">
        <v>1519</v>
      </c>
      <c r="I1487" s="171" t="s">
        <v>1519</v>
      </c>
      <c r="J1487" s="132">
        <v>0.9</v>
      </c>
      <c r="K1487" s="133" t="s">
        <v>35</v>
      </c>
      <c r="L1487" s="133" t="s">
        <v>35</v>
      </c>
      <c r="M1487" s="134" t="s">
        <v>35</v>
      </c>
      <c r="N1487" s="133" t="s">
        <v>35</v>
      </c>
      <c r="O1487" s="135">
        <v>0.9</v>
      </c>
      <c r="P1487" s="133" t="s">
        <v>35</v>
      </c>
      <c r="Q1487" s="133" t="s">
        <v>35</v>
      </c>
      <c r="R1487" s="133" t="s">
        <v>35</v>
      </c>
      <c r="S1487" s="133" t="s">
        <v>35</v>
      </c>
      <c r="T1487" s="135">
        <v>0.9</v>
      </c>
      <c r="U1487" s="133" t="s">
        <v>35</v>
      </c>
      <c r="V1487" s="133" t="s">
        <v>35</v>
      </c>
      <c r="W1487" s="133" t="s">
        <v>35</v>
      </c>
      <c r="X1487" s="133" t="s">
        <v>35</v>
      </c>
      <c r="Y1487" s="135">
        <v>0.92</v>
      </c>
      <c r="Z1487" s="135" t="s">
        <v>35</v>
      </c>
      <c r="AA1487" s="135" t="s">
        <v>35</v>
      </c>
      <c r="AB1487" s="135" t="s">
        <v>35</v>
      </c>
      <c r="AC1487" s="135" t="s">
        <v>35</v>
      </c>
      <c r="AD1487" s="135">
        <v>0.92</v>
      </c>
      <c r="AE1487" s="133">
        <v>0.846153846153846</v>
      </c>
      <c r="AF1487" s="133">
        <v>0.962962962962963</v>
      </c>
      <c r="AG1487" s="133">
        <v>0.978723404255319</v>
      </c>
      <c r="AH1487" s="133">
        <v>0.94778825235678</v>
      </c>
      <c r="AI1487" s="135">
        <v>0.92</v>
      </c>
      <c r="AJ1487" s="133" t="s">
        <v>35</v>
      </c>
      <c r="AK1487" s="133" t="s">
        <v>35</v>
      </c>
      <c r="AL1487" s="133" t="s">
        <v>35</v>
      </c>
      <c r="AM1487" s="133" t="s">
        <v>35</v>
      </c>
      <c r="AN1487" s="132">
        <v>0.99</v>
      </c>
      <c r="AO1487" s="137">
        <v>1</v>
      </c>
      <c r="AP1487" s="137">
        <v>1</v>
      </c>
      <c r="AQ1487" s="137">
        <v>1</v>
      </c>
      <c r="AR1487" s="137">
        <v>1</v>
      </c>
      <c r="AS1487" s="158">
        <v>0.110069253262963</v>
      </c>
      <c r="AT1487" s="141" t="s">
        <v>35</v>
      </c>
      <c r="AU1487" s="141" t="s">
        <v>35</v>
      </c>
      <c r="AV1487" s="141" t="s">
        <v>35</v>
      </c>
      <c r="AW1487" s="141" t="s">
        <v>35</v>
      </c>
      <c r="AX1487" s="95"/>
      <c r="AY1487" s="93"/>
    </row>
    <row r="1488" ht="14.5" spans="1:51">
      <c r="A1488" s="91"/>
      <c r="B1488" s="95"/>
      <c r="C1488" s="152" t="s">
        <v>1455</v>
      </c>
      <c r="D1488" s="153" t="s">
        <v>25</v>
      </c>
      <c r="E1488" s="130" t="s">
        <v>1456</v>
      </c>
      <c r="F1488" s="171" t="s">
        <v>1520</v>
      </c>
      <c r="G1488" s="171" t="s">
        <v>1520</v>
      </c>
      <c r="H1488" s="171" t="s">
        <v>1520</v>
      </c>
      <c r="I1488" s="171" t="s">
        <v>1520</v>
      </c>
      <c r="J1488" s="132">
        <v>0.9</v>
      </c>
      <c r="K1488" s="133">
        <v>0.7</v>
      </c>
      <c r="L1488" s="133">
        <v>0.678571428571429</v>
      </c>
      <c r="M1488" s="134">
        <v>0.7</v>
      </c>
      <c r="N1488" s="133">
        <v>0.702702702702703</v>
      </c>
      <c r="O1488" s="135">
        <v>0.9</v>
      </c>
      <c r="P1488" s="133">
        <v>0.797579757975798</v>
      </c>
      <c r="Q1488" s="133">
        <v>0.896785479991253</v>
      </c>
      <c r="R1488" s="133">
        <v>0.884259259259259</v>
      </c>
      <c r="S1488" s="133">
        <v>0.860861401243985</v>
      </c>
      <c r="T1488" s="135">
        <v>0.9</v>
      </c>
      <c r="U1488" s="133">
        <v>0.587898789878988</v>
      </c>
      <c r="V1488" s="133">
        <v>0.750273343538159</v>
      </c>
      <c r="W1488" s="133">
        <v>0.76929012345679</v>
      </c>
      <c r="X1488" s="133">
        <v>0.711207604741228</v>
      </c>
      <c r="Y1488" s="135">
        <v>0.92</v>
      </c>
      <c r="Z1488" s="135" t="s">
        <v>35</v>
      </c>
      <c r="AA1488" s="135" t="s">
        <v>35</v>
      </c>
      <c r="AB1488" s="135" t="s">
        <v>35</v>
      </c>
      <c r="AC1488" s="135" t="s">
        <v>35</v>
      </c>
      <c r="AD1488" s="135">
        <v>0.92</v>
      </c>
      <c r="AE1488" s="133">
        <v>0.928571428571429</v>
      </c>
      <c r="AF1488" s="133">
        <v>0.555555555555556</v>
      </c>
      <c r="AG1488" s="133">
        <v>0.5625</v>
      </c>
      <c r="AH1488" s="133">
        <v>0.830232558139535</v>
      </c>
      <c r="AI1488" s="135">
        <v>0.92</v>
      </c>
      <c r="AJ1488" s="133">
        <v>0.695776506819182</v>
      </c>
      <c r="AK1488" s="133">
        <v>0.826809534222611</v>
      </c>
      <c r="AL1488" s="133">
        <v>0.899768696993061</v>
      </c>
      <c r="AM1488" s="133">
        <v>0.848334780669843</v>
      </c>
      <c r="AN1488" s="132">
        <v>0.99</v>
      </c>
      <c r="AO1488" s="137">
        <v>1</v>
      </c>
      <c r="AP1488" s="137">
        <v>1</v>
      </c>
      <c r="AQ1488" s="137">
        <v>1</v>
      </c>
      <c r="AR1488" s="137">
        <v>1</v>
      </c>
      <c r="AS1488" s="158">
        <v>0.110069253262963</v>
      </c>
      <c r="AT1488" s="141">
        <v>0.0526315789473684</v>
      </c>
      <c r="AU1488" s="141">
        <v>0.0833333333333333</v>
      </c>
      <c r="AV1488" s="141">
        <v>0.0384615384615385</v>
      </c>
      <c r="AW1488" s="141">
        <v>0.0918635170603675</v>
      </c>
      <c r="AX1488" s="95"/>
      <c r="AY1488" s="93"/>
    </row>
    <row r="1489" ht="14.5" spans="1:51">
      <c r="A1489" s="91"/>
      <c r="B1489" s="95"/>
      <c r="C1489" s="152" t="s">
        <v>1455</v>
      </c>
      <c r="D1489" s="153" t="s">
        <v>25</v>
      </c>
      <c r="E1489" s="130" t="s">
        <v>1456</v>
      </c>
      <c r="F1489" s="171" t="s">
        <v>1521</v>
      </c>
      <c r="G1489" s="171" t="s">
        <v>1521</v>
      </c>
      <c r="H1489" s="171" t="s">
        <v>1521</v>
      </c>
      <c r="I1489" s="171" t="s">
        <v>1521</v>
      </c>
      <c r="J1489" s="132">
        <v>0.9</v>
      </c>
      <c r="K1489" s="133">
        <v>0.958333333333333</v>
      </c>
      <c r="L1489" s="133">
        <v>1</v>
      </c>
      <c r="M1489" s="134">
        <v>1</v>
      </c>
      <c r="N1489" s="133">
        <v>0.990719257540603</v>
      </c>
      <c r="O1489" s="135">
        <v>0.9</v>
      </c>
      <c r="P1489" s="133">
        <v>0.945885841363973</v>
      </c>
      <c r="Q1489" s="133">
        <v>0.971452560873216</v>
      </c>
      <c r="R1489" s="133">
        <v>0.947449768160742</v>
      </c>
      <c r="S1489" s="133">
        <v>0.959821822351592</v>
      </c>
      <c r="T1489" s="135">
        <v>0.9</v>
      </c>
      <c r="U1489" s="133">
        <v>0.759080800593032</v>
      </c>
      <c r="V1489" s="133">
        <v>0.779177162048699</v>
      </c>
      <c r="W1489" s="133">
        <v>0.831530139103555</v>
      </c>
      <c r="X1489" s="133">
        <v>0.755534973979007</v>
      </c>
      <c r="Y1489" s="135">
        <v>0.92</v>
      </c>
      <c r="Z1489" s="135">
        <v>0.744588744588745</v>
      </c>
      <c r="AA1489" s="135">
        <v>0.784394250513347</v>
      </c>
      <c r="AB1489" s="135">
        <v>0.877173913043478</v>
      </c>
      <c r="AC1489" s="135">
        <v>0.86026102610261</v>
      </c>
      <c r="AD1489" s="135">
        <v>0.92</v>
      </c>
      <c r="AE1489" s="133">
        <v>0.769230769230769</v>
      </c>
      <c r="AF1489" s="133">
        <v>0.219512195121951</v>
      </c>
      <c r="AG1489" s="133">
        <v>0.234375</v>
      </c>
      <c r="AH1489" s="133">
        <v>0.263921113689095</v>
      </c>
      <c r="AI1489" s="135">
        <v>0.92</v>
      </c>
      <c r="AJ1489" s="133">
        <v>0.814297124600639</v>
      </c>
      <c r="AK1489" s="133">
        <v>0.853117782909931</v>
      </c>
      <c r="AL1489" s="133">
        <v>0.917344173441734</v>
      </c>
      <c r="AM1489" s="133">
        <v>0.899139721150994</v>
      </c>
      <c r="AN1489" s="132">
        <v>0.99</v>
      </c>
      <c r="AO1489" s="137">
        <v>1</v>
      </c>
      <c r="AP1489" s="137">
        <v>1</v>
      </c>
      <c r="AQ1489" s="137">
        <v>1</v>
      </c>
      <c r="AR1489" s="137">
        <v>1</v>
      </c>
      <c r="AS1489" s="158">
        <v>0.110069253262963</v>
      </c>
      <c r="AT1489" s="141">
        <v>0</v>
      </c>
      <c r="AU1489" s="141">
        <v>0.25</v>
      </c>
      <c r="AV1489" s="141">
        <v>0.166666666666667</v>
      </c>
      <c r="AW1489" s="141">
        <v>0.0883977900552486</v>
      </c>
      <c r="AX1489" s="95"/>
      <c r="AY1489" s="93"/>
    </row>
    <row r="1490" ht="14.5" spans="1:51">
      <c r="A1490" s="91"/>
      <c r="B1490" s="95"/>
      <c r="C1490" s="152" t="s">
        <v>1455</v>
      </c>
      <c r="D1490" s="153" t="s">
        <v>25</v>
      </c>
      <c r="E1490" s="130" t="s">
        <v>1456</v>
      </c>
      <c r="F1490" s="171" t="s">
        <v>1522</v>
      </c>
      <c r="G1490" s="171" t="s">
        <v>1522</v>
      </c>
      <c r="H1490" s="171" t="s">
        <v>1522</v>
      </c>
      <c r="I1490" s="171" t="s">
        <v>1522</v>
      </c>
      <c r="J1490" s="132">
        <v>0.9</v>
      </c>
      <c r="K1490" s="133">
        <v>1</v>
      </c>
      <c r="L1490" s="133">
        <v>0.923076923076923</v>
      </c>
      <c r="M1490" s="134">
        <v>1</v>
      </c>
      <c r="N1490" s="133">
        <v>0.923076923076923</v>
      </c>
      <c r="O1490" s="135">
        <v>0.9</v>
      </c>
      <c r="P1490" s="133">
        <v>0</v>
      </c>
      <c r="Q1490" s="133">
        <v>1</v>
      </c>
      <c r="R1490" s="133">
        <v>0.285714285714286</v>
      </c>
      <c r="S1490" s="133">
        <v>0.218181818181818</v>
      </c>
      <c r="T1490" s="135">
        <v>0.9</v>
      </c>
      <c r="U1490" s="133">
        <v>1</v>
      </c>
      <c r="V1490" s="133">
        <v>0</v>
      </c>
      <c r="W1490" s="133">
        <v>0.285714285714286</v>
      </c>
      <c r="X1490" s="133">
        <v>0.163636363636364</v>
      </c>
      <c r="Y1490" s="135">
        <v>0.92</v>
      </c>
      <c r="Z1490" s="135" t="s">
        <v>35</v>
      </c>
      <c r="AA1490" s="135" t="s">
        <v>35</v>
      </c>
      <c r="AB1490" s="135">
        <v>0</v>
      </c>
      <c r="AC1490" s="135">
        <v>0</v>
      </c>
      <c r="AD1490" s="135">
        <v>0.92</v>
      </c>
      <c r="AE1490" s="133" t="s">
        <v>35</v>
      </c>
      <c r="AF1490" s="133">
        <v>0</v>
      </c>
      <c r="AG1490" s="133">
        <v>1</v>
      </c>
      <c r="AH1490" s="133">
        <v>0.972972972972973</v>
      </c>
      <c r="AI1490" s="135">
        <v>0.92</v>
      </c>
      <c r="AJ1490" s="133">
        <v>0.0212765957446809</v>
      </c>
      <c r="AK1490" s="133">
        <v>0.5</v>
      </c>
      <c r="AL1490" s="133">
        <v>0.776663146779303</v>
      </c>
      <c r="AM1490" s="133">
        <v>0.789514866979656</v>
      </c>
      <c r="AN1490" s="132">
        <v>0.99</v>
      </c>
      <c r="AO1490" s="137" t="s">
        <v>35</v>
      </c>
      <c r="AP1490" s="137" t="s">
        <v>35</v>
      </c>
      <c r="AQ1490" s="137" t="s">
        <v>35</v>
      </c>
      <c r="AR1490" s="137">
        <v>1</v>
      </c>
      <c r="AS1490" s="158">
        <v>0.110069253262963</v>
      </c>
      <c r="AT1490" s="141">
        <v>0.0833333333333333</v>
      </c>
      <c r="AU1490" s="141">
        <v>0</v>
      </c>
      <c r="AV1490" s="141">
        <v>0</v>
      </c>
      <c r="AW1490" s="141">
        <v>0.107142857142857</v>
      </c>
      <c r="AX1490" s="95"/>
      <c r="AY1490" s="93"/>
    </row>
    <row r="1491" ht="14.5" spans="1:51">
      <c r="A1491" s="91"/>
      <c r="B1491" s="95"/>
      <c r="C1491" s="152" t="s">
        <v>1455</v>
      </c>
      <c r="D1491" s="153" t="s">
        <v>25</v>
      </c>
      <c r="E1491" s="130" t="s">
        <v>1456</v>
      </c>
      <c r="F1491" s="171" t="s">
        <v>1523</v>
      </c>
      <c r="G1491" s="171" t="s">
        <v>1523</v>
      </c>
      <c r="H1491" s="171" t="s">
        <v>1523</v>
      </c>
      <c r="I1491" s="171" t="s">
        <v>1523</v>
      </c>
      <c r="J1491" s="132">
        <v>0.9</v>
      </c>
      <c r="K1491" s="133">
        <v>0.777777777777778</v>
      </c>
      <c r="L1491" s="133" t="s">
        <v>35</v>
      </c>
      <c r="M1491" s="134" t="s">
        <v>35</v>
      </c>
      <c r="N1491" s="133">
        <v>0.913934426229508</v>
      </c>
      <c r="O1491" s="135">
        <v>0.9</v>
      </c>
      <c r="P1491" s="133">
        <v>0</v>
      </c>
      <c r="Q1491" s="133" t="s">
        <v>35</v>
      </c>
      <c r="R1491" s="133">
        <v>0</v>
      </c>
      <c r="S1491" s="133">
        <v>0</v>
      </c>
      <c r="T1491" s="135">
        <v>0.9</v>
      </c>
      <c r="U1491" s="133">
        <v>0</v>
      </c>
      <c r="V1491" s="133" t="s">
        <v>35</v>
      </c>
      <c r="W1491" s="133">
        <v>0</v>
      </c>
      <c r="X1491" s="133">
        <v>0</v>
      </c>
      <c r="Y1491" s="135">
        <v>0.92</v>
      </c>
      <c r="Z1491" s="135" t="s">
        <v>35</v>
      </c>
      <c r="AA1491" s="135" t="s">
        <v>35</v>
      </c>
      <c r="AB1491" s="135" t="s">
        <v>35</v>
      </c>
      <c r="AC1491" s="135" t="s">
        <v>35</v>
      </c>
      <c r="AD1491" s="135">
        <v>0.92</v>
      </c>
      <c r="AE1491" s="133" t="s">
        <v>35</v>
      </c>
      <c r="AF1491" s="133" t="s">
        <v>35</v>
      </c>
      <c r="AG1491" s="133">
        <v>1</v>
      </c>
      <c r="AH1491" s="133">
        <v>0.821192052980132</v>
      </c>
      <c r="AI1491" s="135">
        <v>0.92</v>
      </c>
      <c r="AJ1491" s="133">
        <v>0.541619156214367</v>
      </c>
      <c r="AK1491" s="133">
        <v>0.694613379669852</v>
      </c>
      <c r="AL1491" s="133">
        <v>0.842931937172775</v>
      </c>
      <c r="AM1491" s="133">
        <v>0.833239580669905</v>
      </c>
      <c r="AN1491" s="132">
        <v>0.99</v>
      </c>
      <c r="AO1491" s="137">
        <v>1</v>
      </c>
      <c r="AP1491" s="137" t="s">
        <v>35</v>
      </c>
      <c r="AQ1491" s="137">
        <v>1</v>
      </c>
      <c r="AR1491" s="137">
        <v>1</v>
      </c>
      <c r="AS1491" s="158">
        <v>0.110069253262963</v>
      </c>
      <c r="AT1491" s="141">
        <v>0.0351758793969849</v>
      </c>
      <c r="AU1491" s="141">
        <v>0</v>
      </c>
      <c r="AV1491" s="141">
        <v>0</v>
      </c>
      <c r="AW1491" s="141">
        <v>0.0757684060042888</v>
      </c>
      <c r="AX1491" s="95"/>
      <c r="AY1491" s="93"/>
    </row>
    <row r="1492" ht="14.5" spans="1:51">
      <c r="A1492" s="91"/>
      <c r="B1492" s="95"/>
      <c r="C1492" s="152" t="s">
        <v>1455</v>
      </c>
      <c r="D1492" s="153" t="s">
        <v>25</v>
      </c>
      <c r="E1492" s="130" t="s">
        <v>1456</v>
      </c>
      <c r="F1492" s="171" t="s">
        <v>1524</v>
      </c>
      <c r="G1492" s="171" t="s">
        <v>1524</v>
      </c>
      <c r="H1492" s="171" t="s">
        <v>1524</v>
      </c>
      <c r="I1492" s="171" t="s">
        <v>1524</v>
      </c>
      <c r="J1492" s="132">
        <v>0.9</v>
      </c>
      <c r="K1492" s="133">
        <v>0.846153846153846</v>
      </c>
      <c r="L1492" s="133">
        <v>0.636363636363636</v>
      </c>
      <c r="M1492" s="134">
        <v>0.916666666666667</v>
      </c>
      <c r="N1492" s="133">
        <v>0.833333333333333</v>
      </c>
      <c r="O1492" s="135">
        <v>0.9</v>
      </c>
      <c r="P1492" s="133">
        <v>0.994307400379507</v>
      </c>
      <c r="Q1492" s="133">
        <v>0.991596638655462</v>
      </c>
      <c r="R1492" s="133">
        <v>0.93859649122807</v>
      </c>
      <c r="S1492" s="133">
        <v>0.510030968089404</v>
      </c>
      <c r="T1492" s="135">
        <v>0.9</v>
      </c>
      <c r="U1492" s="133">
        <v>0.996204933586338</v>
      </c>
      <c r="V1492" s="133">
        <v>0.991596638655462</v>
      </c>
      <c r="W1492" s="133">
        <v>0.956140350877193</v>
      </c>
      <c r="X1492" s="133">
        <v>0.430927696243436</v>
      </c>
      <c r="Y1492" s="135">
        <v>0.92</v>
      </c>
      <c r="Z1492" s="135" t="s">
        <v>35</v>
      </c>
      <c r="AA1492" s="135" t="s">
        <v>35</v>
      </c>
      <c r="AB1492" s="135" t="s">
        <v>35</v>
      </c>
      <c r="AC1492" s="135" t="s">
        <v>35</v>
      </c>
      <c r="AD1492" s="135">
        <v>0.92</v>
      </c>
      <c r="AE1492" s="133">
        <v>0</v>
      </c>
      <c r="AF1492" s="133" t="s">
        <v>35</v>
      </c>
      <c r="AG1492" s="133">
        <v>0</v>
      </c>
      <c r="AH1492" s="133">
        <v>0.333333333333333</v>
      </c>
      <c r="AI1492" s="135">
        <v>0.92</v>
      </c>
      <c r="AJ1492" s="133">
        <v>0.605494505494505</v>
      </c>
      <c r="AK1492" s="133">
        <v>0.466494845360825</v>
      </c>
      <c r="AL1492" s="133">
        <v>0.743664717348928</v>
      </c>
      <c r="AM1492" s="133">
        <v>0.583628150002721</v>
      </c>
      <c r="AN1492" s="132">
        <v>0.99</v>
      </c>
      <c r="AO1492" s="137" t="s">
        <v>35</v>
      </c>
      <c r="AP1492" s="137">
        <v>1</v>
      </c>
      <c r="AQ1492" s="137">
        <v>1</v>
      </c>
      <c r="AR1492" s="137">
        <v>1</v>
      </c>
      <c r="AS1492" s="158">
        <v>0.110069253262963</v>
      </c>
      <c r="AT1492" s="141">
        <v>0.170731707317073</v>
      </c>
      <c r="AU1492" s="141">
        <v>0.204545454545455</v>
      </c>
      <c r="AV1492" s="141">
        <v>0.168224299065421</v>
      </c>
      <c r="AW1492" s="141">
        <v>0.131982475355969</v>
      </c>
      <c r="AX1492" s="95"/>
      <c r="AY1492" s="93"/>
    </row>
    <row r="1493" ht="14.5" spans="1:51">
      <c r="A1493" s="91"/>
      <c r="B1493" s="95"/>
      <c r="C1493" s="152" t="s">
        <v>1455</v>
      </c>
      <c r="D1493" s="153" t="s">
        <v>25</v>
      </c>
      <c r="E1493" s="130" t="s">
        <v>1456</v>
      </c>
      <c r="F1493" s="171" t="s">
        <v>1525</v>
      </c>
      <c r="G1493" s="171" t="s">
        <v>1525</v>
      </c>
      <c r="H1493" s="171" t="s">
        <v>1525</v>
      </c>
      <c r="I1493" s="171" t="s">
        <v>1525</v>
      </c>
      <c r="J1493" s="132">
        <v>0.9</v>
      </c>
      <c r="K1493" s="133" t="s">
        <v>35</v>
      </c>
      <c r="L1493" s="133" t="s">
        <v>35</v>
      </c>
      <c r="M1493" s="134" t="s">
        <v>35</v>
      </c>
      <c r="N1493" s="133" t="s">
        <v>35</v>
      </c>
      <c r="O1493" s="135">
        <v>0.9</v>
      </c>
      <c r="P1493" s="133" t="s">
        <v>35</v>
      </c>
      <c r="Q1493" s="133" t="s">
        <v>35</v>
      </c>
      <c r="R1493" s="133" t="s">
        <v>35</v>
      </c>
      <c r="S1493" s="133" t="s">
        <v>35</v>
      </c>
      <c r="T1493" s="135">
        <v>0.9</v>
      </c>
      <c r="U1493" s="133" t="s">
        <v>35</v>
      </c>
      <c r="V1493" s="133" t="s">
        <v>35</v>
      </c>
      <c r="W1493" s="133" t="s">
        <v>35</v>
      </c>
      <c r="X1493" s="133" t="s">
        <v>35</v>
      </c>
      <c r="Y1493" s="135">
        <v>0.92</v>
      </c>
      <c r="Z1493" s="135" t="s">
        <v>35</v>
      </c>
      <c r="AA1493" s="135" t="s">
        <v>35</v>
      </c>
      <c r="AB1493" s="135" t="s">
        <v>35</v>
      </c>
      <c r="AC1493" s="135" t="s">
        <v>35</v>
      </c>
      <c r="AD1493" s="135">
        <v>0.92</v>
      </c>
      <c r="AE1493" s="133">
        <v>0.0172413793103448</v>
      </c>
      <c r="AF1493" s="133">
        <v>0.269444444444444</v>
      </c>
      <c r="AG1493" s="133">
        <v>0.481894150417827</v>
      </c>
      <c r="AH1493" s="133">
        <v>0.726553672316384</v>
      </c>
      <c r="AI1493" s="135">
        <v>0.92</v>
      </c>
      <c r="AJ1493" s="133">
        <v>1</v>
      </c>
      <c r="AK1493" s="133" t="s">
        <v>35</v>
      </c>
      <c r="AL1493" s="133" t="s">
        <v>35</v>
      </c>
      <c r="AM1493" s="133">
        <v>1</v>
      </c>
      <c r="AN1493" s="132">
        <v>0.99</v>
      </c>
      <c r="AO1493" s="137">
        <v>1</v>
      </c>
      <c r="AP1493" s="137">
        <v>1</v>
      </c>
      <c r="AQ1493" s="137">
        <v>1</v>
      </c>
      <c r="AR1493" s="137">
        <v>1</v>
      </c>
      <c r="AS1493" s="158">
        <v>0.110069253262963</v>
      </c>
      <c r="AT1493" s="141" t="s">
        <v>35</v>
      </c>
      <c r="AU1493" s="141" t="s">
        <v>35</v>
      </c>
      <c r="AV1493" s="141" t="s">
        <v>35</v>
      </c>
      <c r="AW1493" s="141" t="s">
        <v>35</v>
      </c>
      <c r="AX1493" s="95"/>
      <c r="AY1493" s="93"/>
    </row>
    <row r="1494" ht="14.5" spans="1:51">
      <c r="A1494" s="91"/>
      <c r="B1494" s="95"/>
      <c r="C1494" s="152" t="s">
        <v>1455</v>
      </c>
      <c r="D1494" s="153" t="s">
        <v>25</v>
      </c>
      <c r="E1494" s="130" t="s">
        <v>1456</v>
      </c>
      <c r="F1494" s="171" t="s">
        <v>1526</v>
      </c>
      <c r="G1494" s="171" t="s">
        <v>1526</v>
      </c>
      <c r="H1494" s="171" t="s">
        <v>1526</v>
      </c>
      <c r="I1494" s="171" t="s">
        <v>1526</v>
      </c>
      <c r="J1494" s="132">
        <v>0.9</v>
      </c>
      <c r="K1494" s="133">
        <v>0.59375</v>
      </c>
      <c r="L1494" s="133">
        <v>0.387096774193548</v>
      </c>
      <c r="M1494" s="134">
        <v>0.529411764705882</v>
      </c>
      <c r="N1494" s="133">
        <v>0.473360655737705</v>
      </c>
      <c r="O1494" s="135">
        <v>0.9</v>
      </c>
      <c r="P1494" s="133">
        <v>0.991883454734651</v>
      </c>
      <c r="Q1494" s="133">
        <v>0.981382978723404</v>
      </c>
      <c r="R1494" s="133">
        <v>0.937315634218289</v>
      </c>
      <c r="S1494" s="133">
        <v>0.927850738581829</v>
      </c>
      <c r="T1494" s="135">
        <v>0.9</v>
      </c>
      <c r="U1494" s="133">
        <v>0.527991675338189</v>
      </c>
      <c r="V1494" s="133">
        <v>0.717471358428805</v>
      </c>
      <c r="W1494" s="133">
        <v>0.693952802359882</v>
      </c>
      <c r="X1494" s="133">
        <v>0.59552403024557</v>
      </c>
      <c r="Y1494" s="135">
        <v>0.92</v>
      </c>
      <c r="Z1494" s="135" t="s">
        <v>35</v>
      </c>
      <c r="AA1494" s="135" t="s">
        <v>35</v>
      </c>
      <c r="AB1494" s="135" t="s">
        <v>35</v>
      </c>
      <c r="AC1494" s="135">
        <v>0.666666666666667</v>
      </c>
      <c r="AD1494" s="135">
        <v>0.92</v>
      </c>
      <c r="AE1494" s="133">
        <v>1</v>
      </c>
      <c r="AF1494" s="133">
        <v>0.823529411764706</v>
      </c>
      <c r="AG1494" s="133">
        <v>0.416666666666667</v>
      </c>
      <c r="AH1494" s="133">
        <v>0.882608695652174</v>
      </c>
      <c r="AI1494" s="135">
        <v>0.92</v>
      </c>
      <c r="AJ1494" s="133">
        <v>0.706139438085328</v>
      </c>
      <c r="AK1494" s="133">
        <v>0.804418985270049</v>
      </c>
      <c r="AL1494" s="133">
        <v>0.845132743362832</v>
      </c>
      <c r="AM1494" s="133">
        <v>0.793352059925094</v>
      </c>
      <c r="AN1494" s="132">
        <v>0.99</v>
      </c>
      <c r="AO1494" s="137">
        <v>1</v>
      </c>
      <c r="AP1494" s="137">
        <v>1</v>
      </c>
      <c r="AQ1494" s="137">
        <v>1</v>
      </c>
      <c r="AR1494" s="137">
        <v>1</v>
      </c>
      <c r="AS1494" s="158">
        <v>0.110069253262963</v>
      </c>
      <c r="AT1494" s="141">
        <v>0.0833333333333333</v>
      </c>
      <c r="AU1494" s="141">
        <v>0.131578947368421</v>
      </c>
      <c r="AV1494" s="141">
        <v>0.0465116279069767</v>
      </c>
      <c r="AW1494" s="141">
        <v>0.139318885448916</v>
      </c>
      <c r="AX1494" s="95"/>
      <c r="AY1494" s="93"/>
    </row>
    <row r="1495" ht="14.5" spans="1:51">
      <c r="A1495" s="91"/>
      <c r="B1495" s="95"/>
      <c r="C1495" s="152" t="s">
        <v>1455</v>
      </c>
      <c r="D1495" s="153" t="s">
        <v>25</v>
      </c>
      <c r="E1495" s="130" t="s">
        <v>1456</v>
      </c>
      <c r="F1495" s="171" t="s">
        <v>1527</v>
      </c>
      <c r="G1495" s="171" t="s">
        <v>1527</v>
      </c>
      <c r="H1495" s="171" t="s">
        <v>1527</v>
      </c>
      <c r="I1495" s="171" t="s">
        <v>1527</v>
      </c>
      <c r="J1495" s="132">
        <v>0.9</v>
      </c>
      <c r="K1495" s="133">
        <v>0.807692307692308</v>
      </c>
      <c r="L1495" s="133">
        <v>0.857142857142857</v>
      </c>
      <c r="M1495" s="134">
        <v>0.703703703703704</v>
      </c>
      <c r="N1495" s="133">
        <v>0.843612334801762</v>
      </c>
      <c r="O1495" s="135">
        <v>0.9</v>
      </c>
      <c r="P1495" s="133" t="s">
        <v>35</v>
      </c>
      <c r="Q1495" s="133">
        <v>0</v>
      </c>
      <c r="R1495" s="133" t="s">
        <v>35</v>
      </c>
      <c r="S1495" s="133">
        <v>0.5</v>
      </c>
      <c r="T1495" s="135">
        <v>0.9</v>
      </c>
      <c r="U1495" s="133" t="s">
        <v>35</v>
      </c>
      <c r="V1495" s="133">
        <v>0</v>
      </c>
      <c r="W1495" s="133" t="s">
        <v>35</v>
      </c>
      <c r="X1495" s="133">
        <v>0.166666666666667</v>
      </c>
      <c r="Y1495" s="135">
        <v>0.92</v>
      </c>
      <c r="Z1495" s="135" t="s">
        <v>35</v>
      </c>
      <c r="AA1495" s="135" t="s">
        <v>35</v>
      </c>
      <c r="AB1495" s="135" t="s">
        <v>35</v>
      </c>
      <c r="AC1495" s="135" t="s">
        <v>35</v>
      </c>
      <c r="AD1495" s="135">
        <v>0.92</v>
      </c>
      <c r="AE1495" s="133" t="s">
        <v>35</v>
      </c>
      <c r="AF1495" s="133" t="s">
        <v>35</v>
      </c>
      <c r="AG1495" s="133" t="s">
        <v>35</v>
      </c>
      <c r="AH1495" s="133">
        <v>0.222222222222222</v>
      </c>
      <c r="AI1495" s="135">
        <v>0.92</v>
      </c>
      <c r="AJ1495" s="133">
        <v>0.918951132300358</v>
      </c>
      <c r="AK1495" s="133">
        <v>0.633820459290188</v>
      </c>
      <c r="AL1495" s="133">
        <v>0.717105263157895</v>
      </c>
      <c r="AM1495" s="133">
        <v>0.789004244579557</v>
      </c>
      <c r="AN1495" s="132">
        <v>0.99</v>
      </c>
      <c r="AO1495" s="137" t="s">
        <v>35</v>
      </c>
      <c r="AP1495" s="137" t="s">
        <v>35</v>
      </c>
      <c r="AQ1495" s="137" t="s">
        <v>35</v>
      </c>
      <c r="AR1495" s="137" t="s">
        <v>35</v>
      </c>
      <c r="AS1495" s="158">
        <v>0.110069253262963</v>
      </c>
      <c r="AT1495" s="141">
        <v>0.148148148148148</v>
      </c>
      <c r="AU1495" s="141">
        <v>0.195652173913043</v>
      </c>
      <c r="AV1495" s="141">
        <v>0.122448979591837</v>
      </c>
      <c r="AW1495" s="141">
        <v>0.197146562905318</v>
      </c>
      <c r="AX1495" s="95"/>
      <c r="AY1495" s="93"/>
    </row>
    <row r="1496" ht="14.5" spans="1:51">
      <c r="A1496" s="91"/>
      <c r="B1496" s="95"/>
      <c r="C1496" s="152" t="s">
        <v>1455</v>
      </c>
      <c r="D1496" s="153" t="s">
        <v>25</v>
      </c>
      <c r="E1496" s="130" t="s">
        <v>1456</v>
      </c>
      <c r="F1496" s="171" t="s">
        <v>1528</v>
      </c>
      <c r="G1496" s="171" t="s">
        <v>1528</v>
      </c>
      <c r="H1496" s="171" t="s">
        <v>1528</v>
      </c>
      <c r="I1496" s="171" t="s">
        <v>1528</v>
      </c>
      <c r="J1496" s="132">
        <v>0.9</v>
      </c>
      <c r="K1496" s="133">
        <v>1</v>
      </c>
      <c r="L1496" s="133">
        <v>1</v>
      </c>
      <c r="M1496" s="134">
        <v>1</v>
      </c>
      <c r="N1496" s="133">
        <v>0.96551724137931</v>
      </c>
      <c r="O1496" s="135">
        <v>0.9</v>
      </c>
      <c r="P1496" s="133">
        <v>0.821428571428571</v>
      </c>
      <c r="Q1496" s="133">
        <v>0.434782608695652</v>
      </c>
      <c r="R1496" s="133">
        <v>0.996452852497783</v>
      </c>
      <c r="S1496" s="133">
        <v>0.989238578680203</v>
      </c>
      <c r="T1496" s="135">
        <v>0.9</v>
      </c>
      <c r="U1496" s="133">
        <v>0.428571428571429</v>
      </c>
      <c r="V1496" s="133">
        <v>0.347826086956522</v>
      </c>
      <c r="W1496" s="133">
        <v>0.784806384865504</v>
      </c>
      <c r="X1496" s="133">
        <v>0.806768189509306</v>
      </c>
      <c r="Y1496" s="135">
        <v>0.92</v>
      </c>
      <c r="Z1496" s="135" t="s">
        <v>35</v>
      </c>
      <c r="AA1496" s="135" t="s">
        <v>35</v>
      </c>
      <c r="AB1496" s="135" t="s">
        <v>35</v>
      </c>
      <c r="AC1496" s="135" t="s">
        <v>35</v>
      </c>
      <c r="AD1496" s="135">
        <v>0.92</v>
      </c>
      <c r="AE1496" s="133">
        <v>1</v>
      </c>
      <c r="AF1496" s="133">
        <v>1</v>
      </c>
      <c r="AG1496" s="133" t="s">
        <v>35</v>
      </c>
      <c r="AH1496" s="133">
        <v>0.966666666666667</v>
      </c>
      <c r="AI1496" s="135">
        <v>0.92</v>
      </c>
      <c r="AJ1496" s="133">
        <v>0.464285714285714</v>
      </c>
      <c r="AK1496" s="133">
        <v>0.375</v>
      </c>
      <c r="AL1496" s="133">
        <v>0.822873900293255</v>
      </c>
      <c r="AM1496" s="133">
        <v>0.838423247679268</v>
      </c>
      <c r="AN1496" s="132">
        <v>0.99</v>
      </c>
      <c r="AO1496" s="137">
        <v>1</v>
      </c>
      <c r="AP1496" s="137">
        <v>1</v>
      </c>
      <c r="AQ1496" s="137" t="s">
        <v>35</v>
      </c>
      <c r="AR1496" s="137">
        <v>1</v>
      </c>
      <c r="AS1496" s="158">
        <v>0.110069253262963</v>
      </c>
      <c r="AT1496" s="141">
        <v>0.00793650793650794</v>
      </c>
      <c r="AU1496" s="141">
        <v>0</v>
      </c>
      <c r="AV1496" s="141">
        <v>1.11111111111111</v>
      </c>
      <c r="AW1496" s="141">
        <v>0.0917119565217391</v>
      </c>
      <c r="AX1496" s="95"/>
      <c r="AY1496" s="93"/>
    </row>
    <row r="1497" ht="14.5" spans="1:51">
      <c r="A1497" s="91"/>
      <c r="B1497" s="95"/>
      <c r="C1497" s="152" t="s">
        <v>1455</v>
      </c>
      <c r="D1497" s="153" t="s">
        <v>25</v>
      </c>
      <c r="E1497" s="130" t="s">
        <v>1456</v>
      </c>
      <c r="F1497" s="171" t="s">
        <v>1529</v>
      </c>
      <c r="G1497" s="171" t="s">
        <v>1529</v>
      </c>
      <c r="H1497" s="171" t="s">
        <v>1529</v>
      </c>
      <c r="I1497" s="171" t="s">
        <v>1529</v>
      </c>
      <c r="J1497" s="132">
        <v>0.9</v>
      </c>
      <c r="K1497" s="133">
        <v>0.5</v>
      </c>
      <c r="L1497" s="133">
        <v>0.56</v>
      </c>
      <c r="M1497" s="134">
        <v>0.653846153846154</v>
      </c>
      <c r="N1497" s="133">
        <v>0.594594594594595</v>
      </c>
      <c r="O1497" s="135">
        <v>0.9</v>
      </c>
      <c r="P1497" s="133">
        <v>0.838678701747647</v>
      </c>
      <c r="Q1497" s="133">
        <v>0.886438382665893</v>
      </c>
      <c r="R1497" s="133">
        <v>0.824508320726172</v>
      </c>
      <c r="S1497" s="133">
        <v>0.837733725761773</v>
      </c>
      <c r="T1497" s="135">
        <v>0.9</v>
      </c>
      <c r="U1497" s="133">
        <v>0.508354138659497</v>
      </c>
      <c r="V1497" s="133">
        <v>0.693170826078545</v>
      </c>
      <c r="W1497" s="133">
        <v>0.677004538577912</v>
      </c>
      <c r="X1497" s="133">
        <v>0.63525796398892</v>
      </c>
      <c r="Y1497" s="135">
        <v>0.92</v>
      </c>
      <c r="Z1497" s="135" t="s">
        <v>35</v>
      </c>
      <c r="AA1497" s="135" t="s">
        <v>35</v>
      </c>
      <c r="AB1497" s="135" t="s">
        <v>35</v>
      </c>
      <c r="AC1497" s="135" t="s">
        <v>35</v>
      </c>
      <c r="AD1497" s="135">
        <v>0.92</v>
      </c>
      <c r="AE1497" s="133">
        <v>0.964285714285714</v>
      </c>
      <c r="AF1497" s="133">
        <v>1</v>
      </c>
      <c r="AG1497" s="133">
        <v>0.909090909090909</v>
      </c>
      <c r="AH1497" s="133">
        <v>0.940229885057471</v>
      </c>
      <c r="AI1497" s="135">
        <v>0.92</v>
      </c>
      <c r="AJ1497" s="133">
        <v>0.648934127136547</v>
      </c>
      <c r="AK1497" s="133">
        <v>0.785064809440898</v>
      </c>
      <c r="AL1497" s="133">
        <v>0.816187594553706</v>
      </c>
      <c r="AM1497" s="133">
        <v>0.814793975069252</v>
      </c>
      <c r="AN1497" s="132">
        <v>0.99</v>
      </c>
      <c r="AO1497" s="137">
        <v>1</v>
      </c>
      <c r="AP1497" s="137">
        <v>1</v>
      </c>
      <c r="AQ1497" s="137" t="s">
        <v>35</v>
      </c>
      <c r="AR1497" s="137">
        <v>1</v>
      </c>
      <c r="AS1497" s="158">
        <v>0.110069253262963</v>
      </c>
      <c r="AT1497" s="141">
        <v>0.0606060606060606</v>
      </c>
      <c r="AU1497" s="141">
        <v>0.0384615384615385</v>
      </c>
      <c r="AV1497" s="141">
        <v>0.0588235294117647</v>
      </c>
      <c r="AW1497" s="141">
        <v>0.0926315789473684</v>
      </c>
      <c r="AX1497" s="95"/>
      <c r="AY1497" s="93"/>
    </row>
    <row r="1498" ht="14.5" spans="1:51">
      <c r="A1498" s="91"/>
      <c r="B1498" s="95"/>
      <c r="C1498" s="152" t="s">
        <v>1455</v>
      </c>
      <c r="D1498" s="153" t="s">
        <v>25</v>
      </c>
      <c r="E1498" s="130" t="s">
        <v>1456</v>
      </c>
      <c r="F1498" s="171" t="s">
        <v>1530</v>
      </c>
      <c r="G1498" s="171" t="s">
        <v>1530</v>
      </c>
      <c r="H1498" s="171" t="s">
        <v>1530</v>
      </c>
      <c r="I1498" s="171" t="s">
        <v>1530</v>
      </c>
      <c r="J1498" s="132">
        <v>0.9</v>
      </c>
      <c r="K1498" s="133">
        <v>1</v>
      </c>
      <c r="L1498" s="133">
        <v>0.692307692307692</v>
      </c>
      <c r="M1498" s="134" t="s">
        <v>35</v>
      </c>
      <c r="N1498" s="133">
        <v>0.809815950920245</v>
      </c>
      <c r="O1498" s="135">
        <v>0.9</v>
      </c>
      <c r="P1498" s="133" t="s">
        <v>35</v>
      </c>
      <c r="Q1498" s="133">
        <v>1</v>
      </c>
      <c r="R1498" s="133" t="s">
        <v>35</v>
      </c>
      <c r="S1498" s="133">
        <v>0.103448275862069</v>
      </c>
      <c r="T1498" s="135">
        <v>0.9</v>
      </c>
      <c r="U1498" s="133" t="s">
        <v>35</v>
      </c>
      <c r="V1498" s="133">
        <v>0</v>
      </c>
      <c r="W1498" s="133" t="s">
        <v>35</v>
      </c>
      <c r="X1498" s="133">
        <v>0.0344827586206897</v>
      </c>
      <c r="Y1498" s="135">
        <v>0.92</v>
      </c>
      <c r="Z1498" s="135" t="s">
        <v>35</v>
      </c>
      <c r="AA1498" s="135" t="s">
        <v>35</v>
      </c>
      <c r="AB1498" s="135" t="s">
        <v>35</v>
      </c>
      <c r="AC1498" s="135" t="s">
        <v>35</v>
      </c>
      <c r="AD1498" s="135">
        <v>0.92</v>
      </c>
      <c r="AE1498" s="133" t="s">
        <v>35</v>
      </c>
      <c r="AF1498" s="133" t="s">
        <v>35</v>
      </c>
      <c r="AG1498" s="133">
        <v>1</v>
      </c>
      <c r="AH1498" s="133">
        <v>0.609756097560976</v>
      </c>
      <c r="AI1498" s="135">
        <v>0.92</v>
      </c>
      <c r="AJ1498" s="133">
        <v>0.964686998394864</v>
      </c>
      <c r="AK1498" s="133">
        <v>0.330232558139535</v>
      </c>
      <c r="AL1498" s="133">
        <v>0.25</v>
      </c>
      <c r="AM1498" s="133">
        <v>0.357371384694139</v>
      </c>
      <c r="AN1498" s="132">
        <v>0.99</v>
      </c>
      <c r="AO1498" s="137" t="s">
        <v>35</v>
      </c>
      <c r="AP1498" s="137" t="s">
        <v>35</v>
      </c>
      <c r="AQ1498" s="137" t="s">
        <v>35</v>
      </c>
      <c r="AR1498" s="137">
        <v>1</v>
      </c>
      <c r="AS1498" s="158">
        <v>0.110069253262963</v>
      </c>
      <c r="AT1498" s="141">
        <v>0.0860215053763441</v>
      </c>
      <c r="AU1498" s="141">
        <v>0.0337078651685393</v>
      </c>
      <c r="AV1498" s="141" t="s">
        <v>35</v>
      </c>
      <c r="AW1498" s="141">
        <v>0.103806228373702</v>
      </c>
      <c r="AX1498" s="95"/>
      <c r="AY1498" s="93"/>
    </row>
    <row r="1499" ht="14.5" spans="1:51">
      <c r="A1499" s="91"/>
      <c r="B1499" s="95"/>
      <c r="C1499" s="152" t="s">
        <v>1455</v>
      </c>
      <c r="D1499" s="153" t="s">
        <v>25</v>
      </c>
      <c r="E1499" s="130" t="s">
        <v>1456</v>
      </c>
      <c r="F1499" s="171" t="s">
        <v>1531</v>
      </c>
      <c r="G1499" s="171" t="s">
        <v>1531</v>
      </c>
      <c r="H1499" s="171" t="s">
        <v>1531</v>
      </c>
      <c r="I1499" s="171" t="s">
        <v>1531</v>
      </c>
      <c r="J1499" s="132">
        <v>0.9</v>
      </c>
      <c r="K1499" s="133" t="s">
        <v>35</v>
      </c>
      <c r="L1499" s="133" t="s">
        <v>35</v>
      </c>
      <c r="M1499" s="134" t="s">
        <v>35</v>
      </c>
      <c r="N1499" s="133">
        <v>0.98780487804878</v>
      </c>
      <c r="O1499" s="135">
        <v>0.9</v>
      </c>
      <c r="P1499" s="133">
        <v>1</v>
      </c>
      <c r="Q1499" s="133" t="s">
        <v>35</v>
      </c>
      <c r="R1499" s="133">
        <v>1</v>
      </c>
      <c r="S1499" s="133">
        <v>0.857142857142857</v>
      </c>
      <c r="T1499" s="135">
        <v>0.9</v>
      </c>
      <c r="U1499" s="133">
        <v>1</v>
      </c>
      <c r="V1499" s="133" t="s">
        <v>35</v>
      </c>
      <c r="W1499" s="133">
        <v>1</v>
      </c>
      <c r="X1499" s="133">
        <v>0.666666666666667</v>
      </c>
      <c r="Y1499" s="135">
        <v>0.92</v>
      </c>
      <c r="Z1499" s="135" t="s">
        <v>35</v>
      </c>
      <c r="AA1499" s="135" t="s">
        <v>35</v>
      </c>
      <c r="AB1499" s="135" t="s">
        <v>35</v>
      </c>
      <c r="AC1499" s="135" t="s">
        <v>35</v>
      </c>
      <c r="AD1499" s="135">
        <v>0.92</v>
      </c>
      <c r="AE1499" s="133" t="s">
        <v>35</v>
      </c>
      <c r="AF1499" s="133" t="s">
        <v>35</v>
      </c>
      <c r="AG1499" s="133">
        <v>1</v>
      </c>
      <c r="AH1499" s="133">
        <v>0.986301369863014</v>
      </c>
      <c r="AI1499" s="135">
        <v>0.92</v>
      </c>
      <c r="AJ1499" s="133">
        <v>0.2</v>
      </c>
      <c r="AK1499" s="133">
        <v>0.857142857142857</v>
      </c>
      <c r="AL1499" s="133">
        <v>0.645833333333333</v>
      </c>
      <c r="AM1499" s="133">
        <v>0.787346593313584</v>
      </c>
      <c r="AN1499" s="132">
        <v>0.99</v>
      </c>
      <c r="AO1499" s="137" t="s">
        <v>35</v>
      </c>
      <c r="AP1499" s="137" t="s">
        <v>35</v>
      </c>
      <c r="AQ1499" s="137">
        <v>1</v>
      </c>
      <c r="AR1499" s="137">
        <v>1</v>
      </c>
      <c r="AS1499" s="158">
        <v>0.110069253262963</v>
      </c>
      <c r="AT1499" s="141">
        <v>0.212121212121212</v>
      </c>
      <c r="AU1499" s="141">
        <v>0</v>
      </c>
      <c r="AV1499" s="141" t="s">
        <v>35</v>
      </c>
      <c r="AW1499" s="141">
        <v>0.118823529411765</v>
      </c>
      <c r="AX1499" s="95"/>
      <c r="AY1499" s="93"/>
    </row>
    <row r="1500" ht="14.5" spans="1:51">
      <c r="A1500" s="91"/>
      <c r="B1500" s="95"/>
      <c r="C1500" s="152" t="s">
        <v>1455</v>
      </c>
      <c r="D1500" s="153" t="s">
        <v>25</v>
      </c>
      <c r="E1500" s="130" t="s">
        <v>1456</v>
      </c>
      <c r="F1500" s="171" t="s">
        <v>1532</v>
      </c>
      <c r="G1500" s="171" t="s">
        <v>1532</v>
      </c>
      <c r="H1500" s="171" t="s">
        <v>1532</v>
      </c>
      <c r="I1500" s="171" t="s">
        <v>1532</v>
      </c>
      <c r="J1500" s="132">
        <v>0.9</v>
      </c>
      <c r="K1500" s="133">
        <v>0.714285714285714</v>
      </c>
      <c r="L1500" s="133">
        <v>0.666666666666667</v>
      </c>
      <c r="M1500" s="134">
        <v>0.538461538461538</v>
      </c>
      <c r="N1500" s="133">
        <v>0.680628272251309</v>
      </c>
      <c r="O1500" s="135">
        <v>0.9</v>
      </c>
      <c r="P1500" s="133">
        <v>1</v>
      </c>
      <c r="Q1500" s="133">
        <v>1</v>
      </c>
      <c r="R1500" s="133">
        <v>0.931506849315068</v>
      </c>
      <c r="S1500" s="133">
        <v>0.882056133711763</v>
      </c>
      <c r="T1500" s="135">
        <v>0.9</v>
      </c>
      <c r="U1500" s="133">
        <v>0.722955145118733</v>
      </c>
      <c r="V1500" s="133">
        <v>0.660714285714286</v>
      </c>
      <c r="W1500" s="133">
        <v>0.808219178082192</v>
      </c>
      <c r="X1500" s="133">
        <v>0.644066014926942</v>
      </c>
      <c r="Y1500" s="135">
        <v>0.92</v>
      </c>
      <c r="Z1500" s="135" t="s">
        <v>35</v>
      </c>
      <c r="AA1500" s="135" t="s">
        <v>35</v>
      </c>
      <c r="AB1500" s="135" t="s">
        <v>35</v>
      </c>
      <c r="AC1500" s="135" t="s">
        <v>35</v>
      </c>
      <c r="AD1500" s="135">
        <v>0.92</v>
      </c>
      <c r="AE1500" s="133" t="s">
        <v>35</v>
      </c>
      <c r="AF1500" s="133" t="s">
        <v>35</v>
      </c>
      <c r="AG1500" s="133">
        <v>1</v>
      </c>
      <c r="AH1500" s="133">
        <v>1</v>
      </c>
      <c r="AI1500" s="135">
        <v>0.92</v>
      </c>
      <c r="AJ1500" s="133">
        <v>0.761402186204297</v>
      </c>
      <c r="AK1500" s="133">
        <v>0.714285714285714</v>
      </c>
      <c r="AL1500" s="133">
        <v>0.89041095890411</v>
      </c>
      <c r="AM1500" s="133">
        <v>0.731448391843599</v>
      </c>
      <c r="AN1500" s="132">
        <v>0.99</v>
      </c>
      <c r="AO1500" s="137" t="s">
        <v>35</v>
      </c>
      <c r="AP1500" s="137" t="s">
        <v>35</v>
      </c>
      <c r="AQ1500" s="137">
        <v>1</v>
      </c>
      <c r="AR1500" s="137">
        <v>1</v>
      </c>
      <c r="AS1500" s="158">
        <v>0.110069253262963</v>
      </c>
      <c r="AT1500" s="141">
        <v>0.0465116279069767</v>
      </c>
      <c r="AU1500" s="141">
        <v>0.0277777777777778</v>
      </c>
      <c r="AV1500" s="141">
        <v>0.157232704402516</v>
      </c>
      <c r="AW1500" s="141">
        <v>0.116835326586937</v>
      </c>
      <c r="AX1500" s="95"/>
      <c r="AY1500" s="93"/>
    </row>
    <row r="1501" ht="14.5" spans="1:51">
      <c r="A1501" s="91"/>
      <c r="B1501" s="95"/>
      <c r="C1501" s="152" t="s">
        <v>1455</v>
      </c>
      <c r="D1501" s="153" t="s">
        <v>25</v>
      </c>
      <c r="E1501" s="130" t="s">
        <v>1456</v>
      </c>
      <c r="F1501" s="171" t="s">
        <v>1533</v>
      </c>
      <c r="G1501" s="171" t="s">
        <v>1533</v>
      </c>
      <c r="H1501" s="171" t="s">
        <v>1533</v>
      </c>
      <c r="I1501" s="171" t="s">
        <v>1533</v>
      </c>
      <c r="J1501" s="132">
        <v>0.9</v>
      </c>
      <c r="K1501" s="133">
        <v>1</v>
      </c>
      <c r="L1501" s="133">
        <v>1</v>
      </c>
      <c r="M1501" s="134">
        <v>1</v>
      </c>
      <c r="N1501" s="133">
        <v>0.972222222222222</v>
      </c>
      <c r="O1501" s="135">
        <v>0.9</v>
      </c>
      <c r="P1501" s="133">
        <v>0.971698113207547</v>
      </c>
      <c r="Q1501" s="133">
        <v>0.992805755395683</v>
      </c>
      <c r="R1501" s="133">
        <v>0.995670995670996</v>
      </c>
      <c r="S1501" s="133">
        <v>0.989038785834739</v>
      </c>
      <c r="T1501" s="135">
        <v>0.9</v>
      </c>
      <c r="U1501" s="133">
        <v>0.990566037735849</v>
      </c>
      <c r="V1501" s="133">
        <v>0.517985611510791</v>
      </c>
      <c r="W1501" s="133">
        <v>0.45021645021645</v>
      </c>
      <c r="X1501" s="133">
        <v>0.432265317594154</v>
      </c>
      <c r="Y1501" s="135">
        <v>0.92</v>
      </c>
      <c r="Z1501" s="135" t="s">
        <v>35</v>
      </c>
      <c r="AA1501" s="135" t="s">
        <v>35</v>
      </c>
      <c r="AB1501" s="135" t="s">
        <v>35</v>
      </c>
      <c r="AC1501" s="135" t="s">
        <v>35</v>
      </c>
      <c r="AD1501" s="135">
        <v>0.92</v>
      </c>
      <c r="AE1501" s="133">
        <v>0.947368421052632</v>
      </c>
      <c r="AF1501" s="133" t="s">
        <v>35</v>
      </c>
      <c r="AG1501" s="133" t="s">
        <v>35</v>
      </c>
      <c r="AH1501" s="133">
        <v>0.971631205673759</v>
      </c>
      <c r="AI1501" s="135">
        <v>0.92</v>
      </c>
      <c r="AJ1501" s="133">
        <v>0.369346733668342</v>
      </c>
      <c r="AK1501" s="133">
        <v>0.186991869918699</v>
      </c>
      <c r="AL1501" s="133">
        <v>0.563714902807775</v>
      </c>
      <c r="AM1501" s="133">
        <v>0.40170380078637</v>
      </c>
      <c r="AN1501" s="132">
        <v>0.99</v>
      </c>
      <c r="AO1501" s="137">
        <v>1</v>
      </c>
      <c r="AP1501" s="137" t="s">
        <v>35</v>
      </c>
      <c r="AQ1501" s="137" t="s">
        <v>35</v>
      </c>
      <c r="AR1501" s="137">
        <v>1</v>
      </c>
      <c r="AS1501" s="158">
        <v>0.110069253262963</v>
      </c>
      <c r="AT1501" s="141">
        <v>0.107692307692308</v>
      </c>
      <c r="AU1501" s="141">
        <v>0.0136986301369863</v>
      </c>
      <c r="AV1501" s="141">
        <v>0.36697247706422</v>
      </c>
      <c r="AW1501" s="141">
        <v>0.0827852998065764</v>
      </c>
      <c r="AX1501" s="95"/>
      <c r="AY1501" s="93"/>
    </row>
    <row r="1502" ht="14.5" spans="1:51">
      <c r="A1502" s="91"/>
      <c r="B1502" s="95"/>
      <c r="C1502" s="152" t="s">
        <v>1455</v>
      </c>
      <c r="D1502" s="153" t="s">
        <v>25</v>
      </c>
      <c r="E1502" s="130" t="s">
        <v>1456</v>
      </c>
      <c r="F1502" s="171" t="s">
        <v>1534</v>
      </c>
      <c r="G1502" s="171" t="s">
        <v>1534</v>
      </c>
      <c r="H1502" s="171" t="s">
        <v>1534</v>
      </c>
      <c r="I1502" s="171" t="s">
        <v>1534</v>
      </c>
      <c r="J1502" s="132">
        <v>0.9</v>
      </c>
      <c r="K1502" s="133">
        <v>0.8</v>
      </c>
      <c r="L1502" s="133">
        <v>0.5</v>
      </c>
      <c r="M1502" s="134">
        <v>0.666666666666667</v>
      </c>
      <c r="N1502" s="133">
        <v>0.703703703703704</v>
      </c>
      <c r="O1502" s="135">
        <v>0.9</v>
      </c>
      <c r="P1502" s="133" t="s">
        <v>35</v>
      </c>
      <c r="Q1502" s="133" t="s">
        <v>35</v>
      </c>
      <c r="R1502" s="133" t="s">
        <v>35</v>
      </c>
      <c r="S1502" s="133">
        <v>0</v>
      </c>
      <c r="T1502" s="135">
        <v>0.9</v>
      </c>
      <c r="U1502" s="133" t="s">
        <v>35</v>
      </c>
      <c r="V1502" s="133" t="s">
        <v>35</v>
      </c>
      <c r="W1502" s="133" t="s">
        <v>35</v>
      </c>
      <c r="X1502" s="133">
        <v>0</v>
      </c>
      <c r="Y1502" s="135">
        <v>0.92</v>
      </c>
      <c r="Z1502" s="135" t="s">
        <v>35</v>
      </c>
      <c r="AA1502" s="135" t="s">
        <v>35</v>
      </c>
      <c r="AB1502" s="135" t="s">
        <v>35</v>
      </c>
      <c r="AC1502" s="135" t="s">
        <v>35</v>
      </c>
      <c r="AD1502" s="135">
        <v>0.92</v>
      </c>
      <c r="AE1502" s="133" t="s">
        <v>35</v>
      </c>
      <c r="AF1502" s="133">
        <v>0</v>
      </c>
      <c r="AG1502" s="133">
        <v>1</v>
      </c>
      <c r="AH1502" s="133">
        <v>0.702127659574468</v>
      </c>
      <c r="AI1502" s="135">
        <v>0.92</v>
      </c>
      <c r="AJ1502" s="133">
        <v>0.643575418994413</v>
      </c>
      <c r="AK1502" s="133">
        <v>0.431372549019608</v>
      </c>
      <c r="AL1502" s="133">
        <v>0.662775616083009</v>
      </c>
      <c r="AM1502" s="133">
        <v>0.67520035618878</v>
      </c>
      <c r="AN1502" s="132">
        <v>0.99</v>
      </c>
      <c r="AO1502" s="137" t="s">
        <v>35</v>
      </c>
      <c r="AP1502" s="137" t="s">
        <v>35</v>
      </c>
      <c r="AQ1502" s="137" t="s">
        <v>35</v>
      </c>
      <c r="AR1502" s="137">
        <v>1</v>
      </c>
      <c r="AS1502" s="158">
        <v>0.110069253262963</v>
      </c>
      <c r="AT1502" s="141">
        <v>0.148148148148148</v>
      </c>
      <c r="AU1502" s="141">
        <v>0.138888888888889</v>
      </c>
      <c r="AV1502" s="141">
        <v>0.0923076923076923</v>
      </c>
      <c r="AW1502" s="141">
        <v>0.104912572855953</v>
      </c>
      <c r="AX1502" s="95"/>
      <c r="AY1502" s="93"/>
    </row>
    <row r="1503" ht="14.5" spans="1:51">
      <c r="A1503" s="91"/>
      <c r="B1503" s="95"/>
      <c r="C1503" s="152" t="s">
        <v>1455</v>
      </c>
      <c r="D1503" s="153" t="s">
        <v>25</v>
      </c>
      <c r="E1503" s="130" t="s">
        <v>1456</v>
      </c>
      <c r="F1503" s="171" t="s">
        <v>1535</v>
      </c>
      <c r="G1503" s="171" t="s">
        <v>1535</v>
      </c>
      <c r="H1503" s="171" t="s">
        <v>1535</v>
      </c>
      <c r="I1503" s="171" t="s">
        <v>1535</v>
      </c>
      <c r="J1503" s="132">
        <v>0.9</v>
      </c>
      <c r="K1503" s="133">
        <v>0.923076923076923</v>
      </c>
      <c r="L1503" s="133">
        <v>0.764705882352941</v>
      </c>
      <c r="M1503" s="134">
        <v>0.75</v>
      </c>
      <c r="N1503" s="133">
        <v>0.841463414634146</v>
      </c>
      <c r="O1503" s="135">
        <v>0.9</v>
      </c>
      <c r="P1503" s="133" t="s">
        <v>35</v>
      </c>
      <c r="Q1503" s="133" t="s">
        <v>35</v>
      </c>
      <c r="R1503" s="133">
        <v>1</v>
      </c>
      <c r="S1503" s="133">
        <v>0.0344827586206897</v>
      </c>
      <c r="T1503" s="135">
        <v>0.9</v>
      </c>
      <c r="U1503" s="133" t="s">
        <v>35</v>
      </c>
      <c r="V1503" s="133" t="s">
        <v>35</v>
      </c>
      <c r="W1503" s="133">
        <v>0</v>
      </c>
      <c r="X1503" s="133">
        <v>0</v>
      </c>
      <c r="Y1503" s="135">
        <v>0.92</v>
      </c>
      <c r="Z1503" s="135" t="s">
        <v>35</v>
      </c>
      <c r="AA1503" s="135" t="s">
        <v>35</v>
      </c>
      <c r="AB1503" s="135" t="s">
        <v>35</v>
      </c>
      <c r="AC1503" s="135" t="s">
        <v>35</v>
      </c>
      <c r="AD1503" s="135">
        <v>0.92</v>
      </c>
      <c r="AE1503" s="133">
        <v>1</v>
      </c>
      <c r="AF1503" s="133">
        <v>0.6</v>
      </c>
      <c r="AG1503" s="133" t="s">
        <v>35</v>
      </c>
      <c r="AH1503" s="133">
        <v>0.703296703296703</v>
      </c>
      <c r="AI1503" s="135">
        <v>0.92</v>
      </c>
      <c r="AJ1503" s="133">
        <v>0.778805120910384</v>
      </c>
      <c r="AK1503" s="133">
        <v>0.728622862286229</v>
      </c>
      <c r="AL1503" s="133">
        <v>0.955588452997779</v>
      </c>
      <c r="AM1503" s="133">
        <v>0.831463459988843</v>
      </c>
      <c r="AN1503" s="132">
        <v>0.99</v>
      </c>
      <c r="AO1503" s="137">
        <v>1</v>
      </c>
      <c r="AP1503" s="137">
        <v>1</v>
      </c>
      <c r="AQ1503" s="137" t="s">
        <v>35</v>
      </c>
      <c r="AR1503" s="137">
        <v>1</v>
      </c>
      <c r="AS1503" s="158">
        <v>0.110069253262963</v>
      </c>
      <c r="AT1503" s="141">
        <v>0.0394736842105263</v>
      </c>
      <c r="AU1503" s="141">
        <v>0</v>
      </c>
      <c r="AV1503" s="141">
        <v>0</v>
      </c>
      <c r="AW1503" s="141">
        <v>0.0838445807770961</v>
      </c>
      <c r="AX1503" s="95"/>
      <c r="AY1503" s="93"/>
    </row>
    <row r="1504" ht="14.5" spans="1:51">
      <c r="A1504" s="91"/>
      <c r="B1504" s="95"/>
      <c r="C1504" s="152" t="s">
        <v>1455</v>
      </c>
      <c r="D1504" s="153" t="s">
        <v>25</v>
      </c>
      <c r="E1504" s="130" t="s">
        <v>1456</v>
      </c>
      <c r="F1504" s="171" t="s">
        <v>1536</v>
      </c>
      <c r="G1504" s="171" t="s">
        <v>1536</v>
      </c>
      <c r="H1504" s="171" t="s">
        <v>1536</v>
      </c>
      <c r="I1504" s="171" t="s">
        <v>1536</v>
      </c>
      <c r="J1504" s="132">
        <v>0.9</v>
      </c>
      <c r="K1504" s="133" t="s">
        <v>35</v>
      </c>
      <c r="L1504" s="133" t="s">
        <v>35</v>
      </c>
      <c r="M1504" s="134">
        <v>1</v>
      </c>
      <c r="N1504" s="133">
        <v>0.967213114754098</v>
      </c>
      <c r="O1504" s="135">
        <v>0.9</v>
      </c>
      <c r="P1504" s="133">
        <v>1</v>
      </c>
      <c r="Q1504" s="133">
        <v>0.306451612903226</v>
      </c>
      <c r="R1504" s="133">
        <v>1</v>
      </c>
      <c r="S1504" s="133">
        <v>0.758133561643836</v>
      </c>
      <c r="T1504" s="135">
        <v>0.9</v>
      </c>
      <c r="U1504" s="133">
        <v>0.875</v>
      </c>
      <c r="V1504" s="133">
        <v>1</v>
      </c>
      <c r="W1504" s="133">
        <v>0.833333333333333</v>
      </c>
      <c r="X1504" s="133">
        <v>0.771404109589041</v>
      </c>
      <c r="Y1504" s="135">
        <v>0.92</v>
      </c>
      <c r="Z1504" s="135" t="s">
        <v>35</v>
      </c>
      <c r="AA1504" s="135" t="s">
        <v>35</v>
      </c>
      <c r="AB1504" s="135" t="s">
        <v>35</v>
      </c>
      <c r="AC1504" s="135" t="s">
        <v>35</v>
      </c>
      <c r="AD1504" s="135">
        <v>0.92</v>
      </c>
      <c r="AE1504" s="133" t="s">
        <v>35</v>
      </c>
      <c r="AF1504" s="133">
        <v>0.842105263157895</v>
      </c>
      <c r="AG1504" s="133">
        <v>1</v>
      </c>
      <c r="AH1504" s="133">
        <v>0.959459459459459</v>
      </c>
      <c r="AI1504" s="135">
        <v>0.92</v>
      </c>
      <c r="AJ1504" s="133">
        <v>0.875</v>
      </c>
      <c r="AK1504" s="133">
        <v>1</v>
      </c>
      <c r="AL1504" s="133">
        <v>0.833333333333333</v>
      </c>
      <c r="AM1504" s="133">
        <v>0.797517123287671</v>
      </c>
      <c r="AN1504" s="132">
        <v>0.99</v>
      </c>
      <c r="AO1504" s="137">
        <v>1</v>
      </c>
      <c r="AP1504" s="137" t="s">
        <v>35</v>
      </c>
      <c r="AQ1504" s="137">
        <v>1</v>
      </c>
      <c r="AR1504" s="137">
        <v>1</v>
      </c>
      <c r="AS1504" s="158">
        <v>0.110069253262963</v>
      </c>
      <c r="AT1504" s="141">
        <v>0</v>
      </c>
      <c r="AU1504" s="141">
        <v>0</v>
      </c>
      <c r="AV1504" s="141">
        <v>0</v>
      </c>
      <c r="AW1504" s="141">
        <v>0.0404040404040404</v>
      </c>
      <c r="AX1504" s="95"/>
      <c r="AY1504" s="93"/>
    </row>
    <row r="1505" ht="14.5" spans="1:51">
      <c r="A1505" s="91"/>
      <c r="B1505" s="95"/>
      <c r="C1505" s="152" t="s">
        <v>1455</v>
      </c>
      <c r="D1505" s="153" t="s">
        <v>25</v>
      </c>
      <c r="E1505" s="130" t="s">
        <v>1456</v>
      </c>
      <c r="F1505" s="171" t="s">
        <v>1537</v>
      </c>
      <c r="G1505" s="171" t="s">
        <v>1537</v>
      </c>
      <c r="H1505" s="171" t="s">
        <v>1537</v>
      </c>
      <c r="I1505" s="171" t="s">
        <v>1537</v>
      </c>
      <c r="J1505" s="132">
        <v>0.9</v>
      </c>
      <c r="K1505" s="133">
        <v>0.6</v>
      </c>
      <c r="L1505" s="133">
        <v>0.428571428571429</v>
      </c>
      <c r="M1505" s="134">
        <v>0.529411764705882</v>
      </c>
      <c r="N1505" s="133">
        <v>0.541666666666667</v>
      </c>
      <c r="O1505" s="135">
        <v>0.9</v>
      </c>
      <c r="P1505" s="133" t="s">
        <v>35</v>
      </c>
      <c r="Q1505" s="133" t="s">
        <v>35</v>
      </c>
      <c r="R1505" s="133">
        <v>1</v>
      </c>
      <c r="S1505" s="133">
        <v>0.25</v>
      </c>
      <c r="T1505" s="135">
        <v>0.9</v>
      </c>
      <c r="U1505" s="133" t="s">
        <v>35</v>
      </c>
      <c r="V1505" s="133" t="s">
        <v>35</v>
      </c>
      <c r="W1505" s="133">
        <v>1</v>
      </c>
      <c r="X1505" s="133">
        <v>0.0833333333333333</v>
      </c>
      <c r="Y1505" s="135">
        <v>0.92</v>
      </c>
      <c r="Z1505" s="135" t="s">
        <v>35</v>
      </c>
      <c r="AA1505" s="135" t="s">
        <v>35</v>
      </c>
      <c r="AB1505" s="135" t="s">
        <v>35</v>
      </c>
      <c r="AC1505" s="135" t="s">
        <v>35</v>
      </c>
      <c r="AD1505" s="135">
        <v>0.92</v>
      </c>
      <c r="AE1505" s="133">
        <v>0</v>
      </c>
      <c r="AF1505" s="133">
        <v>0</v>
      </c>
      <c r="AG1505" s="133">
        <v>0</v>
      </c>
      <c r="AH1505" s="133">
        <v>0.147727272727273</v>
      </c>
      <c r="AI1505" s="135">
        <v>0.92</v>
      </c>
      <c r="AJ1505" s="133">
        <v>0.689678742310321</v>
      </c>
      <c r="AK1505" s="133">
        <v>0.794890510948905</v>
      </c>
      <c r="AL1505" s="133">
        <v>0.73540280857354</v>
      </c>
      <c r="AM1505" s="133">
        <v>0.745087210640158</v>
      </c>
      <c r="AN1505" s="132">
        <v>0.99</v>
      </c>
      <c r="AO1505" s="137" t="s">
        <v>35</v>
      </c>
      <c r="AP1505" s="137" t="s">
        <v>35</v>
      </c>
      <c r="AQ1505" s="137">
        <v>1</v>
      </c>
      <c r="AR1505" s="137">
        <v>1</v>
      </c>
      <c r="AS1505" s="158">
        <v>0.110069253262963</v>
      </c>
      <c r="AT1505" s="141">
        <v>0</v>
      </c>
      <c r="AU1505" s="141">
        <v>0.181818181818182</v>
      </c>
      <c r="AV1505" s="141">
        <v>0.266666666666667</v>
      </c>
      <c r="AW1505" s="141">
        <v>0.110047846889952</v>
      </c>
      <c r="AX1505" s="95"/>
      <c r="AY1505" s="93"/>
    </row>
    <row r="1506" ht="14.5" spans="1:51">
      <c r="A1506" s="91"/>
      <c r="B1506" s="95"/>
      <c r="C1506" s="152" t="s">
        <v>1455</v>
      </c>
      <c r="D1506" s="153" t="s">
        <v>25</v>
      </c>
      <c r="E1506" s="130" t="s">
        <v>1456</v>
      </c>
      <c r="F1506" s="171" t="s">
        <v>1538</v>
      </c>
      <c r="G1506" s="171" t="s">
        <v>1538</v>
      </c>
      <c r="H1506" s="171" t="s">
        <v>1538</v>
      </c>
      <c r="I1506" s="171" t="s">
        <v>1538</v>
      </c>
      <c r="J1506" s="132">
        <v>0.9</v>
      </c>
      <c r="K1506" s="133">
        <v>0.95</v>
      </c>
      <c r="L1506" s="133">
        <v>0.8125</v>
      </c>
      <c r="M1506" s="134">
        <v>1</v>
      </c>
      <c r="N1506" s="133">
        <v>0.952554744525547</v>
      </c>
      <c r="O1506" s="135">
        <v>0.9</v>
      </c>
      <c r="P1506" s="133">
        <v>1</v>
      </c>
      <c r="Q1506" s="133">
        <v>0.625</v>
      </c>
      <c r="R1506" s="133">
        <v>0.374825174825175</v>
      </c>
      <c r="S1506" s="133">
        <v>0.537863580062359</v>
      </c>
      <c r="T1506" s="135">
        <v>0.9</v>
      </c>
      <c r="U1506" s="133">
        <v>0.765799256505576</v>
      </c>
      <c r="V1506" s="133">
        <v>0.61229674796748</v>
      </c>
      <c r="W1506" s="133">
        <v>0.315151515151515</v>
      </c>
      <c r="X1506" s="133">
        <v>0.477469781745184</v>
      </c>
      <c r="Y1506" s="135">
        <v>0.92</v>
      </c>
      <c r="Z1506" s="135" t="s">
        <v>35</v>
      </c>
      <c r="AA1506" s="135" t="s">
        <v>35</v>
      </c>
      <c r="AB1506" s="135" t="s">
        <v>35</v>
      </c>
      <c r="AC1506" s="135" t="s">
        <v>35</v>
      </c>
      <c r="AD1506" s="135">
        <v>0.92</v>
      </c>
      <c r="AE1506" s="133">
        <v>1</v>
      </c>
      <c r="AF1506" s="133">
        <v>0.947368421052632</v>
      </c>
      <c r="AG1506" s="133">
        <v>1</v>
      </c>
      <c r="AH1506" s="133">
        <v>0.988636363636364</v>
      </c>
      <c r="AI1506" s="135">
        <v>0.92</v>
      </c>
      <c r="AJ1506" s="133">
        <v>0.828996282527881</v>
      </c>
      <c r="AK1506" s="133">
        <v>0.649644308943089</v>
      </c>
      <c r="AL1506" s="133">
        <v>0.351048951048951</v>
      </c>
      <c r="AM1506" s="133">
        <v>0.517657596178453</v>
      </c>
      <c r="AN1506" s="132">
        <v>0.99</v>
      </c>
      <c r="AO1506" s="137" t="s">
        <v>35</v>
      </c>
      <c r="AP1506" s="137">
        <v>1</v>
      </c>
      <c r="AQ1506" s="137" t="s">
        <v>35</v>
      </c>
      <c r="AR1506" s="137">
        <v>1</v>
      </c>
      <c r="AS1506" s="158">
        <v>0.110069253262963</v>
      </c>
      <c r="AT1506" s="141">
        <v>0.152777777777778</v>
      </c>
      <c r="AU1506" s="141">
        <v>0.442857142857143</v>
      </c>
      <c r="AV1506" s="141">
        <v>0.201492537313433</v>
      </c>
      <c r="AW1506" s="141">
        <v>0.149624060150376</v>
      </c>
      <c r="AX1506" s="95"/>
      <c r="AY1506" s="93"/>
    </row>
    <row r="1507" ht="14.5" spans="1:51">
      <c r="A1507" s="91"/>
      <c r="B1507" s="95"/>
      <c r="C1507" s="152" t="s">
        <v>1455</v>
      </c>
      <c r="D1507" s="153" t="s">
        <v>25</v>
      </c>
      <c r="E1507" s="130" t="s">
        <v>1456</v>
      </c>
      <c r="F1507" s="171" t="s">
        <v>1539</v>
      </c>
      <c r="G1507" s="171" t="s">
        <v>1539</v>
      </c>
      <c r="H1507" s="171" t="s">
        <v>1539</v>
      </c>
      <c r="I1507" s="171" t="s">
        <v>1539</v>
      </c>
      <c r="J1507" s="132">
        <v>0.9</v>
      </c>
      <c r="K1507" s="133">
        <v>0.75</v>
      </c>
      <c r="L1507" s="133">
        <v>0.666666666666667</v>
      </c>
      <c r="M1507" s="134">
        <v>0.666666666666667</v>
      </c>
      <c r="N1507" s="133">
        <v>0.715976331360947</v>
      </c>
      <c r="O1507" s="135">
        <v>0.9</v>
      </c>
      <c r="P1507" s="133" t="s">
        <v>35</v>
      </c>
      <c r="Q1507" s="133">
        <v>0</v>
      </c>
      <c r="R1507" s="133" t="s">
        <v>35</v>
      </c>
      <c r="S1507" s="133">
        <v>0</v>
      </c>
      <c r="T1507" s="135">
        <v>0.9</v>
      </c>
      <c r="U1507" s="133" t="s">
        <v>35</v>
      </c>
      <c r="V1507" s="133">
        <v>0</v>
      </c>
      <c r="W1507" s="133" t="s">
        <v>35</v>
      </c>
      <c r="X1507" s="133">
        <v>0</v>
      </c>
      <c r="Y1507" s="135">
        <v>0.92</v>
      </c>
      <c r="Z1507" s="135" t="s">
        <v>35</v>
      </c>
      <c r="AA1507" s="135" t="s">
        <v>35</v>
      </c>
      <c r="AB1507" s="135" t="s">
        <v>35</v>
      </c>
      <c r="AC1507" s="135">
        <v>1</v>
      </c>
      <c r="AD1507" s="135">
        <v>0.92</v>
      </c>
      <c r="AE1507" s="133">
        <v>0</v>
      </c>
      <c r="AF1507" s="133">
        <v>0.333333333333333</v>
      </c>
      <c r="AG1507" s="133">
        <v>1</v>
      </c>
      <c r="AH1507" s="133">
        <v>0.203389830508475</v>
      </c>
      <c r="AI1507" s="135">
        <v>0.92</v>
      </c>
      <c r="AJ1507" s="133">
        <v>1</v>
      </c>
      <c r="AK1507" s="133">
        <v>0.244053774560496</v>
      </c>
      <c r="AL1507" s="133">
        <v>0.189695550351288</v>
      </c>
      <c r="AM1507" s="133">
        <v>0.269868035190616</v>
      </c>
      <c r="AN1507" s="132">
        <v>0.99</v>
      </c>
      <c r="AO1507" s="137" t="s">
        <v>35</v>
      </c>
      <c r="AP1507" s="137">
        <v>1</v>
      </c>
      <c r="AQ1507" s="137" t="s">
        <v>35</v>
      </c>
      <c r="AR1507" s="137">
        <v>1</v>
      </c>
      <c r="AS1507" s="158">
        <v>0.110069253262963</v>
      </c>
      <c r="AT1507" s="141">
        <v>0.285714285714286</v>
      </c>
      <c r="AU1507" s="141">
        <v>0.297872340425532</v>
      </c>
      <c r="AV1507" s="141">
        <v>0.375</v>
      </c>
      <c r="AW1507" s="141">
        <v>0.0611483967188665</v>
      </c>
      <c r="AX1507" s="95"/>
      <c r="AY1507" s="93"/>
    </row>
    <row r="1508" ht="14.5" spans="1:51">
      <c r="A1508" s="91"/>
      <c r="B1508" s="95"/>
      <c r="C1508" s="152" t="s">
        <v>1455</v>
      </c>
      <c r="D1508" s="153" t="s">
        <v>25</v>
      </c>
      <c r="E1508" s="130" t="s">
        <v>1456</v>
      </c>
      <c r="F1508" s="171" t="s">
        <v>1540</v>
      </c>
      <c r="G1508" s="171" t="s">
        <v>1540</v>
      </c>
      <c r="H1508" s="171" t="s">
        <v>1540</v>
      </c>
      <c r="I1508" s="171" t="s">
        <v>1540</v>
      </c>
      <c r="J1508" s="132">
        <v>0.9</v>
      </c>
      <c r="K1508" s="133">
        <v>1</v>
      </c>
      <c r="L1508" s="133">
        <v>1</v>
      </c>
      <c r="M1508" s="134">
        <v>1</v>
      </c>
      <c r="N1508" s="133">
        <v>0.993421052631579</v>
      </c>
      <c r="O1508" s="135">
        <v>0.9</v>
      </c>
      <c r="P1508" s="133">
        <v>0.945927903871829</v>
      </c>
      <c r="Q1508" s="133">
        <v>0.95668549905838</v>
      </c>
      <c r="R1508" s="133">
        <v>0.958695652173913</v>
      </c>
      <c r="S1508" s="133">
        <v>0.965255407271054</v>
      </c>
      <c r="T1508" s="135">
        <v>0.9</v>
      </c>
      <c r="U1508" s="133">
        <v>0.663551401869159</v>
      </c>
      <c r="V1508" s="133">
        <v>0.668549905838041</v>
      </c>
      <c r="W1508" s="133">
        <v>0.765217391304348</v>
      </c>
      <c r="X1508" s="133">
        <v>0.7067188219052</v>
      </c>
      <c r="Y1508" s="135">
        <v>0.92</v>
      </c>
      <c r="Z1508" s="135">
        <v>0.740585774058577</v>
      </c>
      <c r="AA1508" s="135">
        <v>0.731757451181912</v>
      </c>
      <c r="AB1508" s="135">
        <v>0.731827111984283</v>
      </c>
      <c r="AC1508" s="135">
        <v>0.788230924334076</v>
      </c>
      <c r="AD1508" s="135">
        <v>0.92</v>
      </c>
      <c r="AE1508" s="133">
        <v>1</v>
      </c>
      <c r="AF1508" s="133">
        <v>0.941176470588235</v>
      </c>
      <c r="AG1508" s="133">
        <v>0.888888888888889</v>
      </c>
      <c r="AH1508" s="133">
        <v>0.912552891396333</v>
      </c>
      <c r="AI1508" s="135">
        <v>0.92</v>
      </c>
      <c r="AJ1508" s="133">
        <v>0.797623468251021</v>
      </c>
      <c r="AK1508" s="133">
        <v>0.784275184275184</v>
      </c>
      <c r="AL1508" s="133">
        <v>0.818978855079938</v>
      </c>
      <c r="AM1508" s="133">
        <v>0.850979425896267</v>
      </c>
      <c r="AN1508" s="132">
        <v>0.99</v>
      </c>
      <c r="AO1508" s="137">
        <v>1</v>
      </c>
      <c r="AP1508" s="137">
        <v>1</v>
      </c>
      <c r="AQ1508" s="137">
        <v>1</v>
      </c>
      <c r="AR1508" s="137">
        <v>1</v>
      </c>
      <c r="AS1508" s="158">
        <v>0.110069253262963</v>
      </c>
      <c r="AT1508" s="141">
        <v>0.0666666666666667</v>
      </c>
      <c r="AU1508" s="141">
        <v>0</v>
      </c>
      <c r="AV1508" s="141">
        <v>0.3</v>
      </c>
      <c r="AW1508" s="141">
        <v>0.119565217391304</v>
      </c>
      <c r="AX1508" s="95"/>
      <c r="AY1508" s="93"/>
    </row>
    <row r="1509" ht="14.5" spans="1:51">
      <c r="A1509" s="91"/>
      <c r="B1509" s="95"/>
      <c r="C1509" s="152" t="s">
        <v>1455</v>
      </c>
      <c r="D1509" s="153" t="s">
        <v>25</v>
      </c>
      <c r="E1509" s="130" t="s">
        <v>1456</v>
      </c>
      <c r="F1509" s="171" t="s">
        <v>1541</v>
      </c>
      <c r="G1509" s="171" t="s">
        <v>1541</v>
      </c>
      <c r="H1509" s="171" t="s">
        <v>1541</v>
      </c>
      <c r="I1509" s="171" t="s">
        <v>1541</v>
      </c>
      <c r="J1509" s="132">
        <v>0.9</v>
      </c>
      <c r="K1509" s="133">
        <v>0.954545454545455</v>
      </c>
      <c r="L1509" s="133">
        <v>0.961538461538462</v>
      </c>
      <c r="M1509" s="134">
        <v>1</v>
      </c>
      <c r="N1509" s="133">
        <v>0.986636971046771</v>
      </c>
      <c r="O1509" s="135">
        <v>0.9</v>
      </c>
      <c r="P1509" s="133">
        <v>0.989953632148377</v>
      </c>
      <c r="Q1509" s="133">
        <v>0.993592025631898</v>
      </c>
      <c r="R1509" s="133">
        <v>0.975700303746203</v>
      </c>
      <c r="S1509" s="133">
        <v>0.968404786267672</v>
      </c>
      <c r="T1509" s="135">
        <v>0.9</v>
      </c>
      <c r="U1509" s="133">
        <v>0.744590417310665</v>
      </c>
      <c r="V1509" s="133">
        <v>0.82627269490922</v>
      </c>
      <c r="W1509" s="133">
        <v>0.814039824502194</v>
      </c>
      <c r="X1509" s="133">
        <v>0.835550358134776</v>
      </c>
      <c r="Y1509" s="135">
        <v>0.92</v>
      </c>
      <c r="Z1509" s="135" t="s">
        <v>35</v>
      </c>
      <c r="AA1509" s="135" t="s">
        <v>35</v>
      </c>
      <c r="AB1509" s="135" t="s">
        <v>35</v>
      </c>
      <c r="AC1509" s="135" t="s">
        <v>35</v>
      </c>
      <c r="AD1509" s="135">
        <v>0.92</v>
      </c>
      <c r="AE1509" s="133">
        <v>0.984615384615385</v>
      </c>
      <c r="AF1509" s="133">
        <v>1</v>
      </c>
      <c r="AG1509" s="133">
        <v>1</v>
      </c>
      <c r="AH1509" s="133">
        <v>0.987564766839378</v>
      </c>
      <c r="AI1509" s="135">
        <v>0.92</v>
      </c>
      <c r="AJ1509" s="133">
        <v>0.869783616692427</v>
      </c>
      <c r="AK1509" s="133">
        <v>0.939480242079032</v>
      </c>
      <c r="AL1509" s="133">
        <v>0.958150523118461</v>
      </c>
      <c r="AM1509" s="133">
        <v>0.940902541399545</v>
      </c>
      <c r="AN1509" s="132">
        <v>0.99</v>
      </c>
      <c r="AO1509" s="137">
        <v>1</v>
      </c>
      <c r="AP1509" s="137">
        <v>1</v>
      </c>
      <c r="AQ1509" s="137">
        <v>1</v>
      </c>
      <c r="AR1509" s="137">
        <v>1</v>
      </c>
      <c r="AS1509" s="158">
        <v>0.110069253262963</v>
      </c>
      <c r="AT1509" s="141">
        <v>0</v>
      </c>
      <c r="AU1509" s="141">
        <v>0</v>
      </c>
      <c r="AV1509" s="141">
        <v>0.0714285714285714</v>
      </c>
      <c r="AW1509" s="141">
        <v>0.0595611285266458</v>
      </c>
      <c r="AX1509" s="95"/>
      <c r="AY1509" s="93"/>
    </row>
    <row r="1510" ht="14.5" spans="1:51">
      <c r="A1510" s="91"/>
      <c r="B1510" s="95"/>
      <c r="C1510" s="152" t="s">
        <v>1455</v>
      </c>
      <c r="D1510" s="153" t="s">
        <v>25</v>
      </c>
      <c r="E1510" s="130" t="s">
        <v>1456</v>
      </c>
      <c r="F1510" s="171" t="s">
        <v>1542</v>
      </c>
      <c r="G1510" s="171" t="s">
        <v>1542</v>
      </c>
      <c r="H1510" s="171" t="s">
        <v>1542</v>
      </c>
      <c r="I1510" s="171" t="s">
        <v>1542</v>
      </c>
      <c r="J1510" s="132">
        <v>0.9</v>
      </c>
      <c r="K1510" s="133">
        <v>0.928571428571429</v>
      </c>
      <c r="L1510" s="133">
        <v>1</v>
      </c>
      <c r="M1510" s="134">
        <v>0.961538461538462</v>
      </c>
      <c r="N1510" s="133">
        <v>0.979498861047836</v>
      </c>
      <c r="O1510" s="135">
        <v>0.9</v>
      </c>
      <c r="P1510" s="133">
        <v>0.933424845573095</v>
      </c>
      <c r="Q1510" s="133">
        <v>0.926934097421203</v>
      </c>
      <c r="R1510" s="133">
        <v>0.95447409733124</v>
      </c>
      <c r="S1510" s="133">
        <v>0.957249549317538</v>
      </c>
      <c r="T1510" s="135">
        <v>0.9</v>
      </c>
      <c r="U1510" s="133">
        <v>0.647906657515443</v>
      </c>
      <c r="V1510" s="133">
        <v>0.588825214899714</v>
      </c>
      <c r="W1510" s="133">
        <v>0.792778649921507</v>
      </c>
      <c r="X1510" s="133">
        <v>0.691733195982488</v>
      </c>
      <c r="Y1510" s="135">
        <v>0.92</v>
      </c>
      <c r="Z1510" s="135">
        <v>0.697247706422018</v>
      </c>
      <c r="AA1510" s="135">
        <v>0.723426212590299</v>
      </c>
      <c r="AB1510" s="135">
        <v>0.894628099173554</v>
      </c>
      <c r="AC1510" s="135">
        <v>0.836580385230973</v>
      </c>
      <c r="AD1510" s="135">
        <v>0.92</v>
      </c>
      <c r="AE1510" s="133">
        <v>1</v>
      </c>
      <c r="AF1510" s="133">
        <v>1</v>
      </c>
      <c r="AG1510" s="133">
        <v>1</v>
      </c>
      <c r="AH1510" s="133">
        <v>0.99609375</v>
      </c>
      <c r="AI1510" s="135">
        <v>0.92</v>
      </c>
      <c r="AJ1510" s="133">
        <v>0.768825301204819</v>
      </c>
      <c r="AK1510" s="133">
        <v>0.791120507399577</v>
      </c>
      <c r="AL1510" s="133">
        <v>0.927743086529884</v>
      </c>
      <c r="AM1510" s="133">
        <v>0.88720152586977</v>
      </c>
      <c r="AN1510" s="132">
        <v>0.99</v>
      </c>
      <c r="AO1510" s="137">
        <v>1</v>
      </c>
      <c r="AP1510" s="137">
        <v>1</v>
      </c>
      <c r="AQ1510" s="137">
        <v>1</v>
      </c>
      <c r="AR1510" s="137">
        <v>1</v>
      </c>
      <c r="AS1510" s="158">
        <v>0.110069253262963</v>
      </c>
      <c r="AT1510" s="141">
        <v>0</v>
      </c>
      <c r="AU1510" s="141">
        <v>0</v>
      </c>
      <c r="AV1510" s="141">
        <v>0</v>
      </c>
      <c r="AW1510" s="141">
        <v>0.0441176470588235</v>
      </c>
      <c r="AX1510" s="95"/>
      <c r="AY1510" s="93"/>
    </row>
    <row r="1511" ht="14.5" spans="1:51">
      <c r="A1511" s="91"/>
      <c r="B1511" s="95"/>
      <c r="C1511" s="152" t="s">
        <v>1455</v>
      </c>
      <c r="D1511" s="153" t="s">
        <v>25</v>
      </c>
      <c r="E1511" s="130" t="s">
        <v>1456</v>
      </c>
      <c r="F1511" s="171" t="s">
        <v>1543</v>
      </c>
      <c r="G1511" s="171" t="s">
        <v>1543</v>
      </c>
      <c r="H1511" s="171" t="s">
        <v>1543</v>
      </c>
      <c r="I1511" s="171" t="s">
        <v>1543</v>
      </c>
      <c r="J1511" s="132">
        <v>0.9</v>
      </c>
      <c r="K1511" s="133">
        <v>1</v>
      </c>
      <c r="L1511" s="133">
        <v>0.95</v>
      </c>
      <c r="M1511" s="134">
        <v>1</v>
      </c>
      <c r="N1511" s="133">
        <v>0.977961432506887</v>
      </c>
      <c r="O1511" s="135">
        <v>0.9</v>
      </c>
      <c r="P1511" s="133">
        <v>0.926450742240216</v>
      </c>
      <c r="Q1511" s="133">
        <v>0.965650969529086</v>
      </c>
      <c r="R1511" s="133">
        <v>0.980411361410382</v>
      </c>
      <c r="S1511" s="133">
        <v>0.930241574709216</v>
      </c>
      <c r="T1511" s="135">
        <v>0.9</v>
      </c>
      <c r="U1511" s="133">
        <v>0.831309041835358</v>
      </c>
      <c r="V1511" s="133">
        <v>0.880332409972299</v>
      </c>
      <c r="W1511" s="133">
        <v>0.893731635651322</v>
      </c>
      <c r="X1511" s="133">
        <v>0.867223382045929</v>
      </c>
      <c r="Y1511" s="135">
        <v>0.92</v>
      </c>
      <c r="Z1511" s="135" t="s">
        <v>35</v>
      </c>
      <c r="AA1511" s="135" t="s">
        <v>35</v>
      </c>
      <c r="AB1511" s="135" t="s">
        <v>35</v>
      </c>
      <c r="AC1511" s="135" t="s">
        <v>35</v>
      </c>
      <c r="AD1511" s="135">
        <v>0.92</v>
      </c>
      <c r="AE1511" s="133">
        <v>1</v>
      </c>
      <c r="AF1511" s="133">
        <v>0.961538461538462</v>
      </c>
      <c r="AG1511" s="133">
        <v>0.755102040816326</v>
      </c>
      <c r="AH1511" s="133">
        <v>0.872582480091012</v>
      </c>
      <c r="AI1511" s="135">
        <v>0.92</v>
      </c>
      <c r="AJ1511" s="133">
        <v>0.907557354925776</v>
      </c>
      <c r="AK1511" s="133">
        <v>0.928531855955679</v>
      </c>
      <c r="AL1511" s="133">
        <v>0.929970617042116</v>
      </c>
      <c r="AM1511" s="133">
        <v>0.940113331345064</v>
      </c>
      <c r="AN1511" s="132">
        <v>0.99</v>
      </c>
      <c r="AO1511" s="137" t="s">
        <v>35</v>
      </c>
      <c r="AP1511" s="137">
        <v>1</v>
      </c>
      <c r="AQ1511" s="137">
        <v>1</v>
      </c>
      <c r="AR1511" s="137">
        <v>1</v>
      </c>
      <c r="AS1511" s="158">
        <v>0.110069253262963</v>
      </c>
      <c r="AT1511" s="141">
        <v>0</v>
      </c>
      <c r="AU1511" s="141">
        <v>0.1</v>
      </c>
      <c r="AV1511" s="141">
        <v>0.166666666666667</v>
      </c>
      <c r="AW1511" s="141">
        <v>0.0765765765765766</v>
      </c>
      <c r="AX1511" s="95"/>
      <c r="AY1511" s="93"/>
    </row>
    <row r="1512" ht="14.5" spans="1:51">
      <c r="A1512" s="91"/>
      <c r="B1512" s="95"/>
      <c r="C1512" s="152" t="s">
        <v>1455</v>
      </c>
      <c r="D1512" s="153" t="s">
        <v>25</v>
      </c>
      <c r="E1512" s="130" t="s">
        <v>1456</v>
      </c>
      <c r="F1512" s="171" t="s">
        <v>1544</v>
      </c>
      <c r="G1512" s="171" t="s">
        <v>1544</v>
      </c>
      <c r="H1512" s="171" t="s">
        <v>1544</v>
      </c>
      <c r="I1512" s="171" t="s">
        <v>1544</v>
      </c>
      <c r="J1512" s="132">
        <v>0.9</v>
      </c>
      <c r="K1512" s="133">
        <v>1</v>
      </c>
      <c r="L1512" s="133">
        <v>1</v>
      </c>
      <c r="M1512" s="134">
        <v>1</v>
      </c>
      <c r="N1512" s="133">
        <v>0.996515679442509</v>
      </c>
      <c r="O1512" s="135">
        <v>0.9</v>
      </c>
      <c r="P1512" s="133">
        <v>0.630279402209227</v>
      </c>
      <c r="Q1512" s="133">
        <v>0.597412480974125</v>
      </c>
      <c r="R1512" s="133">
        <v>0.615690168818272</v>
      </c>
      <c r="S1512" s="133">
        <v>0.870140684577289</v>
      </c>
      <c r="T1512" s="135">
        <v>0.9</v>
      </c>
      <c r="U1512" s="133">
        <v>0.812215724496426</v>
      </c>
      <c r="V1512" s="133">
        <v>0.844748858447489</v>
      </c>
      <c r="W1512" s="133">
        <v>0.925521350546177</v>
      </c>
      <c r="X1512" s="133">
        <v>0.728141298154884</v>
      </c>
      <c r="Y1512" s="135">
        <v>0.92</v>
      </c>
      <c r="Z1512" s="135" t="s">
        <v>35</v>
      </c>
      <c r="AA1512" s="135" t="s">
        <v>35</v>
      </c>
      <c r="AB1512" s="135" t="s">
        <v>35</v>
      </c>
      <c r="AC1512" s="135" t="s">
        <v>35</v>
      </c>
      <c r="AD1512" s="135">
        <v>0.92</v>
      </c>
      <c r="AE1512" s="133">
        <v>1</v>
      </c>
      <c r="AF1512" s="133">
        <v>1</v>
      </c>
      <c r="AG1512" s="133">
        <v>1</v>
      </c>
      <c r="AH1512" s="133">
        <v>1</v>
      </c>
      <c r="AI1512" s="135">
        <v>0.92</v>
      </c>
      <c r="AJ1512" s="133">
        <v>0.930474333983106</v>
      </c>
      <c r="AK1512" s="133">
        <v>0.942161339421613</v>
      </c>
      <c r="AL1512" s="133">
        <v>0.958291956305859</v>
      </c>
      <c r="AM1512" s="133">
        <v>0.929044133759916</v>
      </c>
      <c r="AN1512" s="132">
        <v>0.99</v>
      </c>
      <c r="AO1512" s="137">
        <v>1</v>
      </c>
      <c r="AP1512" s="137">
        <v>1</v>
      </c>
      <c r="AQ1512" s="137">
        <v>1</v>
      </c>
      <c r="AR1512" s="137">
        <v>1</v>
      </c>
      <c r="AS1512" s="158">
        <v>0.110069253262963</v>
      </c>
      <c r="AT1512" s="141">
        <v>0.1</v>
      </c>
      <c r="AU1512" s="141">
        <v>0</v>
      </c>
      <c r="AV1512" s="141">
        <v>0</v>
      </c>
      <c r="AW1512" s="141">
        <v>0.0536585365853659</v>
      </c>
      <c r="AX1512" s="95"/>
      <c r="AY1512" s="93"/>
    </row>
    <row r="1513" ht="14.5" spans="1:51">
      <c r="A1513" s="91"/>
      <c r="B1513" s="95"/>
      <c r="C1513" s="152" t="s">
        <v>1455</v>
      </c>
      <c r="D1513" s="153" t="s">
        <v>25</v>
      </c>
      <c r="E1513" s="130" t="s">
        <v>1456</v>
      </c>
      <c r="F1513" s="171" t="s">
        <v>1545</v>
      </c>
      <c r="G1513" s="171" t="s">
        <v>1545</v>
      </c>
      <c r="H1513" s="171" t="s">
        <v>1545</v>
      </c>
      <c r="I1513" s="171" t="s">
        <v>1545</v>
      </c>
      <c r="J1513" s="132">
        <v>0.9</v>
      </c>
      <c r="K1513" s="133">
        <v>1</v>
      </c>
      <c r="L1513" s="133">
        <v>1</v>
      </c>
      <c r="M1513" s="134">
        <v>1</v>
      </c>
      <c r="N1513" s="133">
        <v>0.982716049382716</v>
      </c>
      <c r="O1513" s="135">
        <v>0.9</v>
      </c>
      <c r="P1513" s="133">
        <v>0.980952380952381</v>
      </c>
      <c r="Q1513" s="133">
        <v>0.965092402464066</v>
      </c>
      <c r="R1513" s="133">
        <v>0.985559566787004</v>
      </c>
      <c r="S1513" s="133">
        <v>0.968186810951548</v>
      </c>
      <c r="T1513" s="135">
        <v>0.9</v>
      </c>
      <c r="U1513" s="133">
        <v>0.616806722689076</v>
      </c>
      <c r="V1513" s="133">
        <v>0.740588637919233</v>
      </c>
      <c r="W1513" s="133">
        <v>0.814079422382672</v>
      </c>
      <c r="X1513" s="133">
        <v>0.711077661608559</v>
      </c>
      <c r="Y1513" s="135">
        <v>0.92</v>
      </c>
      <c r="Z1513" s="135" t="s">
        <v>35</v>
      </c>
      <c r="AA1513" s="135" t="s">
        <v>35</v>
      </c>
      <c r="AB1513" s="135" t="s">
        <v>35</v>
      </c>
      <c r="AC1513" s="135" t="s">
        <v>35</v>
      </c>
      <c r="AD1513" s="135">
        <v>0.92</v>
      </c>
      <c r="AE1513" s="133">
        <v>1</v>
      </c>
      <c r="AF1513" s="133">
        <v>1</v>
      </c>
      <c r="AG1513" s="133">
        <v>1</v>
      </c>
      <c r="AH1513" s="133">
        <v>0.991071428571429</v>
      </c>
      <c r="AI1513" s="135">
        <v>0.92</v>
      </c>
      <c r="AJ1513" s="133">
        <v>0.924929971988796</v>
      </c>
      <c r="AK1513" s="133">
        <v>0.923340177960301</v>
      </c>
      <c r="AL1513" s="133">
        <v>0.969314079422383</v>
      </c>
      <c r="AM1513" s="133">
        <v>0.951344534396485</v>
      </c>
      <c r="AN1513" s="132">
        <v>0.99</v>
      </c>
      <c r="AO1513" s="137">
        <v>1</v>
      </c>
      <c r="AP1513" s="137">
        <v>1</v>
      </c>
      <c r="AQ1513" s="137">
        <v>1</v>
      </c>
      <c r="AR1513" s="137">
        <v>1</v>
      </c>
      <c r="AS1513" s="158">
        <v>0.110069253262963</v>
      </c>
      <c r="AT1513" s="141">
        <v>0.130434782608696</v>
      </c>
      <c r="AU1513" s="141">
        <v>0</v>
      </c>
      <c r="AV1513" s="141">
        <v>0.1</v>
      </c>
      <c r="AW1513" s="141">
        <v>0.0888888888888889</v>
      </c>
      <c r="AX1513" s="95"/>
      <c r="AY1513" s="93"/>
    </row>
    <row r="1514" ht="14.5" spans="1:51">
      <c r="A1514" s="91"/>
      <c r="B1514" s="95"/>
      <c r="C1514" s="152" t="s">
        <v>1455</v>
      </c>
      <c r="D1514" s="153" t="s">
        <v>25</v>
      </c>
      <c r="E1514" s="130" t="s">
        <v>1456</v>
      </c>
      <c r="F1514" s="171" t="s">
        <v>1546</v>
      </c>
      <c r="G1514" s="171" t="s">
        <v>1546</v>
      </c>
      <c r="H1514" s="171" t="s">
        <v>1546</v>
      </c>
      <c r="I1514" s="171" t="s">
        <v>1546</v>
      </c>
      <c r="J1514" s="132">
        <v>0.9</v>
      </c>
      <c r="K1514" s="133">
        <v>0.939393939393939</v>
      </c>
      <c r="L1514" s="133">
        <v>0.945945945945946</v>
      </c>
      <c r="M1514" s="134">
        <v>0.902439024390244</v>
      </c>
      <c r="N1514" s="133">
        <v>0.927051671732523</v>
      </c>
      <c r="O1514" s="135">
        <v>0.9</v>
      </c>
      <c r="P1514" s="133">
        <v>0.811134789557805</v>
      </c>
      <c r="Q1514" s="133">
        <v>0.777318082258457</v>
      </c>
      <c r="R1514" s="133">
        <v>0.756824959853177</v>
      </c>
      <c r="S1514" s="133">
        <v>0.732445371119738</v>
      </c>
      <c r="T1514" s="135">
        <v>0.9</v>
      </c>
      <c r="U1514" s="133">
        <v>0.773308470964305</v>
      </c>
      <c r="V1514" s="133">
        <v>0.783645655877342</v>
      </c>
      <c r="W1514" s="133">
        <v>0.77150722642808</v>
      </c>
      <c r="X1514" s="133">
        <v>0.772362519032661</v>
      </c>
      <c r="Y1514" s="135">
        <v>0.92</v>
      </c>
      <c r="Z1514" s="135" t="s">
        <v>35</v>
      </c>
      <c r="AA1514" s="135" t="s">
        <v>35</v>
      </c>
      <c r="AB1514" s="135" t="s">
        <v>35</v>
      </c>
      <c r="AC1514" s="135">
        <v>0</v>
      </c>
      <c r="AD1514" s="135">
        <v>0.92</v>
      </c>
      <c r="AE1514" s="133">
        <v>0.644859813084112</v>
      </c>
      <c r="AF1514" s="133">
        <v>0.809744779582367</v>
      </c>
      <c r="AG1514" s="133">
        <v>0.975429975429975</v>
      </c>
      <c r="AH1514" s="133">
        <v>0.812944622680988</v>
      </c>
      <c r="AI1514" s="135">
        <v>0.92</v>
      </c>
      <c r="AJ1514" s="133">
        <v>0.879861481086841</v>
      </c>
      <c r="AK1514" s="133">
        <v>0.904356291068386</v>
      </c>
      <c r="AL1514" s="133">
        <v>0.927276898371186</v>
      </c>
      <c r="AM1514" s="133">
        <v>0.922347809387945</v>
      </c>
      <c r="AN1514" s="132">
        <v>0.99</v>
      </c>
      <c r="AO1514" s="137">
        <v>1</v>
      </c>
      <c r="AP1514" s="137">
        <v>1</v>
      </c>
      <c r="AQ1514" s="137">
        <v>1</v>
      </c>
      <c r="AR1514" s="137">
        <v>1</v>
      </c>
      <c r="AS1514" s="158">
        <v>0.110069253262963</v>
      </c>
      <c r="AT1514" s="141">
        <v>0</v>
      </c>
      <c r="AU1514" s="141">
        <v>0.0416666666666667</v>
      </c>
      <c r="AV1514" s="141">
        <v>0.0285714285714286</v>
      </c>
      <c r="AW1514" s="141">
        <v>0.0701402805611222</v>
      </c>
      <c r="AX1514" s="95"/>
      <c r="AY1514" s="93"/>
    </row>
    <row r="1515" ht="14.5" spans="1:51">
      <c r="A1515" s="91"/>
      <c r="B1515" s="95"/>
      <c r="C1515" s="152" t="s">
        <v>1455</v>
      </c>
      <c r="D1515" s="153" t="s">
        <v>25</v>
      </c>
      <c r="E1515" s="130" t="s">
        <v>1456</v>
      </c>
      <c r="F1515" s="171" t="s">
        <v>1547</v>
      </c>
      <c r="G1515" s="171" t="s">
        <v>1547</v>
      </c>
      <c r="H1515" s="171" t="s">
        <v>1547</v>
      </c>
      <c r="I1515" s="171" t="s">
        <v>1547</v>
      </c>
      <c r="J1515" s="132">
        <v>0.9</v>
      </c>
      <c r="K1515" s="133">
        <v>1</v>
      </c>
      <c r="L1515" s="133">
        <v>1</v>
      </c>
      <c r="M1515" s="134">
        <v>1</v>
      </c>
      <c r="N1515" s="133">
        <v>0.984375</v>
      </c>
      <c r="O1515" s="135">
        <v>0.9</v>
      </c>
      <c r="P1515" s="133" t="s">
        <v>35</v>
      </c>
      <c r="Q1515" s="133" t="s">
        <v>35</v>
      </c>
      <c r="R1515" s="133" t="s">
        <v>35</v>
      </c>
      <c r="S1515" s="133">
        <v>0.166666666666667</v>
      </c>
      <c r="T1515" s="135">
        <v>0.9</v>
      </c>
      <c r="U1515" s="133" t="s">
        <v>35</v>
      </c>
      <c r="V1515" s="133" t="s">
        <v>35</v>
      </c>
      <c r="W1515" s="133" t="s">
        <v>35</v>
      </c>
      <c r="X1515" s="133">
        <v>0.166666666666667</v>
      </c>
      <c r="Y1515" s="135">
        <v>0.92</v>
      </c>
      <c r="Z1515" s="135" t="s">
        <v>35</v>
      </c>
      <c r="AA1515" s="135" t="s">
        <v>35</v>
      </c>
      <c r="AB1515" s="135" t="s">
        <v>35</v>
      </c>
      <c r="AC1515" s="135" t="s">
        <v>35</v>
      </c>
      <c r="AD1515" s="135">
        <v>0.92</v>
      </c>
      <c r="AE1515" s="133">
        <v>0</v>
      </c>
      <c r="AF1515" s="133">
        <v>0</v>
      </c>
      <c r="AG1515" s="133">
        <v>1</v>
      </c>
      <c r="AH1515" s="133">
        <v>0.607142857142857</v>
      </c>
      <c r="AI1515" s="135">
        <v>0.92</v>
      </c>
      <c r="AJ1515" s="133">
        <v>0.910401002506266</v>
      </c>
      <c r="AK1515" s="133">
        <v>0.922991071428571</v>
      </c>
      <c r="AL1515" s="133">
        <v>0.885500933416304</v>
      </c>
      <c r="AM1515" s="133">
        <v>0.801030396702731</v>
      </c>
      <c r="AN1515" s="132">
        <v>0.99</v>
      </c>
      <c r="AO1515" s="137" t="s">
        <v>35</v>
      </c>
      <c r="AP1515" s="137">
        <v>1</v>
      </c>
      <c r="AQ1515" s="137">
        <v>1</v>
      </c>
      <c r="AR1515" s="137">
        <v>1</v>
      </c>
      <c r="AS1515" s="158">
        <v>0.110069253262963</v>
      </c>
      <c r="AT1515" s="141">
        <v>0.0714285714285714</v>
      </c>
      <c r="AU1515" s="141">
        <v>0</v>
      </c>
      <c r="AV1515" s="141">
        <v>0</v>
      </c>
      <c r="AW1515" s="141">
        <v>0.0346534653465347</v>
      </c>
      <c r="AX1515" s="95"/>
      <c r="AY1515" s="93"/>
    </row>
    <row r="1516" ht="14.5" spans="1:51">
      <c r="A1516" s="91"/>
      <c r="B1516" s="95"/>
      <c r="C1516" s="152" t="s">
        <v>1455</v>
      </c>
      <c r="D1516" s="153" t="s">
        <v>25</v>
      </c>
      <c r="E1516" s="130" t="s">
        <v>1456</v>
      </c>
      <c r="F1516" s="171" t="s">
        <v>1548</v>
      </c>
      <c r="G1516" s="171" t="s">
        <v>1548</v>
      </c>
      <c r="H1516" s="171" t="s">
        <v>1548</v>
      </c>
      <c r="I1516" s="171" t="s">
        <v>1548</v>
      </c>
      <c r="J1516" s="132">
        <v>0.9</v>
      </c>
      <c r="K1516" s="133">
        <v>1</v>
      </c>
      <c r="L1516" s="133">
        <v>0.944444444444444</v>
      </c>
      <c r="M1516" s="134">
        <v>1</v>
      </c>
      <c r="N1516" s="133">
        <v>0.978125</v>
      </c>
      <c r="O1516" s="135">
        <v>0.9</v>
      </c>
      <c r="P1516" s="133">
        <v>0.997713414634146</v>
      </c>
      <c r="Q1516" s="133">
        <v>0.998739760554505</v>
      </c>
      <c r="R1516" s="133">
        <v>0.995058678196418</v>
      </c>
      <c r="S1516" s="133">
        <v>0.984345297998435</v>
      </c>
      <c r="T1516" s="135">
        <v>0.9</v>
      </c>
      <c r="U1516" s="133">
        <v>0.948932926829268</v>
      </c>
      <c r="V1516" s="133">
        <v>0.98109640831758</v>
      </c>
      <c r="W1516" s="133">
        <v>0.971587399629401</v>
      </c>
      <c r="X1516" s="133">
        <v>0.954116813895412</v>
      </c>
      <c r="Y1516" s="135">
        <v>0.92</v>
      </c>
      <c r="Z1516" s="135" t="s">
        <v>35</v>
      </c>
      <c r="AA1516" s="135" t="s">
        <v>35</v>
      </c>
      <c r="AB1516" s="135" t="s">
        <v>35</v>
      </c>
      <c r="AC1516" s="135" t="s">
        <v>35</v>
      </c>
      <c r="AD1516" s="135">
        <v>0.92</v>
      </c>
      <c r="AE1516" s="133">
        <v>1</v>
      </c>
      <c r="AF1516" s="133">
        <v>0.95</v>
      </c>
      <c r="AG1516" s="133">
        <v>1</v>
      </c>
      <c r="AH1516" s="133">
        <v>0.936467598475222</v>
      </c>
      <c r="AI1516" s="135">
        <v>0.92</v>
      </c>
      <c r="AJ1516" s="133">
        <v>0.969512195121951</v>
      </c>
      <c r="AK1516" s="133">
        <v>0.993068683049779</v>
      </c>
      <c r="AL1516" s="133">
        <v>0.988264360716492</v>
      </c>
      <c r="AM1516" s="133">
        <v>0.986395318498639</v>
      </c>
      <c r="AN1516" s="132">
        <v>0.99</v>
      </c>
      <c r="AO1516" s="137">
        <v>1</v>
      </c>
      <c r="AP1516" s="137">
        <v>1</v>
      </c>
      <c r="AQ1516" s="137">
        <v>1</v>
      </c>
      <c r="AR1516" s="137">
        <v>1</v>
      </c>
      <c r="AS1516" s="158">
        <v>0.110069253262963</v>
      </c>
      <c r="AT1516" s="141">
        <v>0.285714285714286</v>
      </c>
      <c r="AU1516" s="141">
        <v>0</v>
      </c>
      <c r="AV1516" s="141">
        <v>0</v>
      </c>
      <c r="AW1516" s="141">
        <v>0.0984455958549223</v>
      </c>
      <c r="AX1516" s="95"/>
      <c r="AY1516" s="93"/>
    </row>
    <row r="1517" ht="14.5" spans="1:51">
      <c r="A1517" s="91"/>
      <c r="B1517" s="95"/>
      <c r="C1517" s="152" t="s">
        <v>1455</v>
      </c>
      <c r="D1517" s="153" t="s">
        <v>25</v>
      </c>
      <c r="E1517" s="130" t="s">
        <v>1456</v>
      </c>
      <c r="F1517" s="171" t="s">
        <v>1549</v>
      </c>
      <c r="G1517" s="171" t="s">
        <v>1549</v>
      </c>
      <c r="H1517" s="171" t="s">
        <v>1549</v>
      </c>
      <c r="I1517" s="171" t="s">
        <v>1549</v>
      </c>
      <c r="J1517" s="132">
        <v>0.9</v>
      </c>
      <c r="K1517" s="133">
        <v>1</v>
      </c>
      <c r="L1517" s="133">
        <v>1</v>
      </c>
      <c r="M1517" s="134">
        <v>1</v>
      </c>
      <c r="N1517" s="133">
        <v>0.992452830188679</v>
      </c>
      <c r="O1517" s="135">
        <v>0.9</v>
      </c>
      <c r="P1517" s="133">
        <v>0.938263229308005</v>
      </c>
      <c r="Q1517" s="133">
        <v>0.995633187772926</v>
      </c>
      <c r="R1517" s="133">
        <v>0.993502658003544</v>
      </c>
      <c r="S1517" s="133">
        <v>0.974338684151029</v>
      </c>
      <c r="T1517" s="135">
        <v>0.9</v>
      </c>
      <c r="U1517" s="133">
        <v>0.880597014925373</v>
      </c>
      <c r="V1517" s="133">
        <v>0.905177791640674</v>
      </c>
      <c r="W1517" s="133">
        <v>0.919669226225635</v>
      </c>
      <c r="X1517" s="133">
        <v>0.879041374632602</v>
      </c>
      <c r="Y1517" s="135">
        <v>0.92</v>
      </c>
      <c r="Z1517" s="135" t="s">
        <v>35</v>
      </c>
      <c r="AA1517" s="135" t="s">
        <v>35</v>
      </c>
      <c r="AB1517" s="135" t="s">
        <v>35</v>
      </c>
      <c r="AC1517" s="135" t="s">
        <v>35</v>
      </c>
      <c r="AD1517" s="135">
        <v>0.92</v>
      </c>
      <c r="AE1517" s="133">
        <v>1</v>
      </c>
      <c r="AF1517" s="133">
        <v>0.985074626865672</v>
      </c>
      <c r="AG1517" s="133">
        <v>0.989795918367347</v>
      </c>
      <c r="AH1517" s="133">
        <v>0.986111111111111</v>
      </c>
      <c r="AI1517" s="135">
        <v>0.92</v>
      </c>
      <c r="AJ1517" s="133">
        <v>0.945047489823609</v>
      </c>
      <c r="AK1517" s="133">
        <v>0.972568578553616</v>
      </c>
      <c r="AL1517" s="133">
        <v>0.950413223140496</v>
      </c>
      <c r="AM1517" s="133">
        <v>0.944898497231743</v>
      </c>
      <c r="AN1517" s="132">
        <v>0.99</v>
      </c>
      <c r="AO1517" s="137">
        <v>1</v>
      </c>
      <c r="AP1517" s="137">
        <v>1</v>
      </c>
      <c r="AQ1517" s="137">
        <v>1</v>
      </c>
      <c r="AR1517" s="137">
        <v>1</v>
      </c>
      <c r="AS1517" s="158">
        <v>0.110069253262963</v>
      </c>
      <c r="AT1517" s="141">
        <v>0</v>
      </c>
      <c r="AU1517" s="141">
        <v>0.125</v>
      </c>
      <c r="AV1517" s="141">
        <v>0</v>
      </c>
      <c r="AW1517" s="141">
        <v>0.0491803278688525</v>
      </c>
      <c r="AX1517" s="95"/>
      <c r="AY1517" s="93"/>
    </row>
    <row r="1518" ht="14.5" spans="1:51">
      <c r="A1518" s="91"/>
      <c r="B1518" s="95"/>
      <c r="C1518" s="152" t="s">
        <v>1455</v>
      </c>
      <c r="D1518" s="153" t="s">
        <v>25</v>
      </c>
      <c r="E1518" s="130" t="s">
        <v>1456</v>
      </c>
      <c r="F1518" s="171" t="s">
        <v>1550</v>
      </c>
      <c r="G1518" s="171" t="s">
        <v>1550</v>
      </c>
      <c r="H1518" s="171" t="s">
        <v>1550</v>
      </c>
      <c r="I1518" s="171" t="s">
        <v>1550</v>
      </c>
      <c r="J1518" s="132">
        <v>0.9</v>
      </c>
      <c r="K1518" s="133">
        <v>1</v>
      </c>
      <c r="L1518" s="133">
        <v>1</v>
      </c>
      <c r="M1518" s="134">
        <v>1</v>
      </c>
      <c r="N1518" s="133">
        <v>1</v>
      </c>
      <c r="O1518" s="135">
        <v>0.9</v>
      </c>
      <c r="P1518" s="133">
        <v>0.999088007295942</v>
      </c>
      <c r="Q1518" s="133">
        <v>0.99922480620155</v>
      </c>
      <c r="R1518" s="133">
        <v>0.998755186721992</v>
      </c>
      <c r="S1518" s="133">
        <v>0.992711511453339</v>
      </c>
      <c r="T1518" s="135">
        <v>0.9</v>
      </c>
      <c r="U1518" s="133">
        <v>0.989512083903329</v>
      </c>
      <c r="V1518" s="133">
        <v>0.991085271317829</v>
      </c>
      <c r="W1518" s="133">
        <v>0.992946058091286</v>
      </c>
      <c r="X1518" s="133">
        <v>0.984575524238462</v>
      </c>
      <c r="Y1518" s="135">
        <v>0.92</v>
      </c>
      <c r="Z1518" s="135" t="s">
        <v>35</v>
      </c>
      <c r="AA1518" s="135" t="s">
        <v>35</v>
      </c>
      <c r="AB1518" s="135" t="s">
        <v>35</v>
      </c>
      <c r="AC1518" s="135" t="s">
        <v>35</v>
      </c>
      <c r="AD1518" s="135">
        <v>0.92</v>
      </c>
      <c r="AE1518" s="133">
        <v>0.941176470588235</v>
      </c>
      <c r="AF1518" s="133">
        <v>0.869565217391304</v>
      </c>
      <c r="AG1518" s="133">
        <v>0.91304347826087</v>
      </c>
      <c r="AH1518" s="133">
        <v>0.945679012345679</v>
      </c>
      <c r="AI1518" s="135">
        <v>0.92</v>
      </c>
      <c r="AJ1518" s="133">
        <v>0.993616051071591</v>
      </c>
      <c r="AK1518" s="133">
        <v>0.994573643410853</v>
      </c>
      <c r="AL1518" s="133">
        <v>0.997095435684647</v>
      </c>
      <c r="AM1518" s="133">
        <v>0.994140152065475</v>
      </c>
      <c r="AN1518" s="132">
        <v>0.99</v>
      </c>
      <c r="AO1518" s="137">
        <v>1</v>
      </c>
      <c r="AP1518" s="137">
        <v>1</v>
      </c>
      <c r="AQ1518" s="137">
        <v>1</v>
      </c>
      <c r="AR1518" s="137">
        <v>1</v>
      </c>
      <c r="AS1518" s="158">
        <v>0.110069253262963</v>
      </c>
      <c r="AT1518" s="141">
        <v>0</v>
      </c>
      <c r="AU1518" s="141">
        <v>0</v>
      </c>
      <c r="AV1518" s="141">
        <v>0</v>
      </c>
      <c r="AW1518" s="141">
        <v>0.0614035087719298</v>
      </c>
      <c r="AX1518" s="95"/>
      <c r="AY1518" s="93"/>
    </row>
    <row r="1519" ht="14.5" spans="1:51">
      <c r="A1519" s="91"/>
      <c r="B1519" s="95"/>
      <c r="C1519" s="152" t="s">
        <v>1455</v>
      </c>
      <c r="D1519" s="153" t="s">
        <v>25</v>
      </c>
      <c r="E1519" s="130" t="s">
        <v>1456</v>
      </c>
      <c r="F1519" s="171" t="s">
        <v>1551</v>
      </c>
      <c r="G1519" s="171" t="s">
        <v>1551</v>
      </c>
      <c r="H1519" s="171" t="s">
        <v>1551</v>
      </c>
      <c r="I1519" s="171" t="s">
        <v>1551</v>
      </c>
      <c r="J1519" s="132">
        <v>0.9</v>
      </c>
      <c r="K1519" s="133">
        <v>1</v>
      </c>
      <c r="L1519" s="133">
        <v>1</v>
      </c>
      <c r="M1519" s="134">
        <v>0.978723404255319</v>
      </c>
      <c r="N1519" s="133">
        <v>0.98849104859335</v>
      </c>
      <c r="O1519" s="135">
        <v>0.9</v>
      </c>
      <c r="P1519" s="133">
        <v>0.980375665825624</v>
      </c>
      <c r="Q1519" s="133">
        <v>0.97509068923821</v>
      </c>
      <c r="R1519" s="133">
        <v>0.960875640428505</v>
      </c>
      <c r="S1519" s="133">
        <v>0.963452927042377</v>
      </c>
      <c r="T1519" s="135">
        <v>0.9</v>
      </c>
      <c r="U1519" s="133">
        <v>0.938884216428371</v>
      </c>
      <c r="V1519" s="133">
        <v>0.95671100362757</v>
      </c>
      <c r="W1519" s="133">
        <v>0.962505822077317</v>
      </c>
      <c r="X1519" s="133">
        <v>0.946319353429445</v>
      </c>
      <c r="Y1519" s="135">
        <v>0.92</v>
      </c>
      <c r="Z1519" s="135" t="s">
        <v>35</v>
      </c>
      <c r="AA1519" s="135" t="s">
        <v>35</v>
      </c>
      <c r="AB1519" s="135" t="s">
        <v>35</v>
      </c>
      <c r="AC1519" s="135">
        <v>0</v>
      </c>
      <c r="AD1519" s="135">
        <v>0.92</v>
      </c>
      <c r="AE1519" s="133">
        <v>0.99468085106383</v>
      </c>
      <c r="AF1519" s="133">
        <v>0.932367149758454</v>
      </c>
      <c r="AG1519" s="133">
        <v>0.827777777777778</v>
      </c>
      <c r="AH1519" s="133">
        <v>0.868349864743012</v>
      </c>
      <c r="AI1519" s="135">
        <v>0.92</v>
      </c>
      <c r="AJ1519" s="133">
        <v>0.96663863190356</v>
      </c>
      <c r="AK1519" s="133">
        <v>0.980652962515115</v>
      </c>
      <c r="AL1519" s="133">
        <v>0.987191429902189</v>
      </c>
      <c r="AM1519" s="133">
        <v>0.985023686330189</v>
      </c>
      <c r="AN1519" s="132">
        <v>0.99</v>
      </c>
      <c r="AO1519" s="137">
        <v>1</v>
      </c>
      <c r="AP1519" s="137">
        <v>1</v>
      </c>
      <c r="AQ1519" s="137">
        <v>1</v>
      </c>
      <c r="AR1519" s="137">
        <v>1</v>
      </c>
      <c r="AS1519" s="158">
        <v>0.110069253262963</v>
      </c>
      <c r="AT1519" s="141">
        <v>0.0333333333333333</v>
      </c>
      <c r="AU1519" s="141">
        <v>0.0434782608695652</v>
      </c>
      <c r="AV1519" s="141">
        <v>0.130434782608696</v>
      </c>
      <c r="AW1519" s="141">
        <v>0.0640394088669951</v>
      </c>
      <c r="AX1519" s="95"/>
      <c r="AY1519" s="93"/>
    </row>
    <row r="1520" ht="14.5" spans="1:51">
      <c r="A1520" s="91"/>
      <c r="B1520" s="95"/>
      <c r="C1520" s="152" t="s">
        <v>1455</v>
      </c>
      <c r="D1520" s="153" t="s">
        <v>25</v>
      </c>
      <c r="E1520" s="130" t="s">
        <v>1456</v>
      </c>
      <c r="F1520" s="171" t="s">
        <v>1552</v>
      </c>
      <c r="G1520" s="171" t="s">
        <v>1552</v>
      </c>
      <c r="H1520" s="171" t="s">
        <v>1552</v>
      </c>
      <c r="I1520" s="171" t="s">
        <v>1552</v>
      </c>
      <c r="J1520" s="132">
        <v>0.9</v>
      </c>
      <c r="K1520" s="133">
        <v>1</v>
      </c>
      <c r="L1520" s="133">
        <v>1</v>
      </c>
      <c r="M1520" s="134">
        <v>1</v>
      </c>
      <c r="N1520" s="133">
        <v>0.993762993762994</v>
      </c>
      <c r="O1520" s="135">
        <v>0.9</v>
      </c>
      <c r="P1520" s="133">
        <v>0.969310943833237</v>
      </c>
      <c r="Q1520" s="133">
        <v>0.974371373307544</v>
      </c>
      <c r="R1520" s="133">
        <v>0.955605381165919</v>
      </c>
      <c r="S1520" s="133">
        <v>0.967084377610693</v>
      </c>
      <c r="T1520" s="135">
        <v>0.9</v>
      </c>
      <c r="U1520" s="133">
        <v>0.92530399536769</v>
      </c>
      <c r="V1520" s="133">
        <v>0.926499032882012</v>
      </c>
      <c r="W1520" s="133">
        <v>0.90627802690583</v>
      </c>
      <c r="X1520" s="133">
        <v>0.934948482316903</v>
      </c>
      <c r="Y1520" s="135">
        <v>0.92</v>
      </c>
      <c r="Z1520" s="135" t="s">
        <v>35</v>
      </c>
      <c r="AA1520" s="135" t="s">
        <v>35</v>
      </c>
      <c r="AB1520" s="135" t="s">
        <v>35</v>
      </c>
      <c r="AC1520" s="135" t="s">
        <v>35</v>
      </c>
      <c r="AD1520" s="135">
        <v>0.92</v>
      </c>
      <c r="AE1520" s="133">
        <v>0.918918918918919</v>
      </c>
      <c r="AF1520" s="133">
        <v>0.962264150943396</v>
      </c>
      <c r="AG1520" s="133">
        <v>0.956521739130435</v>
      </c>
      <c r="AH1520" s="133">
        <v>0.931569343065693</v>
      </c>
      <c r="AI1520" s="135">
        <v>0.92</v>
      </c>
      <c r="AJ1520" s="133">
        <v>0.962941517081644</v>
      </c>
      <c r="AK1520" s="133">
        <v>0.962282398452611</v>
      </c>
      <c r="AL1520" s="133">
        <v>0.966367713004484</v>
      </c>
      <c r="AM1520" s="133">
        <v>0.976803118908382</v>
      </c>
      <c r="AN1520" s="132">
        <v>0.99</v>
      </c>
      <c r="AO1520" s="137">
        <v>1</v>
      </c>
      <c r="AP1520" s="137">
        <v>1</v>
      </c>
      <c r="AQ1520" s="137">
        <v>1</v>
      </c>
      <c r="AR1520" s="137">
        <v>1</v>
      </c>
      <c r="AS1520" s="158">
        <v>0.110069253262963</v>
      </c>
      <c r="AT1520" s="141">
        <v>0</v>
      </c>
      <c r="AU1520" s="141">
        <v>0.142857142857143</v>
      </c>
      <c r="AV1520" s="141">
        <v>0.0666666666666667</v>
      </c>
      <c r="AW1520" s="141">
        <v>0.0566801619433198</v>
      </c>
      <c r="AX1520" s="95"/>
      <c r="AY1520" s="93"/>
    </row>
    <row r="1521" ht="14.5" spans="1:51">
      <c r="A1521" s="91"/>
      <c r="B1521" s="95"/>
      <c r="C1521" s="152" t="s">
        <v>1455</v>
      </c>
      <c r="D1521" s="153" t="s">
        <v>25</v>
      </c>
      <c r="E1521" s="130" t="s">
        <v>1456</v>
      </c>
      <c r="F1521" s="171" t="s">
        <v>1553</v>
      </c>
      <c r="G1521" s="171" t="s">
        <v>1553</v>
      </c>
      <c r="H1521" s="171" t="s">
        <v>1553</v>
      </c>
      <c r="I1521" s="171" t="s">
        <v>1553</v>
      </c>
      <c r="J1521" s="132">
        <v>0.9</v>
      </c>
      <c r="K1521" s="133">
        <v>0.952380952380952</v>
      </c>
      <c r="L1521" s="133">
        <v>0.95</v>
      </c>
      <c r="M1521" s="134">
        <v>1</v>
      </c>
      <c r="N1521" s="133">
        <v>0.956284153005464</v>
      </c>
      <c r="O1521" s="135">
        <v>0.9</v>
      </c>
      <c r="P1521" s="133">
        <v>0.930760499432463</v>
      </c>
      <c r="Q1521" s="133">
        <v>0.967280163599182</v>
      </c>
      <c r="R1521" s="133">
        <v>0.980725103258375</v>
      </c>
      <c r="S1521" s="133">
        <v>0.935268196322747</v>
      </c>
      <c r="T1521" s="135">
        <v>0.9</v>
      </c>
      <c r="U1521" s="133">
        <v>0.682179341657208</v>
      </c>
      <c r="V1521" s="133">
        <v>0.693762781186094</v>
      </c>
      <c r="W1521" s="133">
        <v>0.810922441486921</v>
      </c>
      <c r="X1521" s="133">
        <v>0.726576508129464</v>
      </c>
      <c r="Y1521" s="135">
        <v>0.92</v>
      </c>
      <c r="Z1521" s="135" t="s">
        <v>35</v>
      </c>
      <c r="AA1521" s="135" t="s">
        <v>35</v>
      </c>
      <c r="AB1521" s="135" t="s">
        <v>35</v>
      </c>
      <c r="AC1521" s="135" t="s">
        <v>35</v>
      </c>
      <c r="AD1521" s="135">
        <v>0.92</v>
      </c>
      <c r="AE1521" s="133">
        <v>0.75</v>
      </c>
      <c r="AF1521" s="133">
        <v>1</v>
      </c>
      <c r="AG1521" s="133">
        <v>1</v>
      </c>
      <c r="AH1521" s="133">
        <v>0.979274611398964</v>
      </c>
      <c r="AI1521" s="135">
        <v>0.92</v>
      </c>
      <c r="AJ1521" s="133">
        <v>0.894438138479001</v>
      </c>
      <c r="AK1521" s="133">
        <v>0.942229038854806</v>
      </c>
      <c r="AL1521" s="133">
        <v>0.970169802661771</v>
      </c>
      <c r="AM1521" s="133">
        <v>0.960309983285215</v>
      </c>
      <c r="AN1521" s="132">
        <v>0.99</v>
      </c>
      <c r="AO1521" s="137" t="s">
        <v>35</v>
      </c>
      <c r="AP1521" s="137" t="s">
        <v>35</v>
      </c>
      <c r="AQ1521" s="137" t="s">
        <v>35</v>
      </c>
      <c r="AR1521" s="137">
        <v>1</v>
      </c>
      <c r="AS1521" s="158">
        <v>0.110069253262963</v>
      </c>
      <c r="AT1521" s="141">
        <v>0.0555555555555556</v>
      </c>
      <c r="AU1521" s="141">
        <v>0.0869565217391304</v>
      </c>
      <c r="AV1521" s="141">
        <v>0.15</v>
      </c>
      <c r="AW1521" s="141">
        <v>0.078804347826087</v>
      </c>
      <c r="AX1521" s="95"/>
      <c r="AY1521" s="93"/>
    </row>
    <row r="1522" ht="14.5" spans="1:51">
      <c r="A1522" s="91"/>
      <c r="B1522" s="95"/>
      <c r="C1522" s="152" t="s">
        <v>1455</v>
      </c>
      <c r="D1522" s="153" t="s">
        <v>25</v>
      </c>
      <c r="E1522" s="130" t="s">
        <v>1456</v>
      </c>
      <c r="F1522" s="171" t="s">
        <v>1554</v>
      </c>
      <c r="G1522" s="171" t="s">
        <v>1554</v>
      </c>
      <c r="H1522" s="171" t="s">
        <v>1554</v>
      </c>
      <c r="I1522" s="171" t="s">
        <v>1554</v>
      </c>
      <c r="J1522" s="132">
        <v>0.9</v>
      </c>
      <c r="K1522" s="133">
        <v>1</v>
      </c>
      <c r="L1522" s="133">
        <v>1</v>
      </c>
      <c r="M1522" s="134">
        <v>1</v>
      </c>
      <c r="N1522" s="133">
        <v>0.991202346041056</v>
      </c>
      <c r="O1522" s="135">
        <v>0.9</v>
      </c>
      <c r="P1522" s="133">
        <v>0.985959438377535</v>
      </c>
      <c r="Q1522" s="133">
        <v>0.988728866624922</v>
      </c>
      <c r="R1522" s="133">
        <v>0.996216216216216</v>
      </c>
      <c r="S1522" s="133">
        <v>0.970591376793534</v>
      </c>
      <c r="T1522" s="135">
        <v>0.9</v>
      </c>
      <c r="U1522" s="133">
        <v>0.904836193447738</v>
      </c>
      <c r="V1522" s="133">
        <v>0.897307451471509</v>
      </c>
      <c r="W1522" s="133">
        <v>0.861081081081081</v>
      </c>
      <c r="X1522" s="133">
        <v>0.889628653825613</v>
      </c>
      <c r="Y1522" s="135">
        <v>0.92</v>
      </c>
      <c r="Z1522" s="135" t="s">
        <v>35</v>
      </c>
      <c r="AA1522" s="135" t="s">
        <v>35</v>
      </c>
      <c r="AB1522" s="135" t="s">
        <v>35</v>
      </c>
      <c r="AC1522" s="135" t="s">
        <v>35</v>
      </c>
      <c r="AD1522" s="135">
        <v>0.92</v>
      </c>
      <c r="AE1522" s="133">
        <v>0.5</v>
      </c>
      <c r="AF1522" s="133">
        <v>0.766666666666667</v>
      </c>
      <c r="AG1522" s="133">
        <v>0.888888888888889</v>
      </c>
      <c r="AH1522" s="133">
        <v>0.827442827442827</v>
      </c>
      <c r="AI1522" s="135">
        <v>0.92</v>
      </c>
      <c r="AJ1522" s="133">
        <v>0.97191887675507</v>
      </c>
      <c r="AK1522" s="133">
        <v>0.943644333124609</v>
      </c>
      <c r="AL1522" s="133">
        <v>0.966504592112372</v>
      </c>
      <c r="AM1522" s="133">
        <v>0.978574225006228</v>
      </c>
      <c r="AN1522" s="132">
        <v>0.99</v>
      </c>
      <c r="AO1522" s="137">
        <v>1</v>
      </c>
      <c r="AP1522" s="137">
        <v>1</v>
      </c>
      <c r="AQ1522" s="137">
        <v>1</v>
      </c>
      <c r="AR1522" s="137">
        <v>1</v>
      </c>
      <c r="AS1522" s="158">
        <v>0.110069253262963</v>
      </c>
      <c r="AT1522" s="141">
        <v>0.0526315789473684</v>
      </c>
      <c r="AU1522" s="141">
        <v>0.125</v>
      </c>
      <c r="AV1522" s="141">
        <v>0.0714285714285714</v>
      </c>
      <c r="AW1522" s="141">
        <v>0.0546218487394958</v>
      </c>
      <c r="AX1522" s="95"/>
      <c r="AY1522" s="93"/>
    </row>
    <row r="1523" ht="14.5" spans="1:51">
      <c r="A1523" s="91"/>
      <c r="B1523" s="95"/>
      <c r="C1523" s="152" t="s">
        <v>1455</v>
      </c>
      <c r="D1523" s="153" t="s">
        <v>125</v>
      </c>
      <c r="E1523" s="130" t="s">
        <v>1456</v>
      </c>
      <c r="F1523" s="171" t="s">
        <v>1555</v>
      </c>
      <c r="G1523" s="171" t="s">
        <v>1555</v>
      </c>
      <c r="H1523" s="171" t="s">
        <v>1555</v>
      </c>
      <c r="I1523" s="171" t="s">
        <v>1555</v>
      </c>
      <c r="J1523" s="132">
        <v>0.9</v>
      </c>
      <c r="K1523" s="133" t="s">
        <v>35</v>
      </c>
      <c r="L1523" s="133" t="s">
        <v>35</v>
      </c>
      <c r="M1523" s="134" t="s">
        <v>35</v>
      </c>
      <c r="N1523" s="133" t="s">
        <v>35</v>
      </c>
      <c r="O1523" s="135">
        <v>0.9</v>
      </c>
      <c r="P1523" s="133" t="s">
        <v>35</v>
      </c>
      <c r="Q1523" s="133" t="s">
        <v>35</v>
      </c>
      <c r="R1523" s="133" t="s">
        <v>35</v>
      </c>
      <c r="S1523" s="133" t="s">
        <v>35</v>
      </c>
      <c r="T1523" s="135">
        <v>0.9</v>
      </c>
      <c r="U1523" s="133" t="s">
        <v>35</v>
      </c>
      <c r="V1523" s="133" t="s">
        <v>35</v>
      </c>
      <c r="W1523" s="133" t="s">
        <v>35</v>
      </c>
      <c r="X1523" s="133" t="s">
        <v>35</v>
      </c>
      <c r="Y1523" s="135">
        <v>0.92</v>
      </c>
      <c r="Z1523" s="135" t="s">
        <v>35</v>
      </c>
      <c r="AA1523" s="135" t="s">
        <v>35</v>
      </c>
      <c r="AB1523" s="135" t="s">
        <v>35</v>
      </c>
      <c r="AC1523" s="135" t="s">
        <v>35</v>
      </c>
      <c r="AD1523" s="135">
        <v>0.92</v>
      </c>
      <c r="AE1523" s="133">
        <v>1</v>
      </c>
      <c r="AF1523" s="133">
        <v>0.991071428571429</v>
      </c>
      <c r="AG1523" s="133">
        <v>1</v>
      </c>
      <c r="AH1523" s="133">
        <v>0.997093023255814</v>
      </c>
      <c r="AI1523" s="135">
        <v>0.92</v>
      </c>
      <c r="AJ1523" s="133" t="s">
        <v>35</v>
      </c>
      <c r="AK1523" s="133" t="s">
        <v>35</v>
      </c>
      <c r="AL1523" s="133" t="s">
        <v>35</v>
      </c>
      <c r="AM1523" s="133" t="s">
        <v>35</v>
      </c>
      <c r="AN1523" s="132">
        <v>0.99</v>
      </c>
      <c r="AO1523" s="137" t="s">
        <v>35</v>
      </c>
      <c r="AP1523" s="137" t="s">
        <v>35</v>
      </c>
      <c r="AQ1523" s="137">
        <v>1</v>
      </c>
      <c r="AR1523" s="137">
        <v>1</v>
      </c>
      <c r="AS1523" s="158">
        <v>0.110069253262963</v>
      </c>
      <c r="AT1523" s="141" t="s">
        <v>35</v>
      </c>
      <c r="AU1523" s="141" t="s">
        <v>35</v>
      </c>
      <c r="AV1523" s="141" t="s">
        <v>35</v>
      </c>
      <c r="AW1523" s="141" t="s">
        <v>35</v>
      </c>
      <c r="AX1523" s="95"/>
      <c r="AY1523" s="93"/>
    </row>
    <row r="1524" ht="14.5" spans="1:51">
      <c r="A1524" s="91"/>
      <c r="B1524" s="95"/>
      <c r="C1524" s="152" t="s">
        <v>1455</v>
      </c>
      <c r="D1524" s="153" t="s">
        <v>25</v>
      </c>
      <c r="E1524" s="130" t="s">
        <v>1456</v>
      </c>
      <c r="F1524" s="171" t="s">
        <v>1556</v>
      </c>
      <c r="G1524" s="171" t="s">
        <v>1556</v>
      </c>
      <c r="H1524" s="171" t="s">
        <v>1556</v>
      </c>
      <c r="I1524" s="171" t="s">
        <v>1556</v>
      </c>
      <c r="J1524" s="132">
        <v>0.9</v>
      </c>
      <c r="K1524" s="133">
        <v>1</v>
      </c>
      <c r="L1524" s="133">
        <v>1</v>
      </c>
      <c r="M1524" s="134">
        <v>1</v>
      </c>
      <c r="N1524" s="133">
        <v>0.994750656167979</v>
      </c>
      <c r="O1524" s="135">
        <v>0.9</v>
      </c>
      <c r="P1524" s="133">
        <v>0.996463306808134</v>
      </c>
      <c r="Q1524" s="133">
        <v>0.996322106078204</v>
      </c>
      <c r="R1524" s="133">
        <v>0.997253753203955</v>
      </c>
      <c r="S1524" s="133">
        <v>0.99398608635658</v>
      </c>
      <c r="T1524" s="135">
        <v>0.9</v>
      </c>
      <c r="U1524" s="133">
        <v>0.92948717948718</v>
      </c>
      <c r="V1524" s="133">
        <v>0.936507936507937</v>
      </c>
      <c r="W1524" s="133">
        <v>0.929696082021238</v>
      </c>
      <c r="X1524" s="133">
        <v>0.944460415109527</v>
      </c>
      <c r="Y1524" s="135">
        <v>0.92</v>
      </c>
      <c r="Z1524" s="135" t="s">
        <v>35</v>
      </c>
      <c r="AA1524" s="135" t="s">
        <v>35</v>
      </c>
      <c r="AB1524" s="135" t="s">
        <v>35</v>
      </c>
      <c r="AC1524" s="135" t="s">
        <v>35</v>
      </c>
      <c r="AD1524" s="135">
        <v>0.92</v>
      </c>
      <c r="AE1524" s="133">
        <v>0.964285714285714</v>
      </c>
      <c r="AF1524" s="133">
        <v>0.909638554216867</v>
      </c>
      <c r="AG1524" s="133">
        <v>0.982905982905983</v>
      </c>
      <c r="AH1524" s="133">
        <v>0.97979797979798</v>
      </c>
      <c r="AI1524" s="135">
        <v>0.92</v>
      </c>
      <c r="AJ1524" s="133">
        <v>0.95579133510168</v>
      </c>
      <c r="AK1524" s="133">
        <v>0.97251258226868</v>
      </c>
      <c r="AL1524" s="133">
        <v>0.983705602343464</v>
      </c>
      <c r="AM1524" s="133">
        <v>0.981510440621838</v>
      </c>
      <c r="AN1524" s="132">
        <v>0.99</v>
      </c>
      <c r="AO1524" s="137">
        <v>1</v>
      </c>
      <c r="AP1524" s="137">
        <v>1</v>
      </c>
      <c r="AQ1524" s="137">
        <v>1</v>
      </c>
      <c r="AR1524" s="137">
        <v>1</v>
      </c>
      <c r="AS1524" s="158">
        <v>0.110069253262963</v>
      </c>
      <c r="AT1524" s="141">
        <v>0.0857142857142857</v>
      </c>
      <c r="AU1524" s="141">
        <v>0.0277777777777778</v>
      </c>
      <c r="AV1524" s="141">
        <v>0.0277777777777778</v>
      </c>
      <c r="AW1524" s="141">
        <v>0.0956399437412096</v>
      </c>
      <c r="AX1524" s="95"/>
      <c r="AY1524" s="93"/>
    </row>
    <row r="1525" ht="14.5" spans="1:51">
      <c r="A1525" s="91"/>
      <c r="B1525" s="95"/>
      <c r="C1525" s="152" t="s">
        <v>1455</v>
      </c>
      <c r="D1525" s="153" t="s">
        <v>25</v>
      </c>
      <c r="E1525" s="130" t="s">
        <v>1456</v>
      </c>
      <c r="F1525" s="171" t="s">
        <v>1557</v>
      </c>
      <c r="G1525" s="171" t="s">
        <v>1557</v>
      </c>
      <c r="H1525" s="171" t="s">
        <v>1557</v>
      </c>
      <c r="I1525" s="171" t="s">
        <v>1557</v>
      </c>
      <c r="J1525" s="132">
        <v>0.9</v>
      </c>
      <c r="K1525" s="133">
        <v>0.95</v>
      </c>
      <c r="L1525" s="133">
        <v>0.958333333333333</v>
      </c>
      <c r="M1525" s="134">
        <v>1</v>
      </c>
      <c r="N1525" s="133">
        <v>0.954081632653061</v>
      </c>
      <c r="O1525" s="135">
        <v>0.9</v>
      </c>
      <c r="P1525" s="133">
        <v>0.924281984334204</v>
      </c>
      <c r="Q1525" s="133">
        <v>0.96709323583181</v>
      </c>
      <c r="R1525" s="133">
        <v>0.966042664344798</v>
      </c>
      <c r="S1525" s="133">
        <v>0.906700639705085</v>
      </c>
      <c r="T1525" s="135">
        <v>0.9</v>
      </c>
      <c r="U1525" s="133">
        <v>0.867362924281984</v>
      </c>
      <c r="V1525" s="133">
        <v>0.88254113345521</v>
      </c>
      <c r="W1525" s="133">
        <v>0.873313016978668</v>
      </c>
      <c r="X1525" s="133">
        <v>0.818551447468286</v>
      </c>
      <c r="Y1525" s="135">
        <v>0.92</v>
      </c>
      <c r="Z1525" s="135" t="s">
        <v>35</v>
      </c>
      <c r="AA1525" s="135" t="s">
        <v>35</v>
      </c>
      <c r="AB1525" s="135" t="s">
        <v>35</v>
      </c>
      <c r="AC1525" s="135" t="s">
        <v>35</v>
      </c>
      <c r="AD1525" s="135">
        <v>0.92</v>
      </c>
      <c r="AE1525" s="133">
        <v>0.991416309012876</v>
      </c>
      <c r="AF1525" s="133">
        <v>1</v>
      </c>
      <c r="AG1525" s="133">
        <v>1</v>
      </c>
      <c r="AH1525" s="133">
        <v>0.99213887979037</v>
      </c>
      <c r="AI1525" s="135">
        <v>0.92</v>
      </c>
      <c r="AJ1525" s="133">
        <v>0.92532637075718</v>
      </c>
      <c r="AK1525" s="133">
        <v>0.930987202925046</v>
      </c>
      <c r="AL1525" s="133">
        <v>0.946451893774488</v>
      </c>
      <c r="AM1525" s="133">
        <v>0.907893310202754</v>
      </c>
      <c r="AN1525" s="132">
        <v>0.99</v>
      </c>
      <c r="AO1525" s="137">
        <v>1</v>
      </c>
      <c r="AP1525" s="137">
        <v>1</v>
      </c>
      <c r="AQ1525" s="137">
        <v>1</v>
      </c>
      <c r="AR1525" s="137">
        <v>1</v>
      </c>
      <c r="AS1525" s="158">
        <v>0.110069253262963</v>
      </c>
      <c r="AT1525" s="141">
        <v>0.0769230769230769</v>
      </c>
      <c r="AU1525" s="141">
        <v>0</v>
      </c>
      <c r="AV1525" s="141">
        <v>0</v>
      </c>
      <c r="AW1525" s="141">
        <v>0.0585774058577406</v>
      </c>
      <c r="AX1525" s="95"/>
      <c r="AY1525" s="93"/>
    </row>
    <row r="1526" ht="14.5" spans="1:51">
      <c r="A1526" s="91"/>
      <c r="B1526" s="95"/>
      <c r="C1526" s="152" t="s">
        <v>1455</v>
      </c>
      <c r="D1526" s="153" t="s">
        <v>25</v>
      </c>
      <c r="E1526" s="130" t="s">
        <v>1456</v>
      </c>
      <c r="F1526" s="171" t="s">
        <v>1558</v>
      </c>
      <c r="G1526" s="171" t="s">
        <v>1558</v>
      </c>
      <c r="H1526" s="171" t="s">
        <v>1558</v>
      </c>
      <c r="I1526" s="171" t="s">
        <v>1558</v>
      </c>
      <c r="J1526" s="132">
        <v>0.9</v>
      </c>
      <c r="K1526" s="133">
        <v>1</v>
      </c>
      <c r="L1526" s="133">
        <v>1</v>
      </c>
      <c r="M1526" s="134">
        <v>1</v>
      </c>
      <c r="N1526" s="133">
        <v>0.991097922848665</v>
      </c>
      <c r="O1526" s="135">
        <v>0.9</v>
      </c>
      <c r="P1526" s="133">
        <v>0.989473684210526</v>
      </c>
      <c r="Q1526" s="133">
        <v>0.995872033023736</v>
      </c>
      <c r="R1526" s="133">
        <v>0.995970788214556</v>
      </c>
      <c r="S1526" s="133">
        <v>0.984453749524172</v>
      </c>
      <c r="T1526" s="135">
        <v>0.9</v>
      </c>
      <c r="U1526" s="133">
        <v>0.945092460881935</v>
      </c>
      <c r="V1526" s="133">
        <v>0.96078431372549</v>
      </c>
      <c r="W1526" s="133">
        <v>0.971543691765298</v>
      </c>
      <c r="X1526" s="133">
        <v>0.958218500190331</v>
      </c>
      <c r="Y1526" s="135">
        <v>0.92</v>
      </c>
      <c r="Z1526" s="135" t="s">
        <v>35</v>
      </c>
      <c r="AA1526" s="135" t="s">
        <v>35</v>
      </c>
      <c r="AB1526" s="135" t="s">
        <v>35</v>
      </c>
      <c r="AC1526" s="135" t="s">
        <v>35</v>
      </c>
      <c r="AD1526" s="135">
        <v>0.92</v>
      </c>
      <c r="AE1526" s="133">
        <v>1</v>
      </c>
      <c r="AF1526" s="133">
        <v>0.985611510791367</v>
      </c>
      <c r="AG1526" s="133">
        <v>0.969879518072289</v>
      </c>
      <c r="AH1526" s="133">
        <v>0.977953274103323</v>
      </c>
      <c r="AI1526" s="135">
        <v>0.92</v>
      </c>
      <c r="AJ1526" s="133">
        <v>0.968990042674253</v>
      </c>
      <c r="AK1526" s="133">
        <v>0.979102167182663</v>
      </c>
      <c r="AL1526" s="133">
        <v>0.989675144799799</v>
      </c>
      <c r="AM1526" s="133">
        <v>0.98664697463382</v>
      </c>
      <c r="AN1526" s="132">
        <v>0.99</v>
      </c>
      <c r="AO1526" s="137">
        <v>1</v>
      </c>
      <c r="AP1526" s="137">
        <v>1</v>
      </c>
      <c r="AQ1526" s="137">
        <v>1</v>
      </c>
      <c r="AR1526" s="137">
        <v>1</v>
      </c>
      <c r="AS1526" s="158">
        <v>0.110069253262963</v>
      </c>
      <c r="AT1526" s="141">
        <v>0.0909090909090909</v>
      </c>
      <c r="AU1526" s="141">
        <v>0</v>
      </c>
      <c r="AV1526" s="141">
        <v>0.0555555555555556</v>
      </c>
      <c r="AW1526" s="141">
        <v>0.0835654596100279</v>
      </c>
      <c r="AX1526" s="95"/>
      <c r="AY1526" s="93"/>
    </row>
    <row r="1527" ht="14.5" spans="1:51">
      <c r="A1527" s="91"/>
      <c r="B1527" s="95"/>
      <c r="C1527" s="152" t="s">
        <v>1455</v>
      </c>
      <c r="D1527" s="153" t="s">
        <v>25</v>
      </c>
      <c r="E1527" s="130" t="s">
        <v>1456</v>
      </c>
      <c r="F1527" s="171" t="s">
        <v>1559</v>
      </c>
      <c r="G1527" s="171" t="s">
        <v>1559</v>
      </c>
      <c r="H1527" s="171" t="s">
        <v>1559</v>
      </c>
      <c r="I1527" s="171" t="s">
        <v>1559</v>
      </c>
      <c r="J1527" s="132">
        <v>0.9</v>
      </c>
      <c r="K1527" s="133">
        <v>0.972222222222222</v>
      </c>
      <c r="L1527" s="133">
        <v>0.973684210526316</v>
      </c>
      <c r="M1527" s="134">
        <v>0.974358974358974</v>
      </c>
      <c r="N1527" s="133">
        <v>0.957478005865103</v>
      </c>
      <c r="O1527" s="135">
        <v>0.9</v>
      </c>
      <c r="P1527" s="133">
        <v>0.886536373507057</v>
      </c>
      <c r="Q1527" s="133">
        <v>0.952600092038656</v>
      </c>
      <c r="R1527" s="133">
        <v>0.94749498997996</v>
      </c>
      <c r="S1527" s="133">
        <v>0.932602342771543</v>
      </c>
      <c r="T1527" s="135">
        <v>0.9</v>
      </c>
      <c r="U1527" s="133">
        <v>0.82328990228013</v>
      </c>
      <c r="V1527" s="133">
        <v>0.917625402669121</v>
      </c>
      <c r="W1527" s="133">
        <v>0.898597194388778</v>
      </c>
      <c r="X1527" s="133">
        <v>0.883119275066919</v>
      </c>
      <c r="Y1527" s="135">
        <v>0.92</v>
      </c>
      <c r="Z1527" s="135" t="s">
        <v>35</v>
      </c>
      <c r="AA1527" s="135" t="s">
        <v>35</v>
      </c>
      <c r="AB1527" s="135" t="s">
        <v>35</v>
      </c>
      <c r="AC1527" s="135" t="s">
        <v>35</v>
      </c>
      <c r="AD1527" s="135">
        <v>0.92</v>
      </c>
      <c r="AE1527" s="133">
        <v>1</v>
      </c>
      <c r="AF1527" s="133">
        <v>0.405172413793103</v>
      </c>
      <c r="AG1527" s="133">
        <v>1</v>
      </c>
      <c r="AH1527" s="133">
        <v>0.963813783289286</v>
      </c>
      <c r="AI1527" s="135">
        <v>0.92</v>
      </c>
      <c r="AJ1527" s="133">
        <v>0.900380021715527</v>
      </c>
      <c r="AK1527" s="133">
        <v>0.951219512195122</v>
      </c>
      <c r="AL1527" s="133">
        <v>0.960320641282565</v>
      </c>
      <c r="AM1527" s="133">
        <v>0.960512260108297</v>
      </c>
      <c r="AN1527" s="132">
        <v>0.99</v>
      </c>
      <c r="AO1527" s="137">
        <v>1</v>
      </c>
      <c r="AP1527" s="137">
        <v>1</v>
      </c>
      <c r="AQ1527" s="137">
        <v>1</v>
      </c>
      <c r="AR1527" s="137">
        <v>1</v>
      </c>
      <c r="AS1527" s="158">
        <v>0.110069253262963</v>
      </c>
      <c r="AT1527" s="141">
        <v>0</v>
      </c>
      <c r="AU1527" s="141">
        <v>0.0952380952380952</v>
      </c>
      <c r="AV1527" s="141">
        <v>0.032258064516129</v>
      </c>
      <c r="AW1527" s="141">
        <v>0.0853889943074004</v>
      </c>
      <c r="AX1527" s="95"/>
      <c r="AY1527" s="93"/>
    </row>
    <row r="1528" ht="14.5" spans="1:51">
      <c r="A1528" s="91"/>
      <c r="B1528" s="95"/>
      <c r="C1528" s="152" t="s">
        <v>1455</v>
      </c>
      <c r="D1528" s="153" t="s">
        <v>25</v>
      </c>
      <c r="E1528" s="130" t="s">
        <v>1456</v>
      </c>
      <c r="F1528" s="171" t="s">
        <v>1560</v>
      </c>
      <c r="G1528" s="171" t="s">
        <v>1560</v>
      </c>
      <c r="H1528" s="171" t="s">
        <v>1560</v>
      </c>
      <c r="I1528" s="171" t="s">
        <v>1560</v>
      </c>
      <c r="J1528" s="132">
        <v>0.9</v>
      </c>
      <c r="K1528" s="133">
        <v>0.95</v>
      </c>
      <c r="L1528" s="133">
        <v>1</v>
      </c>
      <c r="M1528" s="134">
        <v>0.947368421052632</v>
      </c>
      <c r="N1528" s="133">
        <v>0.95625</v>
      </c>
      <c r="O1528" s="135">
        <v>0.9</v>
      </c>
      <c r="P1528" s="133">
        <v>0.995004995004995</v>
      </c>
      <c r="Q1528" s="133">
        <v>0.995036101083033</v>
      </c>
      <c r="R1528" s="133">
        <v>0.996771589991929</v>
      </c>
      <c r="S1528" s="133">
        <v>0.989553984370847</v>
      </c>
      <c r="T1528" s="135">
        <v>0.9</v>
      </c>
      <c r="U1528" s="133">
        <v>0.937562437562438</v>
      </c>
      <c r="V1528" s="133">
        <v>0.959386281588448</v>
      </c>
      <c r="W1528" s="133">
        <v>0.951977401129944</v>
      </c>
      <c r="X1528" s="133">
        <v>0.938254212960502</v>
      </c>
      <c r="Y1528" s="135">
        <v>0.92</v>
      </c>
      <c r="Z1528" s="135" t="s">
        <v>35</v>
      </c>
      <c r="AA1528" s="135" t="s">
        <v>35</v>
      </c>
      <c r="AB1528" s="135" t="s">
        <v>35</v>
      </c>
      <c r="AC1528" s="135" t="s">
        <v>35</v>
      </c>
      <c r="AD1528" s="135">
        <v>0.92</v>
      </c>
      <c r="AE1528" s="133">
        <v>0.979591836734694</v>
      </c>
      <c r="AF1528" s="133">
        <v>0.990196078431373</v>
      </c>
      <c r="AG1528" s="133">
        <v>0.989583333333333</v>
      </c>
      <c r="AH1528" s="133">
        <v>0.993067590987868</v>
      </c>
      <c r="AI1528" s="135">
        <v>0.92</v>
      </c>
      <c r="AJ1528" s="133">
        <v>0.962537462537463</v>
      </c>
      <c r="AK1528" s="133">
        <v>0.980595667870036</v>
      </c>
      <c r="AL1528" s="133">
        <v>0.981840193704601</v>
      </c>
      <c r="AM1528" s="133">
        <v>0.981207803944501</v>
      </c>
      <c r="AN1528" s="132">
        <v>0.99</v>
      </c>
      <c r="AO1528" s="137">
        <v>1</v>
      </c>
      <c r="AP1528" s="137">
        <v>1</v>
      </c>
      <c r="AQ1528" s="137">
        <v>1</v>
      </c>
      <c r="AR1528" s="137">
        <v>1</v>
      </c>
      <c r="AS1528" s="158">
        <v>0.110069253262963</v>
      </c>
      <c r="AT1528" s="141">
        <v>0.227272727272727</v>
      </c>
      <c r="AU1528" s="141">
        <v>0.125</v>
      </c>
      <c r="AV1528" s="141">
        <v>0</v>
      </c>
      <c r="AW1528" s="141">
        <v>0.127388535031847</v>
      </c>
      <c r="AX1528" s="95"/>
      <c r="AY1528" s="93"/>
    </row>
    <row r="1529" ht="14.5" spans="1:51">
      <c r="A1529" s="91"/>
      <c r="B1529" s="95"/>
      <c r="C1529" s="152" t="s">
        <v>1455</v>
      </c>
      <c r="D1529" s="153" t="s">
        <v>25</v>
      </c>
      <c r="E1529" s="130" t="s">
        <v>1456</v>
      </c>
      <c r="F1529" s="171" t="s">
        <v>1561</v>
      </c>
      <c r="G1529" s="171" t="s">
        <v>1561</v>
      </c>
      <c r="H1529" s="171" t="s">
        <v>1561</v>
      </c>
      <c r="I1529" s="171" t="s">
        <v>1561</v>
      </c>
      <c r="J1529" s="132">
        <v>0.9</v>
      </c>
      <c r="K1529" s="133">
        <v>0.9</v>
      </c>
      <c r="L1529" s="133">
        <v>0.956521739130435</v>
      </c>
      <c r="M1529" s="134">
        <v>0.91304347826087</v>
      </c>
      <c r="N1529" s="133">
        <v>0.900804289544236</v>
      </c>
      <c r="O1529" s="135">
        <v>0.9</v>
      </c>
      <c r="P1529" s="133">
        <v>0.943084803642573</v>
      </c>
      <c r="Q1529" s="133">
        <v>0.948652770716828</v>
      </c>
      <c r="R1529" s="133">
        <v>0.850131926121372</v>
      </c>
      <c r="S1529" s="133">
        <v>0.933478513356562</v>
      </c>
      <c r="T1529" s="135">
        <v>0.9</v>
      </c>
      <c r="U1529" s="133">
        <v>0.885031303357997</v>
      </c>
      <c r="V1529" s="133">
        <v>0.916115912557194</v>
      </c>
      <c r="W1529" s="133">
        <v>0.849076517150396</v>
      </c>
      <c r="X1529" s="133">
        <v>0.917595818815331</v>
      </c>
      <c r="Y1529" s="135">
        <v>0.92</v>
      </c>
      <c r="Z1529" s="135" t="s">
        <v>35</v>
      </c>
      <c r="AA1529" s="135" t="s">
        <v>35</v>
      </c>
      <c r="AB1529" s="135" t="s">
        <v>35</v>
      </c>
      <c r="AC1529" s="135" t="s">
        <v>35</v>
      </c>
      <c r="AD1529" s="135">
        <v>0.92</v>
      </c>
      <c r="AE1529" s="133">
        <v>0.984293193717278</v>
      </c>
      <c r="AF1529" s="133">
        <v>0.995327102803738</v>
      </c>
      <c r="AG1529" s="133">
        <v>1</v>
      </c>
      <c r="AH1529" s="133">
        <v>0.983694486161768</v>
      </c>
      <c r="AI1529" s="135">
        <v>0.92</v>
      </c>
      <c r="AJ1529" s="133">
        <v>0.928286852589641</v>
      </c>
      <c r="AK1529" s="133">
        <v>0.942043721403152</v>
      </c>
      <c r="AL1529" s="133">
        <v>0.925065963060686</v>
      </c>
      <c r="AM1529" s="133">
        <v>0.961817653890825</v>
      </c>
      <c r="AN1529" s="132">
        <v>0.99</v>
      </c>
      <c r="AO1529" s="137">
        <v>1</v>
      </c>
      <c r="AP1529" s="137">
        <v>1</v>
      </c>
      <c r="AQ1529" s="137">
        <v>1</v>
      </c>
      <c r="AR1529" s="137">
        <v>1</v>
      </c>
      <c r="AS1529" s="158">
        <v>0.110069253262963</v>
      </c>
      <c r="AT1529" s="141">
        <v>0</v>
      </c>
      <c r="AU1529" s="141">
        <v>0.125</v>
      </c>
      <c r="AV1529" s="141">
        <v>0.285714285714286</v>
      </c>
      <c r="AW1529" s="141">
        <v>0.133093525179856</v>
      </c>
      <c r="AX1529" s="95"/>
      <c r="AY1529" s="93"/>
    </row>
    <row r="1530" ht="14.5" spans="1:51">
      <c r="A1530" s="91"/>
      <c r="B1530" s="95"/>
      <c r="C1530" s="152" t="s">
        <v>1455</v>
      </c>
      <c r="D1530" s="153" t="s">
        <v>25</v>
      </c>
      <c r="E1530" s="130" t="s">
        <v>1456</v>
      </c>
      <c r="F1530" s="171" t="s">
        <v>1562</v>
      </c>
      <c r="G1530" s="171" t="s">
        <v>1562</v>
      </c>
      <c r="H1530" s="171" t="s">
        <v>1562</v>
      </c>
      <c r="I1530" s="171" t="s">
        <v>1562</v>
      </c>
      <c r="J1530" s="132">
        <v>0.9</v>
      </c>
      <c r="K1530" s="133">
        <v>1</v>
      </c>
      <c r="L1530" s="133">
        <v>1</v>
      </c>
      <c r="M1530" s="134">
        <v>0.96</v>
      </c>
      <c r="N1530" s="133">
        <v>0.959715639810427</v>
      </c>
      <c r="O1530" s="135">
        <v>0.9</v>
      </c>
      <c r="P1530" s="133">
        <v>0.997393117831074</v>
      </c>
      <c r="Q1530" s="133">
        <v>0.994255624700814</v>
      </c>
      <c r="R1530" s="133">
        <v>0.992517605633803</v>
      </c>
      <c r="S1530" s="133">
        <v>0.982874617737003</v>
      </c>
      <c r="T1530" s="135">
        <v>0.9</v>
      </c>
      <c r="U1530" s="133">
        <v>0.908237747653806</v>
      </c>
      <c r="V1530" s="133">
        <v>0.928195308760172</v>
      </c>
      <c r="W1530" s="133">
        <v>0.935739436619718</v>
      </c>
      <c r="X1530" s="133">
        <v>0.920878509869336</v>
      </c>
      <c r="Y1530" s="135">
        <v>0.92</v>
      </c>
      <c r="Z1530" s="135" t="s">
        <v>35</v>
      </c>
      <c r="AA1530" s="135" t="s">
        <v>35</v>
      </c>
      <c r="AB1530" s="135" t="s">
        <v>35</v>
      </c>
      <c r="AC1530" s="135" t="s">
        <v>35</v>
      </c>
      <c r="AD1530" s="135">
        <v>0.92</v>
      </c>
      <c r="AE1530" s="133">
        <v>1</v>
      </c>
      <c r="AF1530" s="133">
        <v>0.823529411764706</v>
      </c>
      <c r="AG1530" s="133">
        <v>0.872340425531915</v>
      </c>
      <c r="AH1530" s="133">
        <v>0.838063439065108</v>
      </c>
      <c r="AI1530" s="135">
        <v>0.92</v>
      </c>
      <c r="AJ1530" s="133">
        <v>0.959332638164755</v>
      </c>
      <c r="AK1530" s="133">
        <v>0.972714217328866</v>
      </c>
      <c r="AL1530" s="133">
        <v>0.974031690140845</v>
      </c>
      <c r="AM1530" s="133">
        <v>0.974284125660272</v>
      </c>
      <c r="AN1530" s="132">
        <v>0.99</v>
      </c>
      <c r="AO1530" s="137">
        <v>1</v>
      </c>
      <c r="AP1530" s="137">
        <v>1</v>
      </c>
      <c r="AQ1530" s="137">
        <v>1</v>
      </c>
      <c r="AR1530" s="137">
        <v>1</v>
      </c>
      <c r="AS1530" s="158">
        <v>0.110069253262963</v>
      </c>
      <c r="AT1530" s="141">
        <v>0.0625</v>
      </c>
      <c r="AU1530" s="141">
        <v>0.0526315789473684</v>
      </c>
      <c r="AV1530" s="141">
        <v>0.0588235294117647</v>
      </c>
      <c r="AW1530" s="141">
        <v>0.074235807860262</v>
      </c>
      <c r="AX1530" s="95"/>
      <c r="AY1530" s="93"/>
    </row>
    <row r="1531" ht="14.5" spans="1:51">
      <c r="A1531" s="91"/>
      <c r="B1531" s="95"/>
      <c r="C1531" s="152" t="s">
        <v>1455</v>
      </c>
      <c r="D1531" s="153" t="s">
        <v>25</v>
      </c>
      <c r="E1531" s="130" t="s">
        <v>1456</v>
      </c>
      <c r="F1531" s="171" t="s">
        <v>1563</v>
      </c>
      <c r="G1531" s="171" t="s">
        <v>1563</v>
      </c>
      <c r="H1531" s="171" t="s">
        <v>1563</v>
      </c>
      <c r="I1531" s="171" t="s">
        <v>1563</v>
      </c>
      <c r="J1531" s="132">
        <v>0.9</v>
      </c>
      <c r="K1531" s="133">
        <v>0.966666666666667</v>
      </c>
      <c r="L1531" s="133">
        <v>0.96875</v>
      </c>
      <c r="M1531" s="134">
        <v>1</v>
      </c>
      <c r="N1531" s="133">
        <v>0.985533453887884</v>
      </c>
      <c r="O1531" s="135">
        <v>0.9</v>
      </c>
      <c r="P1531" s="133">
        <v>0.987301587301587</v>
      </c>
      <c r="Q1531" s="133">
        <v>0.983885407341092</v>
      </c>
      <c r="R1531" s="133">
        <v>0.987910189982729</v>
      </c>
      <c r="S1531" s="133">
        <v>0.979713858637626</v>
      </c>
      <c r="T1531" s="135">
        <v>0.9</v>
      </c>
      <c r="U1531" s="133">
        <v>0.902645502645503</v>
      </c>
      <c r="V1531" s="133">
        <v>0.940017905102954</v>
      </c>
      <c r="W1531" s="133">
        <v>0.936096718480138</v>
      </c>
      <c r="X1531" s="133">
        <v>0.923980354473628</v>
      </c>
      <c r="Y1531" s="135">
        <v>0.92</v>
      </c>
      <c r="Z1531" s="135" t="s">
        <v>35</v>
      </c>
      <c r="AA1531" s="135" t="s">
        <v>35</v>
      </c>
      <c r="AB1531" s="135" t="s">
        <v>35</v>
      </c>
      <c r="AC1531" s="135" t="s">
        <v>35</v>
      </c>
      <c r="AD1531" s="135">
        <v>0.92</v>
      </c>
      <c r="AE1531" s="133">
        <v>0.807692307692308</v>
      </c>
      <c r="AF1531" s="133">
        <v>0.90547263681592</v>
      </c>
      <c r="AG1531" s="133">
        <v>0.962365591397849</v>
      </c>
      <c r="AH1531" s="133">
        <v>0.94792142530836</v>
      </c>
      <c r="AI1531" s="135">
        <v>0.92</v>
      </c>
      <c r="AJ1531" s="133">
        <v>0.937566137566138</v>
      </c>
      <c r="AK1531" s="133">
        <v>0.957923008057296</v>
      </c>
      <c r="AL1531" s="133">
        <v>0.963298791018998</v>
      </c>
      <c r="AM1531" s="133">
        <v>0.960468716634636</v>
      </c>
      <c r="AN1531" s="132">
        <v>0.99</v>
      </c>
      <c r="AO1531" s="137">
        <v>1</v>
      </c>
      <c r="AP1531" s="137">
        <v>1</v>
      </c>
      <c r="AQ1531" s="137">
        <v>1</v>
      </c>
      <c r="AR1531" s="137">
        <v>1</v>
      </c>
      <c r="AS1531" s="158">
        <v>0.110069253262963</v>
      </c>
      <c r="AT1531" s="141">
        <v>0.0909090909090909</v>
      </c>
      <c r="AU1531" s="141">
        <v>0.05</v>
      </c>
      <c r="AV1531" s="141">
        <v>0</v>
      </c>
      <c r="AW1531" s="141">
        <v>0.0532319391634981</v>
      </c>
      <c r="AX1531" s="95"/>
      <c r="AY1531" s="93"/>
    </row>
    <row r="1532" ht="14.5" spans="1:51">
      <c r="A1532" s="91"/>
      <c r="B1532" s="95"/>
      <c r="C1532" s="152" t="s">
        <v>1455</v>
      </c>
      <c r="D1532" s="153" t="s">
        <v>125</v>
      </c>
      <c r="E1532" s="130" t="s">
        <v>1456</v>
      </c>
      <c r="F1532" s="171" t="s">
        <v>1564</v>
      </c>
      <c r="G1532" s="171" t="s">
        <v>1564</v>
      </c>
      <c r="H1532" s="171" t="s">
        <v>1564</v>
      </c>
      <c r="I1532" s="171" t="s">
        <v>1564</v>
      </c>
      <c r="J1532" s="132">
        <v>0.9</v>
      </c>
      <c r="K1532" s="133" t="s">
        <v>35</v>
      </c>
      <c r="L1532" s="133" t="s">
        <v>35</v>
      </c>
      <c r="M1532" s="134" t="s">
        <v>35</v>
      </c>
      <c r="N1532" s="133" t="s">
        <v>35</v>
      </c>
      <c r="O1532" s="135">
        <v>0.9</v>
      </c>
      <c r="P1532" s="133" t="s">
        <v>35</v>
      </c>
      <c r="Q1532" s="133" t="s">
        <v>35</v>
      </c>
      <c r="R1532" s="133" t="s">
        <v>35</v>
      </c>
      <c r="S1532" s="133" t="s">
        <v>35</v>
      </c>
      <c r="T1532" s="135">
        <v>0.9</v>
      </c>
      <c r="U1532" s="133" t="s">
        <v>35</v>
      </c>
      <c r="V1532" s="133" t="s">
        <v>35</v>
      </c>
      <c r="W1532" s="133" t="s">
        <v>35</v>
      </c>
      <c r="X1532" s="133" t="s">
        <v>35</v>
      </c>
      <c r="Y1532" s="135">
        <v>0.92</v>
      </c>
      <c r="Z1532" s="135" t="s">
        <v>35</v>
      </c>
      <c r="AA1532" s="135" t="s">
        <v>35</v>
      </c>
      <c r="AB1532" s="135" t="s">
        <v>35</v>
      </c>
      <c r="AC1532" s="135" t="s">
        <v>35</v>
      </c>
      <c r="AD1532" s="135">
        <v>0.92</v>
      </c>
      <c r="AE1532" s="133">
        <v>1</v>
      </c>
      <c r="AF1532" s="133">
        <v>0.994117647058824</v>
      </c>
      <c r="AG1532" s="133">
        <v>0.992857142857143</v>
      </c>
      <c r="AH1532" s="133">
        <v>0.992176870748299</v>
      </c>
      <c r="AI1532" s="135">
        <v>0.92</v>
      </c>
      <c r="AJ1532" s="133" t="s">
        <v>35</v>
      </c>
      <c r="AK1532" s="133" t="s">
        <v>35</v>
      </c>
      <c r="AL1532" s="133" t="s">
        <v>35</v>
      </c>
      <c r="AM1532" s="133" t="s">
        <v>35</v>
      </c>
      <c r="AN1532" s="132">
        <v>0.99</v>
      </c>
      <c r="AO1532" s="137" t="s">
        <v>35</v>
      </c>
      <c r="AP1532" s="137" t="s">
        <v>35</v>
      </c>
      <c r="AQ1532" s="137" t="s">
        <v>35</v>
      </c>
      <c r="AR1532" s="137">
        <v>1</v>
      </c>
      <c r="AS1532" s="158">
        <v>0.110069253262963</v>
      </c>
      <c r="AT1532" s="141" t="s">
        <v>35</v>
      </c>
      <c r="AU1532" s="141" t="s">
        <v>35</v>
      </c>
      <c r="AV1532" s="141" t="s">
        <v>35</v>
      </c>
      <c r="AW1532" s="141" t="s">
        <v>35</v>
      </c>
      <c r="AX1532" s="95"/>
      <c r="AY1532" s="93"/>
    </row>
    <row r="1533" ht="14.5" spans="1:51">
      <c r="A1533" s="91"/>
      <c r="B1533" s="95"/>
      <c r="C1533" s="152" t="s">
        <v>1455</v>
      </c>
      <c r="D1533" s="153" t="s">
        <v>25</v>
      </c>
      <c r="E1533" s="130" t="s">
        <v>1456</v>
      </c>
      <c r="F1533" s="171" t="s">
        <v>1565</v>
      </c>
      <c r="G1533" s="171" t="s">
        <v>1565</v>
      </c>
      <c r="H1533" s="171" t="s">
        <v>1565</v>
      </c>
      <c r="I1533" s="171" t="s">
        <v>1565</v>
      </c>
      <c r="J1533" s="132">
        <v>0.9</v>
      </c>
      <c r="K1533" s="133">
        <v>0.971428571428571</v>
      </c>
      <c r="L1533" s="133">
        <v>0.96875</v>
      </c>
      <c r="M1533" s="134">
        <v>0.971830985915493</v>
      </c>
      <c r="N1533" s="133">
        <v>0.961469534050179</v>
      </c>
      <c r="O1533" s="135">
        <v>0.9</v>
      </c>
      <c r="P1533" s="133">
        <v>0.930609597924773</v>
      </c>
      <c r="Q1533" s="133">
        <v>0.968398576512456</v>
      </c>
      <c r="R1533" s="133">
        <v>0.980314440480909</v>
      </c>
      <c r="S1533" s="133">
        <v>0.961652705002837</v>
      </c>
      <c r="T1533" s="135">
        <v>0.9</v>
      </c>
      <c r="U1533" s="133">
        <v>0.848249027237354</v>
      </c>
      <c r="V1533" s="133">
        <v>0.898932384341637</v>
      </c>
      <c r="W1533" s="133">
        <v>0.924164354604307</v>
      </c>
      <c r="X1533" s="133">
        <v>0.904215198745119</v>
      </c>
      <c r="Y1533" s="135">
        <v>0.92</v>
      </c>
      <c r="Z1533" s="135" t="s">
        <v>35</v>
      </c>
      <c r="AA1533" s="135" t="s">
        <v>35</v>
      </c>
      <c r="AB1533" s="135" t="s">
        <v>35</v>
      </c>
      <c r="AC1533" s="135">
        <v>1</v>
      </c>
      <c r="AD1533" s="135">
        <v>0.92</v>
      </c>
      <c r="AE1533" s="133">
        <v>0.981884057971015</v>
      </c>
      <c r="AF1533" s="133">
        <v>0.901515151515151</v>
      </c>
      <c r="AG1533" s="133">
        <v>1</v>
      </c>
      <c r="AH1533" s="133">
        <v>0.978740970072239</v>
      </c>
      <c r="AI1533" s="135">
        <v>0.92</v>
      </c>
      <c r="AJ1533" s="133">
        <v>0.906452658884565</v>
      </c>
      <c r="AK1533" s="133">
        <v>0.944626334519573</v>
      </c>
      <c r="AL1533" s="133">
        <v>0.973312194477474</v>
      </c>
      <c r="AM1533" s="133">
        <v>0.965692163930049</v>
      </c>
      <c r="AN1533" s="132">
        <v>0.99</v>
      </c>
      <c r="AO1533" s="137">
        <v>1</v>
      </c>
      <c r="AP1533" s="137">
        <v>1</v>
      </c>
      <c r="AQ1533" s="137">
        <v>1</v>
      </c>
      <c r="AR1533" s="137">
        <v>1</v>
      </c>
      <c r="AS1533" s="158">
        <v>0.110069253262963</v>
      </c>
      <c r="AT1533" s="141">
        <v>0.0491803278688525</v>
      </c>
      <c r="AU1533" s="141">
        <v>0.0666666666666667</v>
      </c>
      <c r="AV1533" s="141">
        <v>0.0655737704918033</v>
      </c>
      <c r="AW1533" s="141">
        <v>0.0782122905027933</v>
      </c>
      <c r="AX1533" s="95"/>
      <c r="AY1533" s="93"/>
    </row>
    <row r="1534" ht="14.5" spans="1:51">
      <c r="A1534" s="91"/>
      <c r="B1534" s="95"/>
      <c r="C1534" s="152" t="s">
        <v>1455</v>
      </c>
      <c r="D1534" s="153" t="s">
        <v>25</v>
      </c>
      <c r="E1534" s="130" t="s">
        <v>1456</v>
      </c>
      <c r="F1534" s="171" t="s">
        <v>1566</v>
      </c>
      <c r="G1534" s="171" t="s">
        <v>1566</v>
      </c>
      <c r="H1534" s="171" t="s">
        <v>1566</v>
      </c>
      <c r="I1534" s="171" t="s">
        <v>1566</v>
      </c>
      <c r="J1534" s="132">
        <v>0.9</v>
      </c>
      <c r="K1534" s="133">
        <v>1</v>
      </c>
      <c r="L1534" s="133">
        <v>0.933333333333333</v>
      </c>
      <c r="M1534" s="134">
        <v>1</v>
      </c>
      <c r="N1534" s="133">
        <v>0.973282442748092</v>
      </c>
      <c r="O1534" s="135">
        <v>0.9</v>
      </c>
      <c r="P1534" s="133">
        <v>0.997050147492625</v>
      </c>
      <c r="Q1534" s="133">
        <v>0.990977443609023</v>
      </c>
      <c r="R1534" s="133">
        <v>0.997774480712166</v>
      </c>
      <c r="S1534" s="133">
        <v>0.995315593760564</v>
      </c>
      <c r="T1534" s="135">
        <v>0.9</v>
      </c>
      <c r="U1534" s="133">
        <v>0.929203539823009</v>
      </c>
      <c r="V1534" s="133">
        <v>0.951127819548872</v>
      </c>
      <c r="W1534" s="133">
        <v>0.976261127596439</v>
      </c>
      <c r="X1534" s="133">
        <v>0.950403245279374</v>
      </c>
      <c r="Y1534" s="135">
        <v>0.92</v>
      </c>
      <c r="Z1534" s="135" t="s">
        <v>35</v>
      </c>
      <c r="AA1534" s="135" t="s">
        <v>35</v>
      </c>
      <c r="AB1534" s="135" t="s">
        <v>35</v>
      </c>
      <c r="AC1534" s="135" t="s">
        <v>35</v>
      </c>
      <c r="AD1534" s="135">
        <v>0.92</v>
      </c>
      <c r="AE1534" s="133">
        <v>1</v>
      </c>
      <c r="AF1534" s="133">
        <v>1</v>
      </c>
      <c r="AG1534" s="133">
        <v>1</v>
      </c>
      <c r="AH1534" s="133">
        <v>0.991816693944354</v>
      </c>
      <c r="AI1534" s="135">
        <v>0.92</v>
      </c>
      <c r="AJ1534" s="133">
        <v>0.948869223205506</v>
      </c>
      <c r="AK1534" s="133">
        <v>0.972932330827068</v>
      </c>
      <c r="AL1534" s="133">
        <v>0.991839762611276</v>
      </c>
      <c r="AM1534" s="133">
        <v>0.983628724585889</v>
      </c>
      <c r="AN1534" s="132">
        <v>0.99</v>
      </c>
      <c r="AO1534" s="137" t="s">
        <v>35</v>
      </c>
      <c r="AP1534" s="137">
        <v>1</v>
      </c>
      <c r="AQ1534" s="137">
        <v>1</v>
      </c>
      <c r="AR1534" s="137">
        <v>1</v>
      </c>
      <c r="AS1534" s="158">
        <v>0.110069253262963</v>
      </c>
      <c r="AT1534" s="141">
        <v>0.0144927536231884</v>
      </c>
      <c r="AU1534" s="141">
        <v>0.0512820512820513</v>
      </c>
      <c r="AV1534" s="141">
        <v>0.0196078431372549</v>
      </c>
      <c r="AW1534" s="141">
        <v>0.036101083032491</v>
      </c>
      <c r="AX1534" s="95"/>
      <c r="AY1534" s="93"/>
    </row>
    <row r="1535" ht="14.5" spans="1:51">
      <c r="A1535" s="91"/>
      <c r="B1535" s="95"/>
      <c r="C1535" s="152" t="s">
        <v>1455</v>
      </c>
      <c r="D1535" s="153" t="s">
        <v>25</v>
      </c>
      <c r="E1535" s="130" t="s">
        <v>1456</v>
      </c>
      <c r="F1535" s="171" t="s">
        <v>1567</v>
      </c>
      <c r="G1535" s="171" t="s">
        <v>1567</v>
      </c>
      <c r="H1535" s="171" t="s">
        <v>1567</v>
      </c>
      <c r="I1535" s="171" t="s">
        <v>1567</v>
      </c>
      <c r="J1535" s="132">
        <v>0.9</v>
      </c>
      <c r="K1535" s="133">
        <v>0.846153846153846</v>
      </c>
      <c r="L1535" s="133">
        <v>1</v>
      </c>
      <c r="M1535" s="134">
        <v>1</v>
      </c>
      <c r="N1535" s="133">
        <v>0.937142857142857</v>
      </c>
      <c r="O1535" s="135">
        <v>0.9</v>
      </c>
      <c r="P1535" s="133">
        <v>0.99273607748184</v>
      </c>
      <c r="Q1535" s="133">
        <v>0.997101449275362</v>
      </c>
      <c r="R1535" s="133">
        <v>0.995215311004785</v>
      </c>
      <c r="S1535" s="133">
        <v>0.98191384413022</v>
      </c>
      <c r="T1535" s="135">
        <v>0.9</v>
      </c>
      <c r="U1535" s="133">
        <v>0.823244552058111</v>
      </c>
      <c r="V1535" s="133">
        <v>0.82536231884058</v>
      </c>
      <c r="W1535" s="133">
        <v>0.688311688311688</v>
      </c>
      <c r="X1535" s="133">
        <v>0.727830757426285</v>
      </c>
      <c r="Y1535" s="135">
        <v>0.92</v>
      </c>
      <c r="Z1535" s="135" t="s">
        <v>35</v>
      </c>
      <c r="AA1535" s="135" t="s">
        <v>35</v>
      </c>
      <c r="AB1535" s="135" t="s">
        <v>35</v>
      </c>
      <c r="AC1535" s="135" t="s">
        <v>35</v>
      </c>
      <c r="AD1535" s="135">
        <v>0.92</v>
      </c>
      <c r="AE1535" s="133">
        <v>1</v>
      </c>
      <c r="AF1535" s="133">
        <v>0.989247311827957</v>
      </c>
      <c r="AG1535" s="133">
        <v>1</v>
      </c>
      <c r="AH1535" s="133">
        <v>0.997887323943662</v>
      </c>
      <c r="AI1535" s="135">
        <v>0.92</v>
      </c>
      <c r="AJ1535" s="133">
        <v>0.858757062146893</v>
      </c>
      <c r="AK1535" s="133">
        <v>0.909420289855073</v>
      </c>
      <c r="AL1535" s="133">
        <v>0.868762816131237</v>
      </c>
      <c r="AM1535" s="133">
        <v>0.864116336000585</v>
      </c>
      <c r="AN1535" s="132">
        <v>0.99</v>
      </c>
      <c r="AO1535" s="137">
        <v>1</v>
      </c>
      <c r="AP1535" s="137" t="s">
        <v>35</v>
      </c>
      <c r="AQ1535" s="137">
        <v>1</v>
      </c>
      <c r="AR1535" s="137">
        <v>1</v>
      </c>
      <c r="AS1535" s="158">
        <v>0.110069253262963</v>
      </c>
      <c r="AT1535" s="141">
        <v>0.111111111111111</v>
      </c>
      <c r="AU1535" s="141">
        <v>0.0689655172413793</v>
      </c>
      <c r="AV1535" s="141">
        <v>0.0606060606060606</v>
      </c>
      <c r="AW1535" s="141">
        <v>0.0698602794411178</v>
      </c>
      <c r="AX1535" s="95"/>
      <c r="AY1535" s="93"/>
    </row>
    <row r="1536" ht="14.5" spans="1:51">
      <c r="A1536" s="91"/>
      <c r="B1536" s="95"/>
      <c r="C1536" s="152" t="s">
        <v>1455</v>
      </c>
      <c r="D1536" s="153" t="s">
        <v>25</v>
      </c>
      <c r="E1536" s="130" t="s">
        <v>1456</v>
      </c>
      <c r="F1536" s="171" t="s">
        <v>1568</v>
      </c>
      <c r="G1536" s="171" t="s">
        <v>1568</v>
      </c>
      <c r="H1536" s="171" t="s">
        <v>1568</v>
      </c>
      <c r="I1536" s="171" t="s">
        <v>1568</v>
      </c>
      <c r="J1536" s="132">
        <v>0.9</v>
      </c>
      <c r="K1536" s="133">
        <v>1</v>
      </c>
      <c r="L1536" s="133">
        <v>1</v>
      </c>
      <c r="M1536" s="134">
        <v>1</v>
      </c>
      <c r="N1536" s="133">
        <v>0.99814126394052</v>
      </c>
      <c r="O1536" s="135">
        <v>0.9</v>
      </c>
      <c r="P1536" s="133">
        <v>0.990844354018311</v>
      </c>
      <c r="Q1536" s="133">
        <v>0.994377162629758</v>
      </c>
      <c r="R1536" s="133">
        <v>0.989328063241107</v>
      </c>
      <c r="S1536" s="133">
        <v>0.977895416397676</v>
      </c>
      <c r="T1536" s="135">
        <v>0.9</v>
      </c>
      <c r="U1536" s="133">
        <v>0.880467955239064</v>
      </c>
      <c r="V1536" s="133">
        <v>0.913927335640138</v>
      </c>
      <c r="W1536" s="133">
        <v>0.885375494071146</v>
      </c>
      <c r="X1536" s="133">
        <v>0.918579728857327</v>
      </c>
      <c r="Y1536" s="135">
        <v>0.92</v>
      </c>
      <c r="Z1536" s="135" t="s">
        <v>35</v>
      </c>
      <c r="AA1536" s="135" t="s">
        <v>35</v>
      </c>
      <c r="AB1536" s="135" t="s">
        <v>35</v>
      </c>
      <c r="AC1536" s="135" t="s">
        <v>35</v>
      </c>
      <c r="AD1536" s="135">
        <v>0.92</v>
      </c>
      <c r="AE1536" s="133">
        <v>1</v>
      </c>
      <c r="AF1536" s="133">
        <v>1</v>
      </c>
      <c r="AG1536" s="133">
        <v>0.990291262135922</v>
      </c>
      <c r="AH1536" s="133">
        <v>0.996811224489796</v>
      </c>
      <c r="AI1536" s="135">
        <v>0.92</v>
      </c>
      <c r="AJ1536" s="133">
        <v>0.965920651068159</v>
      </c>
      <c r="AK1536" s="133">
        <v>0.954152249134948</v>
      </c>
      <c r="AL1536" s="133">
        <v>0.959288537549407</v>
      </c>
      <c r="AM1536" s="133">
        <v>0.970278365955689</v>
      </c>
      <c r="AN1536" s="132">
        <v>0.99</v>
      </c>
      <c r="AO1536" s="137">
        <v>1</v>
      </c>
      <c r="AP1536" s="137">
        <v>1</v>
      </c>
      <c r="AQ1536" s="137">
        <v>1</v>
      </c>
      <c r="AR1536" s="137">
        <v>1</v>
      </c>
      <c r="AS1536" s="158">
        <v>0.110069253262963</v>
      </c>
      <c r="AT1536" s="141">
        <v>0</v>
      </c>
      <c r="AU1536" s="141">
        <v>0</v>
      </c>
      <c r="AV1536" s="141">
        <v>0.0740740740740741</v>
      </c>
      <c r="AW1536" s="141">
        <v>0.0478589420654912</v>
      </c>
      <c r="AX1536" s="95"/>
      <c r="AY1536" s="93"/>
    </row>
    <row r="1537" ht="14.5" spans="1:51">
      <c r="A1537" s="91"/>
      <c r="B1537" s="95"/>
      <c r="C1537" s="152" t="s">
        <v>1455</v>
      </c>
      <c r="D1537" s="153" t="s">
        <v>25</v>
      </c>
      <c r="E1537" s="130" t="s">
        <v>1456</v>
      </c>
      <c r="F1537" s="171" t="s">
        <v>1569</v>
      </c>
      <c r="G1537" s="171" t="s">
        <v>1569</v>
      </c>
      <c r="H1537" s="171" t="s">
        <v>1569</v>
      </c>
      <c r="I1537" s="171" t="s">
        <v>1569</v>
      </c>
      <c r="J1537" s="132">
        <v>0.9</v>
      </c>
      <c r="K1537" s="133">
        <v>1</v>
      </c>
      <c r="L1537" s="133">
        <v>0.848484848484849</v>
      </c>
      <c r="M1537" s="134">
        <v>0.973684210526316</v>
      </c>
      <c r="N1537" s="133">
        <v>0.953301127214171</v>
      </c>
      <c r="O1537" s="135">
        <v>0.9</v>
      </c>
      <c r="P1537" s="133">
        <v>0.993770314192849</v>
      </c>
      <c r="Q1537" s="133">
        <v>0.9937624750499</v>
      </c>
      <c r="R1537" s="133">
        <v>0.995658465991317</v>
      </c>
      <c r="S1537" s="133">
        <v>0.991147990433413</v>
      </c>
      <c r="T1537" s="135">
        <v>0.9</v>
      </c>
      <c r="U1537" s="133">
        <v>0.931473456121343</v>
      </c>
      <c r="V1537" s="133">
        <v>0.964071856287425</v>
      </c>
      <c r="W1537" s="133">
        <v>0.933671008200675</v>
      </c>
      <c r="X1537" s="133">
        <v>0.951292072566062</v>
      </c>
      <c r="Y1537" s="135">
        <v>0.92</v>
      </c>
      <c r="Z1537" s="135" t="s">
        <v>35</v>
      </c>
      <c r="AA1537" s="135" t="s">
        <v>35</v>
      </c>
      <c r="AB1537" s="135" t="s">
        <v>35</v>
      </c>
      <c r="AC1537" s="135" t="s">
        <v>35</v>
      </c>
      <c r="AD1537" s="135">
        <v>0.92</v>
      </c>
      <c r="AE1537" s="133">
        <v>0.971731448763251</v>
      </c>
      <c r="AF1537" s="133">
        <v>0.963157894736842</v>
      </c>
      <c r="AG1537" s="133">
        <v>0.990476190476191</v>
      </c>
      <c r="AH1537" s="133">
        <v>0.973742399115533</v>
      </c>
      <c r="AI1537" s="135">
        <v>0.92</v>
      </c>
      <c r="AJ1537" s="133">
        <v>0.973997833152763</v>
      </c>
      <c r="AK1537" s="133">
        <v>0.984530938123752</v>
      </c>
      <c r="AL1537" s="133">
        <v>0.987457790641582</v>
      </c>
      <c r="AM1537" s="133">
        <v>0.987823373290168</v>
      </c>
      <c r="AN1537" s="132">
        <v>0.99</v>
      </c>
      <c r="AO1537" s="137">
        <v>1</v>
      </c>
      <c r="AP1537" s="137">
        <v>1</v>
      </c>
      <c r="AQ1537" s="137">
        <v>1</v>
      </c>
      <c r="AR1537" s="137">
        <v>1</v>
      </c>
      <c r="AS1537" s="158">
        <v>0.110069253262963</v>
      </c>
      <c r="AT1537" s="141">
        <v>0.0888888888888889</v>
      </c>
      <c r="AU1537" s="141">
        <v>0.0344827586206897</v>
      </c>
      <c r="AV1537" s="141">
        <v>0.108695652173913</v>
      </c>
      <c r="AW1537" s="141">
        <v>0.0754414125200642</v>
      </c>
      <c r="AX1537" s="95"/>
      <c r="AY1537" s="93"/>
    </row>
    <row r="1538" ht="14.5" spans="1:51">
      <c r="A1538" s="91"/>
      <c r="B1538" s="95"/>
      <c r="C1538" s="152" t="s">
        <v>1455</v>
      </c>
      <c r="D1538" s="153" t="s">
        <v>25</v>
      </c>
      <c r="E1538" s="130" t="s">
        <v>1456</v>
      </c>
      <c r="F1538" s="171" t="s">
        <v>1570</v>
      </c>
      <c r="G1538" s="171" t="s">
        <v>1570</v>
      </c>
      <c r="H1538" s="171" t="s">
        <v>1570</v>
      </c>
      <c r="I1538" s="171" t="s">
        <v>1570</v>
      </c>
      <c r="J1538" s="132">
        <v>0.9</v>
      </c>
      <c r="K1538" s="133">
        <v>0.972222222222222</v>
      </c>
      <c r="L1538" s="133">
        <v>0.903225806451613</v>
      </c>
      <c r="M1538" s="134">
        <v>0.911764705882353</v>
      </c>
      <c r="N1538" s="133">
        <v>0.932318104906937</v>
      </c>
      <c r="O1538" s="135">
        <v>0.9</v>
      </c>
      <c r="P1538" s="133">
        <v>0.914598961338719</v>
      </c>
      <c r="Q1538" s="133">
        <v>0.774450461930551</v>
      </c>
      <c r="R1538" s="133">
        <v>0.909574468085106</v>
      </c>
      <c r="S1538" s="133">
        <v>0.896057347670251</v>
      </c>
      <c r="T1538" s="135">
        <v>0.9</v>
      </c>
      <c r="U1538" s="133">
        <v>0.3799769186382</v>
      </c>
      <c r="V1538" s="133">
        <v>0.374323032812998</v>
      </c>
      <c r="W1538" s="133">
        <v>0.353303471444569</v>
      </c>
      <c r="X1538" s="133">
        <v>0.339329698143335</v>
      </c>
      <c r="Y1538" s="135">
        <v>0.92</v>
      </c>
      <c r="Z1538" s="135" t="s">
        <v>35</v>
      </c>
      <c r="AA1538" s="135" t="s">
        <v>35</v>
      </c>
      <c r="AB1538" s="135" t="s">
        <v>35</v>
      </c>
      <c r="AC1538" s="135" t="s">
        <v>35</v>
      </c>
      <c r="AD1538" s="135">
        <v>0.92</v>
      </c>
      <c r="AE1538" s="133">
        <v>0.89622641509434</v>
      </c>
      <c r="AF1538" s="133">
        <v>1</v>
      </c>
      <c r="AG1538" s="133">
        <v>1</v>
      </c>
      <c r="AH1538" s="133">
        <v>0.981366459627329</v>
      </c>
      <c r="AI1538" s="135">
        <v>0.92</v>
      </c>
      <c r="AJ1538" s="133">
        <v>0.837564916330063</v>
      </c>
      <c r="AK1538" s="133">
        <v>0.849952214080917</v>
      </c>
      <c r="AL1538" s="133">
        <v>0.848544232922732</v>
      </c>
      <c r="AM1538" s="133">
        <v>0.86702678829265</v>
      </c>
      <c r="AN1538" s="132">
        <v>0.99</v>
      </c>
      <c r="AO1538" s="137">
        <v>1</v>
      </c>
      <c r="AP1538" s="137">
        <v>1</v>
      </c>
      <c r="AQ1538" s="137">
        <v>1</v>
      </c>
      <c r="AR1538" s="137">
        <v>1</v>
      </c>
      <c r="AS1538" s="158">
        <v>0.110069253262963</v>
      </c>
      <c r="AT1538" s="141">
        <v>0.0476190476190476</v>
      </c>
      <c r="AU1538" s="141">
        <v>0.0540540540540541</v>
      </c>
      <c r="AV1538" s="141">
        <v>0.2</v>
      </c>
      <c r="AW1538" s="141">
        <v>0.106796116504854</v>
      </c>
      <c r="AX1538" s="95"/>
      <c r="AY1538" s="93"/>
    </row>
    <row r="1539" ht="14.5" spans="1:51">
      <c r="A1539" s="91"/>
      <c r="B1539" s="95"/>
      <c r="C1539" s="152" t="s">
        <v>1455</v>
      </c>
      <c r="D1539" s="153" t="s">
        <v>25</v>
      </c>
      <c r="E1539" s="130" t="s">
        <v>1456</v>
      </c>
      <c r="F1539" s="171" t="s">
        <v>1571</v>
      </c>
      <c r="G1539" s="171" t="s">
        <v>1571</v>
      </c>
      <c r="H1539" s="171" t="s">
        <v>1571</v>
      </c>
      <c r="I1539" s="171" t="s">
        <v>1571</v>
      </c>
      <c r="J1539" s="132">
        <v>0.9</v>
      </c>
      <c r="K1539" s="133">
        <v>0.944444444444444</v>
      </c>
      <c r="L1539" s="133">
        <v>1</v>
      </c>
      <c r="M1539" s="134">
        <v>1</v>
      </c>
      <c r="N1539" s="133">
        <v>0.984662576687117</v>
      </c>
      <c r="O1539" s="135">
        <v>0.9</v>
      </c>
      <c r="P1539" s="133">
        <v>0.984116479152879</v>
      </c>
      <c r="Q1539" s="133">
        <v>0.986065573770492</v>
      </c>
      <c r="R1539" s="133">
        <v>0.974683544303797</v>
      </c>
      <c r="S1539" s="133">
        <v>0.949142657179517</v>
      </c>
      <c r="T1539" s="135">
        <v>0.9</v>
      </c>
      <c r="U1539" s="133">
        <v>0.693580410324289</v>
      </c>
      <c r="V1539" s="133">
        <v>0.823770491803279</v>
      </c>
      <c r="W1539" s="133">
        <v>0.741209563994374</v>
      </c>
      <c r="X1539" s="133">
        <v>0.717290718923753</v>
      </c>
      <c r="Y1539" s="135">
        <v>0.92</v>
      </c>
      <c r="Z1539" s="135" t="s">
        <v>35</v>
      </c>
      <c r="AA1539" s="135" t="s">
        <v>35</v>
      </c>
      <c r="AB1539" s="135" t="s">
        <v>35</v>
      </c>
      <c r="AC1539" s="135" t="s">
        <v>35</v>
      </c>
      <c r="AD1539" s="135">
        <v>0.92</v>
      </c>
      <c r="AE1539" s="133">
        <v>0.96969696969697</v>
      </c>
      <c r="AF1539" s="133">
        <v>1</v>
      </c>
      <c r="AG1539" s="133">
        <v>1</v>
      </c>
      <c r="AH1539" s="133">
        <v>0.97051597051597</v>
      </c>
      <c r="AI1539" s="135">
        <v>0.92</v>
      </c>
      <c r="AJ1539" s="133">
        <v>0.946393117140966</v>
      </c>
      <c r="AK1539" s="133">
        <v>0.949180327868852</v>
      </c>
      <c r="AL1539" s="133">
        <v>0.954992967651195</v>
      </c>
      <c r="AM1539" s="133">
        <v>0.940160970488744</v>
      </c>
      <c r="AN1539" s="132">
        <v>0.99</v>
      </c>
      <c r="AO1539" s="137">
        <v>1</v>
      </c>
      <c r="AP1539" s="137">
        <v>1</v>
      </c>
      <c r="AQ1539" s="137">
        <v>1</v>
      </c>
      <c r="AR1539" s="137">
        <v>1</v>
      </c>
      <c r="AS1539" s="158">
        <v>0.110069253262963</v>
      </c>
      <c r="AT1539" s="141">
        <v>0.125</v>
      </c>
      <c r="AU1539" s="141">
        <v>0.2</v>
      </c>
      <c r="AV1539" s="141">
        <v>0.142857142857143</v>
      </c>
      <c r="AW1539" s="141">
        <v>0.0804597701149425</v>
      </c>
      <c r="AX1539" s="95"/>
      <c r="AY1539" s="93"/>
    </row>
    <row r="1540" ht="14.5" spans="1:51">
      <c r="A1540" s="91"/>
      <c r="B1540" s="95"/>
      <c r="C1540" s="152" t="s">
        <v>1455</v>
      </c>
      <c r="D1540" s="153" t="s">
        <v>25</v>
      </c>
      <c r="E1540" s="130" t="s">
        <v>1456</v>
      </c>
      <c r="F1540" s="171" t="s">
        <v>1572</v>
      </c>
      <c r="G1540" s="171" t="s">
        <v>1572</v>
      </c>
      <c r="H1540" s="171" t="s">
        <v>1572</v>
      </c>
      <c r="I1540" s="171" t="s">
        <v>1572</v>
      </c>
      <c r="J1540" s="132">
        <v>0.9</v>
      </c>
      <c r="K1540" s="133">
        <v>0.794117647058823</v>
      </c>
      <c r="L1540" s="133">
        <v>0.842105263157895</v>
      </c>
      <c r="M1540" s="134">
        <v>0.694444444444444</v>
      </c>
      <c r="N1540" s="133">
        <v>0.828125</v>
      </c>
      <c r="O1540" s="135">
        <v>0.9</v>
      </c>
      <c r="P1540" s="133">
        <v>0.880475776037134</v>
      </c>
      <c r="Q1540" s="133">
        <v>0.913523901032909</v>
      </c>
      <c r="R1540" s="133">
        <v>0.876992675570875</v>
      </c>
      <c r="S1540" s="133">
        <v>0.851140079098788</v>
      </c>
      <c r="T1540" s="135">
        <v>0.9</v>
      </c>
      <c r="U1540" s="133">
        <v>0.780678851174935</v>
      </c>
      <c r="V1540" s="133">
        <v>0.827047802065818</v>
      </c>
      <c r="W1540" s="133">
        <v>0.776389487289961</v>
      </c>
      <c r="X1540" s="133">
        <v>0.763631690915062</v>
      </c>
      <c r="Y1540" s="135">
        <v>0.92</v>
      </c>
      <c r="Z1540" s="135">
        <v>0.5</v>
      </c>
      <c r="AA1540" s="135">
        <v>0</v>
      </c>
      <c r="AB1540" s="135">
        <v>1</v>
      </c>
      <c r="AC1540" s="135">
        <v>0.11864406779661</v>
      </c>
      <c r="AD1540" s="135">
        <v>0.92</v>
      </c>
      <c r="AE1540" s="133">
        <v>0.818181818181818</v>
      </c>
      <c r="AF1540" s="133">
        <v>0.4</v>
      </c>
      <c r="AG1540" s="133">
        <v>0.634146341463415</v>
      </c>
      <c r="AH1540" s="133">
        <v>0.695652173913043</v>
      </c>
      <c r="AI1540" s="135">
        <v>0.92</v>
      </c>
      <c r="AJ1540" s="133">
        <v>0.853580748042911</v>
      </c>
      <c r="AK1540" s="133">
        <v>0.922264875239923</v>
      </c>
      <c r="AL1540" s="133">
        <v>0.8796037045014</v>
      </c>
      <c r="AM1540" s="133">
        <v>0.875017832177808</v>
      </c>
      <c r="AN1540" s="132">
        <v>0.99</v>
      </c>
      <c r="AO1540" s="137" t="s">
        <v>35</v>
      </c>
      <c r="AP1540" s="137">
        <v>1</v>
      </c>
      <c r="AQ1540" s="137">
        <v>1</v>
      </c>
      <c r="AR1540" s="137">
        <v>1</v>
      </c>
      <c r="AS1540" s="158">
        <v>0.110069253262963</v>
      </c>
      <c r="AT1540" s="141">
        <v>0</v>
      </c>
      <c r="AU1540" s="141">
        <v>0.166666666666667</v>
      </c>
      <c r="AV1540" s="141">
        <v>0.230769230769231</v>
      </c>
      <c r="AW1540" s="141">
        <v>0.115384615384615</v>
      </c>
      <c r="AX1540" s="95"/>
      <c r="AY1540" s="93"/>
    </row>
    <row r="1541" ht="14.5" spans="1:51">
      <c r="A1541" s="91"/>
      <c r="B1541" s="95"/>
      <c r="C1541" s="152" t="s">
        <v>1455</v>
      </c>
      <c r="D1541" s="153" t="s">
        <v>125</v>
      </c>
      <c r="E1541" s="130" t="s">
        <v>1456</v>
      </c>
      <c r="F1541" s="171" t="s">
        <v>1573</v>
      </c>
      <c r="G1541" s="171" t="s">
        <v>1573</v>
      </c>
      <c r="H1541" s="171" t="s">
        <v>1573</v>
      </c>
      <c r="I1541" s="171" t="s">
        <v>1573</v>
      </c>
      <c r="J1541" s="132">
        <v>0.9</v>
      </c>
      <c r="K1541" s="133" t="s">
        <v>35</v>
      </c>
      <c r="L1541" s="133" t="s">
        <v>35</v>
      </c>
      <c r="M1541" s="134" t="s">
        <v>35</v>
      </c>
      <c r="N1541" s="133" t="s">
        <v>35</v>
      </c>
      <c r="O1541" s="135">
        <v>0.9</v>
      </c>
      <c r="P1541" s="133">
        <v>0</v>
      </c>
      <c r="Q1541" s="133">
        <v>0</v>
      </c>
      <c r="R1541" s="133" t="s">
        <v>35</v>
      </c>
      <c r="S1541" s="133">
        <v>0</v>
      </c>
      <c r="T1541" s="135">
        <v>0.9</v>
      </c>
      <c r="U1541" s="133">
        <v>1</v>
      </c>
      <c r="V1541" s="133">
        <v>0</v>
      </c>
      <c r="W1541" s="133" t="s">
        <v>35</v>
      </c>
      <c r="X1541" s="133">
        <v>0.785714285714286</v>
      </c>
      <c r="Y1541" s="135">
        <v>0.92</v>
      </c>
      <c r="Z1541" s="135" t="s">
        <v>35</v>
      </c>
      <c r="AA1541" s="135" t="s">
        <v>35</v>
      </c>
      <c r="AB1541" s="135" t="s">
        <v>35</v>
      </c>
      <c r="AC1541" s="135">
        <v>0.5</v>
      </c>
      <c r="AD1541" s="135">
        <v>0.92</v>
      </c>
      <c r="AE1541" s="133">
        <v>0.958498023715415</v>
      </c>
      <c r="AF1541" s="133">
        <v>0.988479262672811</v>
      </c>
      <c r="AG1541" s="133">
        <v>0.997863247863248</v>
      </c>
      <c r="AH1541" s="133">
        <v>0.937714776632302</v>
      </c>
      <c r="AI1541" s="135">
        <v>0.92</v>
      </c>
      <c r="AJ1541" s="133">
        <v>1</v>
      </c>
      <c r="AK1541" s="133">
        <v>0.5</v>
      </c>
      <c r="AL1541" s="133" t="s">
        <v>35</v>
      </c>
      <c r="AM1541" s="133">
        <v>0.8</v>
      </c>
      <c r="AN1541" s="132">
        <v>0.99</v>
      </c>
      <c r="AO1541" s="137">
        <v>1</v>
      </c>
      <c r="AP1541" s="137">
        <v>1</v>
      </c>
      <c r="AQ1541" s="137">
        <v>1</v>
      </c>
      <c r="AR1541" s="137">
        <v>1</v>
      </c>
      <c r="AS1541" s="158">
        <v>0.110069253262963</v>
      </c>
      <c r="AT1541" s="141" t="s">
        <v>35</v>
      </c>
      <c r="AU1541" s="141" t="s">
        <v>35</v>
      </c>
      <c r="AV1541" s="141" t="s">
        <v>35</v>
      </c>
      <c r="AW1541" s="141" t="s">
        <v>35</v>
      </c>
      <c r="AX1541" s="95"/>
      <c r="AY1541" s="93"/>
    </row>
    <row r="1542" ht="14.5" spans="1:51">
      <c r="A1542" s="91"/>
      <c r="B1542" s="95"/>
      <c r="C1542" s="152" t="s">
        <v>1455</v>
      </c>
      <c r="D1542" s="153" t="s">
        <v>125</v>
      </c>
      <c r="E1542" s="130" t="s">
        <v>1456</v>
      </c>
      <c r="F1542" s="171" t="s">
        <v>1574</v>
      </c>
      <c r="G1542" s="171" t="s">
        <v>1574</v>
      </c>
      <c r="H1542" s="171" t="s">
        <v>1574</v>
      </c>
      <c r="I1542" s="171" t="s">
        <v>1574</v>
      </c>
      <c r="J1542" s="132">
        <v>0.9</v>
      </c>
      <c r="K1542" s="133" t="s">
        <v>35</v>
      </c>
      <c r="L1542" s="133" t="s">
        <v>35</v>
      </c>
      <c r="M1542" s="134" t="s">
        <v>35</v>
      </c>
      <c r="N1542" s="133" t="s">
        <v>35</v>
      </c>
      <c r="O1542" s="135">
        <v>0.9</v>
      </c>
      <c r="P1542" s="133">
        <v>0</v>
      </c>
      <c r="Q1542" s="133" t="s">
        <v>35</v>
      </c>
      <c r="R1542" s="133" t="s">
        <v>35</v>
      </c>
      <c r="S1542" s="133">
        <v>0</v>
      </c>
      <c r="T1542" s="135">
        <v>0.9</v>
      </c>
      <c r="U1542" s="133">
        <v>0</v>
      </c>
      <c r="V1542" s="133" t="s">
        <v>35</v>
      </c>
      <c r="W1542" s="133" t="s">
        <v>35</v>
      </c>
      <c r="X1542" s="133">
        <v>0.25</v>
      </c>
      <c r="Y1542" s="135">
        <v>0.92</v>
      </c>
      <c r="Z1542" s="135" t="s">
        <v>35</v>
      </c>
      <c r="AA1542" s="135" t="s">
        <v>35</v>
      </c>
      <c r="AB1542" s="135" t="s">
        <v>35</v>
      </c>
      <c r="AC1542" s="135" t="s">
        <v>35</v>
      </c>
      <c r="AD1542" s="135">
        <v>0.92</v>
      </c>
      <c r="AE1542" s="133">
        <v>0.958823529411765</v>
      </c>
      <c r="AF1542" s="133">
        <v>1</v>
      </c>
      <c r="AG1542" s="133">
        <v>0.99273607748184</v>
      </c>
      <c r="AH1542" s="133">
        <v>0.982994803967879</v>
      </c>
      <c r="AI1542" s="135">
        <v>0.92</v>
      </c>
      <c r="AJ1542" s="133">
        <v>0</v>
      </c>
      <c r="AK1542" s="133" t="s">
        <v>35</v>
      </c>
      <c r="AL1542" s="133" t="s">
        <v>35</v>
      </c>
      <c r="AM1542" s="133">
        <v>0.2</v>
      </c>
      <c r="AN1542" s="132">
        <v>0.99</v>
      </c>
      <c r="AO1542" s="137">
        <v>1</v>
      </c>
      <c r="AP1542" s="137" t="s">
        <v>35</v>
      </c>
      <c r="AQ1542" s="137">
        <v>1</v>
      </c>
      <c r="AR1542" s="137">
        <v>1</v>
      </c>
      <c r="AS1542" s="158">
        <v>0.110069253262963</v>
      </c>
      <c r="AT1542" s="141" t="s">
        <v>35</v>
      </c>
      <c r="AU1542" s="141" t="s">
        <v>35</v>
      </c>
      <c r="AV1542" s="141" t="s">
        <v>35</v>
      </c>
      <c r="AW1542" s="141" t="s">
        <v>35</v>
      </c>
      <c r="AX1542" s="95"/>
      <c r="AY1542" s="93"/>
    </row>
    <row r="1543" ht="14.5" spans="1:51">
      <c r="A1543" s="91"/>
      <c r="B1543" s="95"/>
      <c r="C1543" s="152" t="s">
        <v>1455</v>
      </c>
      <c r="D1543" s="153" t="s">
        <v>125</v>
      </c>
      <c r="E1543" s="130" t="s">
        <v>1456</v>
      </c>
      <c r="F1543" s="171" t="s">
        <v>1575</v>
      </c>
      <c r="G1543" s="171" t="s">
        <v>1575</v>
      </c>
      <c r="H1543" s="171" t="s">
        <v>1575</v>
      </c>
      <c r="I1543" s="171" t="s">
        <v>1575</v>
      </c>
      <c r="J1543" s="132">
        <v>0.9</v>
      </c>
      <c r="K1543" s="133" t="s">
        <v>35</v>
      </c>
      <c r="L1543" s="133" t="s">
        <v>35</v>
      </c>
      <c r="M1543" s="134" t="s">
        <v>35</v>
      </c>
      <c r="N1543" s="133" t="s">
        <v>35</v>
      </c>
      <c r="O1543" s="135">
        <v>0.9</v>
      </c>
      <c r="P1543" s="133" t="s">
        <v>35</v>
      </c>
      <c r="Q1543" s="133" t="s">
        <v>35</v>
      </c>
      <c r="R1543" s="133" t="s">
        <v>35</v>
      </c>
      <c r="S1543" s="133">
        <v>0</v>
      </c>
      <c r="T1543" s="135">
        <v>0.9</v>
      </c>
      <c r="U1543" s="133" t="s">
        <v>35</v>
      </c>
      <c r="V1543" s="133" t="s">
        <v>35</v>
      </c>
      <c r="W1543" s="133" t="s">
        <v>35</v>
      </c>
      <c r="X1543" s="133">
        <v>0</v>
      </c>
      <c r="Y1543" s="135">
        <v>0.92</v>
      </c>
      <c r="Z1543" s="135" t="s">
        <v>35</v>
      </c>
      <c r="AA1543" s="135" t="s">
        <v>35</v>
      </c>
      <c r="AB1543" s="135" t="s">
        <v>35</v>
      </c>
      <c r="AC1543" s="135" t="s">
        <v>35</v>
      </c>
      <c r="AD1543" s="135">
        <v>0.92</v>
      </c>
      <c r="AE1543" s="133">
        <v>1</v>
      </c>
      <c r="AF1543" s="133">
        <v>1</v>
      </c>
      <c r="AG1543" s="133">
        <v>0.993548387096774</v>
      </c>
      <c r="AH1543" s="133">
        <v>0.944702406078514</v>
      </c>
      <c r="AI1543" s="135">
        <v>0.92</v>
      </c>
      <c r="AJ1543" s="133" t="s">
        <v>35</v>
      </c>
      <c r="AK1543" s="133" t="s">
        <v>35</v>
      </c>
      <c r="AL1543" s="133" t="s">
        <v>35</v>
      </c>
      <c r="AM1543" s="133">
        <v>0</v>
      </c>
      <c r="AN1543" s="132">
        <v>0.99</v>
      </c>
      <c r="AO1543" s="137" t="s">
        <v>35</v>
      </c>
      <c r="AP1543" s="137" t="s">
        <v>35</v>
      </c>
      <c r="AQ1543" s="137">
        <v>1</v>
      </c>
      <c r="AR1543" s="137">
        <v>1</v>
      </c>
      <c r="AS1543" s="158">
        <v>0.110069253262963</v>
      </c>
      <c r="AT1543" s="141" t="s">
        <v>35</v>
      </c>
      <c r="AU1543" s="141" t="s">
        <v>35</v>
      </c>
      <c r="AV1543" s="141" t="s">
        <v>35</v>
      </c>
      <c r="AW1543" s="141" t="s">
        <v>35</v>
      </c>
      <c r="AX1543" s="95"/>
      <c r="AY1543" s="93"/>
    </row>
    <row r="1544" ht="14.5" spans="1:51">
      <c r="A1544" s="91"/>
      <c r="B1544" s="95"/>
      <c r="C1544" s="152" t="s">
        <v>1455</v>
      </c>
      <c r="D1544" s="153" t="s">
        <v>25</v>
      </c>
      <c r="E1544" s="130" t="s">
        <v>1456</v>
      </c>
      <c r="F1544" s="171" t="s">
        <v>1576</v>
      </c>
      <c r="G1544" s="171" t="s">
        <v>1576</v>
      </c>
      <c r="H1544" s="171" t="s">
        <v>1576</v>
      </c>
      <c r="I1544" s="171" t="s">
        <v>1576</v>
      </c>
      <c r="J1544" s="132">
        <v>0.9</v>
      </c>
      <c r="K1544" s="133">
        <v>0.903225806451613</v>
      </c>
      <c r="L1544" s="133">
        <v>0.909090909090909</v>
      </c>
      <c r="M1544" s="134">
        <v>0.885714285714286</v>
      </c>
      <c r="N1544" s="133">
        <v>0.905797101449275</v>
      </c>
      <c r="O1544" s="135">
        <v>0.9</v>
      </c>
      <c r="P1544" s="133">
        <v>0.93570487483531</v>
      </c>
      <c r="Q1544" s="133">
        <v>0.968969181721573</v>
      </c>
      <c r="R1544" s="133">
        <v>0.951009798040392</v>
      </c>
      <c r="S1544" s="133">
        <v>0.956181677405808</v>
      </c>
      <c r="T1544" s="135">
        <v>0.9</v>
      </c>
      <c r="U1544" s="133">
        <v>0.760737812911726</v>
      </c>
      <c r="V1544" s="133">
        <v>0.841870350690755</v>
      </c>
      <c r="W1544" s="133">
        <v>0.858828234353129</v>
      </c>
      <c r="X1544" s="133">
        <v>0.865487329562604</v>
      </c>
      <c r="Y1544" s="135">
        <v>0.92</v>
      </c>
      <c r="Z1544" s="135">
        <v>0</v>
      </c>
      <c r="AA1544" s="135">
        <v>0</v>
      </c>
      <c r="AB1544" s="135">
        <v>0</v>
      </c>
      <c r="AC1544" s="135">
        <v>0.142857142857143</v>
      </c>
      <c r="AD1544" s="135">
        <v>0.92</v>
      </c>
      <c r="AE1544" s="133">
        <v>1</v>
      </c>
      <c r="AF1544" s="133">
        <v>0.846153846153846</v>
      </c>
      <c r="AG1544" s="133">
        <v>1</v>
      </c>
      <c r="AH1544" s="133">
        <v>0.876510067114094</v>
      </c>
      <c r="AI1544" s="135">
        <v>0.92</v>
      </c>
      <c r="AJ1544" s="133">
        <v>0.843782929399368</v>
      </c>
      <c r="AK1544" s="133">
        <v>0.877681036313442</v>
      </c>
      <c r="AL1544" s="133">
        <v>0.928828468612555</v>
      </c>
      <c r="AM1544" s="133">
        <v>0.926465378104948</v>
      </c>
      <c r="AN1544" s="132">
        <v>0.99</v>
      </c>
      <c r="AO1544" s="137">
        <v>1</v>
      </c>
      <c r="AP1544" s="137" t="s">
        <v>35</v>
      </c>
      <c r="AQ1544" s="137" t="s">
        <v>35</v>
      </c>
      <c r="AR1544" s="137">
        <v>1</v>
      </c>
      <c r="AS1544" s="158">
        <v>0.110069253262963</v>
      </c>
      <c r="AT1544" s="141">
        <v>0.0294117647058824</v>
      </c>
      <c r="AU1544" s="141">
        <v>0.230769230769231</v>
      </c>
      <c r="AV1544" s="141">
        <v>0.0425531914893617</v>
      </c>
      <c r="AW1544" s="141">
        <v>0.0704441041347626</v>
      </c>
      <c r="AX1544" s="95"/>
      <c r="AY1544" s="93"/>
    </row>
    <row r="1545" ht="14.5" spans="1:51">
      <c r="A1545" s="91"/>
      <c r="B1545" s="95"/>
      <c r="C1545" s="152" t="s">
        <v>1455</v>
      </c>
      <c r="D1545" s="153" t="s">
        <v>25</v>
      </c>
      <c r="E1545" s="130" t="s">
        <v>1456</v>
      </c>
      <c r="F1545" s="171" t="s">
        <v>1577</v>
      </c>
      <c r="G1545" s="171" t="s">
        <v>1577</v>
      </c>
      <c r="H1545" s="171" t="s">
        <v>1577</v>
      </c>
      <c r="I1545" s="171" t="s">
        <v>1577</v>
      </c>
      <c r="J1545" s="132">
        <v>0.9</v>
      </c>
      <c r="K1545" s="133">
        <v>0.909090909090909</v>
      </c>
      <c r="L1545" s="133">
        <v>0.774193548387097</v>
      </c>
      <c r="M1545" s="134">
        <v>0.774193548387097</v>
      </c>
      <c r="N1545" s="133">
        <v>0.848126232741617</v>
      </c>
      <c r="O1545" s="135">
        <v>0.9</v>
      </c>
      <c r="P1545" s="133">
        <v>0.8203125</v>
      </c>
      <c r="Q1545" s="133">
        <v>0.937619961612284</v>
      </c>
      <c r="R1545" s="133">
        <v>0.935849056603774</v>
      </c>
      <c r="S1545" s="133">
        <v>0.902113105496195</v>
      </c>
      <c r="T1545" s="135">
        <v>0.9</v>
      </c>
      <c r="U1545" s="133">
        <v>0.835379464285714</v>
      </c>
      <c r="V1545" s="133">
        <v>0.899712092130518</v>
      </c>
      <c r="W1545" s="133">
        <v>0.920754716981132</v>
      </c>
      <c r="X1545" s="133">
        <v>0.900522310894292</v>
      </c>
      <c r="Y1545" s="135">
        <v>0.92</v>
      </c>
      <c r="Z1545" s="135">
        <v>0.928571428571429</v>
      </c>
      <c r="AA1545" s="135">
        <v>0.785063752276867</v>
      </c>
      <c r="AB1545" s="135">
        <v>0.956268221574344</v>
      </c>
      <c r="AC1545" s="135">
        <v>0.917111548187693</v>
      </c>
      <c r="AD1545" s="135">
        <v>0.92</v>
      </c>
      <c r="AE1545" s="133">
        <v>0.931623931623932</v>
      </c>
      <c r="AF1545" s="133">
        <v>0.932098765432099</v>
      </c>
      <c r="AG1545" s="133">
        <v>0.917431192660551</v>
      </c>
      <c r="AH1545" s="133">
        <v>0.905297532656023</v>
      </c>
      <c r="AI1545" s="135">
        <v>0.92</v>
      </c>
      <c r="AJ1545" s="133">
        <v>0.944976076555024</v>
      </c>
      <c r="AK1545" s="133">
        <v>0.872956311980702</v>
      </c>
      <c r="AL1545" s="133">
        <v>0.969759450171821</v>
      </c>
      <c r="AM1545" s="133">
        <v>0.950811251775085</v>
      </c>
      <c r="AN1545" s="132">
        <v>0.99</v>
      </c>
      <c r="AO1545" s="137">
        <v>1</v>
      </c>
      <c r="AP1545" s="137">
        <v>1</v>
      </c>
      <c r="AQ1545" s="137">
        <v>1</v>
      </c>
      <c r="AR1545" s="137">
        <v>1</v>
      </c>
      <c r="AS1545" s="158">
        <v>0.110069253262963</v>
      </c>
      <c r="AT1545" s="141">
        <v>0.105263157894737</v>
      </c>
      <c r="AU1545" s="141">
        <v>0.0833333333333333</v>
      </c>
      <c r="AV1545" s="141">
        <v>0.0740740740740741</v>
      </c>
      <c r="AW1545" s="141">
        <v>0.072289156626506</v>
      </c>
      <c r="AX1545" s="95"/>
      <c r="AY1545" s="93"/>
    </row>
    <row r="1546" ht="14.5" spans="1:51">
      <c r="A1546" s="91"/>
      <c r="B1546" s="95"/>
      <c r="C1546" s="152" t="s">
        <v>1455</v>
      </c>
      <c r="D1546" s="153" t="s">
        <v>25</v>
      </c>
      <c r="E1546" s="130" t="s">
        <v>1456</v>
      </c>
      <c r="F1546" s="171" t="s">
        <v>1578</v>
      </c>
      <c r="G1546" s="171" t="s">
        <v>1578</v>
      </c>
      <c r="H1546" s="171" t="s">
        <v>1578</v>
      </c>
      <c r="I1546" s="171" t="s">
        <v>1578</v>
      </c>
      <c r="J1546" s="132">
        <v>0.9</v>
      </c>
      <c r="K1546" s="133">
        <v>1</v>
      </c>
      <c r="L1546" s="133">
        <v>1</v>
      </c>
      <c r="M1546" s="134">
        <v>1</v>
      </c>
      <c r="N1546" s="133">
        <v>1</v>
      </c>
      <c r="O1546" s="135">
        <v>0.9</v>
      </c>
      <c r="P1546" s="133">
        <v>0.99533527696793</v>
      </c>
      <c r="Q1546" s="133">
        <v>0.996646171045277</v>
      </c>
      <c r="R1546" s="133">
        <v>0.996742671009772</v>
      </c>
      <c r="S1546" s="133">
        <v>0.991975679592775</v>
      </c>
      <c r="T1546" s="135">
        <v>0.9</v>
      </c>
      <c r="U1546" s="133">
        <v>0.924198250728863</v>
      </c>
      <c r="V1546" s="133">
        <v>0.95975405254332</v>
      </c>
      <c r="W1546" s="133">
        <v>0.961563517915309</v>
      </c>
      <c r="X1546" s="133">
        <v>0.96238820743045</v>
      </c>
      <c r="Y1546" s="135">
        <v>0.92</v>
      </c>
      <c r="Z1546" s="135" t="s">
        <v>35</v>
      </c>
      <c r="AA1546" s="135" t="s">
        <v>35</v>
      </c>
      <c r="AB1546" s="135" t="s">
        <v>35</v>
      </c>
      <c r="AC1546" s="135" t="s">
        <v>35</v>
      </c>
      <c r="AD1546" s="135">
        <v>0.92</v>
      </c>
      <c r="AE1546" s="133">
        <v>1</v>
      </c>
      <c r="AF1546" s="133">
        <v>1</v>
      </c>
      <c r="AG1546" s="133">
        <v>1</v>
      </c>
      <c r="AH1546" s="133">
        <v>0.995445344129555</v>
      </c>
      <c r="AI1546" s="135">
        <v>0.92</v>
      </c>
      <c r="AJ1546" s="133">
        <v>0.948104956268222</v>
      </c>
      <c r="AK1546" s="133">
        <v>0.973169368362214</v>
      </c>
      <c r="AL1546" s="133">
        <v>0.975895765472313</v>
      </c>
      <c r="AM1546" s="133">
        <v>0.980769910565944</v>
      </c>
      <c r="AN1546" s="132">
        <v>0.99</v>
      </c>
      <c r="AO1546" s="137">
        <v>1</v>
      </c>
      <c r="AP1546" s="137">
        <v>1</v>
      </c>
      <c r="AQ1546" s="137">
        <v>1</v>
      </c>
      <c r="AR1546" s="137">
        <v>1</v>
      </c>
      <c r="AS1546" s="158">
        <v>0.110069253262963</v>
      </c>
      <c r="AT1546" s="141">
        <v>0.181818181818182</v>
      </c>
      <c r="AU1546" s="141">
        <v>0.0769230769230769</v>
      </c>
      <c r="AV1546" s="141">
        <v>0</v>
      </c>
      <c r="AW1546" s="141">
        <v>0.0946745562130177</v>
      </c>
      <c r="AX1546" s="95"/>
      <c r="AY1546" s="93"/>
    </row>
    <row r="1547" ht="14.5" spans="1:51">
      <c r="A1547" s="91"/>
      <c r="B1547" s="95"/>
      <c r="C1547" s="152" t="s">
        <v>1455</v>
      </c>
      <c r="D1547" s="153" t="s">
        <v>25</v>
      </c>
      <c r="E1547" s="130" t="s">
        <v>1456</v>
      </c>
      <c r="F1547" s="171" t="s">
        <v>1579</v>
      </c>
      <c r="G1547" s="171" t="s">
        <v>1579</v>
      </c>
      <c r="H1547" s="171" t="s">
        <v>1579</v>
      </c>
      <c r="I1547" s="171" t="s">
        <v>1579</v>
      </c>
      <c r="J1547" s="132">
        <v>0.9</v>
      </c>
      <c r="K1547" s="133">
        <v>0.826086956521739</v>
      </c>
      <c r="L1547" s="133">
        <v>0.954545454545455</v>
      </c>
      <c r="M1547" s="134">
        <v>1</v>
      </c>
      <c r="N1547" s="133">
        <v>0.92156862745098</v>
      </c>
      <c r="O1547" s="135">
        <v>0.9</v>
      </c>
      <c r="P1547" s="133">
        <v>0.982685810810811</v>
      </c>
      <c r="Q1547" s="133">
        <v>0.991379310344828</v>
      </c>
      <c r="R1547" s="133">
        <v>0.994806094182826</v>
      </c>
      <c r="S1547" s="133">
        <v>0.993256488669333</v>
      </c>
      <c r="T1547" s="135">
        <v>0.9</v>
      </c>
      <c r="U1547" s="133">
        <v>0.747466216216216</v>
      </c>
      <c r="V1547" s="133">
        <v>0.827586206896552</v>
      </c>
      <c r="W1547" s="133">
        <v>0.832063711911357</v>
      </c>
      <c r="X1547" s="133">
        <v>0.841919548341567</v>
      </c>
      <c r="Y1547" s="135">
        <v>0.92</v>
      </c>
      <c r="Z1547" s="135" t="s">
        <v>35</v>
      </c>
      <c r="AA1547" s="135" t="s">
        <v>35</v>
      </c>
      <c r="AB1547" s="135" t="s">
        <v>35</v>
      </c>
      <c r="AC1547" s="135" t="s">
        <v>35</v>
      </c>
      <c r="AD1547" s="135">
        <v>0.92</v>
      </c>
      <c r="AE1547" s="133">
        <v>1</v>
      </c>
      <c r="AF1547" s="133">
        <v>0.941176470588235</v>
      </c>
      <c r="AG1547" s="133">
        <v>1</v>
      </c>
      <c r="AH1547" s="133">
        <v>0.95360824742268</v>
      </c>
      <c r="AI1547" s="135">
        <v>0.92</v>
      </c>
      <c r="AJ1547" s="133">
        <v>0.87035472972973</v>
      </c>
      <c r="AK1547" s="133">
        <v>0.930495689655172</v>
      </c>
      <c r="AL1547" s="133">
        <v>0.950484764542936</v>
      </c>
      <c r="AM1547" s="133">
        <v>0.944588201468935</v>
      </c>
      <c r="AN1547" s="132">
        <v>0.99</v>
      </c>
      <c r="AO1547" s="137">
        <v>1</v>
      </c>
      <c r="AP1547" s="137">
        <v>1</v>
      </c>
      <c r="AQ1547" s="137">
        <v>1</v>
      </c>
      <c r="AR1547" s="137">
        <v>1</v>
      </c>
      <c r="AS1547" s="158">
        <v>0.110069253262963</v>
      </c>
      <c r="AT1547" s="141">
        <v>0.148148148148148</v>
      </c>
      <c r="AU1547" s="141">
        <v>0.0952380952380952</v>
      </c>
      <c r="AV1547" s="141">
        <v>0.0769230769230769</v>
      </c>
      <c r="AW1547" s="141">
        <v>0.0930232558139535</v>
      </c>
      <c r="AX1547" s="95"/>
      <c r="AY1547" s="93"/>
    </row>
    <row r="1548" ht="14.5" spans="1:51">
      <c r="A1548" s="91"/>
      <c r="B1548" s="95"/>
      <c r="C1548" s="152" t="s">
        <v>1455</v>
      </c>
      <c r="D1548" s="153" t="s">
        <v>25</v>
      </c>
      <c r="E1548" s="130" t="s">
        <v>1456</v>
      </c>
      <c r="F1548" s="171" t="s">
        <v>1580</v>
      </c>
      <c r="G1548" s="171" t="s">
        <v>1580</v>
      </c>
      <c r="H1548" s="171" t="s">
        <v>1580</v>
      </c>
      <c r="I1548" s="171" t="s">
        <v>1580</v>
      </c>
      <c r="J1548" s="132">
        <v>0.9</v>
      </c>
      <c r="K1548" s="133">
        <v>1</v>
      </c>
      <c r="L1548" s="133">
        <v>0.954545454545455</v>
      </c>
      <c r="M1548" s="134">
        <v>1</v>
      </c>
      <c r="N1548" s="133">
        <v>0.980972515856237</v>
      </c>
      <c r="O1548" s="135">
        <v>0.9</v>
      </c>
      <c r="P1548" s="133">
        <v>0.974606399187405</v>
      </c>
      <c r="Q1548" s="133">
        <v>0.979052823315118</v>
      </c>
      <c r="R1548" s="133">
        <v>0.97140522875817</v>
      </c>
      <c r="S1548" s="133">
        <v>0.957237915881984</v>
      </c>
      <c r="T1548" s="135">
        <v>0.9</v>
      </c>
      <c r="U1548" s="133">
        <v>0.918740477399695</v>
      </c>
      <c r="V1548" s="133">
        <v>0.938524590163934</v>
      </c>
      <c r="W1548" s="133">
        <v>0.946486928104575</v>
      </c>
      <c r="X1548" s="133">
        <v>0.939711236660389</v>
      </c>
      <c r="Y1548" s="135">
        <v>0.92</v>
      </c>
      <c r="Z1548" s="135" t="s">
        <v>35</v>
      </c>
      <c r="AA1548" s="135" t="s">
        <v>35</v>
      </c>
      <c r="AB1548" s="135" t="s">
        <v>35</v>
      </c>
      <c r="AC1548" s="135" t="s">
        <v>35</v>
      </c>
      <c r="AD1548" s="135">
        <v>0.92</v>
      </c>
      <c r="AE1548" s="133">
        <v>0.988235294117647</v>
      </c>
      <c r="AF1548" s="133">
        <v>1</v>
      </c>
      <c r="AG1548" s="133">
        <v>1</v>
      </c>
      <c r="AH1548" s="133">
        <v>0.987662782727896</v>
      </c>
      <c r="AI1548" s="135">
        <v>0.92</v>
      </c>
      <c r="AJ1548" s="133">
        <v>0.948197054342306</v>
      </c>
      <c r="AK1548" s="133">
        <v>0.974499089253188</v>
      </c>
      <c r="AL1548" s="133">
        <v>0.972630718954248</v>
      </c>
      <c r="AM1548" s="133">
        <v>0.977350910232266</v>
      </c>
      <c r="AN1548" s="132">
        <v>0.99</v>
      </c>
      <c r="AO1548" s="137">
        <v>1</v>
      </c>
      <c r="AP1548" s="137">
        <v>1</v>
      </c>
      <c r="AQ1548" s="137">
        <v>1</v>
      </c>
      <c r="AR1548" s="137">
        <v>1</v>
      </c>
      <c r="AS1548" s="158">
        <v>0.110069253262963</v>
      </c>
      <c r="AT1548" s="141">
        <v>0.125</v>
      </c>
      <c r="AU1548" s="141">
        <v>0</v>
      </c>
      <c r="AV1548" s="141">
        <v>0.105263157894737</v>
      </c>
      <c r="AW1548" s="141">
        <v>0.0614754098360656</v>
      </c>
      <c r="AX1548" s="95"/>
      <c r="AY1548" s="93"/>
    </row>
    <row r="1549" ht="14.5" spans="1:51">
      <c r="A1549" s="91"/>
      <c r="B1549" s="95"/>
      <c r="C1549" s="152" t="s">
        <v>1455</v>
      </c>
      <c r="D1549" s="153" t="s">
        <v>25</v>
      </c>
      <c r="E1549" s="130" t="s">
        <v>1456</v>
      </c>
      <c r="F1549" s="171" t="s">
        <v>1581</v>
      </c>
      <c r="G1549" s="171" t="s">
        <v>1581</v>
      </c>
      <c r="H1549" s="171" t="s">
        <v>1581</v>
      </c>
      <c r="I1549" s="171" t="s">
        <v>1581</v>
      </c>
      <c r="J1549" s="132">
        <v>0.9</v>
      </c>
      <c r="K1549" s="133">
        <v>1</v>
      </c>
      <c r="L1549" s="133">
        <v>1</v>
      </c>
      <c r="M1549" s="134">
        <v>1</v>
      </c>
      <c r="N1549" s="133">
        <v>1</v>
      </c>
      <c r="O1549" s="135">
        <v>0.9</v>
      </c>
      <c r="P1549" s="133">
        <v>0.965441176470588</v>
      </c>
      <c r="Q1549" s="133">
        <v>0.97887323943662</v>
      </c>
      <c r="R1549" s="133">
        <v>0.971532846715328</v>
      </c>
      <c r="S1549" s="133">
        <v>0.945192387600765</v>
      </c>
      <c r="T1549" s="135">
        <v>0.9</v>
      </c>
      <c r="U1549" s="133">
        <v>0.689705882352941</v>
      </c>
      <c r="V1549" s="133">
        <v>0.841549295774648</v>
      </c>
      <c r="W1549" s="133">
        <v>0.875182481751825</v>
      </c>
      <c r="X1549" s="133">
        <v>0.707180254300673</v>
      </c>
      <c r="Y1549" s="135">
        <v>0.92</v>
      </c>
      <c r="Z1549" s="135" t="s">
        <v>35</v>
      </c>
      <c r="AA1549" s="135" t="s">
        <v>35</v>
      </c>
      <c r="AB1549" s="135" t="s">
        <v>35</v>
      </c>
      <c r="AC1549" s="135" t="s">
        <v>35</v>
      </c>
      <c r="AD1549" s="135">
        <v>0.92</v>
      </c>
      <c r="AE1549" s="133">
        <v>1</v>
      </c>
      <c r="AF1549" s="133">
        <v>0.974789915966387</v>
      </c>
      <c r="AG1549" s="133">
        <v>1</v>
      </c>
      <c r="AH1549" s="133">
        <v>0.948106591865358</v>
      </c>
      <c r="AI1549" s="135">
        <v>0.92</v>
      </c>
      <c r="AJ1549" s="133">
        <v>0.920588235294118</v>
      </c>
      <c r="AK1549" s="133">
        <v>0.944542253521127</v>
      </c>
      <c r="AL1549" s="133">
        <v>0.963503649635037</v>
      </c>
      <c r="AM1549" s="133">
        <v>0.93804537521815</v>
      </c>
      <c r="AN1549" s="132">
        <v>0.99</v>
      </c>
      <c r="AO1549" s="137">
        <v>1</v>
      </c>
      <c r="AP1549" s="137">
        <v>1</v>
      </c>
      <c r="AQ1549" s="137">
        <v>1</v>
      </c>
      <c r="AR1549" s="137">
        <v>1</v>
      </c>
      <c r="AS1549" s="158">
        <v>0.110069253262963</v>
      </c>
      <c r="AT1549" s="141">
        <v>0</v>
      </c>
      <c r="AU1549" s="141">
        <v>0</v>
      </c>
      <c r="AV1549" s="141">
        <v>0</v>
      </c>
      <c r="AW1549" s="141">
        <v>0.0909090909090909</v>
      </c>
      <c r="AX1549" s="95"/>
      <c r="AY1549" s="93"/>
    </row>
    <row r="1550" ht="14.5" spans="1:51">
      <c r="A1550" s="91"/>
      <c r="B1550" s="95"/>
      <c r="C1550" s="152" t="s">
        <v>1455</v>
      </c>
      <c r="D1550" s="153" t="s">
        <v>25</v>
      </c>
      <c r="E1550" s="130" t="s">
        <v>1456</v>
      </c>
      <c r="F1550" s="171" t="s">
        <v>1582</v>
      </c>
      <c r="G1550" s="171" t="s">
        <v>1582</v>
      </c>
      <c r="H1550" s="171" t="s">
        <v>1582</v>
      </c>
      <c r="I1550" s="171" t="s">
        <v>1582</v>
      </c>
      <c r="J1550" s="132">
        <v>0.9</v>
      </c>
      <c r="K1550" s="133">
        <v>0.884615384615385</v>
      </c>
      <c r="L1550" s="133">
        <v>0.888888888888889</v>
      </c>
      <c r="M1550" s="134">
        <v>0.892857142857143</v>
      </c>
      <c r="N1550" s="133">
        <v>0.889135254988914</v>
      </c>
      <c r="O1550" s="135">
        <v>0.9</v>
      </c>
      <c r="P1550" s="133">
        <v>0.802591463414634</v>
      </c>
      <c r="Q1550" s="133">
        <v>0.975260416666667</v>
      </c>
      <c r="R1550" s="133">
        <v>0.891040242976462</v>
      </c>
      <c r="S1550" s="133">
        <v>0.85054510327062</v>
      </c>
      <c r="T1550" s="135">
        <v>0.9</v>
      </c>
      <c r="U1550" s="133">
        <v>0.518292682926829</v>
      </c>
      <c r="V1550" s="133">
        <v>0.6171875</v>
      </c>
      <c r="W1550" s="133">
        <v>0.596051632498102</v>
      </c>
      <c r="X1550" s="133">
        <v>0.536777220663324</v>
      </c>
      <c r="Y1550" s="135">
        <v>0.92</v>
      </c>
      <c r="Z1550" s="135" t="s">
        <v>35</v>
      </c>
      <c r="AA1550" s="135" t="s">
        <v>35</v>
      </c>
      <c r="AB1550" s="135" t="s">
        <v>35</v>
      </c>
      <c r="AC1550" s="135" t="s">
        <v>35</v>
      </c>
      <c r="AD1550" s="135">
        <v>0.92</v>
      </c>
      <c r="AE1550" s="133">
        <v>0.925925925925926</v>
      </c>
      <c r="AF1550" s="133">
        <v>0.992753623188406</v>
      </c>
      <c r="AG1550" s="133">
        <v>1</v>
      </c>
      <c r="AH1550" s="133">
        <v>0.936634494334872</v>
      </c>
      <c r="AI1550" s="135">
        <v>0.92</v>
      </c>
      <c r="AJ1550" s="133">
        <v>0.847560975609756</v>
      </c>
      <c r="AK1550" s="133">
        <v>0.870659722222222</v>
      </c>
      <c r="AL1550" s="133">
        <v>0.892558845861807</v>
      </c>
      <c r="AM1550" s="133">
        <v>0.872418234509407</v>
      </c>
      <c r="AN1550" s="132">
        <v>0.99</v>
      </c>
      <c r="AO1550" s="137">
        <v>1</v>
      </c>
      <c r="AP1550" s="137">
        <v>1</v>
      </c>
      <c r="AQ1550" s="137">
        <v>1</v>
      </c>
      <c r="AR1550" s="137">
        <v>1</v>
      </c>
      <c r="AS1550" s="158">
        <v>0.110069253262963</v>
      </c>
      <c r="AT1550" s="141">
        <v>0.0373831775700935</v>
      </c>
      <c r="AU1550" s="141">
        <v>0.0204081632653061</v>
      </c>
      <c r="AV1550" s="141">
        <v>0.0588235294117647</v>
      </c>
      <c r="AW1550" s="141">
        <v>0.0484927916120577</v>
      </c>
      <c r="AX1550" s="95"/>
      <c r="AY1550" s="93"/>
    </row>
    <row r="1551" ht="14.5" spans="1:51">
      <c r="A1551" s="91"/>
      <c r="B1551" s="95"/>
      <c r="C1551" s="152" t="s">
        <v>1455</v>
      </c>
      <c r="D1551" s="153" t="s">
        <v>25</v>
      </c>
      <c r="E1551" s="130" t="s">
        <v>1456</v>
      </c>
      <c r="F1551" s="171" t="s">
        <v>1583</v>
      </c>
      <c r="G1551" s="171" t="s">
        <v>1583</v>
      </c>
      <c r="H1551" s="171" t="s">
        <v>1583</v>
      </c>
      <c r="I1551" s="171" t="s">
        <v>1583</v>
      </c>
      <c r="J1551" s="132">
        <v>0.9</v>
      </c>
      <c r="K1551" s="133">
        <v>1</v>
      </c>
      <c r="L1551" s="133">
        <v>1</v>
      </c>
      <c r="M1551" s="134">
        <v>0.941176470588235</v>
      </c>
      <c r="N1551" s="133">
        <v>0.941747572815534</v>
      </c>
      <c r="O1551" s="135">
        <v>0.9</v>
      </c>
      <c r="P1551" s="133" t="s">
        <v>35</v>
      </c>
      <c r="Q1551" s="133" t="s">
        <v>35</v>
      </c>
      <c r="R1551" s="133" t="s">
        <v>35</v>
      </c>
      <c r="S1551" s="133">
        <v>1</v>
      </c>
      <c r="T1551" s="135">
        <v>0.9</v>
      </c>
      <c r="U1551" s="133" t="s">
        <v>35</v>
      </c>
      <c r="V1551" s="133" t="s">
        <v>35</v>
      </c>
      <c r="W1551" s="133" t="s">
        <v>35</v>
      </c>
      <c r="X1551" s="133">
        <v>0</v>
      </c>
      <c r="Y1551" s="135">
        <v>0.92</v>
      </c>
      <c r="Z1551" s="135" t="s">
        <v>35</v>
      </c>
      <c r="AA1551" s="135" t="s">
        <v>35</v>
      </c>
      <c r="AB1551" s="135" t="s">
        <v>35</v>
      </c>
      <c r="AC1551" s="135" t="s">
        <v>35</v>
      </c>
      <c r="AD1551" s="135">
        <v>0.92</v>
      </c>
      <c r="AE1551" s="133">
        <v>0.55</v>
      </c>
      <c r="AF1551" s="133">
        <v>0.818181818181818</v>
      </c>
      <c r="AG1551" s="133">
        <v>0.705882352941177</v>
      </c>
      <c r="AH1551" s="133">
        <v>0.782122905027933</v>
      </c>
      <c r="AI1551" s="135">
        <v>0.92</v>
      </c>
      <c r="AJ1551" s="133">
        <v>0.94960702727693</v>
      </c>
      <c r="AK1551" s="133">
        <v>0.974458634092171</v>
      </c>
      <c r="AL1551" s="133">
        <v>0.984180790960452</v>
      </c>
      <c r="AM1551" s="133">
        <v>0.974795104973616</v>
      </c>
      <c r="AN1551" s="132">
        <v>0.99</v>
      </c>
      <c r="AO1551" s="137">
        <v>1</v>
      </c>
      <c r="AP1551" s="137">
        <v>1</v>
      </c>
      <c r="AQ1551" s="137">
        <v>1</v>
      </c>
      <c r="AR1551" s="137">
        <v>1</v>
      </c>
      <c r="AS1551" s="158">
        <v>0.110069253262963</v>
      </c>
      <c r="AT1551" s="141">
        <v>0.235294117647059</v>
      </c>
      <c r="AU1551" s="141">
        <v>0.0476190476190476</v>
      </c>
      <c r="AV1551" s="141">
        <v>0.0833333333333333</v>
      </c>
      <c r="AW1551" s="141">
        <v>0.0933734939759036</v>
      </c>
      <c r="AX1551" s="95"/>
      <c r="AY1551" s="93"/>
    </row>
    <row r="1552" ht="14.5" spans="1:51">
      <c r="A1552" s="91"/>
      <c r="B1552" s="95"/>
      <c r="C1552" s="152" t="s">
        <v>1455</v>
      </c>
      <c r="D1552" s="153" t="s">
        <v>25</v>
      </c>
      <c r="E1552" s="130" t="s">
        <v>1456</v>
      </c>
      <c r="F1552" s="171" t="s">
        <v>1584</v>
      </c>
      <c r="G1552" s="171" t="s">
        <v>1584</v>
      </c>
      <c r="H1552" s="171" t="s">
        <v>1584</v>
      </c>
      <c r="I1552" s="171" t="s">
        <v>1584</v>
      </c>
      <c r="J1552" s="132">
        <v>0.9</v>
      </c>
      <c r="K1552" s="133">
        <v>0.971428571428571</v>
      </c>
      <c r="L1552" s="133">
        <v>1</v>
      </c>
      <c r="M1552" s="134">
        <v>1</v>
      </c>
      <c r="N1552" s="133">
        <v>0.97346600331675</v>
      </c>
      <c r="O1552" s="135">
        <v>0.9</v>
      </c>
      <c r="P1552" s="133">
        <v>0.987415592387968</v>
      </c>
      <c r="Q1552" s="133">
        <v>0.923444976076555</v>
      </c>
      <c r="R1552" s="133">
        <v>0.989956219417976</v>
      </c>
      <c r="S1552" s="133">
        <v>0.97122484149947</v>
      </c>
      <c r="T1552" s="135">
        <v>0.9</v>
      </c>
      <c r="U1552" s="133">
        <v>0.85389809699202</v>
      </c>
      <c r="V1552" s="133">
        <v>0.826743893225888</v>
      </c>
      <c r="W1552" s="133">
        <v>0.713108421323719</v>
      </c>
      <c r="X1552" s="133">
        <v>0.863397049755727</v>
      </c>
      <c r="Y1552" s="135">
        <v>0.92</v>
      </c>
      <c r="Z1552" s="135" t="s">
        <v>35</v>
      </c>
      <c r="AA1552" s="135" t="s">
        <v>35</v>
      </c>
      <c r="AB1552" s="135" t="s">
        <v>35</v>
      </c>
      <c r="AC1552" s="135" t="s">
        <v>35</v>
      </c>
      <c r="AD1552" s="135">
        <v>0.92</v>
      </c>
      <c r="AE1552" s="133">
        <v>0.901408450704225</v>
      </c>
      <c r="AF1552" s="133">
        <v>0.897727272727273</v>
      </c>
      <c r="AG1552" s="133">
        <v>1</v>
      </c>
      <c r="AH1552" s="133">
        <v>0.94526191877575</v>
      </c>
      <c r="AI1552" s="135">
        <v>0.92</v>
      </c>
      <c r="AJ1552" s="133">
        <v>0.938612645794966</v>
      </c>
      <c r="AK1552" s="133">
        <v>0.940820951901284</v>
      </c>
      <c r="AL1552" s="133">
        <v>0.940767447849601</v>
      </c>
      <c r="AM1552" s="133">
        <v>0.962418972332016</v>
      </c>
      <c r="AN1552" s="132">
        <v>0.99</v>
      </c>
      <c r="AO1552" s="137">
        <v>1</v>
      </c>
      <c r="AP1552" s="137">
        <v>1</v>
      </c>
      <c r="AQ1552" s="137">
        <v>1</v>
      </c>
      <c r="AR1552" s="137">
        <v>1</v>
      </c>
      <c r="AS1552" s="158">
        <v>0.110069253262963</v>
      </c>
      <c r="AT1552" s="141">
        <v>0.0916030534351145</v>
      </c>
      <c r="AU1552" s="141">
        <v>0</v>
      </c>
      <c r="AV1552" s="141">
        <v>0.0326797385620915</v>
      </c>
      <c r="AW1552" s="141">
        <v>0.0470202296336796</v>
      </c>
      <c r="AX1552" s="95"/>
      <c r="AY1552" s="93"/>
    </row>
    <row r="1553" ht="14.5" spans="1:51">
      <c r="A1553" s="91"/>
      <c r="B1553" s="95"/>
      <c r="C1553" s="152" t="s">
        <v>1455</v>
      </c>
      <c r="D1553" s="153" t="s">
        <v>922</v>
      </c>
      <c r="E1553" s="130" t="s">
        <v>1456</v>
      </c>
      <c r="F1553" s="171" t="s">
        <v>1585</v>
      </c>
      <c r="G1553" s="171" t="s">
        <v>1585</v>
      </c>
      <c r="H1553" s="171" t="s">
        <v>1585</v>
      </c>
      <c r="I1553" s="171" t="s">
        <v>1585</v>
      </c>
      <c r="J1553" s="132">
        <v>0.9</v>
      </c>
      <c r="K1553" s="133" t="s">
        <v>35</v>
      </c>
      <c r="L1553" s="133" t="s">
        <v>35</v>
      </c>
      <c r="M1553" s="134" t="s">
        <v>35</v>
      </c>
      <c r="N1553" s="133" t="s">
        <v>35</v>
      </c>
      <c r="O1553" s="135">
        <v>0.9</v>
      </c>
      <c r="P1553" s="133" t="s">
        <v>35</v>
      </c>
      <c r="Q1553" s="133" t="s">
        <v>35</v>
      </c>
      <c r="R1553" s="133" t="s">
        <v>35</v>
      </c>
      <c r="S1553" s="133" t="s">
        <v>35</v>
      </c>
      <c r="T1553" s="135">
        <v>0.9</v>
      </c>
      <c r="U1553" s="133" t="s">
        <v>35</v>
      </c>
      <c r="V1553" s="133" t="s">
        <v>35</v>
      </c>
      <c r="W1553" s="133" t="s">
        <v>35</v>
      </c>
      <c r="X1553" s="133" t="s">
        <v>35</v>
      </c>
      <c r="Y1553" s="135">
        <v>0.92</v>
      </c>
      <c r="Z1553" s="135" t="s">
        <v>35</v>
      </c>
      <c r="AA1553" s="135" t="s">
        <v>35</v>
      </c>
      <c r="AB1553" s="135" t="s">
        <v>35</v>
      </c>
      <c r="AC1553" s="135" t="s">
        <v>35</v>
      </c>
      <c r="AD1553" s="135">
        <v>0.92</v>
      </c>
      <c r="AE1553" s="133" t="s">
        <v>35</v>
      </c>
      <c r="AF1553" s="133" t="s">
        <v>35</v>
      </c>
      <c r="AG1553" s="133" t="s">
        <v>35</v>
      </c>
      <c r="AH1553" s="133" t="s">
        <v>35</v>
      </c>
      <c r="AI1553" s="135">
        <v>0.92</v>
      </c>
      <c r="AJ1553" s="133" t="s">
        <v>35</v>
      </c>
      <c r="AK1553" s="133" t="s">
        <v>35</v>
      </c>
      <c r="AL1553" s="133" t="s">
        <v>35</v>
      </c>
      <c r="AM1553" s="133" t="s">
        <v>35</v>
      </c>
      <c r="AN1553" s="132">
        <v>0.99</v>
      </c>
      <c r="AO1553" s="137" t="s">
        <v>35</v>
      </c>
      <c r="AP1553" s="137" t="s">
        <v>35</v>
      </c>
      <c r="AQ1553" s="137" t="s">
        <v>35</v>
      </c>
      <c r="AR1553" s="137" t="s">
        <v>35</v>
      </c>
      <c r="AS1553" s="158">
        <v>0.110069253262963</v>
      </c>
      <c r="AT1553" s="141" t="s">
        <v>35</v>
      </c>
      <c r="AU1553" s="141" t="s">
        <v>35</v>
      </c>
      <c r="AV1553" s="141" t="s">
        <v>35</v>
      </c>
      <c r="AW1553" s="141" t="s">
        <v>35</v>
      </c>
      <c r="AX1553" s="95"/>
      <c r="AY1553" s="93"/>
    </row>
    <row r="1554" ht="14.5" spans="1:51">
      <c r="A1554" s="91"/>
      <c r="B1554" s="95"/>
      <c r="C1554" s="152" t="s">
        <v>1455</v>
      </c>
      <c r="D1554" s="153" t="s">
        <v>25</v>
      </c>
      <c r="E1554" s="130" t="s">
        <v>1456</v>
      </c>
      <c r="F1554" s="171" t="s">
        <v>1586</v>
      </c>
      <c r="G1554" s="171" t="s">
        <v>1586</v>
      </c>
      <c r="H1554" s="171" t="s">
        <v>1586</v>
      </c>
      <c r="I1554" s="171" t="s">
        <v>1586</v>
      </c>
      <c r="J1554" s="132">
        <v>0.9</v>
      </c>
      <c r="K1554" s="133">
        <v>0.952380952380952</v>
      </c>
      <c r="L1554" s="133">
        <v>0.952380952380952</v>
      </c>
      <c r="M1554" s="134">
        <v>0.952380952380952</v>
      </c>
      <c r="N1554" s="133">
        <v>0.958730158730159</v>
      </c>
      <c r="O1554" s="135">
        <v>0.9</v>
      </c>
      <c r="P1554" s="133">
        <v>0.956994114984156</v>
      </c>
      <c r="Q1554" s="133">
        <v>0.987257281553398</v>
      </c>
      <c r="R1554" s="133">
        <v>0.946564885496183</v>
      </c>
      <c r="S1554" s="133">
        <v>0.965701573809682</v>
      </c>
      <c r="T1554" s="135">
        <v>0.9</v>
      </c>
      <c r="U1554" s="133">
        <v>0.53870529651426</v>
      </c>
      <c r="V1554" s="133">
        <v>0.725121359223301</v>
      </c>
      <c r="W1554" s="133">
        <v>0.754337265787647</v>
      </c>
      <c r="X1554" s="133">
        <v>0.514675609270204</v>
      </c>
      <c r="Y1554" s="135">
        <v>0.92</v>
      </c>
      <c r="Z1554" s="135" t="s">
        <v>35</v>
      </c>
      <c r="AA1554" s="135" t="s">
        <v>35</v>
      </c>
      <c r="AB1554" s="135" t="s">
        <v>35</v>
      </c>
      <c r="AC1554" s="135">
        <v>0</v>
      </c>
      <c r="AD1554" s="135">
        <v>0.92</v>
      </c>
      <c r="AE1554" s="133">
        <v>1</v>
      </c>
      <c r="AF1554" s="133">
        <v>1</v>
      </c>
      <c r="AG1554" s="133">
        <v>0.884615384615385</v>
      </c>
      <c r="AH1554" s="133">
        <v>0.980830670926518</v>
      </c>
      <c r="AI1554" s="135">
        <v>0.92</v>
      </c>
      <c r="AJ1554" s="133">
        <v>0.892711634223631</v>
      </c>
      <c r="AK1554" s="133">
        <v>0.902305825242718</v>
      </c>
      <c r="AL1554" s="133">
        <v>0.927133934767523</v>
      </c>
      <c r="AM1554" s="133">
        <v>0.912181679338623</v>
      </c>
      <c r="AN1554" s="132">
        <v>0.99</v>
      </c>
      <c r="AO1554" s="137">
        <v>1</v>
      </c>
      <c r="AP1554" s="137">
        <v>1</v>
      </c>
      <c r="AQ1554" s="137">
        <v>1</v>
      </c>
      <c r="AR1554" s="137">
        <v>1</v>
      </c>
      <c r="AS1554" s="158">
        <v>0.110069253262963</v>
      </c>
      <c r="AT1554" s="141">
        <v>0.0909090909090909</v>
      </c>
      <c r="AU1554" s="141">
        <v>0.222222222222222</v>
      </c>
      <c r="AV1554" s="141">
        <v>0.2</v>
      </c>
      <c r="AW1554" s="141">
        <v>0.092896174863388</v>
      </c>
      <c r="AX1554" s="95"/>
      <c r="AY1554" s="93"/>
    </row>
    <row r="1555" ht="14.5" spans="1:51">
      <c r="A1555" s="91"/>
      <c r="B1555" s="95"/>
      <c r="C1555" s="152" t="s">
        <v>1455</v>
      </c>
      <c r="D1555" s="153" t="s">
        <v>25</v>
      </c>
      <c r="E1555" s="130" t="s">
        <v>1456</v>
      </c>
      <c r="F1555" s="171" t="s">
        <v>1587</v>
      </c>
      <c r="G1555" s="171" t="s">
        <v>1587</v>
      </c>
      <c r="H1555" s="171" t="s">
        <v>1587</v>
      </c>
      <c r="I1555" s="171" t="s">
        <v>1587</v>
      </c>
      <c r="J1555" s="132">
        <v>0.9</v>
      </c>
      <c r="K1555" s="133">
        <v>1</v>
      </c>
      <c r="L1555" s="133">
        <v>1</v>
      </c>
      <c r="M1555" s="134">
        <v>0.9</v>
      </c>
      <c r="N1555" s="133">
        <v>0.953125</v>
      </c>
      <c r="O1555" s="135">
        <v>0.9</v>
      </c>
      <c r="P1555" s="133" t="s">
        <v>35</v>
      </c>
      <c r="Q1555" s="133" t="s">
        <v>35</v>
      </c>
      <c r="R1555" s="133" t="s">
        <v>35</v>
      </c>
      <c r="S1555" s="133" t="s">
        <v>35</v>
      </c>
      <c r="T1555" s="135">
        <v>0.9</v>
      </c>
      <c r="U1555" s="133" t="s">
        <v>35</v>
      </c>
      <c r="V1555" s="133" t="s">
        <v>35</v>
      </c>
      <c r="W1555" s="133" t="s">
        <v>35</v>
      </c>
      <c r="X1555" s="133" t="s">
        <v>35</v>
      </c>
      <c r="Y1555" s="135">
        <v>0.92</v>
      </c>
      <c r="Z1555" s="135" t="s">
        <v>35</v>
      </c>
      <c r="AA1555" s="135" t="s">
        <v>35</v>
      </c>
      <c r="AB1555" s="135" t="s">
        <v>35</v>
      </c>
      <c r="AC1555" s="135" t="s">
        <v>35</v>
      </c>
      <c r="AD1555" s="135">
        <v>0.92</v>
      </c>
      <c r="AE1555" s="133" t="s">
        <v>35</v>
      </c>
      <c r="AF1555" s="133">
        <v>0.5</v>
      </c>
      <c r="AG1555" s="133">
        <v>1</v>
      </c>
      <c r="AH1555" s="133">
        <v>0.32258064516129</v>
      </c>
      <c r="AI1555" s="135">
        <v>0.92</v>
      </c>
      <c r="AJ1555" s="133">
        <v>0.787888296203326</v>
      </c>
      <c r="AK1555" s="133">
        <v>0.993150684931507</v>
      </c>
      <c r="AL1555" s="133">
        <v>0.857142857142857</v>
      </c>
      <c r="AM1555" s="133">
        <v>0.869302502616805</v>
      </c>
      <c r="AN1555" s="132">
        <v>0.99</v>
      </c>
      <c r="AO1555" s="137">
        <v>1</v>
      </c>
      <c r="AP1555" s="137" t="s">
        <v>35</v>
      </c>
      <c r="AQ1555" s="137">
        <v>1</v>
      </c>
      <c r="AR1555" s="137">
        <v>1</v>
      </c>
      <c r="AS1555" s="158">
        <v>0.110069253262963</v>
      </c>
      <c r="AT1555" s="141">
        <v>0.166666666666667</v>
      </c>
      <c r="AU1555" s="141">
        <v>0.131578947368421</v>
      </c>
      <c r="AV1555" s="141">
        <v>0.1</v>
      </c>
      <c r="AW1555" s="141">
        <v>0.181985294117647</v>
      </c>
      <c r="AX1555" s="95"/>
      <c r="AY1555" s="93"/>
    </row>
    <row r="1556" ht="14.5" spans="1:51">
      <c r="A1556" s="91"/>
      <c r="B1556" s="95"/>
      <c r="C1556" s="152" t="s">
        <v>1455</v>
      </c>
      <c r="D1556" s="153" t="s">
        <v>25</v>
      </c>
      <c r="E1556" s="130" t="s">
        <v>1456</v>
      </c>
      <c r="F1556" s="171" t="s">
        <v>1588</v>
      </c>
      <c r="G1556" s="171" t="s">
        <v>1588</v>
      </c>
      <c r="H1556" s="171" t="s">
        <v>1588</v>
      </c>
      <c r="I1556" s="171" t="s">
        <v>1588</v>
      </c>
      <c r="J1556" s="132">
        <v>0.9</v>
      </c>
      <c r="K1556" s="133">
        <v>0.842105263157895</v>
      </c>
      <c r="L1556" s="133">
        <v>0.944444444444444</v>
      </c>
      <c r="M1556" s="134">
        <v>0.942857142857143</v>
      </c>
      <c r="N1556" s="133">
        <v>0.911960132890365</v>
      </c>
      <c r="O1556" s="135">
        <v>0.9</v>
      </c>
      <c r="P1556" s="133">
        <v>0.977141203703704</v>
      </c>
      <c r="Q1556" s="133">
        <v>0.977408637873754</v>
      </c>
      <c r="R1556" s="133">
        <v>0.980674157303371</v>
      </c>
      <c r="S1556" s="133">
        <v>0.986557328556638</v>
      </c>
      <c r="T1556" s="135">
        <v>0.9</v>
      </c>
      <c r="U1556" s="133">
        <v>0.871527777777778</v>
      </c>
      <c r="V1556" s="133">
        <v>0.875747508305648</v>
      </c>
      <c r="W1556" s="133">
        <v>0.853483146067416</v>
      </c>
      <c r="X1556" s="133">
        <v>0.884521207539728</v>
      </c>
      <c r="Y1556" s="135">
        <v>0.92</v>
      </c>
      <c r="Z1556" s="135" t="s">
        <v>35</v>
      </c>
      <c r="AA1556" s="135" t="s">
        <v>35</v>
      </c>
      <c r="AB1556" s="135" t="s">
        <v>35</v>
      </c>
      <c r="AC1556" s="135" t="s">
        <v>35</v>
      </c>
      <c r="AD1556" s="135">
        <v>0.92</v>
      </c>
      <c r="AE1556" s="133">
        <v>1</v>
      </c>
      <c r="AF1556" s="133">
        <v>1</v>
      </c>
      <c r="AG1556" s="133">
        <v>1</v>
      </c>
      <c r="AH1556" s="133">
        <v>0.820359281437126</v>
      </c>
      <c r="AI1556" s="135">
        <v>0.92</v>
      </c>
      <c r="AJ1556" s="133">
        <v>0.931134259259259</v>
      </c>
      <c r="AK1556" s="133">
        <v>0.960132890365448</v>
      </c>
      <c r="AL1556" s="133">
        <v>0.95438202247191</v>
      </c>
      <c r="AM1556" s="133">
        <v>0.969384233619826</v>
      </c>
      <c r="AN1556" s="132">
        <v>0.99</v>
      </c>
      <c r="AO1556" s="137">
        <v>1</v>
      </c>
      <c r="AP1556" s="137">
        <v>1</v>
      </c>
      <c r="AQ1556" s="137">
        <v>1</v>
      </c>
      <c r="AR1556" s="137">
        <v>1</v>
      </c>
      <c r="AS1556" s="158">
        <v>0.110069253262963</v>
      </c>
      <c r="AT1556" s="141">
        <v>0.105263157894737</v>
      </c>
      <c r="AU1556" s="141">
        <v>0.0833333333333333</v>
      </c>
      <c r="AV1556" s="141">
        <v>0.125</v>
      </c>
      <c r="AW1556" s="141">
        <v>0.15112540192926</v>
      </c>
      <c r="AX1556" s="95"/>
      <c r="AY1556" s="93"/>
    </row>
    <row r="1557" ht="14.5" spans="1:51">
      <c r="A1557" s="91"/>
      <c r="B1557" s="95"/>
      <c r="C1557" s="152" t="s">
        <v>1455</v>
      </c>
      <c r="D1557" s="153" t="s">
        <v>25</v>
      </c>
      <c r="E1557" s="130" t="s">
        <v>1456</v>
      </c>
      <c r="F1557" s="171" t="s">
        <v>1589</v>
      </c>
      <c r="G1557" s="171" t="s">
        <v>1589</v>
      </c>
      <c r="H1557" s="171" t="s">
        <v>1589</v>
      </c>
      <c r="I1557" s="171" t="s">
        <v>1589</v>
      </c>
      <c r="J1557" s="132">
        <v>0.9</v>
      </c>
      <c r="K1557" s="133">
        <v>0.92</v>
      </c>
      <c r="L1557" s="133">
        <v>0.857142857142857</v>
      </c>
      <c r="M1557" s="134">
        <v>0.846153846153846</v>
      </c>
      <c r="N1557" s="133">
        <v>0.859688195991091</v>
      </c>
      <c r="O1557" s="135">
        <v>0.9</v>
      </c>
      <c r="P1557" s="133">
        <v>0.97900390625</v>
      </c>
      <c r="Q1557" s="133">
        <v>0.922222222222222</v>
      </c>
      <c r="R1557" s="133">
        <v>0.960332451832263</v>
      </c>
      <c r="S1557" s="133">
        <v>0.951741623210118</v>
      </c>
      <c r="T1557" s="135">
        <v>0.9</v>
      </c>
      <c r="U1557" s="133">
        <v>0.90185546875</v>
      </c>
      <c r="V1557" s="133">
        <v>0.896296296296296</v>
      </c>
      <c r="W1557" s="133">
        <v>0.9115980355119</v>
      </c>
      <c r="X1557" s="133">
        <v>0.901466478434988</v>
      </c>
      <c r="Y1557" s="135">
        <v>0.92</v>
      </c>
      <c r="Z1557" s="135" t="s">
        <v>35</v>
      </c>
      <c r="AA1557" s="135" t="s">
        <v>35</v>
      </c>
      <c r="AB1557" s="135" t="s">
        <v>35</v>
      </c>
      <c r="AC1557" s="135" t="s">
        <v>35</v>
      </c>
      <c r="AD1557" s="135">
        <v>0.92</v>
      </c>
      <c r="AE1557" s="133">
        <v>1</v>
      </c>
      <c r="AF1557" s="133">
        <v>0.363636363636364</v>
      </c>
      <c r="AG1557" s="133">
        <v>1</v>
      </c>
      <c r="AH1557" s="133">
        <v>0.679180887372014</v>
      </c>
      <c r="AI1557" s="135">
        <v>0.92</v>
      </c>
      <c r="AJ1557" s="133">
        <v>0.9580078125</v>
      </c>
      <c r="AK1557" s="133">
        <v>0.966137566137566</v>
      </c>
      <c r="AL1557" s="133">
        <v>0.962976955043445</v>
      </c>
      <c r="AM1557" s="133">
        <v>0.964246614808413</v>
      </c>
      <c r="AN1557" s="132">
        <v>0.99</v>
      </c>
      <c r="AO1557" s="137">
        <v>1</v>
      </c>
      <c r="AP1557" s="137">
        <v>1</v>
      </c>
      <c r="AQ1557" s="137">
        <v>1</v>
      </c>
      <c r="AR1557" s="137">
        <v>1</v>
      </c>
      <c r="AS1557" s="158">
        <v>0.110069253262963</v>
      </c>
      <c r="AT1557" s="141">
        <v>0.333333333333333</v>
      </c>
      <c r="AU1557" s="141">
        <v>0.2</v>
      </c>
      <c r="AV1557" s="141">
        <v>0.111111111111111</v>
      </c>
      <c r="AW1557" s="141">
        <v>0.191860465116279</v>
      </c>
      <c r="AX1557" s="95"/>
      <c r="AY1557" s="93"/>
    </row>
    <row r="1558" ht="14.5" spans="1:51">
      <c r="A1558" s="91"/>
      <c r="B1558" s="95"/>
      <c r="C1558" s="152" t="s">
        <v>1455</v>
      </c>
      <c r="D1558" s="153" t="s">
        <v>25</v>
      </c>
      <c r="E1558" s="130" t="s">
        <v>1456</v>
      </c>
      <c r="F1558" s="171" t="s">
        <v>1590</v>
      </c>
      <c r="G1558" s="171" t="s">
        <v>1590</v>
      </c>
      <c r="H1558" s="171" t="s">
        <v>1590</v>
      </c>
      <c r="I1558" s="171" t="s">
        <v>1590</v>
      </c>
      <c r="J1558" s="132">
        <v>0.9</v>
      </c>
      <c r="K1558" s="133">
        <v>1</v>
      </c>
      <c r="L1558" s="133">
        <v>1</v>
      </c>
      <c r="M1558" s="134">
        <v>1</v>
      </c>
      <c r="N1558" s="133">
        <v>0.98804780876494</v>
      </c>
      <c r="O1558" s="135">
        <v>0.9</v>
      </c>
      <c r="P1558" s="133">
        <v>0.92784206943499</v>
      </c>
      <c r="Q1558" s="133">
        <v>0.984304932735426</v>
      </c>
      <c r="R1558" s="133">
        <v>0.985762711864407</v>
      </c>
      <c r="S1558" s="133">
        <v>0.901066847804371</v>
      </c>
      <c r="T1558" s="135">
        <v>0.9</v>
      </c>
      <c r="U1558" s="133">
        <v>0.734513274336283</v>
      </c>
      <c r="V1558" s="133">
        <v>0.704035874439462</v>
      </c>
      <c r="W1558" s="133">
        <v>0.665084745762712</v>
      </c>
      <c r="X1558" s="133">
        <v>0.514324529508131</v>
      </c>
      <c r="Y1558" s="135">
        <v>0.92</v>
      </c>
      <c r="Z1558" s="135" t="s">
        <v>35</v>
      </c>
      <c r="AA1558" s="135" t="s">
        <v>35</v>
      </c>
      <c r="AB1558" s="135" t="s">
        <v>35</v>
      </c>
      <c r="AC1558" s="135" t="s">
        <v>35</v>
      </c>
      <c r="AD1558" s="135">
        <v>0.92</v>
      </c>
      <c r="AE1558" s="133">
        <v>1</v>
      </c>
      <c r="AF1558" s="133">
        <v>1</v>
      </c>
      <c r="AG1558" s="133">
        <v>1</v>
      </c>
      <c r="AH1558" s="133">
        <v>0.998684210526316</v>
      </c>
      <c r="AI1558" s="135">
        <v>0.92</v>
      </c>
      <c r="AJ1558" s="133">
        <v>0.862491490810075</v>
      </c>
      <c r="AK1558" s="133">
        <v>0.917040358744395</v>
      </c>
      <c r="AL1558" s="133">
        <v>0.941016949152542</v>
      </c>
      <c r="AM1558" s="133">
        <v>0.888440484276981</v>
      </c>
      <c r="AN1558" s="132">
        <v>0.99</v>
      </c>
      <c r="AO1558" s="137" t="s">
        <v>35</v>
      </c>
      <c r="AP1558" s="137">
        <v>1</v>
      </c>
      <c r="AQ1558" s="137" t="s">
        <v>35</v>
      </c>
      <c r="AR1558" s="137">
        <v>1</v>
      </c>
      <c r="AS1558" s="158">
        <v>0.110069253262963</v>
      </c>
      <c r="AT1558" s="141">
        <v>0</v>
      </c>
      <c r="AU1558" s="141">
        <v>0</v>
      </c>
      <c r="AV1558" s="141">
        <v>0</v>
      </c>
      <c r="AW1558" s="141">
        <v>0.0481283422459893</v>
      </c>
      <c r="AX1558" s="95"/>
      <c r="AY1558" s="93"/>
    </row>
    <row r="1559" ht="14.5" spans="1:51">
      <c r="A1559" s="91"/>
      <c r="B1559" s="95"/>
      <c r="C1559" s="152" t="s">
        <v>1455</v>
      </c>
      <c r="D1559" s="153" t="s">
        <v>25</v>
      </c>
      <c r="E1559" s="130" t="s">
        <v>1456</v>
      </c>
      <c r="F1559" s="171" t="s">
        <v>1591</v>
      </c>
      <c r="G1559" s="171" t="s">
        <v>1591</v>
      </c>
      <c r="H1559" s="171" t="s">
        <v>1591</v>
      </c>
      <c r="I1559" s="171" t="s">
        <v>1591</v>
      </c>
      <c r="J1559" s="132">
        <v>0.9</v>
      </c>
      <c r="K1559" s="133">
        <v>0.777777777777778</v>
      </c>
      <c r="L1559" s="133">
        <v>0.666666666666667</v>
      </c>
      <c r="M1559" s="134">
        <v>0.818181818181818</v>
      </c>
      <c r="N1559" s="133">
        <v>0.739130434782609</v>
      </c>
      <c r="O1559" s="135">
        <v>0.9</v>
      </c>
      <c r="P1559" s="133" t="s">
        <v>35</v>
      </c>
      <c r="Q1559" s="133" t="s">
        <v>35</v>
      </c>
      <c r="R1559" s="133" t="s">
        <v>35</v>
      </c>
      <c r="S1559" s="133">
        <v>0.285714285714286</v>
      </c>
      <c r="T1559" s="135">
        <v>0.9</v>
      </c>
      <c r="U1559" s="133" t="s">
        <v>35</v>
      </c>
      <c r="V1559" s="133" t="s">
        <v>35</v>
      </c>
      <c r="W1559" s="133" t="s">
        <v>35</v>
      </c>
      <c r="X1559" s="133">
        <v>0.428571428571429</v>
      </c>
      <c r="Y1559" s="135">
        <v>0.92</v>
      </c>
      <c r="Z1559" s="135" t="s">
        <v>35</v>
      </c>
      <c r="AA1559" s="135" t="s">
        <v>35</v>
      </c>
      <c r="AB1559" s="135" t="s">
        <v>35</v>
      </c>
      <c r="AC1559" s="135" t="s">
        <v>35</v>
      </c>
      <c r="AD1559" s="135">
        <v>0.92</v>
      </c>
      <c r="AE1559" s="133">
        <v>0.333333333333333</v>
      </c>
      <c r="AF1559" s="133">
        <v>0.666666666666667</v>
      </c>
      <c r="AG1559" s="133">
        <v>1</v>
      </c>
      <c r="AH1559" s="133">
        <v>0.875</v>
      </c>
      <c r="AI1559" s="135">
        <v>0.92</v>
      </c>
      <c r="AJ1559" s="133">
        <v>0.555446516192345</v>
      </c>
      <c r="AK1559" s="133">
        <v>0.569247546346783</v>
      </c>
      <c r="AL1559" s="133">
        <v>0.770491803278688</v>
      </c>
      <c r="AM1559" s="133">
        <v>0.711546448843971</v>
      </c>
      <c r="AN1559" s="132">
        <v>0.99</v>
      </c>
      <c r="AO1559" s="137" t="s">
        <v>35</v>
      </c>
      <c r="AP1559" s="137" t="s">
        <v>35</v>
      </c>
      <c r="AQ1559" s="137" t="s">
        <v>35</v>
      </c>
      <c r="AR1559" s="137">
        <v>1</v>
      </c>
      <c r="AS1559" s="158">
        <v>0.110069253262963</v>
      </c>
      <c r="AT1559" s="141">
        <v>0.222222222222222</v>
      </c>
      <c r="AU1559" s="141">
        <v>0.8</v>
      </c>
      <c r="AV1559" s="141">
        <v>0.277777777777778</v>
      </c>
      <c r="AW1559" s="141">
        <v>0.187817258883249</v>
      </c>
      <c r="AX1559" s="95"/>
      <c r="AY1559" s="93"/>
    </row>
    <row r="1560" ht="14.5" spans="1:51">
      <c r="A1560" s="91"/>
      <c r="B1560" s="95"/>
      <c r="C1560" s="152" t="s">
        <v>1455</v>
      </c>
      <c r="D1560" s="153" t="s">
        <v>25</v>
      </c>
      <c r="E1560" s="130" t="s">
        <v>1456</v>
      </c>
      <c r="F1560" s="171" t="s">
        <v>1592</v>
      </c>
      <c r="G1560" s="171" t="s">
        <v>1592</v>
      </c>
      <c r="H1560" s="171" t="s">
        <v>1592</v>
      </c>
      <c r="I1560" s="171" t="s">
        <v>1592</v>
      </c>
      <c r="J1560" s="132">
        <v>0.9</v>
      </c>
      <c r="K1560" s="133">
        <v>0.9</v>
      </c>
      <c r="L1560" s="133">
        <v>0.85</v>
      </c>
      <c r="M1560" s="134">
        <v>0.944444444444444</v>
      </c>
      <c r="N1560" s="133">
        <v>0.919254658385093</v>
      </c>
      <c r="O1560" s="135">
        <v>0.9</v>
      </c>
      <c r="P1560" s="133">
        <v>0</v>
      </c>
      <c r="Q1560" s="133" t="s">
        <v>35</v>
      </c>
      <c r="R1560" s="133" t="s">
        <v>35</v>
      </c>
      <c r="S1560" s="133">
        <v>0.333333333333333</v>
      </c>
      <c r="T1560" s="135">
        <v>0.9</v>
      </c>
      <c r="U1560" s="133">
        <v>0</v>
      </c>
      <c r="V1560" s="133" t="s">
        <v>35</v>
      </c>
      <c r="W1560" s="133" t="s">
        <v>35</v>
      </c>
      <c r="X1560" s="133">
        <v>0.333333333333333</v>
      </c>
      <c r="Y1560" s="135">
        <v>0.92</v>
      </c>
      <c r="Z1560" s="135" t="s">
        <v>35</v>
      </c>
      <c r="AA1560" s="135" t="s">
        <v>35</v>
      </c>
      <c r="AB1560" s="135" t="s">
        <v>35</v>
      </c>
      <c r="AC1560" s="135" t="s">
        <v>35</v>
      </c>
      <c r="AD1560" s="135">
        <v>0.92</v>
      </c>
      <c r="AE1560" s="133">
        <v>0</v>
      </c>
      <c r="AF1560" s="133">
        <v>0</v>
      </c>
      <c r="AG1560" s="133">
        <v>0</v>
      </c>
      <c r="AH1560" s="133">
        <v>0.151515151515152</v>
      </c>
      <c r="AI1560" s="135">
        <v>0.92</v>
      </c>
      <c r="AJ1560" s="133">
        <v>0.680824742268041</v>
      </c>
      <c r="AK1560" s="133">
        <v>0.724321447578499</v>
      </c>
      <c r="AL1560" s="133">
        <v>0.623542476401999</v>
      </c>
      <c r="AM1560" s="133">
        <v>0.745837997905457</v>
      </c>
      <c r="AN1560" s="132">
        <v>0.99</v>
      </c>
      <c r="AO1560" s="137">
        <v>1</v>
      </c>
      <c r="AP1560" s="137" t="s">
        <v>35</v>
      </c>
      <c r="AQ1560" s="137" t="s">
        <v>35</v>
      </c>
      <c r="AR1560" s="137">
        <v>1</v>
      </c>
      <c r="AS1560" s="158">
        <v>0.110069253262963</v>
      </c>
      <c r="AT1560" s="141">
        <v>0.0487804878048781</v>
      </c>
      <c r="AU1560" s="141">
        <v>0.176470588235294</v>
      </c>
      <c r="AV1560" s="141">
        <v>0.222222222222222</v>
      </c>
      <c r="AW1560" s="141">
        <v>0.102702702702703</v>
      </c>
      <c r="AX1560" s="95"/>
      <c r="AY1560" s="93"/>
    </row>
    <row r="1561" ht="14.5" spans="1:51">
      <c r="A1561" s="91"/>
      <c r="B1561" s="95"/>
      <c r="C1561" s="152" t="s">
        <v>1455</v>
      </c>
      <c r="D1561" s="153" t="s">
        <v>25</v>
      </c>
      <c r="E1561" s="130" t="s">
        <v>1456</v>
      </c>
      <c r="F1561" s="171" t="s">
        <v>1593</v>
      </c>
      <c r="G1561" s="171" t="s">
        <v>1593</v>
      </c>
      <c r="H1561" s="171" t="s">
        <v>1593</v>
      </c>
      <c r="I1561" s="171" t="s">
        <v>1593</v>
      </c>
      <c r="J1561" s="132">
        <v>0.9</v>
      </c>
      <c r="K1561" s="133">
        <v>1</v>
      </c>
      <c r="L1561" s="133">
        <v>1</v>
      </c>
      <c r="M1561" s="134">
        <v>1</v>
      </c>
      <c r="N1561" s="133">
        <v>0.989071038251366</v>
      </c>
      <c r="O1561" s="135">
        <v>0.9</v>
      </c>
      <c r="P1561" s="133">
        <v>0.931266846361186</v>
      </c>
      <c r="Q1561" s="133">
        <v>0.921713441654357</v>
      </c>
      <c r="R1561" s="133">
        <v>0.711359404096834</v>
      </c>
      <c r="S1561" s="133">
        <v>0.86758691206544</v>
      </c>
      <c r="T1561" s="135">
        <v>0.9</v>
      </c>
      <c r="U1561" s="133">
        <v>0.881401617250674</v>
      </c>
      <c r="V1561" s="133">
        <v>0.853766617429838</v>
      </c>
      <c r="W1561" s="133">
        <v>0.681564245810056</v>
      </c>
      <c r="X1561" s="133">
        <v>0.816973415132924</v>
      </c>
      <c r="Y1561" s="135">
        <v>0.92</v>
      </c>
      <c r="Z1561" s="135" t="s">
        <v>35</v>
      </c>
      <c r="AA1561" s="135" t="s">
        <v>35</v>
      </c>
      <c r="AB1561" s="135" t="s">
        <v>35</v>
      </c>
      <c r="AC1561" s="135" t="s">
        <v>35</v>
      </c>
      <c r="AD1561" s="135">
        <v>0.92</v>
      </c>
      <c r="AE1561" s="133">
        <v>0</v>
      </c>
      <c r="AF1561" s="133">
        <v>0</v>
      </c>
      <c r="AG1561" s="133">
        <v>0</v>
      </c>
      <c r="AH1561" s="133">
        <v>0.0317460317460317</v>
      </c>
      <c r="AI1561" s="135">
        <v>0.92</v>
      </c>
      <c r="AJ1561" s="133">
        <v>0.963855421686747</v>
      </c>
      <c r="AK1561" s="133">
        <v>0.877581120943953</v>
      </c>
      <c r="AL1561" s="133">
        <v>0.828677839851024</v>
      </c>
      <c r="AM1561" s="133">
        <v>0.903093525179856</v>
      </c>
      <c r="AN1561" s="132">
        <v>0.99</v>
      </c>
      <c r="AO1561" s="137" t="s">
        <v>35</v>
      </c>
      <c r="AP1561" s="137" t="s">
        <v>35</v>
      </c>
      <c r="AQ1561" s="137" t="s">
        <v>35</v>
      </c>
      <c r="AR1561" s="137" t="s">
        <v>35</v>
      </c>
      <c r="AS1561" s="158">
        <v>0.110069253262963</v>
      </c>
      <c r="AT1561" s="141">
        <v>0</v>
      </c>
      <c r="AU1561" s="141" t="s">
        <v>35</v>
      </c>
      <c r="AV1561" s="141">
        <v>0.166666666666667</v>
      </c>
      <c r="AW1561" s="141">
        <v>0.0694444444444444</v>
      </c>
      <c r="AX1561" s="95"/>
      <c r="AY1561" s="93"/>
    </row>
    <row r="1562" ht="14.5" spans="1:51">
      <c r="A1562" s="91"/>
      <c r="B1562" s="95"/>
      <c r="C1562" s="152" t="s">
        <v>1455</v>
      </c>
      <c r="D1562" s="153" t="s">
        <v>25</v>
      </c>
      <c r="E1562" s="130" t="s">
        <v>1456</v>
      </c>
      <c r="F1562" s="171" t="s">
        <v>1594</v>
      </c>
      <c r="G1562" s="171" t="s">
        <v>1594</v>
      </c>
      <c r="H1562" s="171" t="s">
        <v>1594</v>
      </c>
      <c r="I1562" s="171" t="s">
        <v>1594</v>
      </c>
      <c r="J1562" s="132">
        <v>0.9</v>
      </c>
      <c r="K1562" s="133">
        <v>0.916666666666667</v>
      </c>
      <c r="L1562" s="133">
        <v>0.75</v>
      </c>
      <c r="M1562" s="134">
        <v>0.888888888888889</v>
      </c>
      <c r="N1562" s="133">
        <v>0.839378238341969</v>
      </c>
      <c r="O1562" s="135">
        <v>0.9</v>
      </c>
      <c r="P1562" s="133">
        <v>0.998768472906404</v>
      </c>
      <c r="Q1562" s="133">
        <v>0.997804610318331</v>
      </c>
      <c r="R1562" s="133">
        <v>0.995762711864407</v>
      </c>
      <c r="S1562" s="133">
        <v>0.997002622705133</v>
      </c>
      <c r="T1562" s="135">
        <v>0.9</v>
      </c>
      <c r="U1562" s="133">
        <v>0.977832512315271</v>
      </c>
      <c r="V1562" s="133">
        <v>0.980241492864984</v>
      </c>
      <c r="W1562" s="133">
        <v>0.970338983050847</v>
      </c>
      <c r="X1562" s="133">
        <v>0.975646309479206</v>
      </c>
      <c r="Y1562" s="135">
        <v>0.92</v>
      </c>
      <c r="Z1562" s="135" t="s">
        <v>35</v>
      </c>
      <c r="AA1562" s="135" t="s">
        <v>35</v>
      </c>
      <c r="AB1562" s="135" t="s">
        <v>35</v>
      </c>
      <c r="AC1562" s="135" t="s">
        <v>35</v>
      </c>
      <c r="AD1562" s="135">
        <v>0.92</v>
      </c>
      <c r="AE1562" s="133">
        <v>0</v>
      </c>
      <c r="AF1562" s="133">
        <v>0</v>
      </c>
      <c r="AG1562" s="133">
        <v>0</v>
      </c>
      <c r="AH1562" s="133">
        <v>0.21505376344086</v>
      </c>
      <c r="AI1562" s="135">
        <v>0.92</v>
      </c>
      <c r="AJ1562" s="133">
        <v>0.990147783251232</v>
      </c>
      <c r="AK1562" s="133">
        <v>0.995609220636663</v>
      </c>
      <c r="AL1562" s="133">
        <v>0.982105263157895</v>
      </c>
      <c r="AM1562" s="133">
        <v>0.993580868470736</v>
      </c>
      <c r="AN1562" s="132">
        <v>0.99</v>
      </c>
      <c r="AO1562" s="137">
        <v>1</v>
      </c>
      <c r="AP1562" s="137" t="s">
        <v>35</v>
      </c>
      <c r="AQ1562" s="137">
        <v>1</v>
      </c>
      <c r="AR1562" s="137">
        <v>1</v>
      </c>
      <c r="AS1562" s="158">
        <v>0.110069253262963</v>
      </c>
      <c r="AT1562" s="141">
        <v>0</v>
      </c>
      <c r="AU1562" s="141">
        <v>0</v>
      </c>
      <c r="AV1562" s="141">
        <v>0</v>
      </c>
      <c r="AW1562" s="141">
        <v>0.0925925925925926</v>
      </c>
      <c r="AX1562" s="95"/>
      <c r="AY1562" s="93"/>
    </row>
    <row r="1563" ht="14.5" spans="1:51">
      <c r="A1563" s="91"/>
      <c r="B1563" s="95"/>
      <c r="C1563" s="152" t="s">
        <v>1455</v>
      </c>
      <c r="D1563" s="153" t="s">
        <v>25</v>
      </c>
      <c r="E1563" s="130" t="s">
        <v>1456</v>
      </c>
      <c r="F1563" s="171" t="s">
        <v>1595</v>
      </c>
      <c r="G1563" s="171" t="s">
        <v>1595</v>
      </c>
      <c r="H1563" s="171" t="s">
        <v>1595</v>
      </c>
      <c r="I1563" s="171" t="s">
        <v>1595</v>
      </c>
      <c r="J1563" s="132">
        <v>0.9</v>
      </c>
      <c r="K1563" s="133">
        <v>0.928571428571429</v>
      </c>
      <c r="L1563" s="133">
        <v>0.846153846153846</v>
      </c>
      <c r="M1563" s="134">
        <v>0.909090909090909</v>
      </c>
      <c r="N1563" s="133">
        <v>0.809716599190283</v>
      </c>
      <c r="O1563" s="135">
        <v>0.9</v>
      </c>
      <c r="P1563" s="133" t="s">
        <v>35</v>
      </c>
      <c r="Q1563" s="133" t="s">
        <v>35</v>
      </c>
      <c r="R1563" s="133" t="s">
        <v>35</v>
      </c>
      <c r="S1563" s="133">
        <v>0.5</v>
      </c>
      <c r="T1563" s="135">
        <v>0.9</v>
      </c>
      <c r="U1563" s="133" t="s">
        <v>35</v>
      </c>
      <c r="V1563" s="133" t="s">
        <v>35</v>
      </c>
      <c r="W1563" s="133" t="s">
        <v>35</v>
      </c>
      <c r="X1563" s="133">
        <v>0</v>
      </c>
      <c r="Y1563" s="135">
        <v>0.92</v>
      </c>
      <c r="Z1563" s="135" t="s">
        <v>35</v>
      </c>
      <c r="AA1563" s="135" t="s">
        <v>35</v>
      </c>
      <c r="AB1563" s="135" t="s">
        <v>35</v>
      </c>
      <c r="AC1563" s="135" t="s">
        <v>35</v>
      </c>
      <c r="AD1563" s="135">
        <v>0.92</v>
      </c>
      <c r="AE1563" s="133">
        <v>0.25</v>
      </c>
      <c r="AF1563" s="133">
        <v>0.75</v>
      </c>
      <c r="AG1563" s="133">
        <v>1</v>
      </c>
      <c r="AH1563" s="133">
        <v>0.948051948051948</v>
      </c>
      <c r="AI1563" s="135">
        <v>0.92</v>
      </c>
      <c r="AJ1563" s="133">
        <v>0.683895131086142</v>
      </c>
      <c r="AK1563" s="133">
        <v>0.600115740740741</v>
      </c>
      <c r="AL1563" s="133">
        <v>0.543628808864266</v>
      </c>
      <c r="AM1563" s="133">
        <v>0.717427182300727</v>
      </c>
      <c r="AN1563" s="132">
        <v>0.99</v>
      </c>
      <c r="AO1563" s="137">
        <v>1</v>
      </c>
      <c r="AP1563" s="137">
        <v>1</v>
      </c>
      <c r="AQ1563" s="137">
        <v>1</v>
      </c>
      <c r="AR1563" s="137">
        <v>1</v>
      </c>
      <c r="AS1563" s="158">
        <v>0.110069253262963</v>
      </c>
      <c r="AT1563" s="141">
        <v>0.117647058823529</v>
      </c>
      <c r="AU1563" s="141">
        <v>0.1</v>
      </c>
      <c r="AV1563" s="141">
        <v>0</v>
      </c>
      <c r="AW1563" s="141">
        <v>0.114068441064639</v>
      </c>
      <c r="AX1563" s="95"/>
      <c r="AY1563" s="93"/>
    </row>
    <row r="1564" ht="14.5" spans="1:51">
      <c r="A1564" s="91"/>
      <c r="B1564" s="95"/>
      <c r="C1564" s="152" t="s">
        <v>1455</v>
      </c>
      <c r="D1564" s="153" t="s">
        <v>25</v>
      </c>
      <c r="E1564" s="130" t="s">
        <v>1456</v>
      </c>
      <c r="F1564" s="171" t="s">
        <v>1596</v>
      </c>
      <c r="G1564" s="171" t="s">
        <v>1596</v>
      </c>
      <c r="H1564" s="171" t="s">
        <v>1596</v>
      </c>
      <c r="I1564" s="171" t="s">
        <v>1596</v>
      </c>
      <c r="J1564" s="132">
        <v>0.9</v>
      </c>
      <c r="K1564" s="133">
        <v>0.961538461538462</v>
      </c>
      <c r="L1564" s="133">
        <v>0.958333333333333</v>
      </c>
      <c r="M1564" s="134">
        <v>0.916666666666667</v>
      </c>
      <c r="N1564" s="133">
        <v>0.947990543735225</v>
      </c>
      <c r="O1564" s="135">
        <v>0.9</v>
      </c>
      <c r="P1564" s="133">
        <v>0.995508982035928</v>
      </c>
      <c r="Q1564" s="133">
        <v>0.996292372881356</v>
      </c>
      <c r="R1564" s="133">
        <v>0.997186495176849</v>
      </c>
      <c r="S1564" s="133">
        <v>0.996161174624524</v>
      </c>
      <c r="T1564" s="135">
        <v>0.9</v>
      </c>
      <c r="U1564" s="133">
        <v>0.956586826347305</v>
      </c>
      <c r="V1564" s="133">
        <v>0.970338983050847</v>
      </c>
      <c r="W1564" s="133">
        <v>0.971864951768489</v>
      </c>
      <c r="X1564" s="133">
        <v>0.957380632145259</v>
      </c>
      <c r="Y1564" s="135">
        <v>0.92</v>
      </c>
      <c r="Z1564" s="135" t="s">
        <v>35</v>
      </c>
      <c r="AA1564" s="135" t="s">
        <v>35</v>
      </c>
      <c r="AB1564" s="135" t="s">
        <v>35</v>
      </c>
      <c r="AC1564" s="135">
        <v>1</v>
      </c>
      <c r="AD1564" s="135">
        <v>0.92</v>
      </c>
      <c r="AE1564" s="133">
        <v>0.75</v>
      </c>
      <c r="AF1564" s="133">
        <v>1</v>
      </c>
      <c r="AG1564" s="133">
        <v>0.964285714285714</v>
      </c>
      <c r="AH1564" s="133">
        <v>0.9</v>
      </c>
      <c r="AI1564" s="135">
        <v>0.92</v>
      </c>
      <c r="AJ1564" s="133">
        <v>0.979540918163673</v>
      </c>
      <c r="AK1564" s="133">
        <v>0.988877118644068</v>
      </c>
      <c r="AL1564" s="133">
        <v>0.990755627009646</v>
      </c>
      <c r="AM1564" s="133">
        <v>0.986690576928465</v>
      </c>
      <c r="AN1564" s="132">
        <v>0.99</v>
      </c>
      <c r="AO1564" s="137">
        <v>1</v>
      </c>
      <c r="AP1564" s="137">
        <v>1</v>
      </c>
      <c r="AQ1564" s="137">
        <v>1</v>
      </c>
      <c r="AR1564" s="137">
        <v>1</v>
      </c>
      <c r="AS1564" s="158">
        <v>0.110069253262963</v>
      </c>
      <c r="AT1564" s="141">
        <v>0</v>
      </c>
      <c r="AU1564" s="141">
        <v>0.2</v>
      </c>
      <c r="AV1564" s="141">
        <v>0</v>
      </c>
      <c r="AW1564" s="141">
        <v>0.0656934306569343</v>
      </c>
      <c r="AX1564" s="95"/>
      <c r="AY1564" s="93"/>
    </row>
    <row r="1565" ht="14.5" spans="1:51">
      <c r="A1565" s="91"/>
      <c r="B1565" s="95"/>
      <c r="C1565" s="152" t="s">
        <v>1455</v>
      </c>
      <c r="D1565" s="153" t="s">
        <v>25</v>
      </c>
      <c r="E1565" s="130" t="s">
        <v>1456</v>
      </c>
      <c r="F1565" s="171" t="s">
        <v>1597</v>
      </c>
      <c r="G1565" s="171" t="s">
        <v>1597</v>
      </c>
      <c r="H1565" s="171" t="s">
        <v>1597</v>
      </c>
      <c r="I1565" s="171" t="s">
        <v>1597</v>
      </c>
      <c r="J1565" s="132">
        <v>0.9</v>
      </c>
      <c r="K1565" s="133">
        <v>1</v>
      </c>
      <c r="L1565" s="133">
        <v>1</v>
      </c>
      <c r="M1565" s="134">
        <v>1</v>
      </c>
      <c r="N1565" s="133">
        <v>0.99025974025974</v>
      </c>
      <c r="O1565" s="135">
        <v>0.9</v>
      </c>
      <c r="P1565" s="133">
        <v>0.998611111111111</v>
      </c>
      <c r="Q1565" s="133">
        <v>0.999374217772215</v>
      </c>
      <c r="R1565" s="133">
        <v>0.995679012345679</v>
      </c>
      <c r="S1565" s="133">
        <v>0.994187150944113</v>
      </c>
      <c r="T1565" s="135">
        <v>0.9</v>
      </c>
      <c r="U1565" s="133">
        <v>0.954861111111111</v>
      </c>
      <c r="V1565" s="133">
        <v>0.978723404255319</v>
      </c>
      <c r="W1565" s="133">
        <v>0.969135802469136</v>
      </c>
      <c r="X1565" s="133">
        <v>0.927966262679989</v>
      </c>
      <c r="Y1565" s="135">
        <v>0.92</v>
      </c>
      <c r="Z1565" s="135" t="s">
        <v>35</v>
      </c>
      <c r="AA1565" s="135" t="s">
        <v>35</v>
      </c>
      <c r="AB1565" s="135" t="s">
        <v>35</v>
      </c>
      <c r="AC1565" s="135" t="s">
        <v>35</v>
      </c>
      <c r="AD1565" s="135">
        <v>0.92</v>
      </c>
      <c r="AE1565" s="133">
        <v>0.979166666666667</v>
      </c>
      <c r="AF1565" s="133">
        <v>0.392857142857143</v>
      </c>
      <c r="AG1565" s="133">
        <v>1</v>
      </c>
      <c r="AH1565" s="133">
        <v>0.857142857142857</v>
      </c>
      <c r="AI1565" s="135">
        <v>0.92</v>
      </c>
      <c r="AJ1565" s="133">
        <v>0.966666666666667</v>
      </c>
      <c r="AK1565" s="133">
        <v>0.989987484355444</v>
      </c>
      <c r="AL1565" s="133">
        <v>0.987045033929673</v>
      </c>
      <c r="AM1565" s="133">
        <v>0.975647747131677</v>
      </c>
      <c r="AN1565" s="132">
        <v>0.99</v>
      </c>
      <c r="AO1565" s="137">
        <v>1</v>
      </c>
      <c r="AP1565" s="137">
        <v>1</v>
      </c>
      <c r="AQ1565" s="137">
        <v>1</v>
      </c>
      <c r="AR1565" s="137">
        <v>1</v>
      </c>
      <c r="AS1565" s="158">
        <v>0.110069253262963</v>
      </c>
      <c r="AT1565" s="141">
        <v>0.25</v>
      </c>
      <c r="AU1565" s="141">
        <v>0.111111111111111</v>
      </c>
      <c r="AV1565" s="141">
        <v>0.0588235294117647</v>
      </c>
      <c r="AW1565" s="141">
        <v>0.0497925311203319</v>
      </c>
      <c r="AX1565" s="95"/>
      <c r="AY1565" s="93"/>
    </row>
    <row r="1566" ht="14.5" spans="1:51">
      <c r="A1566" s="91"/>
      <c r="B1566" s="95"/>
      <c r="C1566" s="152" t="s">
        <v>1455</v>
      </c>
      <c r="D1566" s="153" t="s">
        <v>25</v>
      </c>
      <c r="E1566" s="130" t="s">
        <v>1456</v>
      </c>
      <c r="F1566" s="171" t="s">
        <v>1598</v>
      </c>
      <c r="G1566" s="171" t="s">
        <v>1598</v>
      </c>
      <c r="H1566" s="171" t="s">
        <v>1598</v>
      </c>
      <c r="I1566" s="171" t="s">
        <v>1598</v>
      </c>
      <c r="J1566" s="132">
        <v>0.9</v>
      </c>
      <c r="K1566" s="133">
        <v>0.888888888888889</v>
      </c>
      <c r="L1566" s="133">
        <v>0.875</v>
      </c>
      <c r="M1566" s="134">
        <v>0.777777777777778</v>
      </c>
      <c r="N1566" s="133">
        <v>0.830065359477124</v>
      </c>
      <c r="O1566" s="135">
        <v>0.9</v>
      </c>
      <c r="P1566" s="133">
        <v>0.99908592321755</v>
      </c>
      <c r="Q1566" s="133">
        <v>0.997560975609756</v>
      </c>
      <c r="R1566" s="133">
        <v>0.996511627906977</v>
      </c>
      <c r="S1566" s="133">
        <v>0.997845988152935</v>
      </c>
      <c r="T1566" s="135">
        <v>0.9</v>
      </c>
      <c r="U1566" s="133">
        <v>0.758683729433272</v>
      </c>
      <c r="V1566" s="133">
        <v>0.885365853658537</v>
      </c>
      <c r="W1566" s="133">
        <v>0.875581395348837</v>
      </c>
      <c r="X1566" s="133">
        <v>0.854873451803985</v>
      </c>
      <c r="Y1566" s="135">
        <v>0.92</v>
      </c>
      <c r="Z1566" s="135" t="s">
        <v>35</v>
      </c>
      <c r="AA1566" s="135" t="s">
        <v>35</v>
      </c>
      <c r="AB1566" s="135" t="s">
        <v>35</v>
      </c>
      <c r="AC1566" s="135" t="s">
        <v>35</v>
      </c>
      <c r="AD1566" s="135">
        <v>0.92</v>
      </c>
      <c r="AE1566" s="133">
        <v>0</v>
      </c>
      <c r="AF1566" s="133">
        <v>0</v>
      </c>
      <c r="AG1566" s="133">
        <v>0.111111111111111</v>
      </c>
      <c r="AH1566" s="133">
        <v>0.0955056179775281</v>
      </c>
      <c r="AI1566" s="135">
        <v>0.92</v>
      </c>
      <c r="AJ1566" s="133">
        <v>0.878577623590633</v>
      </c>
      <c r="AK1566" s="133">
        <v>0.943373493975904</v>
      </c>
      <c r="AL1566" s="133">
        <v>0.961761297798378</v>
      </c>
      <c r="AM1566" s="133">
        <v>0.957201045656271</v>
      </c>
      <c r="AN1566" s="132">
        <v>0.99</v>
      </c>
      <c r="AO1566" s="137" t="s">
        <v>35</v>
      </c>
      <c r="AP1566" s="137" t="s">
        <v>35</v>
      </c>
      <c r="AQ1566" s="137">
        <v>1</v>
      </c>
      <c r="AR1566" s="137">
        <v>1</v>
      </c>
      <c r="AS1566" s="158">
        <v>0.110069253262963</v>
      </c>
      <c r="AT1566" s="141">
        <v>0</v>
      </c>
      <c r="AU1566" s="141">
        <v>0</v>
      </c>
      <c r="AV1566" s="141">
        <v>0.2</v>
      </c>
      <c r="AW1566" s="141">
        <v>0.0813953488372093</v>
      </c>
      <c r="AX1566" s="95"/>
      <c r="AY1566" s="93"/>
    </row>
    <row r="1567" ht="14.5" spans="1:51">
      <c r="A1567" s="91"/>
      <c r="B1567" s="95"/>
      <c r="C1567" s="152" t="s">
        <v>1455</v>
      </c>
      <c r="D1567" s="153" t="s">
        <v>25</v>
      </c>
      <c r="E1567" s="130" t="s">
        <v>1456</v>
      </c>
      <c r="F1567" s="171" t="s">
        <v>1599</v>
      </c>
      <c r="G1567" s="171" t="s">
        <v>1599</v>
      </c>
      <c r="H1567" s="171" t="s">
        <v>1599</v>
      </c>
      <c r="I1567" s="171" t="s">
        <v>1599</v>
      </c>
      <c r="J1567" s="132">
        <v>0.9</v>
      </c>
      <c r="K1567" s="133">
        <v>0.947368421052632</v>
      </c>
      <c r="L1567" s="133">
        <v>1</v>
      </c>
      <c r="M1567" s="134">
        <v>0.944444444444444</v>
      </c>
      <c r="N1567" s="133">
        <v>0.95</v>
      </c>
      <c r="O1567" s="135">
        <v>0.9</v>
      </c>
      <c r="P1567" s="133" t="s">
        <v>35</v>
      </c>
      <c r="Q1567" s="133" t="s">
        <v>35</v>
      </c>
      <c r="R1567" s="133" t="s">
        <v>35</v>
      </c>
      <c r="S1567" s="133">
        <v>0.666666666666667</v>
      </c>
      <c r="T1567" s="135">
        <v>0.9</v>
      </c>
      <c r="U1567" s="133" t="s">
        <v>35</v>
      </c>
      <c r="V1567" s="133" t="s">
        <v>35</v>
      </c>
      <c r="W1567" s="133" t="s">
        <v>35</v>
      </c>
      <c r="X1567" s="133">
        <v>0.666666666666667</v>
      </c>
      <c r="Y1567" s="135">
        <v>0.92</v>
      </c>
      <c r="Z1567" s="135" t="s">
        <v>35</v>
      </c>
      <c r="AA1567" s="135" t="s">
        <v>35</v>
      </c>
      <c r="AB1567" s="135" t="s">
        <v>35</v>
      </c>
      <c r="AC1567" s="135" t="s">
        <v>35</v>
      </c>
      <c r="AD1567" s="135">
        <v>0.92</v>
      </c>
      <c r="AE1567" s="133">
        <v>0</v>
      </c>
      <c r="AF1567" s="133">
        <v>0</v>
      </c>
      <c r="AG1567" s="133">
        <v>0</v>
      </c>
      <c r="AH1567" s="133">
        <v>0.331230283911672</v>
      </c>
      <c r="AI1567" s="135">
        <v>0.92</v>
      </c>
      <c r="AJ1567" s="133">
        <v>0.824884792626728</v>
      </c>
      <c r="AK1567" s="133">
        <v>0.851664254703329</v>
      </c>
      <c r="AL1567" s="133">
        <v>0.870527000650618</v>
      </c>
      <c r="AM1567" s="133">
        <v>0.898506915819364</v>
      </c>
      <c r="AN1567" s="132">
        <v>0.99</v>
      </c>
      <c r="AO1567" s="137" t="s">
        <v>35</v>
      </c>
      <c r="AP1567" s="137" t="s">
        <v>35</v>
      </c>
      <c r="AQ1567" s="137">
        <v>1</v>
      </c>
      <c r="AR1567" s="137">
        <v>1</v>
      </c>
      <c r="AS1567" s="158">
        <v>0.110069253262963</v>
      </c>
      <c r="AT1567" s="141">
        <v>0</v>
      </c>
      <c r="AU1567" s="141">
        <v>0.0555555555555556</v>
      </c>
      <c r="AV1567" s="141">
        <v>0</v>
      </c>
      <c r="AW1567" s="141">
        <v>0.0885714285714286</v>
      </c>
      <c r="AX1567" s="95"/>
      <c r="AY1567" s="93"/>
    </row>
    <row r="1568" ht="14.5" spans="1:51">
      <c r="A1568" s="91"/>
      <c r="B1568" s="95"/>
      <c r="C1568" s="152" t="s">
        <v>1455</v>
      </c>
      <c r="D1568" s="153" t="s">
        <v>25</v>
      </c>
      <c r="E1568" s="130" t="s">
        <v>1456</v>
      </c>
      <c r="F1568" s="171" t="s">
        <v>1600</v>
      </c>
      <c r="G1568" s="171" t="s">
        <v>1600</v>
      </c>
      <c r="H1568" s="171" t="s">
        <v>1600</v>
      </c>
      <c r="I1568" s="171" t="s">
        <v>1600</v>
      </c>
      <c r="J1568" s="132">
        <v>0.9</v>
      </c>
      <c r="K1568" s="133">
        <v>1</v>
      </c>
      <c r="L1568" s="133">
        <v>1</v>
      </c>
      <c r="M1568" s="134">
        <v>1</v>
      </c>
      <c r="N1568" s="133">
        <v>0.985074626865672</v>
      </c>
      <c r="O1568" s="135">
        <v>0.9</v>
      </c>
      <c r="P1568" s="133">
        <v>0.992850333651096</v>
      </c>
      <c r="Q1568" s="133">
        <v>0.997863247863248</v>
      </c>
      <c r="R1568" s="133">
        <v>0.973770491803279</v>
      </c>
      <c r="S1568" s="133">
        <v>0.943889134601209</v>
      </c>
      <c r="T1568" s="135">
        <v>0.9</v>
      </c>
      <c r="U1568" s="133">
        <v>0.969971401334604</v>
      </c>
      <c r="V1568" s="133">
        <v>0.950320512820513</v>
      </c>
      <c r="W1568" s="133">
        <v>0.949180327868852</v>
      </c>
      <c r="X1568" s="133">
        <v>0.915524104378594</v>
      </c>
      <c r="Y1568" s="135">
        <v>0.92</v>
      </c>
      <c r="Z1568" s="135" t="s">
        <v>35</v>
      </c>
      <c r="AA1568" s="135" t="s">
        <v>35</v>
      </c>
      <c r="AB1568" s="135" t="s">
        <v>35</v>
      </c>
      <c r="AC1568" s="135" t="s">
        <v>35</v>
      </c>
      <c r="AD1568" s="135">
        <v>0.92</v>
      </c>
      <c r="AE1568" s="133">
        <v>0</v>
      </c>
      <c r="AF1568" s="133">
        <v>0.111111111111111</v>
      </c>
      <c r="AG1568" s="133">
        <v>0.1</v>
      </c>
      <c r="AH1568" s="133">
        <v>0.626794258373206</v>
      </c>
      <c r="AI1568" s="135">
        <v>0.92</v>
      </c>
      <c r="AJ1568" s="133">
        <v>0.984270734032412</v>
      </c>
      <c r="AK1568" s="133">
        <v>0.970276008492569</v>
      </c>
      <c r="AL1568" s="133">
        <v>0.979956663055255</v>
      </c>
      <c r="AM1568" s="133">
        <v>0.959578724405743</v>
      </c>
      <c r="AN1568" s="132">
        <v>0.99</v>
      </c>
      <c r="AO1568" s="137">
        <v>1</v>
      </c>
      <c r="AP1568" s="137">
        <v>1</v>
      </c>
      <c r="AQ1568" s="137" t="s">
        <v>35</v>
      </c>
      <c r="AR1568" s="137">
        <v>1</v>
      </c>
      <c r="AS1568" s="158">
        <v>0.110069253262963</v>
      </c>
      <c r="AT1568" s="141">
        <v>0</v>
      </c>
      <c r="AU1568" s="141">
        <v>0</v>
      </c>
      <c r="AV1568" s="141">
        <v>0.133333333333333</v>
      </c>
      <c r="AW1568" s="141">
        <v>0.0311111111111111</v>
      </c>
      <c r="AX1568" s="95"/>
      <c r="AY1568" s="93"/>
    </row>
    <row r="1569" ht="14.5" spans="1:51">
      <c r="A1569" s="91"/>
      <c r="B1569" s="95"/>
      <c r="C1569" s="152" t="s">
        <v>1455</v>
      </c>
      <c r="D1569" s="153" t="s">
        <v>25</v>
      </c>
      <c r="E1569" s="130" t="s">
        <v>1456</v>
      </c>
      <c r="F1569" s="171" t="s">
        <v>1601</v>
      </c>
      <c r="G1569" s="171" t="s">
        <v>1601</v>
      </c>
      <c r="H1569" s="171" t="s">
        <v>1601</v>
      </c>
      <c r="I1569" s="171" t="s">
        <v>1601</v>
      </c>
      <c r="J1569" s="132">
        <v>0.9</v>
      </c>
      <c r="K1569" s="133">
        <v>0.923076923076923</v>
      </c>
      <c r="L1569" s="133">
        <v>1</v>
      </c>
      <c r="M1569" s="134">
        <v>1</v>
      </c>
      <c r="N1569" s="133">
        <v>0.980276134122288</v>
      </c>
      <c r="O1569" s="135">
        <v>0.9</v>
      </c>
      <c r="P1569" s="133">
        <v>0.977777777777778</v>
      </c>
      <c r="Q1569" s="133">
        <v>0.979034810126582</v>
      </c>
      <c r="R1569" s="133">
        <v>0.994977531060005</v>
      </c>
      <c r="S1569" s="133">
        <v>0.994246702996171</v>
      </c>
      <c r="T1569" s="135">
        <v>0.9</v>
      </c>
      <c r="U1569" s="133">
        <v>0.885858585858586</v>
      </c>
      <c r="V1569" s="133">
        <v>0.952136075949367</v>
      </c>
      <c r="W1569" s="133">
        <v>0.879989426381179</v>
      </c>
      <c r="X1569" s="133">
        <v>0.910844154528696</v>
      </c>
      <c r="Y1569" s="135">
        <v>0.92</v>
      </c>
      <c r="Z1569" s="135" t="s">
        <v>35</v>
      </c>
      <c r="AA1569" s="135" t="s">
        <v>35</v>
      </c>
      <c r="AB1569" s="135" t="s">
        <v>35</v>
      </c>
      <c r="AC1569" s="135">
        <v>1</v>
      </c>
      <c r="AD1569" s="135">
        <v>0.92</v>
      </c>
      <c r="AE1569" s="133">
        <v>1</v>
      </c>
      <c r="AF1569" s="133">
        <v>0.685714285714286</v>
      </c>
      <c r="AG1569" s="133">
        <v>0.588235294117647</v>
      </c>
      <c r="AH1569" s="133">
        <v>0.618677042801556</v>
      </c>
      <c r="AI1569" s="135">
        <v>0.92</v>
      </c>
      <c r="AJ1569" s="133">
        <v>0.96026936026936</v>
      </c>
      <c r="AK1569" s="133">
        <v>0.980221518987342</v>
      </c>
      <c r="AL1569" s="133">
        <v>0.980174464710547</v>
      </c>
      <c r="AM1569" s="133">
        <v>0.978425573292278</v>
      </c>
      <c r="AN1569" s="132">
        <v>0.99</v>
      </c>
      <c r="AO1569" s="137">
        <v>1</v>
      </c>
      <c r="AP1569" s="137">
        <v>1</v>
      </c>
      <c r="AQ1569" s="137">
        <v>1</v>
      </c>
      <c r="AR1569" s="137">
        <v>1</v>
      </c>
      <c r="AS1569" s="158">
        <v>0.110069253262963</v>
      </c>
      <c r="AT1569" s="141">
        <v>0</v>
      </c>
      <c r="AU1569" s="141">
        <v>0.153846153846154</v>
      </c>
      <c r="AV1569" s="141">
        <v>0.166666666666667</v>
      </c>
      <c r="AW1569" s="141">
        <v>0.0934959349593496</v>
      </c>
      <c r="AX1569" s="95"/>
      <c r="AY1569" s="93"/>
    </row>
    <row r="1570" ht="14.5" spans="1:51">
      <c r="A1570" s="91"/>
      <c r="B1570" s="95"/>
      <c r="C1570" s="152" t="s">
        <v>1455</v>
      </c>
      <c r="D1570" s="153" t="s">
        <v>25</v>
      </c>
      <c r="E1570" s="130" t="s">
        <v>1456</v>
      </c>
      <c r="F1570" s="171" t="s">
        <v>1602</v>
      </c>
      <c r="G1570" s="171" t="s">
        <v>1602</v>
      </c>
      <c r="H1570" s="171" t="s">
        <v>1602</v>
      </c>
      <c r="I1570" s="171" t="s">
        <v>1602</v>
      </c>
      <c r="J1570" s="132">
        <v>0.9</v>
      </c>
      <c r="K1570" s="133">
        <v>1</v>
      </c>
      <c r="L1570" s="133">
        <v>0.947368421052632</v>
      </c>
      <c r="M1570" s="134">
        <v>0.954545454545455</v>
      </c>
      <c r="N1570" s="133">
        <v>0.958677685950413</v>
      </c>
      <c r="O1570" s="135">
        <v>0.9</v>
      </c>
      <c r="P1570" s="133">
        <v>0.771956087824351</v>
      </c>
      <c r="Q1570" s="133">
        <v>0.925380009212345</v>
      </c>
      <c r="R1570" s="133">
        <v>0.913642627468994</v>
      </c>
      <c r="S1570" s="133">
        <v>0.887030695854225</v>
      </c>
      <c r="T1570" s="135">
        <v>0.9</v>
      </c>
      <c r="U1570" s="133">
        <v>0.62874251497006</v>
      </c>
      <c r="V1570" s="133">
        <v>0.741593735605712</v>
      </c>
      <c r="W1570" s="133">
        <v>0.793752870923289</v>
      </c>
      <c r="X1570" s="133">
        <v>0.754586033997799</v>
      </c>
      <c r="Y1570" s="135">
        <v>0.92</v>
      </c>
      <c r="Z1570" s="135" t="s">
        <v>35</v>
      </c>
      <c r="AA1570" s="135" t="s">
        <v>35</v>
      </c>
      <c r="AB1570" s="135" t="s">
        <v>35</v>
      </c>
      <c r="AC1570" s="135" t="s">
        <v>35</v>
      </c>
      <c r="AD1570" s="135">
        <v>0.92</v>
      </c>
      <c r="AE1570" s="133">
        <v>0.996</v>
      </c>
      <c r="AF1570" s="133">
        <v>0.993103448275862</v>
      </c>
      <c r="AG1570" s="133">
        <v>0.997311827956989</v>
      </c>
      <c r="AH1570" s="133">
        <v>0.927429028388644</v>
      </c>
      <c r="AI1570" s="135">
        <v>0.92</v>
      </c>
      <c r="AJ1570" s="133">
        <v>0.74001996007984</v>
      </c>
      <c r="AK1570" s="133">
        <v>0.811607554122524</v>
      </c>
      <c r="AL1570" s="133">
        <v>0.853008727606798</v>
      </c>
      <c r="AM1570" s="133">
        <v>0.866852146263911</v>
      </c>
      <c r="AN1570" s="132">
        <v>0.99</v>
      </c>
      <c r="AO1570" s="137" t="s">
        <v>35</v>
      </c>
      <c r="AP1570" s="137">
        <v>1</v>
      </c>
      <c r="AQ1570" s="137" t="s">
        <v>35</v>
      </c>
      <c r="AR1570" s="137">
        <v>1</v>
      </c>
      <c r="AS1570" s="158">
        <v>0.110069253262963</v>
      </c>
      <c r="AT1570" s="141">
        <v>0.142857142857143</v>
      </c>
      <c r="AU1570" s="141">
        <v>0.130434782608696</v>
      </c>
      <c r="AV1570" s="141">
        <v>0.133333333333333</v>
      </c>
      <c r="AW1570" s="141">
        <v>0.128352490421456</v>
      </c>
      <c r="AX1570" s="95"/>
      <c r="AY1570" s="93"/>
    </row>
    <row r="1571" ht="14.5" spans="1:51">
      <c r="A1571" s="91"/>
      <c r="B1571" s="95"/>
      <c r="C1571" s="152" t="s">
        <v>1455</v>
      </c>
      <c r="D1571" s="153" t="s">
        <v>25</v>
      </c>
      <c r="E1571" s="130" t="s">
        <v>1456</v>
      </c>
      <c r="F1571" s="171" t="s">
        <v>1603</v>
      </c>
      <c r="G1571" s="171" t="s">
        <v>1603</v>
      </c>
      <c r="H1571" s="171" t="s">
        <v>1603</v>
      </c>
      <c r="I1571" s="171" t="s">
        <v>1603</v>
      </c>
      <c r="J1571" s="132">
        <v>0.9</v>
      </c>
      <c r="K1571" s="133">
        <v>0.857142857142857</v>
      </c>
      <c r="L1571" s="133">
        <v>0.9375</v>
      </c>
      <c r="M1571" s="134">
        <v>0.935483870967742</v>
      </c>
      <c r="N1571" s="133">
        <v>0.871198568872988</v>
      </c>
      <c r="O1571" s="135">
        <v>0.9</v>
      </c>
      <c r="P1571" s="133">
        <v>1</v>
      </c>
      <c r="Q1571" s="133">
        <v>1</v>
      </c>
      <c r="R1571" s="133">
        <v>0.995412844036697</v>
      </c>
      <c r="S1571" s="133">
        <v>0.116754287144824</v>
      </c>
      <c r="T1571" s="135">
        <v>0.9</v>
      </c>
      <c r="U1571" s="133">
        <v>1</v>
      </c>
      <c r="V1571" s="133">
        <v>0.974193548387097</v>
      </c>
      <c r="W1571" s="133">
        <v>0.986238532110092</v>
      </c>
      <c r="X1571" s="133">
        <v>0.131055200901239</v>
      </c>
      <c r="Y1571" s="135">
        <v>0.92</v>
      </c>
      <c r="Z1571" s="135" t="s">
        <v>35</v>
      </c>
      <c r="AA1571" s="135" t="s">
        <v>35</v>
      </c>
      <c r="AB1571" s="135" t="s">
        <v>35</v>
      </c>
      <c r="AC1571" s="135" t="s">
        <v>35</v>
      </c>
      <c r="AD1571" s="135">
        <v>0.92</v>
      </c>
      <c r="AE1571" s="133">
        <v>0</v>
      </c>
      <c r="AF1571" s="133">
        <v>0</v>
      </c>
      <c r="AG1571" s="133">
        <v>1</v>
      </c>
      <c r="AH1571" s="133">
        <v>0.701612903225806</v>
      </c>
      <c r="AI1571" s="135">
        <v>0.92</v>
      </c>
      <c r="AJ1571" s="133">
        <v>0.699681782020684</v>
      </c>
      <c r="AK1571" s="133">
        <v>0.636677206093705</v>
      </c>
      <c r="AL1571" s="133">
        <v>0.605866867243325</v>
      </c>
      <c r="AM1571" s="133">
        <v>0.707072503724126</v>
      </c>
      <c r="AN1571" s="132">
        <v>0.99</v>
      </c>
      <c r="AO1571" s="137" t="s">
        <v>35</v>
      </c>
      <c r="AP1571" s="137" t="s">
        <v>35</v>
      </c>
      <c r="AQ1571" s="137" t="s">
        <v>35</v>
      </c>
      <c r="AR1571" s="137">
        <v>1</v>
      </c>
      <c r="AS1571" s="158">
        <v>0.110069253262963</v>
      </c>
      <c r="AT1571" s="141">
        <v>0.0769230769230769</v>
      </c>
      <c r="AU1571" s="141">
        <v>0.2</v>
      </c>
      <c r="AV1571" s="141">
        <v>0.0606060606060606</v>
      </c>
      <c r="AW1571" s="141">
        <v>0.133489461358314</v>
      </c>
      <c r="AX1571" s="95"/>
      <c r="AY1571" s="93"/>
    </row>
    <row r="1572" ht="14.5" spans="1:51">
      <c r="A1572" s="91"/>
      <c r="B1572" s="95"/>
      <c r="C1572" s="152" t="s">
        <v>1455</v>
      </c>
      <c r="D1572" s="153" t="s">
        <v>25</v>
      </c>
      <c r="E1572" s="130" t="s">
        <v>1456</v>
      </c>
      <c r="F1572" s="171" t="s">
        <v>1604</v>
      </c>
      <c r="G1572" s="171" t="s">
        <v>1604</v>
      </c>
      <c r="H1572" s="171" t="s">
        <v>1604</v>
      </c>
      <c r="I1572" s="171" t="s">
        <v>1604</v>
      </c>
      <c r="J1572" s="132">
        <v>0.9</v>
      </c>
      <c r="K1572" s="133">
        <v>1</v>
      </c>
      <c r="L1572" s="133">
        <v>0.933333333333333</v>
      </c>
      <c r="M1572" s="134">
        <v>1</v>
      </c>
      <c r="N1572" s="133">
        <v>0.96551724137931</v>
      </c>
      <c r="O1572" s="135">
        <v>0.9</v>
      </c>
      <c r="P1572" s="133">
        <v>1</v>
      </c>
      <c r="Q1572" s="133">
        <v>1</v>
      </c>
      <c r="R1572" s="133">
        <v>0.999105545617174</v>
      </c>
      <c r="S1572" s="133">
        <v>0.999408284023669</v>
      </c>
      <c r="T1572" s="135">
        <v>0.9</v>
      </c>
      <c r="U1572" s="133">
        <v>0.975274725274725</v>
      </c>
      <c r="V1572" s="133">
        <v>0.988879384088965</v>
      </c>
      <c r="W1572" s="133">
        <v>0.986583184257603</v>
      </c>
      <c r="X1572" s="133">
        <v>0.983431952662722</v>
      </c>
      <c r="Y1572" s="135">
        <v>0.92</v>
      </c>
      <c r="Z1572" s="135" t="s">
        <v>35</v>
      </c>
      <c r="AA1572" s="135" t="s">
        <v>35</v>
      </c>
      <c r="AB1572" s="135" t="s">
        <v>35</v>
      </c>
      <c r="AC1572" s="135" t="s">
        <v>35</v>
      </c>
      <c r="AD1572" s="135">
        <v>0.92</v>
      </c>
      <c r="AE1572" s="133" t="s">
        <v>35</v>
      </c>
      <c r="AF1572" s="133">
        <v>0</v>
      </c>
      <c r="AG1572" s="133">
        <v>0.1</v>
      </c>
      <c r="AH1572" s="133">
        <v>0.0707070707070707</v>
      </c>
      <c r="AI1572" s="135">
        <v>0.92</v>
      </c>
      <c r="AJ1572" s="133">
        <v>0.980856882406563</v>
      </c>
      <c r="AK1572" s="133">
        <v>0.993179880647911</v>
      </c>
      <c r="AL1572" s="133">
        <v>0.996512641673932</v>
      </c>
      <c r="AM1572" s="133">
        <v>0.994520241556699</v>
      </c>
      <c r="AN1572" s="132">
        <v>0.99</v>
      </c>
      <c r="AO1572" s="137" t="s">
        <v>35</v>
      </c>
      <c r="AP1572" s="137" t="s">
        <v>35</v>
      </c>
      <c r="AQ1572" s="137" t="s">
        <v>35</v>
      </c>
      <c r="AR1572" s="137">
        <v>1</v>
      </c>
      <c r="AS1572" s="158">
        <v>0.110069253262963</v>
      </c>
      <c r="AT1572" s="141">
        <v>0.285714285714286</v>
      </c>
      <c r="AU1572" s="141">
        <v>0.105263157894737</v>
      </c>
      <c r="AV1572" s="141">
        <v>0.0555555555555556</v>
      </c>
      <c r="AW1572" s="141">
        <v>0.122529644268775</v>
      </c>
      <c r="AX1572" s="95"/>
      <c r="AY1572" s="93"/>
    </row>
    <row r="1573" ht="14.5" spans="1:51">
      <c r="A1573" s="91"/>
      <c r="B1573" s="95"/>
      <c r="C1573" s="152" t="s">
        <v>1455</v>
      </c>
      <c r="D1573" s="153" t="s">
        <v>25</v>
      </c>
      <c r="E1573" s="130" t="s">
        <v>1456</v>
      </c>
      <c r="F1573" s="171" t="s">
        <v>1605</v>
      </c>
      <c r="G1573" s="171" t="s">
        <v>1605</v>
      </c>
      <c r="H1573" s="171" t="s">
        <v>1605</v>
      </c>
      <c r="I1573" s="171" t="s">
        <v>1605</v>
      </c>
      <c r="J1573" s="132">
        <v>0.9</v>
      </c>
      <c r="K1573" s="133">
        <v>1</v>
      </c>
      <c r="L1573" s="133">
        <v>0.972222222222222</v>
      </c>
      <c r="M1573" s="134">
        <v>0.947368421052632</v>
      </c>
      <c r="N1573" s="133">
        <v>0.952305246422893</v>
      </c>
      <c r="O1573" s="135">
        <v>0.9</v>
      </c>
      <c r="P1573" s="133">
        <v>0.982932996207333</v>
      </c>
      <c r="Q1573" s="133">
        <v>0.996543778801843</v>
      </c>
      <c r="R1573" s="133">
        <v>0.998552123552124</v>
      </c>
      <c r="S1573" s="133">
        <v>0.992737688256491</v>
      </c>
      <c r="T1573" s="135">
        <v>0.9</v>
      </c>
      <c r="U1573" s="133">
        <v>0.922566371681416</v>
      </c>
      <c r="V1573" s="133">
        <v>0.953533026113671</v>
      </c>
      <c r="W1573" s="133">
        <v>0.94980694980695</v>
      </c>
      <c r="X1573" s="133">
        <v>0.950106255197265</v>
      </c>
      <c r="Y1573" s="135">
        <v>0.92</v>
      </c>
      <c r="Z1573" s="135" t="s">
        <v>35</v>
      </c>
      <c r="AA1573" s="135" t="s">
        <v>35</v>
      </c>
      <c r="AB1573" s="135" t="s">
        <v>35</v>
      </c>
      <c r="AC1573" s="135">
        <v>1</v>
      </c>
      <c r="AD1573" s="135">
        <v>0.92</v>
      </c>
      <c r="AE1573" s="133">
        <v>0.978260869565217</v>
      </c>
      <c r="AF1573" s="133">
        <v>0.96969696969697</v>
      </c>
      <c r="AG1573" s="133">
        <v>1</v>
      </c>
      <c r="AH1573" s="133">
        <v>0.948760330578512</v>
      </c>
      <c r="AI1573" s="135">
        <v>0.92</v>
      </c>
      <c r="AJ1573" s="133">
        <v>0.962705436156764</v>
      </c>
      <c r="AK1573" s="133">
        <v>0.980030721966206</v>
      </c>
      <c r="AL1573" s="133">
        <v>0.985762548262548</v>
      </c>
      <c r="AM1573" s="133">
        <v>0.98386798728657</v>
      </c>
      <c r="AN1573" s="132">
        <v>0.99</v>
      </c>
      <c r="AO1573" s="137">
        <v>1</v>
      </c>
      <c r="AP1573" s="137">
        <v>1</v>
      </c>
      <c r="AQ1573" s="137">
        <v>1</v>
      </c>
      <c r="AR1573" s="137">
        <v>1</v>
      </c>
      <c r="AS1573" s="158">
        <v>0.110069253262963</v>
      </c>
      <c r="AT1573" s="141">
        <v>0.0555555555555556</v>
      </c>
      <c r="AU1573" s="141">
        <v>0</v>
      </c>
      <c r="AV1573" s="141">
        <v>0.111111111111111</v>
      </c>
      <c r="AW1573" s="141">
        <v>0.0609318996415771</v>
      </c>
      <c r="AX1573" s="95"/>
      <c r="AY1573" s="93"/>
    </row>
    <row r="1574" ht="14.5" spans="1:51">
      <c r="A1574" s="91"/>
      <c r="B1574" s="95"/>
      <c r="C1574" s="152" t="s">
        <v>1455</v>
      </c>
      <c r="D1574" s="153" t="s">
        <v>25</v>
      </c>
      <c r="E1574" s="130" t="s">
        <v>1456</v>
      </c>
      <c r="F1574" s="171" t="s">
        <v>1606</v>
      </c>
      <c r="G1574" s="171" t="s">
        <v>1606</v>
      </c>
      <c r="H1574" s="171" t="s">
        <v>1606</v>
      </c>
      <c r="I1574" s="171" t="s">
        <v>1606</v>
      </c>
      <c r="J1574" s="132">
        <v>0.9</v>
      </c>
      <c r="K1574" s="133">
        <v>0.666666666666667</v>
      </c>
      <c r="L1574" s="133">
        <v>0.5</v>
      </c>
      <c r="M1574" s="134">
        <v>0.75</v>
      </c>
      <c r="N1574" s="133">
        <v>0.763713080168776</v>
      </c>
      <c r="O1574" s="135">
        <v>0.9</v>
      </c>
      <c r="P1574" s="133" t="s">
        <v>35</v>
      </c>
      <c r="Q1574" s="133" t="s">
        <v>35</v>
      </c>
      <c r="R1574" s="133" t="s">
        <v>35</v>
      </c>
      <c r="S1574" s="133">
        <v>0</v>
      </c>
      <c r="T1574" s="135">
        <v>0.9</v>
      </c>
      <c r="U1574" s="133" t="s">
        <v>35</v>
      </c>
      <c r="V1574" s="133" t="s">
        <v>35</v>
      </c>
      <c r="W1574" s="133" t="s">
        <v>35</v>
      </c>
      <c r="X1574" s="133">
        <v>0</v>
      </c>
      <c r="Y1574" s="135">
        <v>0.92</v>
      </c>
      <c r="Z1574" s="135" t="s">
        <v>35</v>
      </c>
      <c r="AA1574" s="135" t="s">
        <v>35</v>
      </c>
      <c r="AB1574" s="135" t="s">
        <v>35</v>
      </c>
      <c r="AC1574" s="135" t="s">
        <v>35</v>
      </c>
      <c r="AD1574" s="135">
        <v>0.92</v>
      </c>
      <c r="AE1574" s="133">
        <v>0</v>
      </c>
      <c r="AF1574" s="133">
        <v>0</v>
      </c>
      <c r="AG1574" s="133">
        <v>0.4</v>
      </c>
      <c r="AH1574" s="133">
        <v>0.203125</v>
      </c>
      <c r="AI1574" s="135">
        <v>0.92</v>
      </c>
      <c r="AJ1574" s="133">
        <v>0.745718050065876</v>
      </c>
      <c r="AK1574" s="133">
        <v>0.736196319018405</v>
      </c>
      <c r="AL1574" s="133">
        <v>0.693935119887165</v>
      </c>
      <c r="AM1574" s="133">
        <v>0.750339569732288</v>
      </c>
      <c r="AN1574" s="132">
        <v>0.99</v>
      </c>
      <c r="AO1574" s="137" t="s">
        <v>35</v>
      </c>
      <c r="AP1574" s="137" t="s">
        <v>35</v>
      </c>
      <c r="AQ1574" s="137" t="s">
        <v>35</v>
      </c>
      <c r="AR1574" s="137">
        <v>1</v>
      </c>
      <c r="AS1574" s="158">
        <v>0.110069253262963</v>
      </c>
      <c r="AT1574" s="141">
        <v>0</v>
      </c>
      <c r="AU1574" s="141">
        <v>0.117647058823529</v>
      </c>
      <c r="AV1574" s="141">
        <v>0.0952380952380952</v>
      </c>
      <c r="AW1574" s="141">
        <v>0.131205673758865</v>
      </c>
      <c r="AX1574" s="95"/>
      <c r="AY1574" s="93"/>
    </row>
    <row r="1575" ht="14.5" spans="1:51">
      <c r="A1575" s="91"/>
      <c r="B1575" s="95"/>
      <c r="C1575" s="152" t="s">
        <v>1455</v>
      </c>
      <c r="D1575" s="153" t="s">
        <v>25</v>
      </c>
      <c r="E1575" s="130" t="s">
        <v>1456</v>
      </c>
      <c r="F1575" s="171" t="s">
        <v>1607</v>
      </c>
      <c r="G1575" s="171" t="s">
        <v>1607</v>
      </c>
      <c r="H1575" s="171" t="s">
        <v>1607</v>
      </c>
      <c r="I1575" s="171" t="s">
        <v>1607</v>
      </c>
      <c r="J1575" s="132">
        <v>0.9</v>
      </c>
      <c r="K1575" s="133">
        <v>0.7</v>
      </c>
      <c r="L1575" s="133">
        <v>0.555555555555556</v>
      </c>
      <c r="M1575" s="134">
        <v>0.842105263157895</v>
      </c>
      <c r="N1575" s="133">
        <v>0.65</v>
      </c>
      <c r="O1575" s="135">
        <v>0.9</v>
      </c>
      <c r="P1575" s="133" t="s">
        <v>35</v>
      </c>
      <c r="Q1575" s="133">
        <v>0</v>
      </c>
      <c r="R1575" s="133" t="s">
        <v>35</v>
      </c>
      <c r="S1575" s="133">
        <v>0.5</v>
      </c>
      <c r="T1575" s="135">
        <v>0.9</v>
      </c>
      <c r="U1575" s="133" t="s">
        <v>35</v>
      </c>
      <c r="V1575" s="133">
        <v>0</v>
      </c>
      <c r="W1575" s="133" t="s">
        <v>35</v>
      </c>
      <c r="X1575" s="133">
        <v>0.5</v>
      </c>
      <c r="Y1575" s="135">
        <v>0.92</v>
      </c>
      <c r="Z1575" s="135" t="s">
        <v>35</v>
      </c>
      <c r="AA1575" s="135" t="s">
        <v>35</v>
      </c>
      <c r="AB1575" s="135" t="s">
        <v>35</v>
      </c>
      <c r="AC1575" s="135" t="s">
        <v>35</v>
      </c>
      <c r="AD1575" s="135">
        <v>0.92</v>
      </c>
      <c r="AE1575" s="133" t="s">
        <v>35</v>
      </c>
      <c r="AF1575" s="133">
        <v>0</v>
      </c>
      <c r="AG1575" s="133">
        <v>0</v>
      </c>
      <c r="AH1575" s="133">
        <v>0.159574468085106</v>
      </c>
      <c r="AI1575" s="135">
        <v>0.92</v>
      </c>
      <c r="AJ1575" s="133">
        <v>0.798620689655172</v>
      </c>
      <c r="AK1575" s="133">
        <v>0.833723653395785</v>
      </c>
      <c r="AL1575" s="133">
        <v>0.851327433628319</v>
      </c>
      <c r="AM1575" s="133">
        <v>0.809595524956971</v>
      </c>
      <c r="AN1575" s="132">
        <v>0.99</v>
      </c>
      <c r="AO1575" s="137" t="s">
        <v>35</v>
      </c>
      <c r="AP1575" s="137" t="s">
        <v>35</v>
      </c>
      <c r="AQ1575" s="137" t="s">
        <v>35</v>
      </c>
      <c r="AR1575" s="137">
        <v>1</v>
      </c>
      <c r="AS1575" s="158">
        <v>0.110069253262963</v>
      </c>
      <c r="AT1575" s="141">
        <v>0.466666666666667</v>
      </c>
      <c r="AU1575" s="141">
        <v>0.142857142857143</v>
      </c>
      <c r="AV1575" s="141">
        <v>0</v>
      </c>
      <c r="AW1575" s="141">
        <v>0.121262458471761</v>
      </c>
      <c r="AX1575" s="95"/>
      <c r="AY1575" s="93"/>
    </row>
    <row r="1576" ht="14.5" spans="1:51">
      <c r="A1576" s="91"/>
      <c r="B1576" s="95"/>
      <c r="C1576" s="152" t="s">
        <v>1455</v>
      </c>
      <c r="D1576" s="153" t="s">
        <v>25</v>
      </c>
      <c r="E1576" s="130" t="s">
        <v>1456</v>
      </c>
      <c r="F1576" s="171" t="s">
        <v>1608</v>
      </c>
      <c r="G1576" s="171" t="s">
        <v>1608</v>
      </c>
      <c r="H1576" s="171" t="s">
        <v>1608</v>
      </c>
      <c r="I1576" s="171" t="s">
        <v>1608</v>
      </c>
      <c r="J1576" s="132">
        <v>0.9</v>
      </c>
      <c r="K1576" s="133">
        <v>0.111111111111111</v>
      </c>
      <c r="L1576" s="133">
        <v>0.2</v>
      </c>
      <c r="M1576" s="134">
        <v>0.111111111111111</v>
      </c>
      <c r="N1576" s="133">
        <v>0.356589147286822</v>
      </c>
      <c r="O1576" s="135">
        <v>0.9</v>
      </c>
      <c r="P1576" s="133" t="s">
        <v>35</v>
      </c>
      <c r="Q1576" s="133">
        <v>0.5</v>
      </c>
      <c r="R1576" s="133" t="s">
        <v>35</v>
      </c>
      <c r="S1576" s="133">
        <v>0.5</v>
      </c>
      <c r="T1576" s="135">
        <v>0.9</v>
      </c>
      <c r="U1576" s="133" t="s">
        <v>35</v>
      </c>
      <c r="V1576" s="133">
        <v>0.5</v>
      </c>
      <c r="W1576" s="133" t="s">
        <v>35</v>
      </c>
      <c r="X1576" s="133">
        <v>0.5</v>
      </c>
      <c r="Y1576" s="135">
        <v>0.92</v>
      </c>
      <c r="Z1576" s="135" t="s">
        <v>35</v>
      </c>
      <c r="AA1576" s="135" t="s">
        <v>35</v>
      </c>
      <c r="AB1576" s="135" t="s">
        <v>35</v>
      </c>
      <c r="AC1576" s="135" t="s">
        <v>35</v>
      </c>
      <c r="AD1576" s="135">
        <v>0.92</v>
      </c>
      <c r="AE1576" s="133">
        <v>0</v>
      </c>
      <c r="AF1576" s="133">
        <v>0</v>
      </c>
      <c r="AG1576" s="133">
        <v>0</v>
      </c>
      <c r="AH1576" s="133">
        <v>0.295918367346939</v>
      </c>
      <c r="AI1576" s="135">
        <v>0.92</v>
      </c>
      <c r="AJ1576" s="133">
        <v>0.767099567099567</v>
      </c>
      <c r="AK1576" s="133">
        <v>0.756632064590542</v>
      </c>
      <c r="AL1576" s="133">
        <v>0.692307692307692</v>
      </c>
      <c r="AM1576" s="133">
        <v>0.856792144026187</v>
      </c>
      <c r="AN1576" s="132">
        <v>0.99</v>
      </c>
      <c r="AO1576" s="137">
        <v>1</v>
      </c>
      <c r="AP1576" s="137">
        <v>1</v>
      </c>
      <c r="AQ1576" s="137">
        <v>1</v>
      </c>
      <c r="AR1576" s="137">
        <v>1</v>
      </c>
      <c r="AS1576" s="158">
        <v>0.110069253262963</v>
      </c>
      <c r="AT1576" s="141">
        <v>0</v>
      </c>
      <c r="AU1576" s="141">
        <v>0.111111111111111</v>
      </c>
      <c r="AV1576" s="141">
        <v>0</v>
      </c>
      <c r="AW1576" s="141">
        <v>0.0882352941176471</v>
      </c>
      <c r="AX1576" s="95"/>
      <c r="AY1576" s="93"/>
    </row>
    <row r="1577" ht="14.5" spans="1:51">
      <c r="A1577" s="91"/>
      <c r="B1577" s="95"/>
      <c r="C1577" s="152" t="s">
        <v>1455</v>
      </c>
      <c r="D1577" s="153" t="s">
        <v>25</v>
      </c>
      <c r="E1577" s="130" t="s">
        <v>1456</v>
      </c>
      <c r="F1577" s="171" t="s">
        <v>1609</v>
      </c>
      <c r="G1577" s="171" t="s">
        <v>1609</v>
      </c>
      <c r="H1577" s="171" t="s">
        <v>1609</v>
      </c>
      <c r="I1577" s="171" t="s">
        <v>1609</v>
      </c>
      <c r="J1577" s="132">
        <v>0.9</v>
      </c>
      <c r="K1577" s="133">
        <v>0.916666666666667</v>
      </c>
      <c r="L1577" s="133">
        <v>0.933333333333333</v>
      </c>
      <c r="M1577" s="134">
        <v>0.8</v>
      </c>
      <c r="N1577" s="133">
        <v>0.895161290322581</v>
      </c>
      <c r="O1577" s="135">
        <v>0.9</v>
      </c>
      <c r="P1577" s="133">
        <v>0.666666666666667</v>
      </c>
      <c r="Q1577" s="133" t="s">
        <v>35</v>
      </c>
      <c r="R1577" s="133" t="s">
        <v>35</v>
      </c>
      <c r="S1577" s="133">
        <v>0.666666666666667</v>
      </c>
      <c r="T1577" s="135">
        <v>0.9</v>
      </c>
      <c r="U1577" s="133">
        <v>1</v>
      </c>
      <c r="V1577" s="133" t="s">
        <v>35</v>
      </c>
      <c r="W1577" s="133" t="s">
        <v>35</v>
      </c>
      <c r="X1577" s="133">
        <v>1</v>
      </c>
      <c r="Y1577" s="135">
        <v>0.92</v>
      </c>
      <c r="Z1577" s="135" t="s">
        <v>35</v>
      </c>
      <c r="AA1577" s="135" t="s">
        <v>35</v>
      </c>
      <c r="AB1577" s="135" t="s">
        <v>35</v>
      </c>
      <c r="AC1577" s="135" t="s">
        <v>35</v>
      </c>
      <c r="AD1577" s="135">
        <v>0.92</v>
      </c>
      <c r="AE1577" s="133">
        <v>0.666666666666667</v>
      </c>
      <c r="AF1577" s="133">
        <v>1</v>
      </c>
      <c r="AG1577" s="133">
        <v>1</v>
      </c>
      <c r="AH1577" s="133">
        <v>0.880952380952381</v>
      </c>
      <c r="AI1577" s="135">
        <v>0.92</v>
      </c>
      <c r="AJ1577" s="133">
        <v>0.852047556142668</v>
      </c>
      <c r="AK1577" s="133">
        <v>0.927549194991055</v>
      </c>
      <c r="AL1577" s="133">
        <v>0.959396751740139</v>
      </c>
      <c r="AM1577" s="133">
        <v>0.942094949111828</v>
      </c>
      <c r="AN1577" s="132">
        <v>0.99</v>
      </c>
      <c r="AO1577" s="137" t="s">
        <v>35</v>
      </c>
      <c r="AP1577" s="137" t="s">
        <v>35</v>
      </c>
      <c r="AQ1577" s="137">
        <v>1</v>
      </c>
      <c r="AR1577" s="137">
        <v>1</v>
      </c>
      <c r="AS1577" s="158">
        <v>0.110069253262963</v>
      </c>
      <c r="AT1577" s="141">
        <v>0.214285714285714</v>
      </c>
      <c r="AU1577" s="141">
        <v>0.1</v>
      </c>
      <c r="AV1577" s="141">
        <v>0.111111111111111</v>
      </c>
      <c r="AW1577" s="141">
        <v>0.118367346938776</v>
      </c>
      <c r="AX1577" s="95"/>
      <c r="AY1577" s="93"/>
    </row>
    <row r="1578" ht="14.5" spans="1:51">
      <c r="A1578" s="91"/>
      <c r="B1578" s="95"/>
      <c r="C1578" s="152" t="s">
        <v>1455</v>
      </c>
      <c r="D1578" s="153" t="s">
        <v>25</v>
      </c>
      <c r="E1578" s="130" t="s">
        <v>1456</v>
      </c>
      <c r="F1578" s="171" t="s">
        <v>1610</v>
      </c>
      <c r="G1578" s="171" t="s">
        <v>1610</v>
      </c>
      <c r="H1578" s="171" t="s">
        <v>1610</v>
      </c>
      <c r="I1578" s="171" t="s">
        <v>1610</v>
      </c>
      <c r="J1578" s="132">
        <v>0.9</v>
      </c>
      <c r="K1578" s="133">
        <v>0.842105263157895</v>
      </c>
      <c r="L1578" s="133">
        <v>0.529411764705882</v>
      </c>
      <c r="M1578" s="134">
        <v>0.45</v>
      </c>
      <c r="N1578" s="133">
        <v>0.636065573770492</v>
      </c>
      <c r="O1578" s="135">
        <v>0.9</v>
      </c>
      <c r="P1578" s="133">
        <v>0</v>
      </c>
      <c r="Q1578" s="133" t="s">
        <v>35</v>
      </c>
      <c r="R1578" s="133">
        <v>0</v>
      </c>
      <c r="S1578" s="133">
        <v>0.1</v>
      </c>
      <c r="T1578" s="135">
        <v>0.9</v>
      </c>
      <c r="U1578" s="133">
        <v>0</v>
      </c>
      <c r="V1578" s="133" t="s">
        <v>35</v>
      </c>
      <c r="W1578" s="133">
        <v>0</v>
      </c>
      <c r="X1578" s="133">
        <v>0</v>
      </c>
      <c r="Y1578" s="135">
        <v>0.92</v>
      </c>
      <c r="Z1578" s="135" t="s">
        <v>35</v>
      </c>
      <c r="AA1578" s="135" t="s">
        <v>35</v>
      </c>
      <c r="AB1578" s="135" t="s">
        <v>35</v>
      </c>
      <c r="AC1578" s="135" t="s">
        <v>35</v>
      </c>
      <c r="AD1578" s="135">
        <v>0.92</v>
      </c>
      <c r="AE1578" s="133">
        <v>0</v>
      </c>
      <c r="AF1578" s="133">
        <v>0</v>
      </c>
      <c r="AG1578" s="133">
        <v>0</v>
      </c>
      <c r="AH1578" s="133">
        <v>0.12</v>
      </c>
      <c r="AI1578" s="135">
        <v>0.92</v>
      </c>
      <c r="AJ1578" s="133">
        <v>0.939499304589708</v>
      </c>
      <c r="AK1578" s="133">
        <v>0.968354430379747</v>
      </c>
      <c r="AL1578" s="133">
        <v>0.968148639681486</v>
      </c>
      <c r="AM1578" s="133">
        <v>0.969328752199782</v>
      </c>
      <c r="AN1578" s="132">
        <v>0.99</v>
      </c>
      <c r="AO1578" s="137">
        <v>1</v>
      </c>
      <c r="AP1578" s="137" t="s">
        <v>35</v>
      </c>
      <c r="AQ1578" s="137" t="s">
        <v>35</v>
      </c>
      <c r="AR1578" s="137">
        <v>1</v>
      </c>
      <c r="AS1578" s="158">
        <v>0.110069253262963</v>
      </c>
      <c r="AT1578" s="141">
        <v>0.428571428571429</v>
      </c>
      <c r="AU1578" s="141">
        <v>0.05</v>
      </c>
      <c r="AV1578" s="141">
        <v>0</v>
      </c>
      <c r="AW1578" s="141">
        <v>0.1</v>
      </c>
      <c r="AX1578" s="95"/>
      <c r="AY1578" s="93"/>
    </row>
    <row r="1579" ht="14.5" spans="1:51">
      <c r="A1579" s="91"/>
      <c r="B1579" s="95"/>
      <c r="C1579" s="152" t="s">
        <v>1455</v>
      </c>
      <c r="D1579" s="153" t="s">
        <v>25</v>
      </c>
      <c r="E1579" s="130" t="s">
        <v>1456</v>
      </c>
      <c r="F1579" s="171" t="s">
        <v>1611</v>
      </c>
      <c r="G1579" s="171" t="s">
        <v>1611</v>
      </c>
      <c r="H1579" s="171" t="s">
        <v>1611</v>
      </c>
      <c r="I1579" s="171" t="s">
        <v>1611</v>
      </c>
      <c r="J1579" s="132">
        <v>0.9</v>
      </c>
      <c r="K1579" s="133">
        <v>1</v>
      </c>
      <c r="L1579" s="133">
        <v>0.935483870967742</v>
      </c>
      <c r="M1579" s="134">
        <v>0.939393939393939</v>
      </c>
      <c r="N1579" s="133">
        <v>0.95136186770428</v>
      </c>
      <c r="O1579" s="135">
        <v>0.9</v>
      </c>
      <c r="P1579" s="133">
        <v>0.964858410098942</v>
      </c>
      <c r="Q1579" s="133">
        <v>0.9696</v>
      </c>
      <c r="R1579" s="133">
        <v>0.984390735146022</v>
      </c>
      <c r="S1579" s="133">
        <v>0.964533538936006</v>
      </c>
      <c r="T1579" s="135">
        <v>0.9</v>
      </c>
      <c r="U1579" s="133">
        <v>0.552030023882634</v>
      </c>
      <c r="V1579" s="133">
        <v>0.6356</v>
      </c>
      <c r="W1579" s="133">
        <v>0.772406847935549</v>
      </c>
      <c r="X1579" s="133">
        <v>0.560617742576108</v>
      </c>
      <c r="Y1579" s="135">
        <v>0.92</v>
      </c>
      <c r="Z1579" s="135" t="s">
        <v>35</v>
      </c>
      <c r="AA1579" s="135" t="s">
        <v>35</v>
      </c>
      <c r="AB1579" s="135" t="s">
        <v>35</v>
      </c>
      <c r="AC1579" s="135">
        <v>0</v>
      </c>
      <c r="AD1579" s="135">
        <v>0.92</v>
      </c>
      <c r="AE1579" s="133">
        <v>1</v>
      </c>
      <c r="AF1579" s="133">
        <v>1</v>
      </c>
      <c r="AG1579" s="133">
        <v>1</v>
      </c>
      <c r="AH1579" s="133">
        <v>0.96271186440678</v>
      </c>
      <c r="AI1579" s="135">
        <v>0.92</v>
      </c>
      <c r="AJ1579" s="133">
        <v>0.821562606618901</v>
      </c>
      <c r="AK1579" s="133">
        <v>0.8664</v>
      </c>
      <c r="AL1579" s="133">
        <v>0.903323262839879</v>
      </c>
      <c r="AM1579" s="133">
        <v>0.870639908417634</v>
      </c>
      <c r="AN1579" s="132">
        <v>0.99</v>
      </c>
      <c r="AO1579" s="137">
        <v>1</v>
      </c>
      <c r="AP1579" s="137">
        <v>1</v>
      </c>
      <c r="AQ1579" s="137">
        <v>1</v>
      </c>
      <c r="AR1579" s="137">
        <v>1</v>
      </c>
      <c r="AS1579" s="158">
        <v>0.110069253262963</v>
      </c>
      <c r="AT1579" s="141">
        <v>0.111111111111111</v>
      </c>
      <c r="AU1579" s="141">
        <v>0</v>
      </c>
      <c r="AV1579" s="141">
        <v>0.428571428571429</v>
      </c>
      <c r="AW1579" s="141">
        <v>0.0963302752293578</v>
      </c>
      <c r="AX1579" s="95"/>
      <c r="AY1579" s="93"/>
    </row>
    <row r="1580" ht="14.5" spans="1:51">
      <c r="A1580" s="91"/>
      <c r="B1580" s="95"/>
      <c r="C1580" s="152" t="s">
        <v>1455</v>
      </c>
      <c r="D1580" s="153" t="s">
        <v>25</v>
      </c>
      <c r="E1580" s="130" t="s">
        <v>1456</v>
      </c>
      <c r="F1580" s="171" t="s">
        <v>1612</v>
      </c>
      <c r="G1580" s="171" t="s">
        <v>1612</v>
      </c>
      <c r="H1580" s="171" t="s">
        <v>1612</v>
      </c>
      <c r="I1580" s="171" t="s">
        <v>1612</v>
      </c>
      <c r="J1580" s="132">
        <v>0.9</v>
      </c>
      <c r="K1580" s="133">
        <v>0.951219512195122</v>
      </c>
      <c r="L1580" s="133">
        <v>0.95</v>
      </c>
      <c r="M1580" s="134">
        <v>1</v>
      </c>
      <c r="N1580" s="133">
        <v>0.964028776978417</v>
      </c>
      <c r="O1580" s="135">
        <v>0.9</v>
      </c>
      <c r="P1580" s="133">
        <v>0.94840834248079</v>
      </c>
      <c r="Q1580" s="133">
        <v>0.914267434420985</v>
      </c>
      <c r="R1580" s="133">
        <v>0.878620689655172</v>
      </c>
      <c r="S1580" s="133">
        <v>0.898102649296144</v>
      </c>
      <c r="T1580" s="135">
        <v>0.9</v>
      </c>
      <c r="U1580" s="133">
        <v>0.282107574094402</v>
      </c>
      <c r="V1580" s="133">
        <v>0.385156749840051</v>
      </c>
      <c r="W1580" s="133">
        <v>0.452068965517241</v>
      </c>
      <c r="X1580" s="133">
        <v>0.343534143569118</v>
      </c>
      <c r="Y1580" s="135">
        <v>0.92</v>
      </c>
      <c r="Z1580" s="135" t="s">
        <v>35</v>
      </c>
      <c r="AA1580" s="135">
        <v>0</v>
      </c>
      <c r="AB1580" s="135" t="s">
        <v>35</v>
      </c>
      <c r="AC1580" s="135">
        <v>0</v>
      </c>
      <c r="AD1580" s="135">
        <v>0.92</v>
      </c>
      <c r="AE1580" s="133">
        <v>0.215384615384615</v>
      </c>
      <c r="AF1580" s="133">
        <v>0.536363636363636</v>
      </c>
      <c r="AG1580" s="133">
        <v>1</v>
      </c>
      <c r="AH1580" s="133">
        <v>0.831875607385811</v>
      </c>
      <c r="AI1580" s="135">
        <v>0.92</v>
      </c>
      <c r="AJ1580" s="133">
        <v>0.872941822173436</v>
      </c>
      <c r="AK1580" s="133">
        <v>0.879156010230179</v>
      </c>
      <c r="AL1580" s="133">
        <v>0.863448275862069</v>
      </c>
      <c r="AM1580" s="133">
        <v>0.887738686437714</v>
      </c>
      <c r="AN1580" s="132">
        <v>0.99</v>
      </c>
      <c r="AO1580" s="137">
        <v>1</v>
      </c>
      <c r="AP1580" s="137">
        <v>1</v>
      </c>
      <c r="AQ1580" s="137">
        <v>1</v>
      </c>
      <c r="AR1580" s="137">
        <v>1</v>
      </c>
      <c r="AS1580" s="158">
        <v>0.110069253262963</v>
      </c>
      <c r="AT1580" s="141">
        <v>0.0952380952380952</v>
      </c>
      <c r="AU1580" s="141">
        <v>0.0666666666666667</v>
      </c>
      <c r="AV1580" s="141">
        <v>0.25</v>
      </c>
      <c r="AW1580" s="141">
        <v>0.0917431192660551</v>
      </c>
      <c r="AX1580" s="95"/>
      <c r="AY1580" s="93"/>
    </row>
    <row r="1581" ht="14.5" spans="1:51">
      <c r="A1581" s="91"/>
      <c r="B1581" s="95"/>
      <c r="C1581" s="152" t="s">
        <v>1455</v>
      </c>
      <c r="D1581" s="153" t="s">
        <v>25</v>
      </c>
      <c r="E1581" s="130" t="s">
        <v>1456</v>
      </c>
      <c r="F1581" s="171" t="s">
        <v>1613</v>
      </c>
      <c r="G1581" s="171" t="s">
        <v>1613</v>
      </c>
      <c r="H1581" s="171" t="s">
        <v>1613</v>
      </c>
      <c r="I1581" s="171" t="s">
        <v>1613</v>
      </c>
      <c r="J1581" s="132">
        <v>0.9</v>
      </c>
      <c r="K1581" s="133">
        <v>0.957446808510638</v>
      </c>
      <c r="L1581" s="133">
        <v>1</v>
      </c>
      <c r="M1581" s="134">
        <v>1</v>
      </c>
      <c r="N1581" s="133">
        <v>0.991239048811014</v>
      </c>
      <c r="O1581" s="135">
        <v>0.9</v>
      </c>
      <c r="P1581" s="133">
        <v>0.966916940403566</v>
      </c>
      <c r="Q1581" s="133">
        <v>0.969786889668195</v>
      </c>
      <c r="R1581" s="133">
        <v>0.987737584304108</v>
      </c>
      <c r="S1581" s="133">
        <v>0.978053928007438</v>
      </c>
      <c r="T1581" s="135">
        <v>0.9</v>
      </c>
      <c r="U1581" s="133">
        <v>0.706945096198968</v>
      </c>
      <c r="V1581" s="133">
        <v>0.765578635014837</v>
      </c>
      <c r="W1581" s="133">
        <v>0.887798896382587</v>
      </c>
      <c r="X1581" s="133">
        <v>0.74770134451053</v>
      </c>
      <c r="Y1581" s="135">
        <v>0.92</v>
      </c>
      <c r="Z1581" s="135" t="s">
        <v>35</v>
      </c>
      <c r="AA1581" s="135" t="s">
        <v>35</v>
      </c>
      <c r="AB1581" s="135">
        <v>0</v>
      </c>
      <c r="AC1581" s="135">
        <v>0</v>
      </c>
      <c r="AD1581" s="135">
        <v>0.92</v>
      </c>
      <c r="AE1581" s="133">
        <v>1</v>
      </c>
      <c r="AF1581" s="133">
        <v>1</v>
      </c>
      <c r="AG1581" s="133">
        <v>0.947368421052632</v>
      </c>
      <c r="AH1581" s="133">
        <v>0.949640287769784</v>
      </c>
      <c r="AI1581" s="135">
        <v>0.92</v>
      </c>
      <c r="AJ1581" s="133">
        <v>0.92092914124824</v>
      </c>
      <c r="AK1581" s="133">
        <v>0.909630428918263</v>
      </c>
      <c r="AL1581" s="133">
        <v>0.956481765246705</v>
      </c>
      <c r="AM1581" s="133">
        <v>0.945313422264195</v>
      </c>
      <c r="AN1581" s="132">
        <v>0.99</v>
      </c>
      <c r="AO1581" s="137">
        <v>1</v>
      </c>
      <c r="AP1581" s="137">
        <v>1</v>
      </c>
      <c r="AQ1581" s="137">
        <v>1</v>
      </c>
      <c r="AR1581" s="137">
        <v>1</v>
      </c>
      <c r="AS1581" s="158">
        <v>0.110069253262963</v>
      </c>
      <c r="AT1581" s="141">
        <v>0</v>
      </c>
      <c r="AU1581" s="141">
        <v>0.142857142857143</v>
      </c>
      <c r="AV1581" s="141">
        <v>0</v>
      </c>
      <c r="AW1581" s="141">
        <v>0.0977917981072555</v>
      </c>
      <c r="AX1581" s="95"/>
      <c r="AY1581" s="93"/>
    </row>
    <row r="1582" ht="14.5" spans="1:51">
      <c r="A1582" s="91"/>
      <c r="B1582" s="95"/>
      <c r="C1582" s="152" t="s">
        <v>1455</v>
      </c>
      <c r="D1582" s="153" t="s">
        <v>25</v>
      </c>
      <c r="E1582" s="130" t="s">
        <v>1456</v>
      </c>
      <c r="F1582" s="171" t="s">
        <v>1614</v>
      </c>
      <c r="G1582" s="171" t="s">
        <v>1614</v>
      </c>
      <c r="H1582" s="171" t="s">
        <v>1614</v>
      </c>
      <c r="I1582" s="171" t="s">
        <v>1614</v>
      </c>
      <c r="J1582" s="132">
        <v>0.9</v>
      </c>
      <c r="K1582" s="133">
        <v>0.951219512195122</v>
      </c>
      <c r="L1582" s="133">
        <v>0.972222222222222</v>
      </c>
      <c r="M1582" s="134">
        <v>0.945945945945946</v>
      </c>
      <c r="N1582" s="133">
        <v>0.972179289026275</v>
      </c>
      <c r="O1582" s="135">
        <v>0.9</v>
      </c>
      <c r="P1582" s="133">
        <v>0.998830751242327</v>
      </c>
      <c r="Q1582" s="133">
        <v>0.989958448753463</v>
      </c>
      <c r="R1582" s="133">
        <v>0.998917280207882</v>
      </c>
      <c r="S1582" s="133">
        <v>0.997802417340925</v>
      </c>
      <c r="T1582" s="135">
        <v>0.9</v>
      </c>
      <c r="U1582" s="133">
        <v>0.926921952645425</v>
      </c>
      <c r="V1582" s="133">
        <v>0.945983379501385</v>
      </c>
      <c r="W1582" s="133">
        <v>0.964919878735383</v>
      </c>
      <c r="X1582" s="133">
        <v>0.949405653780841</v>
      </c>
      <c r="Y1582" s="135">
        <v>0.92</v>
      </c>
      <c r="Z1582" s="135" t="s">
        <v>35</v>
      </c>
      <c r="AA1582" s="135" t="s">
        <v>35</v>
      </c>
      <c r="AB1582" s="135" t="s">
        <v>35</v>
      </c>
      <c r="AC1582" s="135" t="s">
        <v>35</v>
      </c>
      <c r="AD1582" s="135">
        <v>0.92</v>
      </c>
      <c r="AE1582" s="133">
        <v>1</v>
      </c>
      <c r="AF1582" s="133">
        <v>0.973684210526316</v>
      </c>
      <c r="AG1582" s="133">
        <v>1</v>
      </c>
      <c r="AH1582" s="133">
        <v>0.992260061919505</v>
      </c>
      <c r="AI1582" s="135">
        <v>0.92</v>
      </c>
      <c r="AJ1582" s="133">
        <v>0.974861151710026</v>
      </c>
      <c r="AK1582" s="133">
        <v>0.975761772853186</v>
      </c>
      <c r="AL1582" s="133">
        <v>0.992204417496752</v>
      </c>
      <c r="AM1582" s="133">
        <v>0.986731262278161</v>
      </c>
      <c r="AN1582" s="132">
        <v>0.99</v>
      </c>
      <c r="AO1582" s="137">
        <v>1</v>
      </c>
      <c r="AP1582" s="137" t="s">
        <v>35</v>
      </c>
      <c r="AQ1582" s="137">
        <v>1</v>
      </c>
      <c r="AR1582" s="137">
        <v>1</v>
      </c>
      <c r="AS1582" s="158">
        <v>0.110069253262963</v>
      </c>
      <c r="AT1582" s="141">
        <v>0</v>
      </c>
      <c r="AU1582" s="141">
        <v>0.0833333333333333</v>
      </c>
      <c r="AV1582" s="141">
        <v>0.222222222222222</v>
      </c>
      <c r="AW1582" s="141">
        <v>0.0848214285714286</v>
      </c>
      <c r="AX1582" s="95"/>
      <c r="AY1582" s="93"/>
    </row>
    <row r="1583" ht="14.5" spans="1:51">
      <c r="A1583" s="91"/>
      <c r="B1583" s="95"/>
      <c r="C1583" s="152" t="s">
        <v>1455</v>
      </c>
      <c r="D1583" s="153" t="s">
        <v>25</v>
      </c>
      <c r="E1583" s="130" t="s">
        <v>1456</v>
      </c>
      <c r="F1583" s="171" t="s">
        <v>1615</v>
      </c>
      <c r="G1583" s="171" t="s">
        <v>1615</v>
      </c>
      <c r="H1583" s="171" t="s">
        <v>1615</v>
      </c>
      <c r="I1583" s="171" t="s">
        <v>1615</v>
      </c>
      <c r="J1583" s="132">
        <v>0.9</v>
      </c>
      <c r="K1583" s="133">
        <v>0.863636363636364</v>
      </c>
      <c r="L1583" s="133">
        <v>0.823529411764706</v>
      </c>
      <c r="M1583" s="134">
        <v>0.76</v>
      </c>
      <c r="N1583" s="133">
        <v>0.890052356020942</v>
      </c>
      <c r="O1583" s="135">
        <v>0.9</v>
      </c>
      <c r="P1583" s="133">
        <v>0.983457844183565</v>
      </c>
      <c r="Q1583" s="133">
        <v>0.989010989010989</v>
      </c>
      <c r="R1583" s="133">
        <v>0.987335834896811</v>
      </c>
      <c r="S1583" s="133">
        <v>0.985967289267396</v>
      </c>
      <c r="T1583" s="135">
        <v>0.9</v>
      </c>
      <c r="U1583" s="133">
        <v>0.548559231590181</v>
      </c>
      <c r="V1583" s="133">
        <v>0.776171197223829</v>
      </c>
      <c r="W1583" s="133">
        <v>0.830675422138837</v>
      </c>
      <c r="X1583" s="133">
        <v>0.716958611568115</v>
      </c>
      <c r="Y1583" s="135">
        <v>0.92</v>
      </c>
      <c r="Z1583" s="135" t="s">
        <v>35</v>
      </c>
      <c r="AA1583" s="135" t="s">
        <v>35</v>
      </c>
      <c r="AB1583" s="135" t="s">
        <v>35</v>
      </c>
      <c r="AC1583" s="135" t="s">
        <v>35</v>
      </c>
      <c r="AD1583" s="135">
        <v>0.92</v>
      </c>
      <c r="AE1583" s="133">
        <v>1</v>
      </c>
      <c r="AF1583" s="133">
        <v>1</v>
      </c>
      <c r="AG1583" s="133">
        <v>0.962962962962963</v>
      </c>
      <c r="AH1583" s="133">
        <v>0.988009592326139</v>
      </c>
      <c r="AI1583" s="135">
        <v>0.92</v>
      </c>
      <c r="AJ1583" s="133">
        <v>0.689434364994664</v>
      </c>
      <c r="AK1583" s="133">
        <v>0.798149219201851</v>
      </c>
      <c r="AL1583" s="133">
        <v>0.889305816135084</v>
      </c>
      <c r="AM1583" s="133">
        <v>0.821252298461241</v>
      </c>
      <c r="AN1583" s="132">
        <v>0.99</v>
      </c>
      <c r="AO1583" s="137">
        <v>1</v>
      </c>
      <c r="AP1583" s="137">
        <v>1</v>
      </c>
      <c r="AQ1583" s="137">
        <v>1</v>
      </c>
      <c r="AR1583" s="137">
        <v>1</v>
      </c>
      <c r="AS1583" s="158">
        <v>0.110069253262963</v>
      </c>
      <c r="AT1583" s="141">
        <v>0.0344827586206897</v>
      </c>
      <c r="AU1583" s="141">
        <v>0.0666666666666667</v>
      </c>
      <c r="AV1583" s="141">
        <v>0.136363636363636</v>
      </c>
      <c r="AW1583" s="141">
        <v>0.129476584022039</v>
      </c>
      <c r="AX1583" s="95"/>
      <c r="AY1583" s="93"/>
    </row>
    <row r="1584" ht="14.5" spans="1:51">
      <c r="A1584" s="91"/>
      <c r="B1584" s="95"/>
      <c r="C1584" s="152" t="s">
        <v>1455</v>
      </c>
      <c r="D1584" s="153" t="s">
        <v>25</v>
      </c>
      <c r="E1584" s="130" t="s">
        <v>1456</v>
      </c>
      <c r="F1584" s="171" t="s">
        <v>1616</v>
      </c>
      <c r="G1584" s="171" t="s">
        <v>1616</v>
      </c>
      <c r="H1584" s="171" t="s">
        <v>1616</v>
      </c>
      <c r="I1584" s="171" t="s">
        <v>1616</v>
      </c>
      <c r="J1584" s="132">
        <v>0.9</v>
      </c>
      <c r="K1584" s="133">
        <v>1</v>
      </c>
      <c r="L1584" s="133">
        <v>1</v>
      </c>
      <c r="M1584" s="134">
        <v>0.954545454545455</v>
      </c>
      <c r="N1584" s="133">
        <v>0.992840095465394</v>
      </c>
      <c r="O1584" s="135">
        <v>0.9</v>
      </c>
      <c r="P1584" s="133">
        <v>0.93550577053632</v>
      </c>
      <c r="Q1584" s="133">
        <v>0.96798652064027</v>
      </c>
      <c r="R1584" s="133">
        <v>0.964948453608247</v>
      </c>
      <c r="S1584" s="133">
        <v>0.967231937820173</v>
      </c>
      <c r="T1584" s="135">
        <v>0.9</v>
      </c>
      <c r="U1584" s="133">
        <v>0.710794297352342</v>
      </c>
      <c r="V1584" s="133">
        <v>0.732097725358046</v>
      </c>
      <c r="W1584" s="133">
        <v>0.794845360824742</v>
      </c>
      <c r="X1584" s="133">
        <v>0.781531531531532</v>
      </c>
      <c r="Y1584" s="135">
        <v>0.92</v>
      </c>
      <c r="Z1584" s="135">
        <v>0.78290025146689</v>
      </c>
      <c r="AA1584" s="135">
        <v>0.821917808219178</v>
      </c>
      <c r="AB1584" s="135">
        <v>0.829198473282443</v>
      </c>
      <c r="AC1584" s="135">
        <v>0.849725202826485</v>
      </c>
      <c r="AD1584" s="135">
        <v>0.92</v>
      </c>
      <c r="AE1584" s="133">
        <v>0.967741935483871</v>
      </c>
      <c r="AF1584" s="133">
        <v>1</v>
      </c>
      <c r="AG1584" s="133">
        <v>0.954545454545455</v>
      </c>
      <c r="AH1584" s="133">
        <v>0.928057553956835</v>
      </c>
      <c r="AI1584" s="135">
        <v>0.92</v>
      </c>
      <c r="AJ1584" s="133">
        <v>0.830457614403601</v>
      </c>
      <c r="AK1584" s="133">
        <v>0.848314606741573</v>
      </c>
      <c r="AL1584" s="133">
        <v>0.889990089197225</v>
      </c>
      <c r="AM1584" s="133">
        <v>0.896864745754593</v>
      </c>
      <c r="AN1584" s="132">
        <v>0.99</v>
      </c>
      <c r="AO1584" s="137">
        <v>1</v>
      </c>
      <c r="AP1584" s="137">
        <v>1</v>
      </c>
      <c r="AQ1584" s="137">
        <v>1</v>
      </c>
      <c r="AR1584" s="137">
        <v>1</v>
      </c>
      <c r="AS1584" s="158">
        <v>0.110069253262963</v>
      </c>
      <c r="AT1584" s="141">
        <v>0.1</v>
      </c>
      <c r="AU1584" s="141">
        <v>0.142857142857143</v>
      </c>
      <c r="AV1584" s="141">
        <v>0</v>
      </c>
      <c r="AW1584" s="141">
        <v>0.0576923076923077</v>
      </c>
      <c r="AX1584" s="95"/>
      <c r="AY1584" s="93"/>
    </row>
    <row r="1585" ht="14.5" spans="1:51">
      <c r="A1585" s="91"/>
      <c r="B1585" s="95"/>
      <c r="C1585" s="152" t="s">
        <v>1455</v>
      </c>
      <c r="D1585" s="153" t="s">
        <v>25</v>
      </c>
      <c r="E1585" s="130" t="s">
        <v>1456</v>
      </c>
      <c r="F1585" s="171" t="s">
        <v>1617</v>
      </c>
      <c r="G1585" s="171" t="s">
        <v>1617</v>
      </c>
      <c r="H1585" s="171" t="s">
        <v>1617</v>
      </c>
      <c r="I1585" s="171" t="s">
        <v>1617</v>
      </c>
      <c r="J1585" s="132">
        <v>0.9</v>
      </c>
      <c r="K1585" s="133">
        <v>0.714285714285714</v>
      </c>
      <c r="L1585" s="133">
        <v>0.777777777777778</v>
      </c>
      <c r="M1585" s="134">
        <v>0.8</v>
      </c>
      <c r="N1585" s="133">
        <v>0.670506912442396</v>
      </c>
      <c r="O1585" s="135">
        <v>0.9</v>
      </c>
      <c r="P1585" s="133">
        <v>0</v>
      </c>
      <c r="Q1585" s="133" t="s">
        <v>35</v>
      </c>
      <c r="R1585" s="133">
        <v>0</v>
      </c>
      <c r="S1585" s="133">
        <v>0.166666666666667</v>
      </c>
      <c r="T1585" s="135">
        <v>0.9</v>
      </c>
      <c r="U1585" s="133">
        <v>1</v>
      </c>
      <c r="V1585" s="133" t="s">
        <v>35</v>
      </c>
      <c r="W1585" s="133">
        <v>0</v>
      </c>
      <c r="X1585" s="133">
        <v>0.5</v>
      </c>
      <c r="Y1585" s="135">
        <v>0.92</v>
      </c>
      <c r="Z1585" s="135" t="s">
        <v>35</v>
      </c>
      <c r="AA1585" s="135" t="s">
        <v>35</v>
      </c>
      <c r="AB1585" s="135" t="s">
        <v>35</v>
      </c>
      <c r="AC1585" s="135" t="s">
        <v>35</v>
      </c>
      <c r="AD1585" s="135">
        <v>0.92</v>
      </c>
      <c r="AE1585" s="133">
        <v>0</v>
      </c>
      <c r="AF1585" s="133">
        <v>0</v>
      </c>
      <c r="AG1585" s="133">
        <v>0</v>
      </c>
      <c r="AH1585" s="133">
        <v>0.0593607305936073</v>
      </c>
      <c r="AI1585" s="135">
        <v>0.92</v>
      </c>
      <c r="AJ1585" s="133">
        <v>0.818559034326669</v>
      </c>
      <c r="AK1585" s="133">
        <v>0.86950146627566</v>
      </c>
      <c r="AL1585" s="133">
        <v>0.879185520361991</v>
      </c>
      <c r="AM1585" s="133">
        <v>0.910948529621903</v>
      </c>
      <c r="AN1585" s="132">
        <v>0.99</v>
      </c>
      <c r="AO1585" s="137" t="s">
        <v>35</v>
      </c>
      <c r="AP1585" s="137" t="s">
        <v>35</v>
      </c>
      <c r="AQ1585" s="137" t="s">
        <v>35</v>
      </c>
      <c r="AR1585" s="137">
        <v>1</v>
      </c>
      <c r="AS1585" s="158">
        <v>0.110069253262963</v>
      </c>
      <c r="AT1585" s="141">
        <v>0.333333333333333</v>
      </c>
      <c r="AU1585" s="141">
        <v>0.333333333333333</v>
      </c>
      <c r="AV1585" s="141">
        <v>0.166666666666667</v>
      </c>
      <c r="AW1585" s="141">
        <v>0.175595238095238</v>
      </c>
      <c r="AX1585" s="95"/>
      <c r="AY1585" s="93"/>
    </row>
    <row r="1586" ht="14.5" spans="1:51">
      <c r="A1586" s="91"/>
      <c r="B1586" s="95"/>
      <c r="C1586" s="152" t="s">
        <v>1455</v>
      </c>
      <c r="D1586" s="153" t="s">
        <v>25</v>
      </c>
      <c r="E1586" s="130" t="s">
        <v>1456</v>
      </c>
      <c r="F1586" s="171" t="s">
        <v>1618</v>
      </c>
      <c r="G1586" s="171" t="s">
        <v>1618</v>
      </c>
      <c r="H1586" s="171" t="s">
        <v>1618</v>
      </c>
      <c r="I1586" s="171" t="s">
        <v>1618</v>
      </c>
      <c r="J1586" s="132">
        <v>0.9</v>
      </c>
      <c r="K1586" s="133">
        <v>1</v>
      </c>
      <c r="L1586" s="133">
        <v>1</v>
      </c>
      <c r="M1586" s="134">
        <v>1</v>
      </c>
      <c r="N1586" s="133">
        <v>0.982758620689655</v>
      </c>
      <c r="O1586" s="135">
        <v>0.9</v>
      </c>
      <c r="P1586" s="133">
        <v>0.99938195302843</v>
      </c>
      <c r="Q1586" s="133">
        <v>0.997123130034522</v>
      </c>
      <c r="R1586" s="133">
        <v>0.989339019189765</v>
      </c>
      <c r="S1586" s="133">
        <v>0.995850900086997</v>
      </c>
      <c r="T1586" s="135">
        <v>0.9</v>
      </c>
      <c r="U1586" s="133">
        <v>0.949320148331273</v>
      </c>
      <c r="V1586" s="133">
        <v>0.96029919447641</v>
      </c>
      <c r="W1586" s="133">
        <v>0.957356076759062</v>
      </c>
      <c r="X1586" s="133">
        <v>0.929866827276986</v>
      </c>
      <c r="Y1586" s="135">
        <v>0.92</v>
      </c>
      <c r="Z1586" s="135" t="s">
        <v>35</v>
      </c>
      <c r="AA1586" s="135" t="s">
        <v>35</v>
      </c>
      <c r="AB1586" s="135" t="s">
        <v>35</v>
      </c>
      <c r="AC1586" s="135" t="s">
        <v>35</v>
      </c>
      <c r="AD1586" s="135">
        <v>0.92</v>
      </c>
      <c r="AE1586" s="133">
        <v>0.205882352941176</v>
      </c>
      <c r="AF1586" s="133">
        <v>0.321428571428571</v>
      </c>
      <c r="AG1586" s="133">
        <v>0.222222222222222</v>
      </c>
      <c r="AH1586" s="133">
        <v>0.32475884244373</v>
      </c>
      <c r="AI1586" s="135">
        <v>0.92</v>
      </c>
      <c r="AJ1586" s="133">
        <v>0.974660074165637</v>
      </c>
      <c r="AK1586" s="133">
        <v>0.983889528193326</v>
      </c>
      <c r="AL1586" s="133">
        <v>0.981876332622601</v>
      </c>
      <c r="AM1586" s="133">
        <v>0.983571452470974</v>
      </c>
      <c r="AN1586" s="132">
        <v>0.99</v>
      </c>
      <c r="AO1586" s="137" t="s">
        <v>35</v>
      </c>
      <c r="AP1586" s="137">
        <v>1</v>
      </c>
      <c r="AQ1586" s="137">
        <v>1</v>
      </c>
      <c r="AR1586" s="137">
        <v>1</v>
      </c>
      <c r="AS1586" s="158">
        <v>0.110069253262963</v>
      </c>
      <c r="AT1586" s="141">
        <v>0.0714285714285714</v>
      </c>
      <c r="AU1586" s="141">
        <v>0.0416666666666667</v>
      </c>
      <c r="AV1586" s="141">
        <v>0</v>
      </c>
      <c r="AW1586" s="141">
        <v>0.038961038961039</v>
      </c>
      <c r="AX1586" s="95"/>
      <c r="AY1586" s="93"/>
    </row>
    <row r="1587" ht="14.5" spans="1:51">
      <c r="A1587" s="91"/>
      <c r="B1587" s="95"/>
      <c r="C1587" s="152" t="s">
        <v>1455</v>
      </c>
      <c r="D1587" s="153" t="s">
        <v>25</v>
      </c>
      <c r="E1587" s="130" t="s">
        <v>1456</v>
      </c>
      <c r="F1587" s="171" t="s">
        <v>1619</v>
      </c>
      <c r="G1587" s="171" t="s">
        <v>1619</v>
      </c>
      <c r="H1587" s="171" t="s">
        <v>1619</v>
      </c>
      <c r="I1587" s="171" t="s">
        <v>1619</v>
      </c>
      <c r="J1587" s="132">
        <v>0.9</v>
      </c>
      <c r="K1587" s="133">
        <v>0.447368421052632</v>
      </c>
      <c r="L1587" s="133">
        <v>0.342857142857143</v>
      </c>
      <c r="M1587" s="134">
        <v>0.513513513513513</v>
      </c>
      <c r="N1587" s="133">
        <v>0.42654028436019</v>
      </c>
      <c r="O1587" s="135">
        <v>0.9</v>
      </c>
      <c r="P1587" s="133">
        <v>0.983922829581994</v>
      </c>
      <c r="Q1587" s="133">
        <v>0.974741326841144</v>
      </c>
      <c r="R1587" s="133">
        <v>0.99537750385208</v>
      </c>
      <c r="S1587" s="133">
        <v>0.977421757481051</v>
      </c>
      <c r="T1587" s="135">
        <v>0.9</v>
      </c>
      <c r="U1587" s="133">
        <v>0.848379915904032</v>
      </c>
      <c r="V1587" s="133">
        <v>0.890748630553865</v>
      </c>
      <c r="W1587" s="133">
        <v>0.932973805855162</v>
      </c>
      <c r="X1587" s="133">
        <v>0.898383304368145</v>
      </c>
      <c r="Y1587" s="135">
        <v>0.92</v>
      </c>
      <c r="Z1587" s="135" t="s">
        <v>35</v>
      </c>
      <c r="AA1587" s="135" t="s">
        <v>35</v>
      </c>
      <c r="AB1587" s="135" t="s">
        <v>35</v>
      </c>
      <c r="AC1587" s="135">
        <v>0</v>
      </c>
      <c r="AD1587" s="135">
        <v>0.92</v>
      </c>
      <c r="AE1587" s="133">
        <v>0.970588235294118</v>
      </c>
      <c r="AF1587" s="133">
        <v>0.884297520661157</v>
      </c>
      <c r="AG1587" s="133">
        <v>0.967213114754098</v>
      </c>
      <c r="AH1587" s="133">
        <v>0.954278523489933</v>
      </c>
      <c r="AI1587" s="135">
        <v>0.92</v>
      </c>
      <c r="AJ1587" s="133">
        <v>0.914667326242889</v>
      </c>
      <c r="AK1587" s="133">
        <v>0.943700547778454</v>
      </c>
      <c r="AL1587" s="133">
        <v>0.974383667180277</v>
      </c>
      <c r="AM1587" s="133">
        <v>0.965593282219788</v>
      </c>
      <c r="AN1587" s="132">
        <v>0.99</v>
      </c>
      <c r="AO1587" s="137">
        <v>1</v>
      </c>
      <c r="AP1587" s="137">
        <v>1</v>
      </c>
      <c r="AQ1587" s="137">
        <v>1</v>
      </c>
      <c r="AR1587" s="137">
        <v>1</v>
      </c>
      <c r="AS1587" s="158">
        <v>0.110069253262963</v>
      </c>
      <c r="AT1587" s="141">
        <v>0.208333333333333</v>
      </c>
      <c r="AU1587" s="141">
        <v>0.176470588235294</v>
      </c>
      <c r="AV1587" s="141">
        <v>0.157894736842105</v>
      </c>
      <c r="AW1587" s="141">
        <v>0.137349397590361</v>
      </c>
      <c r="AX1587" s="95"/>
      <c r="AY1587" s="93"/>
    </row>
    <row r="1588" ht="14.5" spans="1:51">
      <c r="A1588" s="91"/>
      <c r="B1588" s="95"/>
      <c r="C1588" s="152" t="s">
        <v>1455</v>
      </c>
      <c r="D1588" s="153" t="s">
        <v>25</v>
      </c>
      <c r="E1588" s="130" t="s">
        <v>1456</v>
      </c>
      <c r="F1588" s="171" t="s">
        <v>1620</v>
      </c>
      <c r="G1588" s="171" t="s">
        <v>1620</v>
      </c>
      <c r="H1588" s="171" t="s">
        <v>1620</v>
      </c>
      <c r="I1588" s="171" t="s">
        <v>1620</v>
      </c>
      <c r="J1588" s="132">
        <v>0.9</v>
      </c>
      <c r="K1588" s="133">
        <v>0.736842105263158</v>
      </c>
      <c r="L1588" s="133">
        <v>0.631578947368421</v>
      </c>
      <c r="M1588" s="134">
        <v>0.631578947368421</v>
      </c>
      <c r="N1588" s="133">
        <v>0.732732732732733</v>
      </c>
      <c r="O1588" s="135">
        <v>0.9</v>
      </c>
      <c r="P1588" s="133">
        <v>0.999344262295082</v>
      </c>
      <c r="Q1588" s="133">
        <v>0.999406175771972</v>
      </c>
      <c r="R1588" s="133">
        <v>0.998231132075472</v>
      </c>
      <c r="S1588" s="133">
        <v>0.995734308348568</v>
      </c>
      <c r="T1588" s="135">
        <v>0.9</v>
      </c>
      <c r="U1588" s="133">
        <v>0.931803278688525</v>
      </c>
      <c r="V1588" s="133">
        <v>0.960807600950119</v>
      </c>
      <c r="W1588" s="133">
        <v>0.971108490566038</v>
      </c>
      <c r="X1588" s="133">
        <v>0.95287426366037</v>
      </c>
      <c r="Y1588" s="135">
        <v>0.92</v>
      </c>
      <c r="Z1588" s="135" t="s">
        <v>35</v>
      </c>
      <c r="AA1588" s="135" t="s">
        <v>35</v>
      </c>
      <c r="AB1588" s="135" t="s">
        <v>35</v>
      </c>
      <c r="AC1588" s="135" t="s">
        <v>35</v>
      </c>
      <c r="AD1588" s="135">
        <v>0.92</v>
      </c>
      <c r="AE1588" s="133">
        <v>0</v>
      </c>
      <c r="AF1588" s="133">
        <v>0</v>
      </c>
      <c r="AG1588" s="133">
        <v>0</v>
      </c>
      <c r="AH1588" s="133">
        <v>0.154696132596685</v>
      </c>
      <c r="AI1588" s="135">
        <v>0.92</v>
      </c>
      <c r="AJ1588" s="133">
        <v>0.954193548387097</v>
      </c>
      <c r="AK1588" s="133">
        <v>0.968713105076741</v>
      </c>
      <c r="AL1588" s="133">
        <v>0.985311398354877</v>
      </c>
      <c r="AM1588" s="133">
        <v>0.973248729134369</v>
      </c>
      <c r="AN1588" s="132">
        <v>0.99</v>
      </c>
      <c r="AO1588" s="137" t="s">
        <v>35</v>
      </c>
      <c r="AP1588" s="137" t="s">
        <v>35</v>
      </c>
      <c r="AQ1588" s="137">
        <v>1</v>
      </c>
      <c r="AR1588" s="137">
        <v>1</v>
      </c>
      <c r="AS1588" s="158">
        <v>0.110069253262963</v>
      </c>
      <c r="AT1588" s="141">
        <v>0.148148148148148</v>
      </c>
      <c r="AU1588" s="141">
        <v>0.05</v>
      </c>
      <c r="AV1588" s="141">
        <v>0.0869565217391304</v>
      </c>
      <c r="AW1588" s="141">
        <v>0.0801186943620178</v>
      </c>
      <c r="AX1588" s="95"/>
      <c r="AY1588" s="93"/>
    </row>
    <row r="1589" ht="14.5" spans="1:51">
      <c r="A1589" s="91"/>
      <c r="B1589" s="95"/>
      <c r="C1589" s="152" t="s">
        <v>1455</v>
      </c>
      <c r="D1589" s="153" t="s">
        <v>25</v>
      </c>
      <c r="E1589" s="130" t="s">
        <v>1456</v>
      </c>
      <c r="F1589" s="171" t="s">
        <v>1621</v>
      </c>
      <c r="G1589" s="171" t="s">
        <v>1621</v>
      </c>
      <c r="H1589" s="171" t="s">
        <v>1621</v>
      </c>
      <c r="I1589" s="171" t="s">
        <v>1621</v>
      </c>
      <c r="J1589" s="132">
        <v>0.9</v>
      </c>
      <c r="K1589" s="133">
        <v>0.391304347826087</v>
      </c>
      <c r="L1589" s="133">
        <v>0.5</v>
      </c>
      <c r="M1589" s="134">
        <v>0.4</v>
      </c>
      <c r="N1589" s="133">
        <v>0.608333333333333</v>
      </c>
      <c r="O1589" s="135">
        <v>0.9</v>
      </c>
      <c r="P1589" s="133" t="s">
        <v>35</v>
      </c>
      <c r="Q1589" s="133">
        <v>0</v>
      </c>
      <c r="R1589" s="133">
        <v>0</v>
      </c>
      <c r="S1589" s="133">
        <v>0</v>
      </c>
      <c r="T1589" s="135">
        <v>0.9</v>
      </c>
      <c r="U1589" s="133" t="s">
        <v>35</v>
      </c>
      <c r="V1589" s="133">
        <v>0</v>
      </c>
      <c r="W1589" s="133">
        <v>0</v>
      </c>
      <c r="X1589" s="133">
        <v>0</v>
      </c>
      <c r="Y1589" s="135">
        <v>0.92</v>
      </c>
      <c r="Z1589" s="135" t="s">
        <v>35</v>
      </c>
      <c r="AA1589" s="135" t="s">
        <v>35</v>
      </c>
      <c r="AB1589" s="135" t="s">
        <v>35</v>
      </c>
      <c r="AC1589" s="135" t="s">
        <v>35</v>
      </c>
      <c r="AD1589" s="135">
        <v>0.92</v>
      </c>
      <c r="AE1589" s="133">
        <v>0</v>
      </c>
      <c r="AF1589" s="133">
        <v>0</v>
      </c>
      <c r="AG1589" s="133">
        <v>1</v>
      </c>
      <c r="AH1589" s="133">
        <v>0.405027932960894</v>
      </c>
      <c r="AI1589" s="135">
        <v>0.92</v>
      </c>
      <c r="AJ1589" s="133">
        <v>0.670831538130116</v>
      </c>
      <c r="AK1589" s="133">
        <v>0.684027777777778</v>
      </c>
      <c r="AL1589" s="133">
        <v>0.611483654652137</v>
      </c>
      <c r="AM1589" s="133">
        <v>0.719564257323716</v>
      </c>
      <c r="AN1589" s="132">
        <v>0.99</v>
      </c>
      <c r="AO1589" s="137" t="s">
        <v>35</v>
      </c>
      <c r="AP1589" s="137" t="s">
        <v>35</v>
      </c>
      <c r="AQ1589" s="137" t="s">
        <v>35</v>
      </c>
      <c r="AR1589" s="137">
        <v>1</v>
      </c>
      <c r="AS1589" s="158">
        <v>0.110069253262963</v>
      </c>
      <c r="AT1589" s="141">
        <v>0.291666666666667</v>
      </c>
      <c r="AU1589" s="141">
        <v>0.0588235294117647</v>
      </c>
      <c r="AV1589" s="141">
        <v>0.103448275862069</v>
      </c>
      <c r="AW1589" s="141">
        <v>0.100813008130081</v>
      </c>
      <c r="AX1589" s="95"/>
      <c r="AY1589" s="93"/>
    </row>
    <row r="1590" ht="14.5" spans="1:51">
      <c r="A1590" s="91"/>
      <c r="B1590" s="95"/>
      <c r="C1590" s="152" t="s">
        <v>1455</v>
      </c>
      <c r="D1590" s="153" t="s">
        <v>25</v>
      </c>
      <c r="E1590" s="130" t="s">
        <v>1456</v>
      </c>
      <c r="F1590" s="171" t="s">
        <v>1622</v>
      </c>
      <c r="G1590" s="171" t="s">
        <v>1622</v>
      </c>
      <c r="H1590" s="171" t="s">
        <v>1622</v>
      </c>
      <c r="I1590" s="171" t="s">
        <v>1622</v>
      </c>
      <c r="J1590" s="132">
        <v>0.9</v>
      </c>
      <c r="K1590" s="133">
        <v>0.967741935483871</v>
      </c>
      <c r="L1590" s="133">
        <v>0.96875</v>
      </c>
      <c r="M1590" s="134">
        <v>0.967741935483871</v>
      </c>
      <c r="N1590" s="133">
        <v>0.985611510791367</v>
      </c>
      <c r="O1590" s="135">
        <v>0.9</v>
      </c>
      <c r="P1590" s="133">
        <v>0.993788819875776</v>
      </c>
      <c r="Q1590" s="133">
        <v>0.997878144892392</v>
      </c>
      <c r="R1590" s="133">
        <v>0.994640338504936</v>
      </c>
      <c r="S1590" s="133">
        <v>0.995849954385274</v>
      </c>
      <c r="T1590" s="135">
        <v>0.9</v>
      </c>
      <c r="U1590" s="133">
        <v>0.873949579831933</v>
      </c>
      <c r="V1590" s="133">
        <v>0.938466201879357</v>
      </c>
      <c r="W1590" s="133">
        <v>0.93540197461213</v>
      </c>
      <c r="X1590" s="133">
        <v>0.92757097114645</v>
      </c>
      <c r="Y1590" s="135">
        <v>0.92</v>
      </c>
      <c r="Z1590" s="135" t="s">
        <v>35</v>
      </c>
      <c r="AA1590" s="135" t="s">
        <v>35</v>
      </c>
      <c r="AB1590" s="135" t="s">
        <v>35</v>
      </c>
      <c r="AC1590" s="135" t="s">
        <v>35</v>
      </c>
      <c r="AD1590" s="135">
        <v>0.92</v>
      </c>
      <c r="AE1590" s="133">
        <v>0.997835497835498</v>
      </c>
      <c r="AF1590" s="133">
        <v>1</v>
      </c>
      <c r="AG1590" s="133">
        <v>0.995762711864407</v>
      </c>
      <c r="AH1590" s="133">
        <v>0.995302902565338</v>
      </c>
      <c r="AI1590" s="135">
        <v>0.92</v>
      </c>
      <c r="AJ1590" s="133">
        <v>0.92035074899525</v>
      </c>
      <c r="AK1590" s="133">
        <v>0.964534707487117</v>
      </c>
      <c r="AL1590" s="133">
        <v>0.979689703808181</v>
      </c>
      <c r="AM1590" s="133">
        <v>0.976441335885373</v>
      </c>
      <c r="AN1590" s="132">
        <v>0.99</v>
      </c>
      <c r="AO1590" s="137">
        <v>1</v>
      </c>
      <c r="AP1590" s="137">
        <v>1</v>
      </c>
      <c r="AQ1590" s="137">
        <v>1</v>
      </c>
      <c r="AR1590" s="137">
        <v>1</v>
      </c>
      <c r="AS1590" s="158">
        <v>0.110069253262963</v>
      </c>
      <c r="AT1590" s="141">
        <v>0.166666666666667</v>
      </c>
      <c r="AU1590" s="141">
        <v>0.0333333333333333</v>
      </c>
      <c r="AV1590" s="141">
        <v>0.0882352941176471</v>
      </c>
      <c r="AW1590" s="141">
        <v>0.0916334661354582</v>
      </c>
      <c r="AX1590" s="95"/>
      <c r="AY1590" s="93"/>
    </row>
    <row r="1591" ht="14.5" spans="1:51">
      <c r="A1591" s="91"/>
      <c r="B1591" s="95"/>
      <c r="C1591" s="152" t="s">
        <v>1455</v>
      </c>
      <c r="D1591" s="153" t="s">
        <v>25</v>
      </c>
      <c r="E1591" s="130" t="s">
        <v>1456</v>
      </c>
      <c r="F1591" s="171" t="s">
        <v>1623</v>
      </c>
      <c r="G1591" s="171" t="s">
        <v>1623</v>
      </c>
      <c r="H1591" s="171" t="s">
        <v>1623</v>
      </c>
      <c r="I1591" s="171" t="s">
        <v>1623</v>
      </c>
      <c r="J1591" s="132">
        <v>0.9</v>
      </c>
      <c r="K1591" s="133">
        <v>1</v>
      </c>
      <c r="L1591" s="133">
        <v>0.958333333333333</v>
      </c>
      <c r="M1591" s="134">
        <v>0.92</v>
      </c>
      <c r="N1591" s="133">
        <v>0.9725</v>
      </c>
      <c r="O1591" s="135">
        <v>0.9</v>
      </c>
      <c r="P1591" s="133">
        <v>0.992216117216117</v>
      </c>
      <c r="Q1591" s="133">
        <v>0.950641274776525</v>
      </c>
      <c r="R1591" s="133">
        <v>0.990935460478608</v>
      </c>
      <c r="S1591" s="133">
        <v>0.981908156084716</v>
      </c>
      <c r="T1591" s="135">
        <v>0.9</v>
      </c>
      <c r="U1591" s="133">
        <v>0.884157509157509</v>
      </c>
      <c r="V1591" s="133">
        <v>0.880295375048581</v>
      </c>
      <c r="W1591" s="133">
        <v>0.913705583756345</v>
      </c>
      <c r="X1591" s="133">
        <v>0.904932694708646</v>
      </c>
      <c r="Y1591" s="135">
        <v>0.92</v>
      </c>
      <c r="Z1591" s="135">
        <v>1</v>
      </c>
      <c r="AA1591" s="135" t="s">
        <v>35</v>
      </c>
      <c r="AB1591" s="135" t="s">
        <v>35</v>
      </c>
      <c r="AC1591" s="135">
        <v>1</v>
      </c>
      <c r="AD1591" s="135">
        <v>0.92</v>
      </c>
      <c r="AE1591" s="133">
        <v>1</v>
      </c>
      <c r="AF1591" s="133">
        <v>0.983974358974359</v>
      </c>
      <c r="AG1591" s="133">
        <v>0.240579710144928</v>
      </c>
      <c r="AH1591" s="133">
        <v>0.882737169517885</v>
      </c>
      <c r="AI1591" s="135">
        <v>0.92</v>
      </c>
      <c r="AJ1591" s="133">
        <v>0.929519450800915</v>
      </c>
      <c r="AK1591" s="133">
        <v>0.9529731830548</v>
      </c>
      <c r="AL1591" s="133">
        <v>0.976069615663524</v>
      </c>
      <c r="AM1591" s="133">
        <v>0.967063149770736</v>
      </c>
      <c r="AN1591" s="132">
        <v>0.99</v>
      </c>
      <c r="AO1591" s="137">
        <v>1</v>
      </c>
      <c r="AP1591" s="137">
        <v>1</v>
      </c>
      <c r="AQ1591" s="137">
        <v>1</v>
      </c>
      <c r="AR1591" s="137">
        <v>1</v>
      </c>
      <c r="AS1591" s="158">
        <v>0.110069253262963</v>
      </c>
      <c r="AT1591" s="141">
        <v>0.0454545454545455</v>
      </c>
      <c r="AU1591" s="141">
        <v>0.0416666666666667</v>
      </c>
      <c r="AV1591" s="141">
        <v>0.0384615384615385</v>
      </c>
      <c r="AW1591" s="141">
        <v>0.0565110565110565</v>
      </c>
      <c r="AX1591" s="95"/>
      <c r="AY1591" s="93"/>
    </row>
    <row r="1592" ht="14.5" spans="1:51">
      <c r="A1592" s="91"/>
      <c r="B1592" s="95"/>
      <c r="C1592" s="152" t="s">
        <v>1455</v>
      </c>
      <c r="D1592" s="153" t="s">
        <v>25</v>
      </c>
      <c r="E1592" s="130" t="s">
        <v>1456</v>
      </c>
      <c r="F1592" s="171" t="s">
        <v>1624</v>
      </c>
      <c r="G1592" s="171" t="s">
        <v>1624</v>
      </c>
      <c r="H1592" s="171" t="s">
        <v>1624</v>
      </c>
      <c r="I1592" s="171" t="s">
        <v>1624</v>
      </c>
      <c r="J1592" s="132">
        <v>0.9</v>
      </c>
      <c r="K1592" s="133">
        <v>0.978723404255319</v>
      </c>
      <c r="L1592" s="133">
        <v>0.958333333333333</v>
      </c>
      <c r="M1592" s="134">
        <v>0.978723404255319</v>
      </c>
      <c r="N1592" s="133">
        <v>0.982843137254902</v>
      </c>
      <c r="O1592" s="135">
        <v>0.9</v>
      </c>
      <c r="P1592" s="133">
        <v>0.957439324657052</v>
      </c>
      <c r="Q1592" s="133">
        <v>0.979704016913319</v>
      </c>
      <c r="R1592" s="133">
        <v>0.972371134020619</v>
      </c>
      <c r="S1592" s="133">
        <v>0.970849585708681</v>
      </c>
      <c r="T1592" s="135">
        <v>0.9</v>
      </c>
      <c r="U1592" s="133">
        <v>0.760464298276469</v>
      </c>
      <c r="V1592" s="133">
        <v>0.747991543340381</v>
      </c>
      <c r="W1592" s="133">
        <v>0.825567010309278</v>
      </c>
      <c r="X1592" s="133">
        <v>0.776190366284303</v>
      </c>
      <c r="Y1592" s="135">
        <v>0.92</v>
      </c>
      <c r="Z1592" s="135">
        <v>0.862385321100917</v>
      </c>
      <c r="AA1592" s="135">
        <v>0.878413189077795</v>
      </c>
      <c r="AB1592" s="135">
        <v>0.918390162101733</v>
      </c>
      <c r="AC1592" s="135">
        <v>0.904883563856342</v>
      </c>
      <c r="AD1592" s="135">
        <v>0.92</v>
      </c>
      <c r="AE1592" s="133">
        <v>1</v>
      </c>
      <c r="AF1592" s="133">
        <v>1</v>
      </c>
      <c r="AG1592" s="133">
        <v>0.992727272727273</v>
      </c>
      <c r="AH1592" s="133">
        <v>0.930646332607117</v>
      </c>
      <c r="AI1592" s="135">
        <v>0.92</v>
      </c>
      <c r="AJ1592" s="133">
        <v>0.887044457164663</v>
      </c>
      <c r="AK1592" s="133">
        <v>0.915699024616814</v>
      </c>
      <c r="AL1592" s="133">
        <v>0.946131941148552</v>
      </c>
      <c r="AM1592" s="133">
        <v>0.93109775796343</v>
      </c>
      <c r="AN1592" s="132">
        <v>0.99</v>
      </c>
      <c r="AO1592" s="137">
        <v>1</v>
      </c>
      <c r="AP1592" s="137">
        <v>1</v>
      </c>
      <c r="AQ1592" s="137">
        <v>1</v>
      </c>
      <c r="AR1592" s="137">
        <v>1</v>
      </c>
      <c r="AS1592" s="158">
        <v>0.110069253262963</v>
      </c>
      <c r="AT1592" s="141">
        <v>0</v>
      </c>
      <c r="AU1592" s="141">
        <v>0.0909090909090909</v>
      </c>
      <c r="AV1592" s="141">
        <v>0.0769230769230769</v>
      </c>
      <c r="AW1592" s="141">
        <v>0.0888888888888889</v>
      </c>
      <c r="AX1592" s="95"/>
      <c r="AY1592" s="93"/>
    </row>
    <row r="1593" ht="14.5" spans="1:51">
      <c r="A1593" s="91"/>
      <c r="B1593" s="95"/>
      <c r="C1593" s="152" t="s">
        <v>1455</v>
      </c>
      <c r="D1593" s="153" t="s">
        <v>25</v>
      </c>
      <c r="E1593" s="130" t="s">
        <v>1456</v>
      </c>
      <c r="F1593" s="171" t="s">
        <v>1625</v>
      </c>
      <c r="G1593" s="171" t="s">
        <v>1625</v>
      </c>
      <c r="H1593" s="171" t="s">
        <v>1625</v>
      </c>
      <c r="I1593" s="171" t="s">
        <v>1625</v>
      </c>
      <c r="J1593" s="132">
        <v>0.9</v>
      </c>
      <c r="K1593" s="133">
        <v>0.96</v>
      </c>
      <c r="L1593" s="133">
        <v>0.91304347826087</v>
      </c>
      <c r="M1593" s="134">
        <v>1</v>
      </c>
      <c r="N1593" s="133">
        <v>0.970731707317073</v>
      </c>
      <c r="O1593" s="135">
        <v>0.9</v>
      </c>
      <c r="P1593" s="133">
        <v>0.97926267281106</v>
      </c>
      <c r="Q1593" s="133">
        <v>0.952511415525114</v>
      </c>
      <c r="R1593" s="133">
        <v>0.935075885328836</v>
      </c>
      <c r="S1593" s="133">
        <v>0.959362987369577</v>
      </c>
      <c r="T1593" s="135">
        <v>0.9</v>
      </c>
      <c r="U1593" s="133">
        <v>0.685099846390169</v>
      </c>
      <c r="V1593" s="133">
        <v>0.71324200913242</v>
      </c>
      <c r="W1593" s="133">
        <v>0.768971332209106</v>
      </c>
      <c r="X1593" s="133">
        <v>0.729086582463848</v>
      </c>
      <c r="Y1593" s="135">
        <v>0.92</v>
      </c>
      <c r="Z1593" s="135">
        <v>0.844343204252088</v>
      </c>
      <c r="AA1593" s="135">
        <v>0.849836779107726</v>
      </c>
      <c r="AB1593" s="135">
        <v>0.895152198421646</v>
      </c>
      <c r="AC1593" s="135">
        <v>0.88736453769887</v>
      </c>
      <c r="AD1593" s="135">
        <v>0.92</v>
      </c>
      <c r="AE1593" s="133">
        <v>0.836363636363636</v>
      </c>
      <c r="AF1593" s="133">
        <v>0.986842105263158</v>
      </c>
      <c r="AG1593" s="133">
        <v>0.13953488372093</v>
      </c>
      <c r="AH1593" s="133">
        <v>0.88845510317903</v>
      </c>
      <c r="AI1593" s="135">
        <v>0.92</v>
      </c>
      <c r="AJ1593" s="133">
        <v>0.86368843069874</v>
      </c>
      <c r="AK1593" s="133">
        <v>0.89175769612711</v>
      </c>
      <c r="AL1593" s="133">
        <v>0.933012048192771</v>
      </c>
      <c r="AM1593" s="133">
        <v>0.917204438209412</v>
      </c>
      <c r="AN1593" s="132">
        <v>0.99</v>
      </c>
      <c r="AO1593" s="137">
        <v>1</v>
      </c>
      <c r="AP1593" s="137">
        <v>1</v>
      </c>
      <c r="AQ1593" s="137">
        <v>1</v>
      </c>
      <c r="AR1593" s="137">
        <v>1</v>
      </c>
      <c r="AS1593" s="158">
        <v>0.110069253262963</v>
      </c>
      <c r="AT1593" s="141">
        <v>0.166666666666667</v>
      </c>
      <c r="AU1593" s="141">
        <v>0</v>
      </c>
      <c r="AV1593" s="141">
        <v>0.125</v>
      </c>
      <c r="AW1593" s="141">
        <v>0.0880503144654088</v>
      </c>
      <c r="AX1593" s="95"/>
      <c r="AY1593" s="93"/>
    </row>
    <row r="1594" ht="14.5" spans="1:51">
      <c r="A1594" s="91"/>
      <c r="B1594" s="95"/>
      <c r="C1594" s="152" t="s">
        <v>1455</v>
      </c>
      <c r="D1594" s="153" t="s">
        <v>25</v>
      </c>
      <c r="E1594" s="130" t="s">
        <v>1456</v>
      </c>
      <c r="F1594" s="171" t="s">
        <v>1626</v>
      </c>
      <c r="G1594" s="171" t="s">
        <v>1626</v>
      </c>
      <c r="H1594" s="171" t="s">
        <v>1626</v>
      </c>
      <c r="I1594" s="171" t="s">
        <v>1626</v>
      </c>
      <c r="J1594" s="132">
        <v>0.9</v>
      </c>
      <c r="K1594" s="133">
        <v>0.9375</v>
      </c>
      <c r="L1594" s="133">
        <v>0.967741935483871</v>
      </c>
      <c r="M1594" s="134">
        <v>0.909090909090909</v>
      </c>
      <c r="N1594" s="133">
        <v>0.905123339658444</v>
      </c>
      <c r="O1594" s="135">
        <v>0.9</v>
      </c>
      <c r="P1594" s="133">
        <v>0.846521145975443</v>
      </c>
      <c r="Q1594" s="133">
        <v>0.927623642943305</v>
      </c>
      <c r="R1594" s="133">
        <v>0.792800967937084</v>
      </c>
      <c r="S1594" s="133">
        <v>0.736160732206656</v>
      </c>
      <c r="T1594" s="135">
        <v>0.9</v>
      </c>
      <c r="U1594" s="133">
        <v>0.699181446111869</v>
      </c>
      <c r="V1594" s="133">
        <v>0.689987937273824</v>
      </c>
      <c r="W1594" s="133">
        <v>0.777374470659407</v>
      </c>
      <c r="X1594" s="133">
        <v>0.703584761751836</v>
      </c>
      <c r="Y1594" s="135">
        <v>0.92</v>
      </c>
      <c r="Z1594" s="135" t="s">
        <v>35</v>
      </c>
      <c r="AA1594" s="135" t="s">
        <v>35</v>
      </c>
      <c r="AB1594" s="135" t="s">
        <v>35</v>
      </c>
      <c r="AC1594" s="135">
        <v>0</v>
      </c>
      <c r="AD1594" s="135">
        <v>0.92</v>
      </c>
      <c r="AE1594" s="133">
        <v>1</v>
      </c>
      <c r="AF1594" s="133">
        <v>1</v>
      </c>
      <c r="AG1594" s="133">
        <v>1</v>
      </c>
      <c r="AH1594" s="133">
        <v>0.969879518072289</v>
      </c>
      <c r="AI1594" s="135">
        <v>0.92</v>
      </c>
      <c r="AJ1594" s="133">
        <v>0.927012278308322</v>
      </c>
      <c r="AK1594" s="133">
        <v>0.947326095697628</v>
      </c>
      <c r="AL1594" s="133">
        <v>0.967937084089534</v>
      </c>
      <c r="AM1594" s="133">
        <v>0.948618108102684</v>
      </c>
      <c r="AN1594" s="132">
        <v>0.99</v>
      </c>
      <c r="AO1594" s="137">
        <v>1</v>
      </c>
      <c r="AP1594" s="137">
        <v>1</v>
      </c>
      <c r="AQ1594" s="137">
        <v>1</v>
      </c>
      <c r="AR1594" s="137">
        <v>1</v>
      </c>
      <c r="AS1594" s="158">
        <v>0.110069253262963</v>
      </c>
      <c r="AT1594" s="141">
        <v>0.25</v>
      </c>
      <c r="AU1594" s="141">
        <v>0.0588235294117647</v>
      </c>
      <c r="AV1594" s="141">
        <v>0.0909090909090909</v>
      </c>
      <c r="AW1594" s="141">
        <v>0.0786885245901639</v>
      </c>
      <c r="AX1594" s="95"/>
      <c r="AY1594" s="93"/>
    </row>
    <row r="1595" ht="14.5" spans="1:51">
      <c r="A1595" s="91"/>
      <c r="B1595" s="95"/>
      <c r="C1595" s="152" t="s">
        <v>1455</v>
      </c>
      <c r="D1595" s="153" t="s">
        <v>25</v>
      </c>
      <c r="E1595" s="130" t="s">
        <v>1456</v>
      </c>
      <c r="F1595" s="171" t="s">
        <v>1627</v>
      </c>
      <c r="G1595" s="171" t="s">
        <v>1627</v>
      </c>
      <c r="H1595" s="171" t="s">
        <v>1627</v>
      </c>
      <c r="I1595" s="171" t="s">
        <v>1627</v>
      </c>
      <c r="J1595" s="132">
        <v>0.9</v>
      </c>
      <c r="K1595" s="133">
        <v>1</v>
      </c>
      <c r="L1595" s="133">
        <v>1</v>
      </c>
      <c r="M1595" s="134">
        <v>1</v>
      </c>
      <c r="N1595" s="133">
        <v>1</v>
      </c>
      <c r="O1595" s="135">
        <v>0.9</v>
      </c>
      <c r="P1595" s="133">
        <v>0.999240121580547</v>
      </c>
      <c r="Q1595" s="133">
        <v>0.99854121079504</v>
      </c>
      <c r="R1595" s="133">
        <v>0.996908809891808</v>
      </c>
      <c r="S1595" s="133">
        <v>0.998713708195516</v>
      </c>
      <c r="T1595" s="135">
        <v>0.9</v>
      </c>
      <c r="U1595" s="133">
        <v>0.941489361702128</v>
      </c>
      <c r="V1595" s="133">
        <v>0.960612691466083</v>
      </c>
      <c r="W1595" s="133">
        <v>0.960587326120556</v>
      </c>
      <c r="X1595" s="133">
        <v>0.958241455347299</v>
      </c>
      <c r="Y1595" s="135">
        <v>0.92</v>
      </c>
      <c r="Z1595" s="135" t="s">
        <v>35</v>
      </c>
      <c r="AA1595" s="135" t="s">
        <v>35</v>
      </c>
      <c r="AB1595" s="135" t="s">
        <v>35</v>
      </c>
      <c r="AC1595" s="135" t="s">
        <v>35</v>
      </c>
      <c r="AD1595" s="135">
        <v>0.92</v>
      </c>
      <c r="AE1595" s="133">
        <v>1</v>
      </c>
      <c r="AF1595" s="133">
        <v>1</v>
      </c>
      <c r="AG1595" s="133">
        <v>1</v>
      </c>
      <c r="AH1595" s="133">
        <v>0.993554327808471</v>
      </c>
      <c r="AI1595" s="135">
        <v>0.92</v>
      </c>
      <c r="AJ1595" s="133">
        <v>0.970364741641337</v>
      </c>
      <c r="AK1595" s="133">
        <v>0.980306345733042</v>
      </c>
      <c r="AL1595" s="133">
        <v>0.982225656877898</v>
      </c>
      <c r="AM1595" s="133">
        <v>0.979603087100331</v>
      </c>
      <c r="AN1595" s="132">
        <v>0.99</v>
      </c>
      <c r="AO1595" s="137">
        <v>1</v>
      </c>
      <c r="AP1595" s="137">
        <v>1</v>
      </c>
      <c r="AQ1595" s="137">
        <v>1</v>
      </c>
      <c r="AR1595" s="137">
        <v>1</v>
      </c>
      <c r="AS1595" s="158">
        <v>0.110069253262963</v>
      </c>
      <c r="AT1595" s="141">
        <v>0.0666666666666667</v>
      </c>
      <c r="AU1595" s="141">
        <v>0</v>
      </c>
      <c r="AV1595" s="141">
        <v>0</v>
      </c>
      <c r="AW1595" s="141">
        <v>0.065843621399177</v>
      </c>
      <c r="AX1595" s="95"/>
      <c r="AY1595" s="93"/>
    </row>
    <row r="1596" ht="14.5" spans="1:51">
      <c r="A1596" s="91"/>
      <c r="B1596" s="95"/>
      <c r="C1596" s="152" t="s">
        <v>1455</v>
      </c>
      <c r="D1596" s="153" t="s">
        <v>25</v>
      </c>
      <c r="E1596" s="130" t="s">
        <v>1456</v>
      </c>
      <c r="F1596" s="171" t="s">
        <v>1628</v>
      </c>
      <c r="G1596" s="171" t="s">
        <v>1628</v>
      </c>
      <c r="H1596" s="171" t="s">
        <v>1628</v>
      </c>
      <c r="I1596" s="171" t="s">
        <v>1628</v>
      </c>
      <c r="J1596" s="132">
        <v>0.9</v>
      </c>
      <c r="K1596" s="133">
        <v>0.933333333333333</v>
      </c>
      <c r="L1596" s="133">
        <v>0.928571428571429</v>
      </c>
      <c r="M1596" s="134">
        <v>0.785714285714286</v>
      </c>
      <c r="N1596" s="133">
        <v>0.894736842105263</v>
      </c>
      <c r="O1596" s="135">
        <v>0.9</v>
      </c>
      <c r="P1596" s="133">
        <v>0.8656</v>
      </c>
      <c r="Q1596" s="133">
        <v>0.931216931216931</v>
      </c>
      <c r="R1596" s="133">
        <v>0.943556443556444</v>
      </c>
      <c r="S1596" s="133">
        <v>0.906356671470834</v>
      </c>
      <c r="T1596" s="135">
        <v>0.9</v>
      </c>
      <c r="U1596" s="133">
        <v>0.8232</v>
      </c>
      <c r="V1596" s="133">
        <v>0.892195767195767</v>
      </c>
      <c r="W1596" s="133">
        <v>0.900599400599401</v>
      </c>
      <c r="X1596" s="133">
        <v>0.880565880300387</v>
      </c>
      <c r="Y1596" s="135">
        <v>0.92</v>
      </c>
      <c r="Z1596" s="135">
        <v>0.903954802259887</v>
      </c>
      <c r="AA1596" s="135">
        <v>0.887010676156584</v>
      </c>
      <c r="AB1596" s="135">
        <v>0.939467312348668</v>
      </c>
      <c r="AC1596" s="135">
        <v>0.938270425226947</v>
      </c>
      <c r="AD1596" s="135">
        <v>0.92</v>
      </c>
      <c r="AE1596" s="133">
        <v>0.941176470588235</v>
      </c>
      <c r="AF1596" s="133">
        <v>0.909090909090909</v>
      </c>
      <c r="AG1596" s="133">
        <v>0.825</v>
      </c>
      <c r="AH1596" s="133">
        <v>0.906222990492653</v>
      </c>
      <c r="AI1596" s="135">
        <v>0.92</v>
      </c>
      <c r="AJ1596" s="133">
        <v>0.901217228464419</v>
      </c>
      <c r="AK1596" s="133">
        <v>0.919954476479514</v>
      </c>
      <c r="AL1596" s="133">
        <v>0.949089787102746</v>
      </c>
      <c r="AM1596" s="133">
        <v>0.951564482029598</v>
      </c>
      <c r="AN1596" s="132">
        <v>0.99</v>
      </c>
      <c r="AO1596" s="137" t="s">
        <v>35</v>
      </c>
      <c r="AP1596" s="137">
        <v>1</v>
      </c>
      <c r="AQ1596" s="137">
        <v>1</v>
      </c>
      <c r="AR1596" s="137">
        <v>1</v>
      </c>
      <c r="AS1596" s="158">
        <v>0.110069253262963</v>
      </c>
      <c r="AT1596" s="141">
        <v>0</v>
      </c>
      <c r="AU1596" s="141">
        <v>0.0555555555555556</v>
      </c>
      <c r="AV1596" s="141">
        <v>0.111111111111111</v>
      </c>
      <c r="AW1596" s="141">
        <v>0.0873015873015873</v>
      </c>
      <c r="AX1596" s="95"/>
      <c r="AY1596" s="93"/>
    </row>
    <row r="1597" ht="14.5" spans="1:51">
      <c r="A1597" s="91"/>
      <c r="B1597" s="95"/>
      <c r="C1597" s="152" t="s">
        <v>1455</v>
      </c>
      <c r="D1597" s="153" t="s">
        <v>25</v>
      </c>
      <c r="E1597" s="130" t="s">
        <v>1456</v>
      </c>
      <c r="F1597" s="171" t="s">
        <v>1629</v>
      </c>
      <c r="G1597" s="171" t="s">
        <v>1629</v>
      </c>
      <c r="H1597" s="171" t="s">
        <v>1629</v>
      </c>
      <c r="I1597" s="171" t="s">
        <v>1629</v>
      </c>
      <c r="J1597" s="132">
        <v>0.9</v>
      </c>
      <c r="K1597" s="133">
        <v>0.956521739130435</v>
      </c>
      <c r="L1597" s="133">
        <v>0.98</v>
      </c>
      <c r="M1597" s="134">
        <v>0.981481481481482</v>
      </c>
      <c r="N1597" s="133">
        <v>0.963985594237695</v>
      </c>
      <c r="O1597" s="135">
        <v>0.9</v>
      </c>
      <c r="P1597" s="133">
        <v>0.952761144377911</v>
      </c>
      <c r="Q1597" s="133">
        <v>0.947616355756548</v>
      </c>
      <c r="R1597" s="133">
        <v>0.921721721721722</v>
      </c>
      <c r="S1597" s="133">
        <v>0.933983652873536</v>
      </c>
      <c r="T1597" s="135">
        <v>0.9</v>
      </c>
      <c r="U1597" s="133">
        <v>0.924817032601464</v>
      </c>
      <c r="V1597" s="133">
        <v>0.964198228754475</v>
      </c>
      <c r="W1597" s="133">
        <v>0.96956956956957</v>
      </c>
      <c r="X1597" s="133">
        <v>0.946691625295027</v>
      </c>
      <c r="Y1597" s="135">
        <v>0.92</v>
      </c>
      <c r="Z1597" s="135" t="s">
        <v>35</v>
      </c>
      <c r="AA1597" s="135">
        <v>0</v>
      </c>
      <c r="AB1597" s="135">
        <v>0</v>
      </c>
      <c r="AC1597" s="135">
        <v>0.181818181818182</v>
      </c>
      <c r="AD1597" s="135">
        <v>0.92</v>
      </c>
      <c r="AE1597" s="133">
        <v>0.994565217391304</v>
      </c>
      <c r="AF1597" s="133">
        <v>0.919463087248322</v>
      </c>
      <c r="AG1597" s="133">
        <v>0.987692307692308</v>
      </c>
      <c r="AH1597" s="133">
        <v>0.833956246573977</v>
      </c>
      <c r="AI1597" s="135">
        <v>0.92</v>
      </c>
      <c r="AJ1597" s="133">
        <v>0.938345531159902</v>
      </c>
      <c r="AK1597" s="133">
        <v>0.970233609645818</v>
      </c>
      <c r="AL1597" s="133">
        <v>0.983186549239392</v>
      </c>
      <c r="AM1597" s="133">
        <v>0.972890340730752</v>
      </c>
      <c r="AN1597" s="132">
        <v>0.99</v>
      </c>
      <c r="AO1597" s="137" t="s">
        <v>35</v>
      </c>
      <c r="AP1597" s="137">
        <v>1</v>
      </c>
      <c r="AQ1597" s="137">
        <v>1</v>
      </c>
      <c r="AR1597" s="137">
        <v>1</v>
      </c>
      <c r="AS1597" s="158">
        <v>0.110069253262963</v>
      </c>
      <c r="AT1597" s="141">
        <v>0</v>
      </c>
      <c r="AU1597" s="141">
        <v>0.172413793103448</v>
      </c>
      <c r="AV1597" s="141">
        <v>0.0606060606060606</v>
      </c>
      <c r="AW1597" s="141">
        <v>0.0639032815198618</v>
      </c>
      <c r="AX1597" s="95"/>
      <c r="AY1597" s="93"/>
    </row>
    <row r="1598" ht="14.5" spans="1:51">
      <c r="A1598" s="91"/>
      <c r="B1598" s="95"/>
      <c r="C1598" s="152" t="s">
        <v>1455</v>
      </c>
      <c r="D1598" s="153" t="s">
        <v>25</v>
      </c>
      <c r="E1598" s="130" t="s">
        <v>1456</v>
      </c>
      <c r="F1598" s="171" t="s">
        <v>1630</v>
      </c>
      <c r="G1598" s="171" t="s">
        <v>1630</v>
      </c>
      <c r="H1598" s="171" t="s">
        <v>1630</v>
      </c>
      <c r="I1598" s="171" t="s">
        <v>1630</v>
      </c>
      <c r="J1598" s="132">
        <v>0.9</v>
      </c>
      <c r="K1598" s="133">
        <v>0.75</v>
      </c>
      <c r="L1598" s="133">
        <v>0.814814814814815</v>
      </c>
      <c r="M1598" s="134">
        <v>0.821428571428571</v>
      </c>
      <c r="N1598" s="133">
        <v>0.752759381898455</v>
      </c>
      <c r="O1598" s="135">
        <v>0.9</v>
      </c>
      <c r="P1598" s="133">
        <v>0.809338521400778</v>
      </c>
      <c r="Q1598" s="133">
        <v>0.916739958956318</v>
      </c>
      <c r="R1598" s="133">
        <v>0.974693251533742</v>
      </c>
      <c r="S1598" s="133">
        <v>0.689130337846876</v>
      </c>
      <c r="T1598" s="135">
        <v>0.9</v>
      </c>
      <c r="U1598" s="133">
        <v>0.486640726329442</v>
      </c>
      <c r="V1598" s="133">
        <v>0.566402814423923</v>
      </c>
      <c r="W1598" s="133">
        <v>0.549335378323108</v>
      </c>
      <c r="X1598" s="133">
        <v>0.549696041855557</v>
      </c>
      <c r="Y1598" s="135">
        <v>0.92</v>
      </c>
      <c r="Z1598" s="135">
        <v>0</v>
      </c>
      <c r="AA1598" s="135">
        <v>0</v>
      </c>
      <c r="AB1598" s="135" t="s">
        <v>35</v>
      </c>
      <c r="AC1598" s="135">
        <v>0.333333333333333</v>
      </c>
      <c r="AD1598" s="135">
        <v>0.92</v>
      </c>
      <c r="AE1598" s="133">
        <v>0.896551724137931</v>
      </c>
      <c r="AF1598" s="133">
        <v>0.953125</v>
      </c>
      <c r="AG1598" s="133">
        <v>0.983870967741935</v>
      </c>
      <c r="AH1598" s="133">
        <v>0.960807600950119</v>
      </c>
      <c r="AI1598" s="135">
        <v>0.92</v>
      </c>
      <c r="AJ1598" s="133">
        <v>0.800414722654225</v>
      </c>
      <c r="AK1598" s="133">
        <v>0.869616173454439</v>
      </c>
      <c r="AL1598" s="133">
        <v>0.900306748466258</v>
      </c>
      <c r="AM1598" s="133">
        <v>0.877606217770579</v>
      </c>
      <c r="AN1598" s="132">
        <v>0.99</v>
      </c>
      <c r="AO1598" s="137">
        <v>1</v>
      </c>
      <c r="AP1598" s="137">
        <v>1</v>
      </c>
      <c r="AQ1598" s="137">
        <v>1</v>
      </c>
      <c r="AR1598" s="137">
        <v>1</v>
      </c>
      <c r="AS1598" s="158">
        <v>0.110069253262963</v>
      </c>
      <c r="AT1598" s="141">
        <v>0.05</v>
      </c>
      <c r="AU1598" s="141">
        <v>0.0769230769230769</v>
      </c>
      <c r="AV1598" s="141">
        <v>0.307692307692308</v>
      </c>
      <c r="AW1598" s="141">
        <v>0.0783699059561129</v>
      </c>
      <c r="AX1598" s="95"/>
      <c r="AY1598" s="93"/>
    </row>
    <row r="1599" ht="14.5" spans="1:51">
      <c r="A1599" s="91"/>
      <c r="B1599" s="95"/>
      <c r="C1599" s="152" t="s">
        <v>1455</v>
      </c>
      <c r="D1599" s="153" t="s">
        <v>125</v>
      </c>
      <c r="E1599" s="130" t="s">
        <v>1456</v>
      </c>
      <c r="F1599" s="171" t="s">
        <v>1631</v>
      </c>
      <c r="G1599" s="171" t="s">
        <v>1631</v>
      </c>
      <c r="H1599" s="171" t="s">
        <v>1631</v>
      </c>
      <c r="I1599" s="171" t="s">
        <v>1631</v>
      </c>
      <c r="J1599" s="132">
        <v>0.9</v>
      </c>
      <c r="K1599" s="133" t="s">
        <v>35</v>
      </c>
      <c r="L1599" s="133" t="s">
        <v>35</v>
      </c>
      <c r="M1599" s="134" t="s">
        <v>35</v>
      </c>
      <c r="N1599" s="133" t="s">
        <v>35</v>
      </c>
      <c r="O1599" s="135">
        <v>0.9</v>
      </c>
      <c r="P1599" s="133" t="s">
        <v>35</v>
      </c>
      <c r="Q1599" s="133">
        <v>0</v>
      </c>
      <c r="R1599" s="133" t="s">
        <v>35</v>
      </c>
      <c r="S1599" s="133">
        <v>0</v>
      </c>
      <c r="T1599" s="135">
        <v>0.9</v>
      </c>
      <c r="U1599" s="133" t="s">
        <v>35</v>
      </c>
      <c r="V1599" s="133">
        <v>1</v>
      </c>
      <c r="W1599" s="133" t="s">
        <v>35</v>
      </c>
      <c r="X1599" s="133">
        <v>1</v>
      </c>
      <c r="Y1599" s="135">
        <v>0.92</v>
      </c>
      <c r="Z1599" s="135" t="s">
        <v>35</v>
      </c>
      <c r="AA1599" s="135" t="s">
        <v>35</v>
      </c>
      <c r="AB1599" s="135" t="s">
        <v>35</v>
      </c>
      <c r="AC1599" s="135" t="s">
        <v>35</v>
      </c>
      <c r="AD1599" s="135">
        <v>0.92</v>
      </c>
      <c r="AE1599" s="133">
        <v>0.98469387755102</v>
      </c>
      <c r="AF1599" s="133">
        <v>0.318181818181818</v>
      </c>
      <c r="AG1599" s="133">
        <v>1</v>
      </c>
      <c r="AH1599" s="133">
        <v>0.749399038461538</v>
      </c>
      <c r="AI1599" s="135">
        <v>0.92</v>
      </c>
      <c r="AJ1599" s="133" t="s">
        <v>35</v>
      </c>
      <c r="AK1599" s="133">
        <v>1</v>
      </c>
      <c r="AL1599" s="133" t="s">
        <v>35</v>
      </c>
      <c r="AM1599" s="133">
        <v>1</v>
      </c>
      <c r="AN1599" s="132">
        <v>0.99</v>
      </c>
      <c r="AO1599" s="137">
        <v>1</v>
      </c>
      <c r="AP1599" s="137">
        <v>1</v>
      </c>
      <c r="AQ1599" s="137">
        <v>1</v>
      </c>
      <c r="AR1599" s="137">
        <v>1</v>
      </c>
      <c r="AS1599" s="158">
        <v>0.110069253262963</v>
      </c>
      <c r="AT1599" s="141" t="s">
        <v>35</v>
      </c>
      <c r="AU1599" s="141" t="s">
        <v>35</v>
      </c>
      <c r="AV1599" s="141" t="s">
        <v>35</v>
      </c>
      <c r="AW1599" s="141" t="s">
        <v>35</v>
      </c>
      <c r="AX1599" s="95"/>
      <c r="AY1599" s="93"/>
    </row>
    <row r="1600" ht="14.5" spans="1:51">
      <c r="A1600" s="91"/>
      <c r="B1600" s="95"/>
      <c r="C1600" s="152" t="s">
        <v>1455</v>
      </c>
      <c r="D1600" s="153" t="s">
        <v>125</v>
      </c>
      <c r="E1600" s="130" t="s">
        <v>1456</v>
      </c>
      <c r="F1600" s="171" t="s">
        <v>1632</v>
      </c>
      <c r="G1600" s="171" t="s">
        <v>1632</v>
      </c>
      <c r="H1600" s="171" t="s">
        <v>1632</v>
      </c>
      <c r="I1600" s="171" t="s">
        <v>1632</v>
      </c>
      <c r="J1600" s="132">
        <v>0.9</v>
      </c>
      <c r="K1600" s="133" t="s">
        <v>35</v>
      </c>
      <c r="L1600" s="133" t="s">
        <v>35</v>
      </c>
      <c r="M1600" s="134" t="s">
        <v>35</v>
      </c>
      <c r="N1600" s="133" t="s">
        <v>35</v>
      </c>
      <c r="O1600" s="135">
        <v>0.9</v>
      </c>
      <c r="P1600" s="133" t="s">
        <v>35</v>
      </c>
      <c r="Q1600" s="133" t="s">
        <v>35</v>
      </c>
      <c r="R1600" s="133" t="s">
        <v>35</v>
      </c>
      <c r="S1600" s="133" t="s">
        <v>35</v>
      </c>
      <c r="T1600" s="135">
        <v>0.9</v>
      </c>
      <c r="U1600" s="133" t="s">
        <v>35</v>
      </c>
      <c r="V1600" s="133" t="s">
        <v>35</v>
      </c>
      <c r="W1600" s="133" t="s">
        <v>35</v>
      </c>
      <c r="X1600" s="133" t="s">
        <v>35</v>
      </c>
      <c r="Y1600" s="135">
        <v>0.92</v>
      </c>
      <c r="Z1600" s="135" t="s">
        <v>35</v>
      </c>
      <c r="AA1600" s="135" t="s">
        <v>35</v>
      </c>
      <c r="AB1600" s="135" t="s">
        <v>35</v>
      </c>
      <c r="AC1600" s="135" t="s">
        <v>35</v>
      </c>
      <c r="AD1600" s="135">
        <v>0.92</v>
      </c>
      <c r="AE1600" s="133">
        <v>1</v>
      </c>
      <c r="AF1600" s="133">
        <v>0.944444444444444</v>
      </c>
      <c r="AG1600" s="133">
        <v>1</v>
      </c>
      <c r="AH1600" s="133">
        <v>0.948645700781676</v>
      </c>
      <c r="AI1600" s="135">
        <v>0.92</v>
      </c>
      <c r="AJ1600" s="133" t="s">
        <v>35</v>
      </c>
      <c r="AK1600" s="133" t="s">
        <v>35</v>
      </c>
      <c r="AL1600" s="133" t="s">
        <v>35</v>
      </c>
      <c r="AM1600" s="133">
        <v>1</v>
      </c>
      <c r="AN1600" s="132">
        <v>0.99</v>
      </c>
      <c r="AO1600" s="137">
        <v>1</v>
      </c>
      <c r="AP1600" s="137">
        <v>1</v>
      </c>
      <c r="AQ1600" s="137">
        <v>1</v>
      </c>
      <c r="AR1600" s="137">
        <v>1</v>
      </c>
      <c r="AS1600" s="158">
        <v>0.110069253262963</v>
      </c>
      <c r="AT1600" s="141" t="s">
        <v>35</v>
      </c>
      <c r="AU1600" s="141" t="s">
        <v>35</v>
      </c>
      <c r="AV1600" s="141" t="s">
        <v>35</v>
      </c>
      <c r="AW1600" s="141" t="s">
        <v>35</v>
      </c>
      <c r="AX1600" s="95"/>
      <c r="AY1600" s="93"/>
    </row>
    <row r="1601" ht="14.5" spans="1:51">
      <c r="A1601" s="91"/>
      <c r="B1601" s="95"/>
      <c r="C1601" s="152" t="s">
        <v>1455</v>
      </c>
      <c r="D1601" s="153" t="s">
        <v>125</v>
      </c>
      <c r="E1601" s="130" t="s">
        <v>1456</v>
      </c>
      <c r="F1601" s="171" t="s">
        <v>1633</v>
      </c>
      <c r="G1601" s="171" t="s">
        <v>1633</v>
      </c>
      <c r="H1601" s="171" t="s">
        <v>1633</v>
      </c>
      <c r="I1601" s="171" t="s">
        <v>1633</v>
      </c>
      <c r="J1601" s="132">
        <v>0.9</v>
      </c>
      <c r="K1601" s="133" t="s">
        <v>35</v>
      </c>
      <c r="L1601" s="133" t="s">
        <v>35</v>
      </c>
      <c r="M1601" s="134" t="s">
        <v>35</v>
      </c>
      <c r="N1601" s="133" t="s">
        <v>35</v>
      </c>
      <c r="O1601" s="135">
        <v>0.9</v>
      </c>
      <c r="P1601" s="133" t="s">
        <v>35</v>
      </c>
      <c r="Q1601" s="133" t="s">
        <v>35</v>
      </c>
      <c r="R1601" s="133" t="s">
        <v>35</v>
      </c>
      <c r="S1601" s="133">
        <v>0</v>
      </c>
      <c r="T1601" s="135">
        <v>0.9</v>
      </c>
      <c r="U1601" s="133" t="s">
        <v>35</v>
      </c>
      <c r="V1601" s="133" t="s">
        <v>35</v>
      </c>
      <c r="W1601" s="133" t="s">
        <v>35</v>
      </c>
      <c r="X1601" s="133">
        <v>1</v>
      </c>
      <c r="Y1601" s="135">
        <v>0.92</v>
      </c>
      <c r="Z1601" s="135" t="s">
        <v>35</v>
      </c>
      <c r="AA1601" s="135" t="s">
        <v>35</v>
      </c>
      <c r="AB1601" s="135" t="s">
        <v>35</v>
      </c>
      <c r="AC1601" s="135" t="s">
        <v>35</v>
      </c>
      <c r="AD1601" s="135">
        <v>0.92</v>
      </c>
      <c r="AE1601" s="133">
        <v>1</v>
      </c>
      <c r="AF1601" s="133">
        <v>0.981884057971015</v>
      </c>
      <c r="AG1601" s="133">
        <v>0.82051282051282</v>
      </c>
      <c r="AH1601" s="133">
        <v>0.820919915946766</v>
      </c>
      <c r="AI1601" s="135">
        <v>0.92</v>
      </c>
      <c r="AJ1601" s="133" t="s">
        <v>35</v>
      </c>
      <c r="AK1601" s="133" t="s">
        <v>35</v>
      </c>
      <c r="AL1601" s="133" t="s">
        <v>35</v>
      </c>
      <c r="AM1601" s="133">
        <v>1</v>
      </c>
      <c r="AN1601" s="132">
        <v>0.99</v>
      </c>
      <c r="AO1601" s="137">
        <v>1</v>
      </c>
      <c r="AP1601" s="137">
        <v>1</v>
      </c>
      <c r="AQ1601" s="137" t="s">
        <v>35</v>
      </c>
      <c r="AR1601" s="137">
        <v>1</v>
      </c>
      <c r="AS1601" s="158">
        <v>0.110069253262963</v>
      </c>
      <c r="AT1601" s="141" t="s">
        <v>35</v>
      </c>
      <c r="AU1601" s="141" t="s">
        <v>35</v>
      </c>
      <c r="AV1601" s="141" t="s">
        <v>35</v>
      </c>
      <c r="AW1601" s="141" t="s">
        <v>35</v>
      </c>
      <c r="AX1601" s="95"/>
      <c r="AY1601" s="93"/>
    </row>
    <row r="1602" ht="14.5" spans="1:51">
      <c r="A1602" s="91"/>
      <c r="B1602" s="95"/>
      <c r="C1602" s="152" t="s">
        <v>1455</v>
      </c>
      <c r="D1602" s="153" t="s">
        <v>125</v>
      </c>
      <c r="E1602" s="130" t="s">
        <v>1456</v>
      </c>
      <c r="F1602" s="171" t="s">
        <v>1634</v>
      </c>
      <c r="G1602" s="171" t="s">
        <v>1634</v>
      </c>
      <c r="H1602" s="171" t="s">
        <v>1634</v>
      </c>
      <c r="I1602" s="171" t="s">
        <v>1634</v>
      </c>
      <c r="J1602" s="132">
        <v>0.9</v>
      </c>
      <c r="K1602" s="133" t="s">
        <v>35</v>
      </c>
      <c r="L1602" s="133" t="s">
        <v>35</v>
      </c>
      <c r="M1602" s="134" t="s">
        <v>35</v>
      </c>
      <c r="N1602" s="133" t="s">
        <v>35</v>
      </c>
      <c r="O1602" s="135">
        <v>0.9</v>
      </c>
      <c r="P1602" s="133" t="s">
        <v>35</v>
      </c>
      <c r="Q1602" s="133" t="s">
        <v>35</v>
      </c>
      <c r="R1602" s="133" t="s">
        <v>35</v>
      </c>
      <c r="S1602" s="133">
        <v>0</v>
      </c>
      <c r="T1602" s="135">
        <v>0.9</v>
      </c>
      <c r="U1602" s="133" t="s">
        <v>35</v>
      </c>
      <c r="V1602" s="133" t="s">
        <v>35</v>
      </c>
      <c r="W1602" s="133" t="s">
        <v>35</v>
      </c>
      <c r="X1602" s="133">
        <v>0.5</v>
      </c>
      <c r="Y1602" s="135">
        <v>0.92</v>
      </c>
      <c r="Z1602" s="135" t="s">
        <v>35</v>
      </c>
      <c r="AA1602" s="135" t="s">
        <v>35</v>
      </c>
      <c r="AB1602" s="135" t="s">
        <v>35</v>
      </c>
      <c r="AC1602" s="135" t="s">
        <v>35</v>
      </c>
      <c r="AD1602" s="135">
        <v>0.92</v>
      </c>
      <c r="AE1602" s="133">
        <v>0.994152046783626</v>
      </c>
      <c r="AF1602" s="133">
        <v>1</v>
      </c>
      <c r="AG1602" s="133">
        <v>1</v>
      </c>
      <c r="AH1602" s="133">
        <v>0.97493778883754</v>
      </c>
      <c r="AI1602" s="135">
        <v>0.92</v>
      </c>
      <c r="AJ1602" s="133" t="s">
        <v>35</v>
      </c>
      <c r="AK1602" s="133" t="s">
        <v>35</v>
      </c>
      <c r="AL1602" s="133" t="s">
        <v>35</v>
      </c>
      <c r="AM1602" s="133">
        <v>0.5</v>
      </c>
      <c r="AN1602" s="132">
        <v>0.99</v>
      </c>
      <c r="AO1602" s="137" t="s">
        <v>35</v>
      </c>
      <c r="AP1602" s="137" t="s">
        <v>35</v>
      </c>
      <c r="AQ1602" s="137">
        <v>1</v>
      </c>
      <c r="AR1602" s="137">
        <v>1</v>
      </c>
      <c r="AS1602" s="158">
        <v>0.110069253262963</v>
      </c>
      <c r="AT1602" s="141" t="s">
        <v>35</v>
      </c>
      <c r="AU1602" s="141" t="s">
        <v>35</v>
      </c>
      <c r="AV1602" s="141" t="s">
        <v>35</v>
      </c>
      <c r="AW1602" s="141" t="s">
        <v>35</v>
      </c>
      <c r="AX1602" s="95"/>
      <c r="AY1602" s="93"/>
    </row>
    <row r="1603" ht="14.5" spans="1:51">
      <c r="A1603" s="91"/>
      <c r="B1603" s="95"/>
      <c r="C1603" s="152" t="s">
        <v>1455</v>
      </c>
      <c r="D1603" s="153" t="s">
        <v>25</v>
      </c>
      <c r="E1603" s="130" t="s">
        <v>1456</v>
      </c>
      <c r="F1603" s="171" t="s">
        <v>1635</v>
      </c>
      <c r="G1603" s="171" t="s">
        <v>1635</v>
      </c>
      <c r="H1603" s="171" t="s">
        <v>1635</v>
      </c>
      <c r="I1603" s="171" t="s">
        <v>1635</v>
      </c>
      <c r="J1603" s="132">
        <v>0.9</v>
      </c>
      <c r="K1603" s="133">
        <v>0.941176470588235</v>
      </c>
      <c r="L1603" s="133">
        <v>1</v>
      </c>
      <c r="M1603" s="134">
        <v>1</v>
      </c>
      <c r="N1603" s="133">
        <v>0.982704402515723</v>
      </c>
      <c r="O1603" s="135">
        <v>0.9</v>
      </c>
      <c r="P1603" s="133">
        <v>0.959305480195334</v>
      </c>
      <c r="Q1603" s="133">
        <v>0.991554054054054</v>
      </c>
      <c r="R1603" s="133">
        <v>0.979757888469935</v>
      </c>
      <c r="S1603" s="133">
        <v>0.9747307638259</v>
      </c>
      <c r="T1603" s="135">
        <v>0.9</v>
      </c>
      <c r="U1603" s="133">
        <v>0.956863809007054</v>
      </c>
      <c r="V1603" s="133">
        <v>0.969835907335907</v>
      </c>
      <c r="W1603" s="133">
        <v>0.983726929946418</v>
      </c>
      <c r="X1603" s="133">
        <v>0.973338273055942</v>
      </c>
      <c r="Y1603" s="135">
        <v>0.92</v>
      </c>
      <c r="Z1603" s="135">
        <v>1</v>
      </c>
      <c r="AA1603" s="135">
        <v>0.333333333333333</v>
      </c>
      <c r="AB1603" s="135">
        <v>0.333333333333333</v>
      </c>
      <c r="AC1603" s="135">
        <v>0.194805194805195</v>
      </c>
      <c r="AD1603" s="135">
        <v>0.92</v>
      </c>
      <c r="AE1603" s="133">
        <v>1</v>
      </c>
      <c r="AF1603" s="133">
        <v>1</v>
      </c>
      <c r="AG1603" s="133">
        <v>0.921739130434783</v>
      </c>
      <c r="AH1603" s="133">
        <v>0.93391773432232</v>
      </c>
      <c r="AI1603" s="135">
        <v>0.92</v>
      </c>
      <c r="AJ1603" s="133">
        <v>0.971250339029021</v>
      </c>
      <c r="AK1603" s="133">
        <v>0.983361466120087</v>
      </c>
      <c r="AL1603" s="133">
        <v>0.992661642205474</v>
      </c>
      <c r="AM1603" s="133">
        <v>0.986765531675941</v>
      </c>
      <c r="AN1603" s="132">
        <v>0.99</v>
      </c>
      <c r="AO1603" s="137">
        <v>1</v>
      </c>
      <c r="AP1603" s="137">
        <v>1</v>
      </c>
      <c r="AQ1603" s="137">
        <v>1</v>
      </c>
      <c r="AR1603" s="137">
        <v>1</v>
      </c>
      <c r="AS1603" s="158">
        <v>0.110069253262963</v>
      </c>
      <c r="AT1603" s="141">
        <v>0.16</v>
      </c>
      <c r="AU1603" s="141">
        <v>0.142857142857143</v>
      </c>
      <c r="AV1603" s="141">
        <v>0.0769230769230769</v>
      </c>
      <c r="AW1603" s="141">
        <v>0.0606060606060606</v>
      </c>
      <c r="AX1603" s="95"/>
      <c r="AY1603" s="93"/>
    </row>
    <row r="1604" ht="14.5" spans="1:51">
      <c r="A1604" s="91"/>
      <c r="B1604" s="95"/>
      <c r="C1604" s="152" t="s">
        <v>1455</v>
      </c>
      <c r="D1604" s="153" t="s">
        <v>125</v>
      </c>
      <c r="E1604" s="130" t="s">
        <v>1456</v>
      </c>
      <c r="F1604" s="171" t="s">
        <v>1636</v>
      </c>
      <c r="G1604" s="171" t="s">
        <v>1636</v>
      </c>
      <c r="H1604" s="171" t="s">
        <v>1636</v>
      </c>
      <c r="I1604" s="171" t="s">
        <v>1636</v>
      </c>
      <c r="J1604" s="132">
        <v>0.9</v>
      </c>
      <c r="K1604" s="133" t="s">
        <v>35</v>
      </c>
      <c r="L1604" s="133" t="s">
        <v>35</v>
      </c>
      <c r="M1604" s="134" t="s">
        <v>35</v>
      </c>
      <c r="N1604" s="133" t="s">
        <v>35</v>
      </c>
      <c r="O1604" s="135">
        <v>0.9</v>
      </c>
      <c r="P1604" s="133" t="s">
        <v>35</v>
      </c>
      <c r="Q1604" s="133" t="s">
        <v>35</v>
      </c>
      <c r="R1604" s="133" t="s">
        <v>35</v>
      </c>
      <c r="S1604" s="133" t="s">
        <v>35</v>
      </c>
      <c r="T1604" s="135">
        <v>0.9</v>
      </c>
      <c r="U1604" s="133" t="s">
        <v>35</v>
      </c>
      <c r="V1604" s="133" t="s">
        <v>35</v>
      </c>
      <c r="W1604" s="133" t="s">
        <v>35</v>
      </c>
      <c r="X1604" s="133" t="s">
        <v>35</v>
      </c>
      <c r="Y1604" s="135">
        <v>0.92</v>
      </c>
      <c r="Z1604" s="135" t="s">
        <v>35</v>
      </c>
      <c r="AA1604" s="135" t="s">
        <v>35</v>
      </c>
      <c r="AB1604" s="135" t="s">
        <v>35</v>
      </c>
      <c r="AC1604" s="135" t="s">
        <v>35</v>
      </c>
      <c r="AD1604" s="135">
        <v>0.92</v>
      </c>
      <c r="AE1604" s="133">
        <v>1</v>
      </c>
      <c r="AF1604" s="133">
        <v>1</v>
      </c>
      <c r="AG1604" s="133">
        <v>1</v>
      </c>
      <c r="AH1604" s="133">
        <v>0.930901438091898</v>
      </c>
      <c r="AI1604" s="135">
        <v>0.92</v>
      </c>
      <c r="AJ1604" s="133" t="s">
        <v>35</v>
      </c>
      <c r="AK1604" s="133" t="s">
        <v>35</v>
      </c>
      <c r="AL1604" s="133" t="s">
        <v>35</v>
      </c>
      <c r="AM1604" s="133" t="s">
        <v>35</v>
      </c>
      <c r="AN1604" s="132">
        <v>0.99</v>
      </c>
      <c r="AO1604" s="137" t="s">
        <v>35</v>
      </c>
      <c r="AP1604" s="137">
        <v>1</v>
      </c>
      <c r="AQ1604" s="137">
        <v>1</v>
      </c>
      <c r="AR1604" s="137">
        <v>1</v>
      </c>
      <c r="AS1604" s="158">
        <v>0.110069253262963</v>
      </c>
      <c r="AT1604" s="141" t="s">
        <v>35</v>
      </c>
      <c r="AU1604" s="141" t="s">
        <v>35</v>
      </c>
      <c r="AV1604" s="141" t="s">
        <v>35</v>
      </c>
      <c r="AW1604" s="141" t="s">
        <v>35</v>
      </c>
      <c r="AX1604" s="95"/>
      <c r="AY1604" s="93"/>
    </row>
    <row r="1605" ht="14.5" spans="1:51">
      <c r="A1605" s="91"/>
      <c r="B1605" s="95"/>
      <c r="C1605" s="152" t="s">
        <v>1455</v>
      </c>
      <c r="D1605" s="153" t="s">
        <v>25</v>
      </c>
      <c r="E1605" s="130" t="s">
        <v>1456</v>
      </c>
      <c r="F1605" s="171" t="s">
        <v>1637</v>
      </c>
      <c r="G1605" s="171" t="s">
        <v>1637</v>
      </c>
      <c r="H1605" s="171" t="s">
        <v>1637</v>
      </c>
      <c r="I1605" s="171" t="s">
        <v>1637</v>
      </c>
      <c r="J1605" s="132">
        <v>0.9</v>
      </c>
      <c r="K1605" s="133">
        <v>0.928571428571429</v>
      </c>
      <c r="L1605" s="133">
        <v>0.9</v>
      </c>
      <c r="M1605" s="134">
        <v>0.903846153846154</v>
      </c>
      <c r="N1605" s="133">
        <v>0.93640897755611</v>
      </c>
      <c r="O1605" s="135">
        <v>0.9</v>
      </c>
      <c r="P1605" s="133">
        <v>0.992883285888573</v>
      </c>
      <c r="Q1605" s="133">
        <v>0.991691285081241</v>
      </c>
      <c r="R1605" s="133">
        <v>0.993090267568362</v>
      </c>
      <c r="S1605" s="133">
        <v>0.991334955424549</v>
      </c>
      <c r="T1605" s="135">
        <v>0.9</v>
      </c>
      <c r="U1605" s="133">
        <v>0.690321268808459</v>
      </c>
      <c r="V1605" s="133">
        <v>0.844903988183161</v>
      </c>
      <c r="W1605" s="133">
        <v>0.83622463981182</v>
      </c>
      <c r="X1605" s="133">
        <v>0.801992671738106</v>
      </c>
      <c r="Y1605" s="135">
        <v>0.92</v>
      </c>
      <c r="Z1605" s="135" t="s">
        <v>35</v>
      </c>
      <c r="AA1605" s="135">
        <v>0</v>
      </c>
      <c r="AB1605" s="135">
        <v>0</v>
      </c>
      <c r="AC1605" s="135">
        <v>0</v>
      </c>
      <c r="AD1605" s="135">
        <v>0.92</v>
      </c>
      <c r="AE1605" s="133">
        <v>1</v>
      </c>
      <c r="AF1605" s="133">
        <v>0.978723404255319</v>
      </c>
      <c r="AG1605" s="133">
        <v>1</v>
      </c>
      <c r="AH1605" s="133">
        <v>0.921775898520085</v>
      </c>
      <c r="AI1605" s="135">
        <v>0.92</v>
      </c>
      <c r="AJ1605" s="133">
        <v>0.830622204148028</v>
      </c>
      <c r="AK1605" s="133">
        <v>0.911390068303489</v>
      </c>
      <c r="AL1605" s="133">
        <v>0.930324856680876</v>
      </c>
      <c r="AM1605" s="133">
        <v>0.924005497515546</v>
      </c>
      <c r="AN1605" s="132">
        <v>0.99</v>
      </c>
      <c r="AO1605" s="137" t="s">
        <v>35</v>
      </c>
      <c r="AP1605" s="137">
        <v>1</v>
      </c>
      <c r="AQ1605" s="137" t="s">
        <v>35</v>
      </c>
      <c r="AR1605" s="137">
        <v>1</v>
      </c>
      <c r="AS1605" s="158">
        <v>0.110069253262963</v>
      </c>
      <c r="AT1605" s="141">
        <v>0.02</v>
      </c>
      <c r="AU1605" s="141">
        <v>0.0789473684210526</v>
      </c>
      <c r="AV1605" s="141">
        <v>0.0185185185185185</v>
      </c>
      <c r="AW1605" s="141">
        <v>0.0562571756601607</v>
      </c>
      <c r="AX1605" s="95"/>
      <c r="AY1605" s="93"/>
    </row>
    <row r="1606" ht="14.5" spans="1:51">
      <c r="A1606" s="91"/>
      <c r="B1606" s="95"/>
      <c r="C1606" s="152" t="s">
        <v>1455</v>
      </c>
      <c r="D1606" s="153" t="s">
        <v>25</v>
      </c>
      <c r="E1606" s="130" t="s">
        <v>1456</v>
      </c>
      <c r="F1606" s="171" t="s">
        <v>1638</v>
      </c>
      <c r="G1606" s="171" t="s">
        <v>1638</v>
      </c>
      <c r="H1606" s="171" t="s">
        <v>1638</v>
      </c>
      <c r="I1606" s="171" t="s">
        <v>1638</v>
      </c>
      <c r="J1606" s="132">
        <v>0.9</v>
      </c>
      <c r="K1606" s="133">
        <v>0.918918918918919</v>
      </c>
      <c r="L1606" s="133">
        <v>0.9375</v>
      </c>
      <c r="M1606" s="134">
        <v>0.911764705882353</v>
      </c>
      <c r="N1606" s="133">
        <v>0.90846286701209</v>
      </c>
      <c r="O1606" s="135">
        <v>0.9</v>
      </c>
      <c r="P1606" s="133">
        <v>0.95926800472255</v>
      </c>
      <c r="Q1606" s="133">
        <v>0.990804597701149</v>
      </c>
      <c r="R1606" s="133">
        <v>0.979931972789116</v>
      </c>
      <c r="S1606" s="133">
        <v>0.96632168791812</v>
      </c>
      <c r="T1606" s="135">
        <v>0.9</v>
      </c>
      <c r="U1606" s="133">
        <v>0.570543093270366</v>
      </c>
      <c r="V1606" s="133">
        <v>0.589885057471264</v>
      </c>
      <c r="W1606" s="133">
        <v>0.631632653061225</v>
      </c>
      <c r="X1606" s="133">
        <v>0.547563230220901</v>
      </c>
      <c r="Y1606" s="135">
        <v>0.92</v>
      </c>
      <c r="Z1606" s="135">
        <v>0.756294964028777</v>
      </c>
      <c r="AA1606" s="135">
        <v>0.846511627906977</v>
      </c>
      <c r="AB1606" s="135">
        <v>0.889705882352941</v>
      </c>
      <c r="AC1606" s="135">
        <v>0.854337245920412</v>
      </c>
      <c r="AD1606" s="135">
        <v>0.92</v>
      </c>
      <c r="AE1606" s="133">
        <v>1</v>
      </c>
      <c r="AF1606" s="133">
        <v>1</v>
      </c>
      <c r="AG1606" s="133">
        <v>0.994011976047904</v>
      </c>
      <c r="AH1606" s="133">
        <v>0.994417306350314</v>
      </c>
      <c r="AI1606" s="135">
        <v>0.92</v>
      </c>
      <c r="AJ1606" s="133">
        <v>0.822222222222222</v>
      </c>
      <c r="AK1606" s="133">
        <v>0.852374839537869</v>
      </c>
      <c r="AL1606" s="133">
        <v>0.908689544451134</v>
      </c>
      <c r="AM1606" s="133">
        <v>0.885863287549034</v>
      </c>
      <c r="AN1606" s="132">
        <v>0.99</v>
      </c>
      <c r="AO1606" s="137">
        <v>1</v>
      </c>
      <c r="AP1606" s="137" t="s">
        <v>35</v>
      </c>
      <c r="AQ1606" s="137" t="s">
        <v>35</v>
      </c>
      <c r="AR1606" s="137">
        <v>1</v>
      </c>
      <c r="AS1606" s="158">
        <v>0.110069253262963</v>
      </c>
      <c r="AT1606" s="141">
        <v>0.142857142857143</v>
      </c>
      <c r="AU1606" s="141">
        <v>0.125</v>
      </c>
      <c r="AV1606" s="141">
        <v>0.121212121212121</v>
      </c>
      <c r="AW1606" s="141">
        <v>0.0821052631578947</v>
      </c>
      <c r="AX1606" s="95"/>
      <c r="AY1606" s="93"/>
    </row>
    <row r="1607" ht="14.5" spans="1:51">
      <c r="A1607" s="91"/>
      <c r="B1607" s="95"/>
      <c r="C1607" s="152" t="s">
        <v>1455</v>
      </c>
      <c r="D1607" s="153" t="s">
        <v>125</v>
      </c>
      <c r="E1607" s="130" t="s">
        <v>1456</v>
      </c>
      <c r="F1607" s="171" t="s">
        <v>1639</v>
      </c>
      <c r="G1607" s="171" t="s">
        <v>1639</v>
      </c>
      <c r="H1607" s="171" t="s">
        <v>1639</v>
      </c>
      <c r="I1607" s="171" t="s">
        <v>1639</v>
      </c>
      <c r="J1607" s="132">
        <v>0.9</v>
      </c>
      <c r="K1607" s="133" t="s">
        <v>35</v>
      </c>
      <c r="L1607" s="133" t="s">
        <v>35</v>
      </c>
      <c r="M1607" s="134" t="s">
        <v>35</v>
      </c>
      <c r="N1607" s="133" t="s">
        <v>35</v>
      </c>
      <c r="O1607" s="135">
        <v>0.9</v>
      </c>
      <c r="P1607" s="133" t="s">
        <v>35</v>
      </c>
      <c r="Q1607" s="133" t="s">
        <v>35</v>
      </c>
      <c r="R1607" s="133" t="s">
        <v>35</v>
      </c>
      <c r="S1607" s="133">
        <v>0</v>
      </c>
      <c r="T1607" s="135">
        <v>0.9</v>
      </c>
      <c r="U1607" s="133" t="s">
        <v>35</v>
      </c>
      <c r="V1607" s="133" t="s">
        <v>35</v>
      </c>
      <c r="W1607" s="133" t="s">
        <v>35</v>
      </c>
      <c r="X1607" s="133">
        <v>0</v>
      </c>
      <c r="Y1607" s="135">
        <v>0.92</v>
      </c>
      <c r="Z1607" s="135" t="s">
        <v>35</v>
      </c>
      <c r="AA1607" s="135" t="s">
        <v>35</v>
      </c>
      <c r="AB1607" s="135" t="s">
        <v>35</v>
      </c>
      <c r="AC1607" s="135" t="s">
        <v>35</v>
      </c>
      <c r="AD1607" s="135">
        <v>0.92</v>
      </c>
      <c r="AE1607" s="133">
        <v>0.995529061102832</v>
      </c>
      <c r="AF1607" s="133">
        <v>0.926315789473684</v>
      </c>
      <c r="AG1607" s="133">
        <v>1</v>
      </c>
      <c r="AH1607" s="133">
        <v>0.995443392919734</v>
      </c>
      <c r="AI1607" s="135">
        <v>0.92</v>
      </c>
      <c r="AJ1607" s="133" t="s">
        <v>35</v>
      </c>
      <c r="AK1607" s="133" t="s">
        <v>35</v>
      </c>
      <c r="AL1607" s="133" t="s">
        <v>35</v>
      </c>
      <c r="AM1607" s="133">
        <v>0</v>
      </c>
      <c r="AN1607" s="132">
        <v>0.99</v>
      </c>
      <c r="AO1607" s="137">
        <v>1</v>
      </c>
      <c r="AP1607" s="137" t="s">
        <v>35</v>
      </c>
      <c r="AQ1607" s="137">
        <v>1</v>
      </c>
      <c r="AR1607" s="137">
        <v>1</v>
      </c>
      <c r="AS1607" s="158">
        <v>0.110069253262963</v>
      </c>
      <c r="AT1607" s="141" t="s">
        <v>35</v>
      </c>
      <c r="AU1607" s="141" t="s">
        <v>35</v>
      </c>
      <c r="AV1607" s="141" t="s">
        <v>35</v>
      </c>
      <c r="AW1607" s="141" t="s">
        <v>35</v>
      </c>
      <c r="AX1607" s="95"/>
      <c r="AY1607" s="93"/>
    </row>
    <row r="1608" ht="14.5" spans="1:51">
      <c r="A1608" s="91"/>
      <c r="B1608" s="95"/>
      <c r="C1608" s="152" t="s">
        <v>1455</v>
      </c>
      <c r="D1608" s="153" t="s">
        <v>125</v>
      </c>
      <c r="E1608" s="130" t="s">
        <v>1456</v>
      </c>
      <c r="F1608" s="171" t="s">
        <v>1640</v>
      </c>
      <c r="G1608" s="171" t="s">
        <v>1640</v>
      </c>
      <c r="H1608" s="171" t="s">
        <v>1640</v>
      </c>
      <c r="I1608" s="171" t="s">
        <v>1640</v>
      </c>
      <c r="J1608" s="132">
        <v>0.9</v>
      </c>
      <c r="K1608" s="133" t="s">
        <v>35</v>
      </c>
      <c r="L1608" s="133" t="s">
        <v>35</v>
      </c>
      <c r="M1608" s="134" t="s">
        <v>35</v>
      </c>
      <c r="N1608" s="133" t="s">
        <v>35</v>
      </c>
      <c r="O1608" s="135">
        <v>0.9</v>
      </c>
      <c r="P1608" s="133">
        <v>0</v>
      </c>
      <c r="Q1608" s="133">
        <v>0</v>
      </c>
      <c r="R1608" s="133">
        <v>0</v>
      </c>
      <c r="S1608" s="133">
        <v>0</v>
      </c>
      <c r="T1608" s="135">
        <v>0.9</v>
      </c>
      <c r="U1608" s="133">
        <v>0</v>
      </c>
      <c r="V1608" s="133">
        <v>0.5</v>
      </c>
      <c r="W1608" s="133">
        <v>0</v>
      </c>
      <c r="X1608" s="133">
        <v>0.571428571428571</v>
      </c>
      <c r="Y1608" s="135">
        <v>0.92</v>
      </c>
      <c r="Z1608" s="135" t="s">
        <v>35</v>
      </c>
      <c r="AA1608" s="135" t="s">
        <v>35</v>
      </c>
      <c r="AB1608" s="135" t="s">
        <v>35</v>
      </c>
      <c r="AC1608" s="135" t="s">
        <v>35</v>
      </c>
      <c r="AD1608" s="135">
        <v>0.92</v>
      </c>
      <c r="AE1608" s="133">
        <v>0.916279069767442</v>
      </c>
      <c r="AF1608" s="133">
        <v>0.448214285714286</v>
      </c>
      <c r="AG1608" s="133">
        <v>0.421875</v>
      </c>
      <c r="AH1608" s="133">
        <v>0.630473822351153</v>
      </c>
      <c r="AI1608" s="135">
        <v>0.92</v>
      </c>
      <c r="AJ1608" s="133">
        <v>1</v>
      </c>
      <c r="AK1608" s="133">
        <v>0.5</v>
      </c>
      <c r="AL1608" s="133">
        <v>1</v>
      </c>
      <c r="AM1608" s="133">
        <v>0.857142857142857</v>
      </c>
      <c r="AN1608" s="132">
        <v>0.99</v>
      </c>
      <c r="AO1608" s="137">
        <v>1</v>
      </c>
      <c r="AP1608" s="137">
        <v>1</v>
      </c>
      <c r="AQ1608" s="137">
        <v>1</v>
      </c>
      <c r="AR1608" s="137">
        <v>1</v>
      </c>
      <c r="AS1608" s="158">
        <v>0.110069253262963</v>
      </c>
      <c r="AT1608" s="141" t="s">
        <v>35</v>
      </c>
      <c r="AU1608" s="141" t="s">
        <v>35</v>
      </c>
      <c r="AV1608" s="141" t="s">
        <v>35</v>
      </c>
      <c r="AW1608" s="141" t="s">
        <v>35</v>
      </c>
      <c r="AX1608" s="95"/>
      <c r="AY1608" s="93"/>
    </row>
    <row r="1609" ht="14.5" spans="1:51">
      <c r="A1609" s="91"/>
      <c r="B1609" s="95"/>
      <c r="C1609" s="152" t="s">
        <v>1455</v>
      </c>
      <c r="D1609" s="153" t="s">
        <v>25</v>
      </c>
      <c r="E1609" s="130" t="s">
        <v>1456</v>
      </c>
      <c r="F1609" s="171" t="s">
        <v>1641</v>
      </c>
      <c r="G1609" s="171" t="s">
        <v>1641</v>
      </c>
      <c r="H1609" s="171" t="s">
        <v>1641</v>
      </c>
      <c r="I1609" s="171" t="s">
        <v>1641</v>
      </c>
      <c r="J1609" s="132">
        <v>0.9</v>
      </c>
      <c r="K1609" s="133">
        <v>0.979166666666667</v>
      </c>
      <c r="L1609" s="133">
        <v>1</v>
      </c>
      <c r="M1609" s="134">
        <v>0.957446808510638</v>
      </c>
      <c r="N1609" s="133">
        <v>0.976309226932668</v>
      </c>
      <c r="O1609" s="135">
        <v>0.9</v>
      </c>
      <c r="P1609" s="133">
        <v>0.973760932944606</v>
      </c>
      <c r="Q1609" s="133">
        <v>0.977030352748154</v>
      </c>
      <c r="R1609" s="133">
        <v>0.966948501152959</v>
      </c>
      <c r="S1609" s="133">
        <v>0.957367268333208</v>
      </c>
      <c r="T1609" s="135">
        <v>0.9</v>
      </c>
      <c r="U1609" s="133">
        <v>0.83731778425656</v>
      </c>
      <c r="V1609" s="133">
        <v>0.846595570139459</v>
      </c>
      <c r="W1609" s="133">
        <v>0.865488086087625</v>
      </c>
      <c r="X1609" s="133">
        <v>0.851106411902424</v>
      </c>
      <c r="Y1609" s="135">
        <v>0.92</v>
      </c>
      <c r="Z1609" s="135">
        <v>0.90894819466248</v>
      </c>
      <c r="AA1609" s="135">
        <v>0.91701244813278</v>
      </c>
      <c r="AB1609" s="135">
        <v>0.945440374123149</v>
      </c>
      <c r="AC1609" s="135">
        <v>0.933188330417514</v>
      </c>
      <c r="AD1609" s="135">
        <v>0.92</v>
      </c>
      <c r="AE1609" s="133">
        <v>0.132478632478632</v>
      </c>
      <c r="AF1609" s="133">
        <v>0.989690721649485</v>
      </c>
      <c r="AG1609" s="133">
        <v>1</v>
      </c>
      <c r="AH1609" s="133">
        <v>0.917368632170076</v>
      </c>
      <c r="AI1609" s="135">
        <v>0.92</v>
      </c>
      <c r="AJ1609" s="133">
        <v>0.938350340136054</v>
      </c>
      <c r="AK1609" s="133">
        <v>0.933150183150183</v>
      </c>
      <c r="AL1609" s="133">
        <v>0.959783449342614</v>
      </c>
      <c r="AM1609" s="133">
        <v>0.94834962043367</v>
      </c>
      <c r="AN1609" s="132">
        <v>0.99</v>
      </c>
      <c r="AO1609" s="137">
        <v>1</v>
      </c>
      <c r="AP1609" s="137">
        <v>1</v>
      </c>
      <c r="AQ1609" s="137" t="s">
        <v>35</v>
      </c>
      <c r="AR1609" s="137">
        <v>1</v>
      </c>
      <c r="AS1609" s="158">
        <v>0.110069253262963</v>
      </c>
      <c r="AT1609" s="141">
        <v>0.0526315789473684</v>
      </c>
      <c r="AU1609" s="141">
        <v>0</v>
      </c>
      <c r="AV1609" s="141">
        <v>0.0588235294117647</v>
      </c>
      <c r="AW1609" s="141">
        <v>0.0562913907284768</v>
      </c>
      <c r="AX1609" s="95"/>
      <c r="AY1609" s="93"/>
    </row>
    <row r="1610" ht="14.5" spans="1:51">
      <c r="A1610" s="91"/>
      <c r="B1610" s="95"/>
      <c r="C1610" s="152" t="s">
        <v>1455</v>
      </c>
      <c r="D1610" s="153" t="s">
        <v>125</v>
      </c>
      <c r="E1610" s="130" t="s">
        <v>1456</v>
      </c>
      <c r="F1610" s="171" t="s">
        <v>1642</v>
      </c>
      <c r="G1610" s="171" t="s">
        <v>1642</v>
      </c>
      <c r="H1610" s="171" t="s">
        <v>1642</v>
      </c>
      <c r="I1610" s="171" t="s">
        <v>1642</v>
      </c>
      <c r="J1610" s="132">
        <v>0.9</v>
      </c>
      <c r="K1610" s="133" t="s">
        <v>35</v>
      </c>
      <c r="L1610" s="133" t="s">
        <v>35</v>
      </c>
      <c r="M1610" s="134" t="s">
        <v>35</v>
      </c>
      <c r="N1610" s="133" t="s">
        <v>35</v>
      </c>
      <c r="O1610" s="135">
        <v>0.9</v>
      </c>
      <c r="P1610" s="133" t="s">
        <v>35</v>
      </c>
      <c r="Q1610" s="133" t="s">
        <v>35</v>
      </c>
      <c r="R1610" s="133" t="s">
        <v>35</v>
      </c>
      <c r="S1610" s="133">
        <v>0</v>
      </c>
      <c r="T1610" s="135">
        <v>0.9</v>
      </c>
      <c r="U1610" s="133" t="s">
        <v>35</v>
      </c>
      <c r="V1610" s="133" t="s">
        <v>35</v>
      </c>
      <c r="W1610" s="133" t="s">
        <v>35</v>
      </c>
      <c r="X1610" s="133">
        <v>0.818181818181818</v>
      </c>
      <c r="Y1610" s="135">
        <v>0.92</v>
      </c>
      <c r="Z1610" s="135">
        <v>1</v>
      </c>
      <c r="AA1610" s="135" t="s">
        <v>35</v>
      </c>
      <c r="AB1610" s="135" t="s">
        <v>35</v>
      </c>
      <c r="AC1610" s="135">
        <v>1</v>
      </c>
      <c r="AD1610" s="135">
        <v>0.92</v>
      </c>
      <c r="AE1610" s="133">
        <v>0.978910369068541</v>
      </c>
      <c r="AF1610" s="133">
        <v>0.931993817619784</v>
      </c>
      <c r="AG1610" s="133">
        <v>0.996670366259711</v>
      </c>
      <c r="AH1610" s="133">
        <v>0.98329637841833</v>
      </c>
      <c r="AI1610" s="135">
        <v>0.92</v>
      </c>
      <c r="AJ1610" s="133">
        <v>1</v>
      </c>
      <c r="AK1610" s="133">
        <v>1</v>
      </c>
      <c r="AL1610" s="133" t="s">
        <v>35</v>
      </c>
      <c r="AM1610" s="133">
        <v>0.85</v>
      </c>
      <c r="AN1610" s="132">
        <v>0.99</v>
      </c>
      <c r="AO1610" s="137">
        <v>1</v>
      </c>
      <c r="AP1610" s="137">
        <v>1</v>
      </c>
      <c r="AQ1610" s="137">
        <v>1</v>
      </c>
      <c r="AR1610" s="137">
        <v>1</v>
      </c>
      <c r="AS1610" s="158">
        <v>0.110069253262963</v>
      </c>
      <c r="AT1610" s="141" t="s">
        <v>35</v>
      </c>
      <c r="AU1610" s="141" t="s">
        <v>35</v>
      </c>
      <c r="AV1610" s="141" t="s">
        <v>35</v>
      </c>
      <c r="AW1610" s="141" t="s">
        <v>35</v>
      </c>
      <c r="AX1610" s="95"/>
      <c r="AY1610" s="93"/>
    </row>
    <row r="1611" ht="14.5" spans="1:51">
      <c r="A1611" s="91"/>
      <c r="B1611" s="95"/>
      <c r="C1611" s="152" t="s">
        <v>1455</v>
      </c>
      <c r="D1611" s="153" t="s">
        <v>125</v>
      </c>
      <c r="E1611" s="130" t="s">
        <v>1456</v>
      </c>
      <c r="F1611" s="171" t="s">
        <v>1643</v>
      </c>
      <c r="G1611" s="171" t="s">
        <v>1643</v>
      </c>
      <c r="H1611" s="171" t="s">
        <v>1643</v>
      </c>
      <c r="I1611" s="171" t="s">
        <v>1643</v>
      </c>
      <c r="J1611" s="132">
        <v>0.9</v>
      </c>
      <c r="K1611" s="133" t="s">
        <v>35</v>
      </c>
      <c r="L1611" s="133" t="s">
        <v>35</v>
      </c>
      <c r="M1611" s="134" t="s">
        <v>35</v>
      </c>
      <c r="N1611" s="133" t="s">
        <v>35</v>
      </c>
      <c r="O1611" s="135">
        <v>0.9</v>
      </c>
      <c r="P1611" s="133" t="s">
        <v>35</v>
      </c>
      <c r="Q1611" s="133">
        <v>0</v>
      </c>
      <c r="R1611" s="133" t="s">
        <v>35</v>
      </c>
      <c r="S1611" s="133">
        <v>0</v>
      </c>
      <c r="T1611" s="135">
        <v>0.9</v>
      </c>
      <c r="U1611" s="133" t="s">
        <v>35</v>
      </c>
      <c r="V1611" s="133">
        <v>1</v>
      </c>
      <c r="W1611" s="133" t="s">
        <v>35</v>
      </c>
      <c r="X1611" s="133">
        <v>1</v>
      </c>
      <c r="Y1611" s="135">
        <v>0.92</v>
      </c>
      <c r="Z1611" s="135" t="s">
        <v>35</v>
      </c>
      <c r="AA1611" s="135" t="s">
        <v>35</v>
      </c>
      <c r="AB1611" s="135" t="s">
        <v>35</v>
      </c>
      <c r="AC1611" s="135" t="s">
        <v>35</v>
      </c>
      <c r="AD1611" s="135">
        <v>0.92</v>
      </c>
      <c r="AE1611" s="133">
        <v>0.888198757763975</v>
      </c>
      <c r="AF1611" s="133">
        <v>0.864963503649635</v>
      </c>
      <c r="AG1611" s="133">
        <v>0.970059880239521</v>
      </c>
      <c r="AH1611" s="133">
        <v>0.928571428571429</v>
      </c>
      <c r="AI1611" s="135">
        <v>0.92</v>
      </c>
      <c r="AJ1611" s="133" t="s">
        <v>35</v>
      </c>
      <c r="AK1611" s="133">
        <v>1</v>
      </c>
      <c r="AL1611" s="133" t="s">
        <v>35</v>
      </c>
      <c r="AM1611" s="133">
        <v>1</v>
      </c>
      <c r="AN1611" s="132">
        <v>0.99</v>
      </c>
      <c r="AO1611" s="137">
        <v>1</v>
      </c>
      <c r="AP1611" s="137">
        <v>1</v>
      </c>
      <c r="AQ1611" s="137">
        <v>1</v>
      </c>
      <c r="AR1611" s="137">
        <v>1</v>
      </c>
      <c r="AS1611" s="158">
        <v>0.110069253262963</v>
      </c>
      <c r="AT1611" s="141" t="s">
        <v>35</v>
      </c>
      <c r="AU1611" s="141" t="s">
        <v>35</v>
      </c>
      <c r="AV1611" s="141" t="s">
        <v>35</v>
      </c>
      <c r="AW1611" s="141" t="s">
        <v>35</v>
      </c>
      <c r="AX1611" s="95"/>
      <c r="AY1611" s="93"/>
    </row>
    <row r="1612" ht="14.5" spans="1:51">
      <c r="A1612" s="91"/>
      <c r="B1612" s="95"/>
      <c r="C1612" s="152" t="s">
        <v>1455</v>
      </c>
      <c r="D1612" s="153" t="s">
        <v>125</v>
      </c>
      <c r="E1612" s="130" t="s">
        <v>1456</v>
      </c>
      <c r="F1612" s="171" t="s">
        <v>1644</v>
      </c>
      <c r="G1612" s="171" t="s">
        <v>1644</v>
      </c>
      <c r="H1612" s="171" t="s">
        <v>1644</v>
      </c>
      <c r="I1612" s="171" t="s">
        <v>1644</v>
      </c>
      <c r="J1612" s="132">
        <v>0.9</v>
      </c>
      <c r="K1612" s="133" t="s">
        <v>35</v>
      </c>
      <c r="L1612" s="133" t="s">
        <v>35</v>
      </c>
      <c r="M1612" s="134" t="s">
        <v>35</v>
      </c>
      <c r="N1612" s="133" t="s">
        <v>35</v>
      </c>
      <c r="O1612" s="135">
        <v>0.9</v>
      </c>
      <c r="P1612" s="133" t="s">
        <v>35</v>
      </c>
      <c r="Q1612" s="133" t="s">
        <v>35</v>
      </c>
      <c r="R1612" s="133" t="s">
        <v>35</v>
      </c>
      <c r="S1612" s="133" t="s">
        <v>35</v>
      </c>
      <c r="T1612" s="135">
        <v>0.9</v>
      </c>
      <c r="U1612" s="133" t="s">
        <v>35</v>
      </c>
      <c r="V1612" s="133" t="s">
        <v>35</v>
      </c>
      <c r="W1612" s="133" t="s">
        <v>35</v>
      </c>
      <c r="X1612" s="133" t="s">
        <v>35</v>
      </c>
      <c r="Y1612" s="135">
        <v>0.92</v>
      </c>
      <c r="Z1612" s="135" t="s">
        <v>35</v>
      </c>
      <c r="AA1612" s="135" t="s">
        <v>35</v>
      </c>
      <c r="AB1612" s="135" t="s">
        <v>35</v>
      </c>
      <c r="AC1612" s="135" t="s">
        <v>35</v>
      </c>
      <c r="AD1612" s="135">
        <v>0.92</v>
      </c>
      <c r="AE1612" s="133">
        <v>0.997955010224949</v>
      </c>
      <c r="AF1612" s="133">
        <v>0.934210526315789</v>
      </c>
      <c r="AG1612" s="133">
        <v>1</v>
      </c>
      <c r="AH1612" s="133">
        <v>0.993377483443709</v>
      </c>
      <c r="AI1612" s="135">
        <v>0.92</v>
      </c>
      <c r="AJ1612" s="133" t="s">
        <v>35</v>
      </c>
      <c r="AK1612" s="133" t="s">
        <v>35</v>
      </c>
      <c r="AL1612" s="133" t="s">
        <v>35</v>
      </c>
      <c r="AM1612" s="133" t="s">
        <v>35</v>
      </c>
      <c r="AN1612" s="132">
        <v>0.99</v>
      </c>
      <c r="AO1612" s="137" t="s">
        <v>35</v>
      </c>
      <c r="AP1612" s="137">
        <v>1</v>
      </c>
      <c r="AQ1612" s="137">
        <v>1</v>
      </c>
      <c r="AR1612" s="137">
        <v>1</v>
      </c>
      <c r="AS1612" s="158">
        <v>0.110069253262963</v>
      </c>
      <c r="AT1612" s="141" t="s">
        <v>35</v>
      </c>
      <c r="AU1612" s="141" t="s">
        <v>35</v>
      </c>
      <c r="AV1612" s="141" t="s">
        <v>35</v>
      </c>
      <c r="AW1612" s="141" t="s">
        <v>35</v>
      </c>
      <c r="AX1612" s="95"/>
      <c r="AY1612" s="93"/>
    </row>
    <row r="1613" ht="14.5" spans="1:51">
      <c r="A1613" s="91"/>
      <c r="B1613" s="95"/>
      <c r="C1613" s="152" t="s">
        <v>1455</v>
      </c>
      <c r="D1613" s="153" t="s">
        <v>125</v>
      </c>
      <c r="E1613" s="130" t="s">
        <v>1456</v>
      </c>
      <c r="F1613" s="171" t="s">
        <v>1645</v>
      </c>
      <c r="G1613" s="171" t="s">
        <v>1645</v>
      </c>
      <c r="H1613" s="171" t="s">
        <v>1645</v>
      </c>
      <c r="I1613" s="171" t="s">
        <v>1645</v>
      </c>
      <c r="J1613" s="132">
        <v>0.9</v>
      </c>
      <c r="K1613" s="133" t="s">
        <v>35</v>
      </c>
      <c r="L1613" s="133" t="s">
        <v>35</v>
      </c>
      <c r="M1613" s="134" t="s">
        <v>35</v>
      </c>
      <c r="N1613" s="133" t="s">
        <v>35</v>
      </c>
      <c r="O1613" s="135">
        <v>0.9</v>
      </c>
      <c r="P1613" s="133" t="s">
        <v>35</v>
      </c>
      <c r="Q1613" s="133">
        <v>0</v>
      </c>
      <c r="R1613" s="133" t="s">
        <v>35</v>
      </c>
      <c r="S1613" s="133">
        <v>0</v>
      </c>
      <c r="T1613" s="135">
        <v>0.9</v>
      </c>
      <c r="U1613" s="133" t="s">
        <v>35</v>
      </c>
      <c r="V1613" s="133">
        <v>0.5</v>
      </c>
      <c r="W1613" s="133" t="s">
        <v>35</v>
      </c>
      <c r="X1613" s="133">
        <v>0.666666666666667</v>
      </c>
      <c r="Y1613" s="135">
        <v>0.92</v>
      </c>
      <c r="Z1613" s="135" t="s">
        <v>35</v>
      </c>
      <c r="AA1613" s="135" t="s">
        <v>35</v>
      </c>
      <c r="AB1613" s="135" t="s">
        <v>35</v>
      </c>
      <c r="AC1613" s="135" t="s">
        <v>35</v>
      </c>
      <c r="AD1613" s="135">
        <v>0.92</v>
      </c>
      <c r="AE1613" s="133">
        <v>0.98576512455516</v>
      </c>
      <c r="AF1613" s="133">
        <v>0.966867469879518</v>
      </c>
      <c r="AG1613" s="133">
        <v>0.997674418604651</v>
      </c>
      <c r="AH1613" s="133">
        <v>0.96494135645079</v>
      </c>
      <c r="AI1613" s="135">
        <v>0.92</v>
      </c>
      <c r="AJ1613" s="133" t="s">
        <v>35</v>
      </c>
      <c r="AK1613" s="133">
        <v>1</v>
      </c>
      <c r="AL1613" s="133" t="s">
        <v>35</v>
      </c>
      <c r="AM1613" s="133">
        <v>1</v>
      </c>
      <c r="AN1613" s="132">
        <v>0.99</v>
      </c>
      <c r="AO1613" s="137">
        <v>1</v>
      </c>
      <c r="AP1613" s="137">
        <v>1</v>
      </c>
      <c r="AQ1613" s="137">
        <v>1</v>
      </c>
      <c r="AR1613" s="137">
        <v>1</v>
      </c>
      <c r="AS1613" s="158">
        <v>0.110069253262963</v>
      </c>
      <c r="AT1613" s="141" t="s">
        <v>35</v>
      </c>
      <c r="AU1613" s="141" t="s">
        <v>35</v>
      </c>
      <c r="AV1613" s="141" t="s">
        <v>35</v>
      </c>
      <c r="AW1613" s="141" t="s">
        <v>35</v>
      </c>
      <c r="AX1613" s="95"/>
      <c r="AY1613" s="93"/>
    </row>
    <row r="1614" ht="14.5" spans="1:51">
      <c r="A1614" s="91"/>
      <c r="B1614" s="95"/>
      <c r="C1614" s="152" t="s">
        <v>1455</v>
      </c>
      <c r="D1614" s="153" t="s">
        <v>125</v>
      </c>
      <c r="E1614" s="130" t="s">
        <v>1456</v>
      </c>
      <c r="F1614" s="171" t="s">
        <v>1646</v>
      </c>
      <c r="G1614" s="171" t="s">
        <v>1646</v>
      </c>
      <c r="H1614" s="171" t="s">
        <v>1646</v>
      </c>
      <c r="I1614" s="171" t="s">
        <v>1646</v>
      </c>
      <c r="J1614" s="132">
        <v>0.9</v>
      </c>
      <c r="K1614" s="133" t="s">
        <v>35</v>
      </c>
      <c r="L1614" s="133" t="s">
        <v>35</v>
      </c>
      <c r="M1614" s="134" t="s">
        <v>35</v>
      </c>
      <c r="N1614" s="133" t="s">
        <v>35</v>
      </c>
      <c r="O1614" s="135">
        <v>0.9</v>
      </c>
      <c r="P1614" s="133" t="s">
        <v>35</v>
      </c>
      <c r="Q1614" s="133" t="s">
        <v>35</v>
      </c>
      <c r="R1614" s="133" t="s">
        <v>35</v>
      </c>
      <c r="S1614" s="133" t="s">
        <v>35</v>
      </c>
      <c r="T1614" s="135">
        <v>0.9</v>
      </c>
      <c r="U1614" s="133" t="s">
        <v>35</v>
      </c>
      <c r="V1614" s="133" t="s">
        <v>35</v>
      </c>
      <c r="W1614" s="133" t="s">
        <v>35</v>
      </c>
      <c r="X1614" s="133" t="s">
        <v>35</v>
      </c>
      <c r="Y1614" s="135">
        <v>0.92</v>
      </c>
      <c r="Z1614" s="135" t="s">
        <v>35</v>
      </c>
      <c r="AA1614" s="135" t="s">
        <v>35</v>
      </c>
      <c r="AB1614" s="135" t="s">
        <v>35</v>
      </c>
      <c r="AC1614" s="135" t="s">
        <v>35</v>
      </c>
      <c r="AD1614" s="135">
        <v>0.92</v>
      </c>
      <c r="AE1614" s="133">
        <v>0.772819472616633</v>
      </c>
      <c r="AF1614" s="133">
        <v>1</v>
      </c>
      <c r="AG1614" s="133">
        <v>1</v>
      </c>
      <c r="AH1614" s="133">
        <v>0.817703461178672</v>
      </c>
      <c r="AI1614" s="135">
        <v>0.92</v>
      </c>
      <c r="AJ1614" s="133" t="s">
        <v>35</v>
      </c>
      <c r="AK1614" s="133" t="s">
        <v>35</v>
      </c>
      <c r="AL1614" s="133" t="s">
        <v>35</v>
      </c>
      <c r="AM1614" s="133" t="s">
        <v>35</v>
      </c>
      <c r="AN1614" s="132">
        <v>0.99</v>
      </c>
      <c r="AO1614" s="137">
        <v>1</v>
      </c>
      <c r="AP1614" s="137">
        <v>1</v>
      </c>
      <c r="AQ1614" s="137">
        <v>1</v>
      </c>
      <c r="AR1614" s="137">
        <v>1</v>
      </c>
      <c r="AS1614" s="158">
        <v>0.110069253262963</v>
      </c>
      <c r="AT1614" s="141" t="s">
        <v>35</v>
      </c>
      <c r="AU1614" s="141" t="s">
        <v>35</v>
      </c>
      <c r="AV1614" s="141" t="s">
        <v>35</v>
      </c>
      <c r="AW1614" s="141" t="s">
        <v>35</v>
      </c>
      <c r="AX1614" s="95"/>
      <c r="AY1614" s="93"/>
    </row>
    <row r="1615" ht="14.5" spans="1:51">
      <c r="A1615" s="91"/>
      <c r="B1615" s="95"/>
      <c r="C1615" s="152" t="s">
        <v>1455</v>
      </c>
      <c r="D1615" s="153" t="s">
        <v>125</v>
      </c>
      <c r="E1615" s="130" t="s">
        <v>1456</v>
      </c>
      <c r="F1615" s="171" t="s">
        <v>1647</v>
      </c>
      <c r="G1615" s="171" t="s">
        <v>1647</v>
      </c>
      <c r="H1615" s="171" t="s">
        <v>1647</v>
      </c>
      <c r="I1615" s="171" t="s">
        <v>1647</v>
      </c>
      <c r="J1615" s="132">
        <v>0.9</v>
      </c>
      <c r="K1615" s="133" t="s">
        <v>35</v>
      </c>
      <c r="L1615" s="133" t="s">
        <v>35</v>
      </c>
      <c r="M1615" s="134" t="s">
        <v>35</v>
      </c>
      <c r="N1615" s="133" t="s">
        <v>35</v>
      </c>
      <c r="O1615" s="135">
        <v>0.9</v>
      </c>
      <c r="P1615" s="133" t="s">
        <v>35</v>
      </c>
      <c r="Q1615" s="133" t="s">
        <v>35</v>
      </c>
      <c r="R1615" s="133" t="s">
        <v>35</v>
      </c>
      <c r="S1615" s="133" t="s">
        <v>35</v>
      </c>
      <c r="T1615" s="135">
        <v>0.9</v>
      </c>
      <c r="U1615" s="133" t="s">
        <v>35</v>
      </c>
      <c r="V1615" s="133" t="s">
        <v>35</v>
      </c>
      <c r="W1615" s="133" t="s">
        <v>35</v>
      </c>
      <c r="X1615" s="133" t="s">
        <v>35</v>
      </c>
      <c r="Y1615" s="135">
        <v>0.92</v>
      </c>
      <c r="Z1615" s="135" t="s">
        <v>35</v>
      </c>
      <c r="AA1615" s="135" t="s">
        <v>35</v>
      </c>
      <c r="AB1615" s="135" t="s">
        <v>35</v>
      </c>
      <c r="AC1615" s="135" t="s">
        <v>35</v>
      </c>
      <c r="AD1615" s="135">
        <v>0.92</v>
      </c>
      <c r="AE1615" s="133">
        <v>0.995698924731183</v>
      </c>
      <c r="AF1615" s="133">
        <v>0.997395833333333</v>
      </c>
      <c r="AG1615" s="133">
        <v>1</v>
      </c>
      <c r="AH1615" s="133">
        <v>0.998698158824623</v>
      </c>
      <c r="AI1615" s="135">
        <v>0.92</v>
      </c>
      <c r="AJ1615" s="133" t="s">
        <v>35</v>
      </c>
      <c r="AK1615" s="133" t="s">
        <v>35</v>
      </c>
      <c r="AL1615" s="133" t="s">
        <v>35</v>
      </c>
      <c r="AM1615" s="133">
        <v>1</v>
      </c>
      <c r="AN1615" s="132">
        <v>0.99</v>
      </c>
      <c r="AO1615" s="137">
        <v>1</v>
      </c>
      <c r="AP1615" s="137">
        <v>1</v>
      </c>
      <c r="AQ1615" s="137">
        <v>1</v>
      </c>
      <c r="AR1615" s="137">
        <v>1</v>
      </c>
      <c r="AS1615" s="158">
        <v>0.110069253262963</v>
      </c>
      <c r="AT1615" s="141" t="s">
        <v>35</v>
      </c>
      <c r="AU1615" s="141" t="s">
        <v>35</v>
      </c>
      <c r="AV1615" s="141" t="s">
        <v>35</v>
      </c>
      <c r="AW1615" s="141" t="s">
        <v>35</v>
      </c>
      <c r="AX1615" s="95"/>
      <c r="AY1615" s="93"/>
    </row>
    <row r="1616" ht="14.5" spans="1:51">
      <c r="A1616" s="91"/>
      <c r="B1616" s="95"/>
      <c r="C1616" s="152" t="s">
        <v>1455</v>
      </c>
      <c r="D1616" s="153" t="s">
        <v>125</v>
      </c>
      <c r="E1616" s="130" t="s">
        <v>1456</v>
      </c>
      <c r="F1616" s="171" t="s">
        <v>1648</v>
      </c>
      <c r="G1616" s="171" t="s">
        <v>1648</v>
      </c>
      <c r="H1616" s="171" t="s">
        <v>1648</v>
      </c>
      <c r="I1616" s="171" t="s">
        <v>1648</v>
      </c>
      <c r="J1616" s="132">
        <v>0.9</v>
      </c>
      <c r="K1616" s="133" t="s">
        <v>35</v>
      </c>
      <c r="L1616" s="133" t="s">
        <v>35</v>
      </c>
      <c r="M1616" s="134" t="s">
        <v>35</v>
      </c>
      <c r="N1616" s="133" t="s">
        <v>35</v>
      </c>
      <c r="O1616" s="135">
        <v>0.9</v>
      </c>
      <c r="P1616" s="133" t="s">
        <v>35</v>
      </c>
      <c r="Q1616" s="133" t="s">
        <v>35</v>
      </c>
      <c r="R1616" s="133" t="s">
        <v>35</v>
      </c>
      <c r="S1616" s="133" t="s">
        <v>35</v>
      </c>
      <c r="T1616" s="135">
        <v>0.9</v>
      </c>
      <c r="U1616" s="133" t="s">
        <v>35</v>
      </c>
      <c r="V1616" s="133" t="s">
        <v>35</v>
      </c>
      <c r="W1616" s="133" t="s">
        <v>35</v>
      </c>
      <c r="X1616" s="133" t="s">
        <v>35</v>
      </c>
      <c r="Y1616" s="135">
        <v>0.92</v>
      </c>
      <c r="Z1616" s="135" t="s">
        <v>35</v>
      </c>
      <c r="AA1616" s="135" t="s">
        <v>35</v>
      </c>
      <c r="AB1616" s="135" t="s">
        <v>35</v>
      </c>
      <c r="AC1616" s="135" t="s">
        <v>35</v>
      </c>
      <c r="AD1616" s="135">
        <v>0.92</v>
      </c>
      <c r="AE1616" s="133">
        <v>1</v>
      </c>
      <c r="AF1616" s="133">
        <v>1</v>
      </c>
      <c r="AG1616" s="133">
        <v>1</v>
      </c>
      <c r="AH1616" s="133">
        <v>0.753913043478261</v>
      </c>
      <c r="AI1616" s="135">
        <v>0.92</v>
      </c>
      <c r="AJ1616" s="133" t="s">
        <v>35</v>
      </c>
      <c r="AK1616" s="133" t="s">
        <v>35</v>
      </c>
      <c r="AL1616" s="133" t="s">
        <v>35</v>
      </c>
      <c r="AM1616" s="133" t="s">
        <v>35</v>
      </c>
      <c r="AN1616" s="132">
        <v>0.99</v>
      </c>
      <c r="AO1616" s="137">
        <v>1</v>
      </c>
      <c r="AP1616" s="137">
        <v>1</v>
      </c>
      <c r="AQ1616" s="137">
        <v>1</v>
      </c>
      <c r="AR1616" s="137">
        <v>1</v>
      </c>
      <c r="AS1616" s="158">
        <v>0.110069253262963</v>
      </c>
      <c r="AT1616" s="141" t="s">
        <v>35</v>
      </c>
      <c r="AU1616" s="141" t="s">
        <v>35</v>
      </c>
      <c r="AV1616" s="141" t="s">
        <v>35</v>
      </c>
      <c r="AW1616" s="141" t="s">
        <v>35</v>
      </c>
      <c r="AX1616" s="95"/>
      <c r="AY1616" s="93"/>
    </row>
    <row r="1617" ht="14.5" spans="1:51">
      <c r="A1617" s="91"/>
      <c r="B1617" s="95"/>
      <c r="C1617" s="152" t="s">
        <v>1455</v>
      </c>
      <c r="D1617" s="153" t="s">
        <v>125</v>
      </c>
      <c r="E1617" s="130" t="s">
        <v>1456</v>
      </c>
      <c r="F1617" s="171" t="s">
        <v>1649</v>
      </c>
      <c r="G1617" s="171" t="s">
        <v>1649</v>
      </c>
      <c r="H1617" s="171" t="s">
        <v>1649</v>
      </c>
      <c r="I1617" s="171" t="s">
        <v>1649</v>
      </c>
      <c r="J1617" s="132">
        <v>0.9</v>
      </c>
      <c r="K1617" s="133" t="s">
        <v>35</v>
      </c>
      <c r="L1617" s="133" t="s">
        <v>35</v>
      </c>
      <c r="M1617" s="134" t="s">
        <v>35</v>
      </c>
      <c r="N1617" s="133" t="s">
        <v>35</v>
      </c>
      <c r="O1617" s="135">
        <v>0.9</v>
      </c>
      <c r="P1617" s="133" t="s">
        <v>35</v>
      </c>
      <c r="Q1617" s="133" t="s">
        <v>35</v>
      </c>
      <c r="R1617" s="133" t="s">
        <v>35</v>
      </c>
      <c r="S1617" s="133" t="s">
        <v>35</v>
      </c>
      <c r="T1617" s="135">
        <v>0.9</v>
      </c>
      <c r="U1617" s="133" t="s">
        <v>35</v>
      </c>
      <c r="V1617" s="133" t="s">
        <v>35</v>
      </c>
      <c r="W1617" s="133" t="s">
        <v>35</v>
      </c>
      <c r="X1617" s="133" t="s">
        <v>35</v>
      </c>
      <c r="Y1617" s="135">
        <v>0.92</v>
      </c>
      <c r="Z1617" s="135" t="s">
        <v>35</v>
      </c>
      <c r="AA1617" s="135" t="s">
        <v>35</v>
      </c>
      <c r="AB1617" s="135" t="s">
        <v>35</v>
      </c>
      <c r="AC1617" s="135" t="s">
        <v>35</v>
      </c>
      <c r="AD1617" s="135">
        <v>0.92</v>
      </c>
      <c r="AE1617" s="133">
        <v>1</v>
      </c>
      <c r="AF1617" s="133">
        <v>1</v>
      </c>
      <c r="AG1617" s="133">
        <v>1</v>
      </c>
      <c r="AH1617" s="133">
        <v>0.998629667694416</v>
      </c>
      <c r="AI1617" s="135">
        <v>0.92</v>
      </c>
      <c r="AJ1617" s="133" t="s">
        <v>35</v>
      </c>
      <c r="AK1617" s="133" t="s">
        <v>35</v>
      </c>
      <c r="AL1617" s="133" t="s">
        <v>35</v>
      </c>
      <c r="AM1617" s="133" t="s">
        <v>35</v>
      </c>
      <c r="AN1617" s="132">
        <v>0.99</v>
      </c>
      <c r="AO1617" s="137">
        <v>1</v>
      </c>
      <c r="AP1617" s="137">
        <v>1</v>
      </c>
      <c r="AQ1617" s="137">
        <v>1</v>
      </c>
      <c r="AR1617" s="137">
        <v>1</v>
      </c>
      <c r="AS1617" s="158">
        <v>0.110069253262963</v>
      </c>
      <c r="AT1617" s="141" t="s">
        <v>35</v>
      </c>
      <c r="AU1617" s="141" t="s">
        <v>35</v>
      </c>
      <c r="AV1617" s="141" t="s">
        <v>35</v>
      </c>
      <c r="AW1617" s="141" t="s">
        <v>35</v>
      </c>
      <c r="AX1617" s="95"/>
      <c r="AY1617" s="93"/>
    </row>
    <row r="1618" ht="14.5" spans="1:51">
      <c r="A1618" s="91"/>
      <c r="B1618" s="95"/>
      <c r="C1618" s="152" t="s">
        <v>1455</v>
      </c>
      <c r="D1618" s="153" t="s">
        <v>125</v>
      </c>
      <c r="E1618" s="130" t="s">
        <v>1456</v>
      </c>
      <c r="F1618" s="171" t="s">
        <v>1650</v>
      </c>
      <c r="G1618" s="171" t="s">
        <v>1650</v>
      </c>
      <c r="H1618" s="171" t="s">
        <v>1650</v>
      </c>
      <c r="I1618" s="171" t="s">
        <v>1650</v>
      </c>
      <c r="J1618" s="132">
        <v>0.9</v>
      </c>
      <c r="K1618" s="133" t="s">
        <v>35</v>
      </c>
      <c r="L1618" s="133" t="s">
        <v>35</v>
      </c>
      <c r="M1618" s="134" t="s">
        <v>35</v>
      </c>
      <c r="N1618" s="133" t="s">
        <v>35</v>
      </c>
      <c r="O1618" s="135">
        <v>0.9</v>
      </c>
      <c r="P1618" s="133" t="s">
        <v>35</v>
      </c>
      <c r="Q1618" s="133" t="s">
        <v>35</v>
      </c>
      <c r="R1618" s="133" t="s">
        <v>35</v>
      </c>
      <c r="S1618" s="133">
        <v>0</v>
      </c>
      <c r="T1618" s="135">
        <v>0.9</v>
      </c>
      <c r="U1618" s="133" t="s">
        <v>35</v>
      </c>
      <c r="V1618" s="133" t="s">
        <v>35</v>
      </c>
      <c r="W1618" s="133" t="s">
        <v>35</v>
      </c>
      <c r="X1618" s="133">
        <v>1</v>
      </c>
      <c r="Y1618" s="135">
        <v>0.92</v>
      </c>
      <c r="Z1618" s="135" t="s">
        <v>35</v>
      </c>
      <c r="AA1618" s="135" t="s">
        <v>35</v>
      </c>
      <c r="AB1618" s="135" t="s">
        <v>35</v>
      </c>
      <c r="AC1618" s="135" t="s">
        <v>35</v>
      </c>
      <c r="AD1618" s="135">
        <v>0.92</v>
      </c>
      <c r="AE1618" s="133">
        <v>0.933962264150943</v>
      </c>
      <c r="AF1618" s="133">
        <v>0.971153846153846</v>
      </c>
      <c r="AG1618" s="133">
        <v>1</v>
      </c>
      <c r="AH1618" s="133">
        <v>0.990038831673139</v>
      </c>
      <c r="AI1618" s="135">
        <v>0.92</v>
      </c>
      <c r="AJ1618" s="133" t="s">
        <v>35</v>
      </c>
      <c r="AK1618" s="133" t="s">
        <v>35</v>
      </c>
      <c r="AL1618" s="133" t="s">
        <v>35</v>
      </c>
      <c r="AM1618" s="133">
        <v>0.5</v>
      </c>
      <c r="AN1618" s="132">
        <v>0.99</v>
      </c>
      <c r="AO1618" s="137">
        <v>1</v>
      </c>
      <c r="AP1618" s="137">
        <v>1</v>
      </c>
      <c r="AQ1618" s="137">
        <v>1</v>
      </c>
      <c r="AR1618" s="137">
        <v>1</v>
      </c>
      <c r="AS1618" s="158">
        <v>0.110069253262963</v>
      </c>
      <c r="AT1618" s="141" t="s">
        <v>35</v>
      </c>
      <c r="AU1618" s="141" t="s">
        <v>35</v>
      </c>
      <c r="AV1618" s="141" t="s">
        <v>35</v>
      </c>
      <c r="AW1618" s="141" t="s">
        <v>35</v>
      </c>
      <c r="AX1618" s="95"/>
      <c r="AY1618" s="93"/>
    </row>
    <row r="1619" ht="14.5" spans="1:51">
      <c r="A1619" s="91"/>
      <c r="B1619" s="95"/>
      <c r="C1619" s="152" t="s">
        <v>1455</v>
      </c>
      <c r="D1619" s="153" t="s">
        <v>25</v>
      </c>
      <c r="E1619" s="130" t="s">
        <v>1456</v>
      </c>
      <c r="F1619" s="171" t="s">
        <v>1651</v>
      </c>
      <c r="G1619" s="171" t="s">
        <v>1651</v>
      </c>
      <c r="H1619" s="171" t="s">
        <v>1651</v>
      </c>
      <c r="I1619" s="171" t="s">
        <v>1651</v>
      </c>
      <c r="J1619" s="132">
        <v>0.9</v>
      </c>
      <c r="K1619" s="133">
        <v>0.978260869565217</v>
      </c>
      <c r="L1619" s="133">
        <v>0.953488372093023</v>
      </c>
      <c r="M1619" s="134">
        <v>1</v>
      </c>
      <c r="N1619" s="133">
        <v>0.972222222222222</v>
      </c>
      <c r="O1619" s="135">
        <v>0.9</v>
      </c>
      <c r="P1619" s="133">
        <v>0.960443938531588</v>
      </c>
      <c r="Q1619" s="133">
        <v>0.921065375302663</v>
      </c>
      <c r="R1619" s="133">
        <v>0.966655324940456</v>
      </c>
      <c r="S1619" s="133">
        <v>0.952713706775745</v>
      </c>
      <c r="T1619" s="135">
        <v>0.9</v>
      </c>
      <c r="U1619" s="133">
        <v>0.542117245304496</v>
      </c>
      <c r="V1619" s="133">
        <v>0.527360774818402</v>
      </c>
      <c r="W1619" s="133">
        <v>0.525689009867302</v>
      </c>
      <c r="X1619" s="133">
        <v>0.540771881983108</v>
      </c>
      <c r="Y1619" s="135">
        <v>0.92</v>
      </c>
      <c r="Z1619" s="135">
        <v>0.833622183708839</v>
      </c>
      <c r="AA1619" s="135">
        <v>0.877147319104633</v>
      </c>
      <c r="AB1619" s="135">
        <v>0.906965871902758</v>
      </c>
      <c r="AC1619" s="135">
        <v>0.868351371500553</v>
      </c>
      <c r="AD1619" s="135">
        <v>0.92</v>
      </c>
      <c r="AE1619" s="133">
        <v>1</v>
      </c>
      <c r="AF1619" s="133">
        <v>0.0308641975308642</v>
      </c>
      <c r="AG1619" s="133">
        <v>0.992805755395683</v>
      </c>
      <c r="AH1619" s="133">
        <v>0.776038121170865</v>
      </c>
      <c r="AI1619" s="135">
        <v>0.92</v>
      </c>
      <c r="AJ1619" s="133">
        <v>0.905955441302485</v>
      </c>
      <c r="AK1619" s="133">
        <v>0.89992475545523</v>
      </c>
      <c r="AL1619" s="133">
        <v>0.926560346524906</v>
      </c>
      <c r="AM1619" s="133">
        <v>0.91071019785251</v>
      </c>
      <c r="AN1619" s="132">
        <v>0.99</v>
      </c>
      <c r="AO1619" s="137" t="s">
        <v>35</v>
      </c>
      <c r="AP1619" s="137">
        <v>1</v>
      </c>
      <c r="AQ1619" s="137">
        <v>1</v>
      </c>
      <c r="AR1619" s="137">
        <v>1</v>
      </c>
      <c r="AS1619" s="158">
        <v>0.110069253262963</v>
      </c>
      <c r="AT1619" s="141">
        <v>0.130434782608696</v>
      </c>
      <c r="AU1619" s="141">
        <v>0.037037037037037</v>
      </c>
      <c r="AV1619" s="141">
        <v>0.138888888888889</v>
      </c>
      <c r="AW1619" s="141">
        <v>0.100189035916824</v>
      </c>
      <c r="AX1619" s="95"/>
      <c r="AY1619" s="93"/>
    </row>
    <row r="1620" ht="14.5" spans="1:51">
      <c r="A1620" s="91"/>
      <c r="B1620" s="95"/>
      <c r="C1620" s="152" t="s">
        <v>1455</v>
      </c>
      <c r="D1620" s="153" t="s">
        <v>125</v>
      </c>
      <c r="E1620" s="130" t="s">
        <v>1456</v>
      </c>
      <c r="F1620" s="171" t="s">
        <v>1652</v>
      </c>
      <c r="G1620" s="171" t="s">
        <v>1652</v>
      </c>
      <c r="H1620" s="171" t="s">
        <v>1652</v>
      </c>
      <c r="I1620" s="171" t="s">
        <v>1652</v>
      </c>
      <c r="J1620" s="132">
        <v>0.9</v>
      </c>
      <c r="K1620" s="133" t="s">
        <v>35</v>
      </c>
      <c r="L1620" s="133" t="s">
        <v>35</v>
      </c>
      <c r="M1620" s="134" t="s">
        <v>35</v>
      </c>
      <c r="N1620" s="133" t="s">
        <v>35</v>
      </c>
      <c r="O1620" s="135">
        <v>0.9</v>
      </c>
      <c r="P1620" s="133" t="s">
        <v>35</v>
      </c>
      <c r="Q1620" s="133">
        <v>0</v>
      </c>
      <c r="R1620" s="133" t="s">
        <v>35</v>
      </c>
      <c r="S1620" s="133">
        <v>0</v>
      </c>
      <c r="T1620" s="135">
        <v>0.9</v>
      </c>
      <c r="U1620" s="133" t="s">
        <v>35</v>
      </c>
      <c r="V1620" s="133">
        <v>1</v>
      </c>
      <c r="W1620" s="133" t="s">
        <v>35</v>
      </c>
      <c r="X1620" s="133">
        <v>1</v>
      </c>
      <c r="Y1620" s="135">
        <v>0.92</v>
      </c>
      <c r="Z1620" s="135" t="s">
        <v>35</v>
      </c>
      <c r="AA1620" s="135" t="s">
        <v>35</v>
      </c>
      <c r="AB1620" s="135" t="s">
        <v>35</v>
      </c>
      <c r="AC1620" s="135" t="s">
        <v>35</v>
      </c>
      <c r="AD1620" s="135">
        <v>0.92</v>
      </c>
      <c r="AE1620" s="133">
        <v>0.984375</v>
      </c>
      <c r="AF1620" s="133">
        <v>0.985239852398524</v>
      </c>
      <c r="AG1620" s="133">
        <v>0.805309734513274</v>
      </c>
      <c r="AH1620" s="133">
        <v>0.893063583815029</v>
      </c>
      <c r="AI1620" s="135">
        <v>0.92</v>
      </c>
      <c r="AJ1620" s="133" t="s">
        <v>35</v>
      </c>
      <c r="AK1620" s="133">
        <v>1</v>
      </c>
      <c r="AL1620" s="133" t="s">
        <v>35</v>
      </c>
      <c r="AM1620" s="133">
        <v>1</v>
      </c>
      <c r="AN1620" s="132">
        <v>0.99</v>
      </c>
      <c r="AO1620" s="137">
        <v>1</v>
      </c>
      <c r="AP1620" s="137">
        <v>1</v>
      </c>
      <c r="AQ1620" s="137">
        <v>1</v>
      </c>
      <c r="AR1620" s="137">
        <v>1</v>
      </c>
      <c r="AS1620" s="158">
        <v>0.110069253262963</v>
      </c>
      <c r="AT1620" s="141" t="s">
        <v>35</v>
      </c>
      <c r="AU1620" s="141" t="s">
        <v>35</v>
      </c>
      <c r="AV1620" s="141" t="s">
        <v>35</v>
      </c>
      <c r="AW1620" s="141" t="s">
        <v>35</v>
      </c>
      <c r="AX1620" s="95"/>
      <c r="AY1620" s="93"/>
    </row>
    <row r="1621" ht="14.5" spans="1:51">
      <c r="A1621" s="91"/>
      <c r="B1621" s="95"/>
      <c r="C1621" s="152" t="s">
        <v>1455</v>
      </c>
      <c r="D1621" s="153" t="s">
        <v>125</v>
      </c>
      <c r="E1621" s="130" t="s">
        <v>1456</v>
      </c>
      <c r="F1621" s="171" t="s">
        <v>1653</v>
      </c>
      <c r="G1621" s="171" t="s">
        <v>1653</v>
      </c>
      <c r="H1621" s="171" t="s">
        <v>1653</v>
      </c>
      <c r="I1621" s="171" t="s">
        <v>1653</v>
      </c>
      <c r="J1621" s="132">
        <v>0.9</v>
      </c>
      <c r="K1621" s="133" t="s">
        <v>35</v>
      </c>
      <c r="L1621" s="133" t="s">
        <v>35</v>
      </c>
      <c r="M1621" s="134" t="s">
        <v>35</v>
      </c>
      <c r="N1621" s="133" t="s">
        <v>35</v>
      </c>
      <c r="O1621" s="135">
        <v>0.9</v>
      </c>
      <c r="P1621" s="133" t="s">
        <v>35</v>
      </c>
      <c r="Q1621" s="133" t="s">
        <v>35</v>
      </c>
      <c r="R1621" s="133" t="s">
        <v>35</v>
      </c>
      <c r="S1621" s="133" t="s">
        <v>35</v>
      </c>
      <c r="T1621" s="135">
        <v>0.9</v>
      </c>
      <c r="U1621" s="133" t="s">
        <v>35</v>
      </c>
      <c r="V1621" s="133" t="s">
        <v>35</v>
      </c>
      <c r="W1621" s="133" t="s">
        <v>35</v>
      </c>
      <c r="X1621" s="133" t="s">
        <v>35</v>
      </c>
      <c r="Y1621" s="135">
        <v>0.92</v>
      </c>
      <c r="Z1621" s="135" t="s">
        <v>35</v>
      </c>
      <c r="AA1621" s="135" t="s">
        <v>35</v>
      </c>
      <c r="AB1621" s="135" t="s">
        <v>35</v>
      </c>
      <c r="AC1621" s="135" t="s">
        <v>35</v>
      </c>
      <c r="AD1621" s="135">
        <v>0.92</v>
      </c>
      <c r="AE1621" s="133">
        <v>1</v>
      </c>
      <c r="AF1621" s="133">
        <v>1</v>
      </c>
      <c r="AG1621" s="133">
        <v>1</v>
      </c>
      <c r="AH1621" s="133">
        <v>0.989988221436985</v>
      </c>
      <c r="AI1621" s="135">
        <v>0.92</v>
      </c>
      <c r="AJ1621" s="133" t="s">
        <v>35</v>
      </c>
      <c r="AK1621" s="133" t="s">
        <v>35</v>
      </c>
      <c r="AL1621" s="133" t="s">
        <v>35</v>
      </c>
      <c r="AM1621" s="133" t="s">
        <v>35</v>
      </c>
      <c r="AN1621" s="132">
        <v>0.99</v>
      </c>
      <c r="AO1621" s="137" t="s">
        <v>35</v>
      </c>
      <c r="AP1621" s="137">
        <v>1</v>
      </c>
      <c r="AQ1621" s="137">
        <v>1</v>
      </c>
      <c r="AR1621" s="137">
        <v>1</v>
      </c>
      <c r="AS1621" s="158">
        <v>0.110069253262963</v>
      </c>
      <c r="AT1621" s="141" t="s">
        <v>35</v>
      </c>
      <c r="AU1621" s="141" t="s">
        <v>35</v>
      </c>
      <c r="AV1621" s="141" t="s">
        <v>35</v>
      </c>
      <c r="AW1621" s="141" t="s">
        <v>35</v>
      </c>
      <c r="AX1621" s="95"/>
      <c r="AY1621" s="93"/>
    </row>
    <row r="1622" ht="14.5" spans="1:51">
      <c r="A1622" s="91"/>
      <c r="B1622" s="95"/>
      <c r="C1622" s="152" t="s">
        <v>1455</v>
      </c>
      <c r="D1622" s="153" t="s">
        <v>125</v>
      </c>
      <c r="E1622" s="130" t="s">
        <v>1456</v>
      </c>
      <c r="F1622" s="171" t="s">
        <v>1654</v>
      </c>
      <c r="G1622" s="171" t="s">
        <v>1654</v>
      </c>
      <c r="H1622" s="171" t="s">
        <v>1654</v>
      </c>
      <c r="I1622" s="171" t="s">
        <v>1654</v>
      </c>
      <c r="J1622" s="132">
        <v>0.9</v>
      </c>
      <c r="K1622" s="133" t="s">
        <v>35</v>
      </c>
      <c r="L1622" s="133" t="s">
        <v>35</v>
      </c>
      <c r="M1622" s="134" t="s">
        <v>35</v>
      </c>
      <c r="N1622" s="133" t="s">
        <v>35</v>
      </c>
      <c r="O1622" s="135">
        <v>0.9</v>
      </c>
      <c r="P1622" s="133" t="s">
        <v>35</v>
      </c>
      <c r="Q1622" s="133">
        <v>0</v>
      </c>
      <c r="R1622" s="133">
        <v>0</v>
      </c>
      <c r="S1622" s="133">
        <v>0</v>
      </c>
      <c r="T1622" s="135">
        <v>0.9</v>
      </c>
      <c r="U1622" s="133" t="s">
        <v>35</v>
      </c>
      <c r="V1622" s="133">
        <v>1</v>
      </c>
      <c r="W1622" s="133">
        <v>1</v>
      </c>
      <c r="X1622" s="133">
        <v>1</v>
      </c>
      <c r="Y1622" s="135">
        <v>0.92</v>
      </c>
      <c r="Z1622" s="135" t="s">
        <v>35</v>
      </c>
      <c r="AA1622" s="135" t="s">
        <v>35</v>
      </c>
      <c r="AB1622" s="135" t="s">
        <v>35</v>
      </c>
      <c r="AC1622" s="135">
        <v>1</v>
      </c>
      <c r="AD1622" s="135">
        <v>0.92</v>
      </c>
      <c r="AE1622" s="133">
        <v>0.983870967741935</v>
      </c>
      <c r="AF1622" s="133">
        <v>0.995525727069351</v>
      </c>
      <c r="AG1622" s="133">
        <v>1</v>
      </c>
      <c r="AH1622" s="133">
        <v>0.997502247976821</v>
      </c>
      <c r="AI1622" s="135">
        <v>0.92</v>
      </c>
      <c r="AJ1622" s="133" t="s">
        <v>35</v>
      </c>
      <c r="AK1622" s="133">
        <v>1</v>
      </c>
      <c r="AL1622" s="133">
        <v>1</v>
      </c>
      <c r="AM1622" s="133">
        <v>1</v>
      </c>
      <c r="AN1622" s="132">
        <v>0.99</v>
      </c>
      <c r="AO1622" s="137">
        <v>1</v>
      </c>
      <c r="AP1622" s="137">
        <v>1</v>
      </c>
      <c r="AQ1622" s="137">
        <v>1</v>
      </c>
      <c r="AR1622" s="137">
        <v>1</v>
      </c>
      <c r="AS1622" s="158">
        <v>0.110069253262963</v>
      </c>
      <c r="AT1622" s="141" t="s">
        <v>35</v>
      </c>
      <c r="AU1622" s="141" t="s">
        <v>35</v>
      </c>
      <c r="AV1622" s="141" t="s">
        <v>35</v>
      </c>
      <c r="AW1622" s="141" t="s">
        <v>35</v>
      </c>
      <c r="AX1622" s="95"/>
      <c r="AY1622" s="93"/>
    </row>
    <row r="1623" ht="14.5" spans="1:51">
      <c r="A1623" s="91"/>
      <c r="B1623" s="95"/>
      <c r="C1623" s="152" t="s">
        <v>1455</v>
      </c>
      <c r="D1623" s="153" t="s">
        <v>25</v>
      </c>
      <c r="E1623" s="130" t="s">
        <v>1456</v>
      </c>
      <c r="F1623" s="171" t="s">
        <v>1655</v>
      </c>
      <c r="G1623" s="171" t="s">
        <v>1655</v>
      </c>
      <c r="H1623" s="171" t="s">
        <v>1655</v>
      </c>
      <c r="I1623" s="171" t="s">
        <v>1655</v>
      </c>
      <c r="J1623" s="132">
        <v>0.9</v>
      </c>
      <c r="K1623" s="133">
        <v>0.935483870967742</v>
      </c>
      <c r="L1623" s="133">
        <v>0.9</v>
      </c>
      <c r="M1623" s="134">
        <v>1</v>
      </c>
      <c r="N1623" s="133">
        <v>0.944741532976827</v>
      </c>
      <c r="O1623" s="135">
        <v>0.9</v>
      </c>
      <c r="P1623" s="133">
        <v>0.995870967741936</v>
      </c>
      <c r="Q1623" s="133">
        <v>0.899179620034542</v>
      </c>
      <c r="R1623" s="133">
        <v>0.905311223263639</v>
      </c>
      <c r="S1623" s="133">
        <v>0.905282177239491</v>
      </c>
      <c r="T1623" s="135">
        <v>0.9</v>
      </c>
      <c r="U1623" s="133">
        <v>0.974967741935484</v>
      </c>
      <c r="V1623" s="133">
        <v>0.974309153713299</v>
      </c>
      <c r="W1623" s="133">
        <v>0.991588560442201</v>
      </c>
      <c r="X1623" s="133">
        <v>0.989286016769713</v>
      </c>
      <c r="Y1623" s="135">
        <v>0.92</v>
      </c>
      <c r="Z1623" s="135">
        <v>0.111111111111111</v>
      </c>
      <c r="AA1623" s="135">
        <v>0</v>
      </c>
      <c r="AB1623" s="135">
        <v>0.0909090909090909</v>
      </c>
      <c r="AC1623" s="135">
        <v>0.41726618705036</v>
      </c>
      <c r="AD1623" s="135">
        <v>0.92</v>
      </c>
      <c r="AE1623" s="133">
        <v>0.0277777777777778</v>
      </c>
      <c r="AF1623" s="133">
        <v>0.133333333333333</v>
      </c>
      <c r="AG1623" s="133">
        <v>1</v>
      </c>
      <c r="AH1623" s="133">
        <v>0.336065573770492</v>
      </c>
      <c r="AI1623" s="135">
        <v>0.92</v>
      </c>
      <c r="AJ1623" s="133">
        <v>0.981977342945417</v>
      </c>
      <c r="AK1623" s="133">
        <v>0.982747466034074</v>
      </c>
      <c r="AL1623" s="133">
        <v>0.991135601341639</v>
      </c>
      <c r="AM1623" s="133">
        <v>0.992900408508241</v>
      </c>
      <c r="AN1623" s="132">
        <v>0.99</v>
      </c>
      <c r="AO1623" s="137">
        <v>1</v>
      </c>
      <c r="AP1623" s="137">
        <v>1</v>
      </c>
      <c r="AQ1623" s="137">
        <v>1</v>
      </c>
      <c r="AR1623" s="137">
        <v>1</v>
      </c>
      <c r="AS1623" s="158">
        <v>0.110069253262963</v>
      </c>
      <c r="AT1623" s="141">
        <v>0.0833333333333333</v>
      </c>
      <c r="AU1623" s="141">
        <v>0.0833333333333333</v>
      </c>
      <c r="AV1623" s="141">
        <v>0.1</v>
      </c>
      <c r="AW1623" s="141">
        <v>0.0650557620817844</v>
      </c>
      <c r="AX1623" s="95"/>
      <c r="AY1623" s="93"/>
    </row>
    <row r="1624" ht="14.5" spans="1:51">
      <c r="A1624" s="91"/>
      <c r="B1624" s="95"/>
      <c r="C1624" s="152" t="s">
        <v>1455</v>
      </c>
      <c r="D1624" s="153" t="s">
        <v>125</v>
      </c>
      <c r="E1624" s="130" t="s">
        <v>1456</v>
      </c>
      <c r="F1624" s="171" t="s">
        <v>1656</v>
      </c>
      <c r="G1624" s="171" t="s">
        <v>1656</v>
      </c>
      <c r="H1624" s="171" t="s">
        <v>1656</v>
      </c>
      <c r="I1624" s="171" t="s">
        <v>1656</v>
      </c>
      <c r="J1624" s="132">
        <v>0.9</v>
      </c>
      <c r="K1624" s="133" t="s">
        <v>35</v>
      </c>
      <c r="L1624" s="133" t="s">
        <v>35</v>
      </c>
      <c r="M1624" s="134" t="s">
        <v>35</v>
      </c>
      <c r="N1624" s="133" t="s">
        <v>35</v>
      </c>
      <c r="O1624" s="135">
        <v>0.9</v>
      </c>
      <c r="P1624" s="133">
        <v>0</v>
      </c>
      <c r="Q1624" s="133" t="s">
        <v>35</v>
      </c>
      <c r="R1624" s="133" t="s">
        <v>35</v>
      </c>
      <c r="S1624" s="133">
        <v>0</v>
      </c>
      <c r="T1624" s="135">
        <v>0.9</v>
      </c>
      <c r="U1624" s="133">
        <v>0</v>
      </c>
      <c r="V1624" s="133" t="s">
        <v>35</v>
      </c>
      <c r="W1624" s="133" t="s">
        <v>35</v>
      </c>
      <c r="X1624" s="133">
        <v>0.5</v>
      </c>
      <c r="Y1624" s="135">
        <v>0.92</v>
      </c>
      <c r="Z1624" s="135" t="s">
        <v>35</v>
      </c>
      <c r="AA1624" s="135" t="s">
        <v>35</v>
      </c>
      <c r="AB1624" s="135" t="s">
        <v>35</v>
      </c>
      <c r="AC1624" s="135" t="s">
        <v>35</v>
      </c>
      <c r="AD1624" s="135">
        <v>0.92</v>
      </c>
      <c r="AE1624" s="133">
        <v>1</v>
      </c>
      <c r="AF1624" s="133">
        <v>1</v>
      </c>
      <c r="AG1624" s="133">
        <v>1</v>
      </c>
      <c r="AH1624" s="133">
        <v>0.977492877492877</v>
      </c>
      <c r="AI1624" s="135">
        <v>0.92</v>
      </c>
      <c r="AJ1624" s="133">
        <v>0</v>
      </c>
      <c r="AK1624" s="133" t="s">
        <v>35</v>
      </c>
      <c r="AL1624" s="133" t="s">
        <v>35</v>
      </c>
      <c r="AM1624" s="133">
        <v>0.666666666666667</v>
      </c>
      <c r="AN1624" s="132">
        <v>0.99</v>
      </c>
      <c r="AO1624" s="137">
        <v>1</v>
      </c>
      <c r="AP1624" s="137">
        <v>1</v>
      </c>
      <c r="AQ1624" s="137">
        <v>1</v>
      </c>
      <c r="AR1624" s="137">
        <v>1</v>
      </c>
      <c r="AS1624" s="158">
        <v>0.110069253262963</v>
      </c>
      <c r="AT1624" s="141" t="s">
        <v>35</v>
      </c>
      <c r="AU1624" s="141" t="s">
        <v>35</v>
      </c>
      <c r="AV1624" s="141" t="s">
        <v>35</v>
      </c>
      <c r="AW1624" s="141" t="s">
        <v>35</v>
      </c>
      <c r="AX1624" s="95"/>
      <c r="AY1624" s="93"/>
    </row>
    <row r="1625" ht="14.5" spans="1:51">
      <c r="A1625" s="91"/>
      <c r="B1625" s="95"/>
      <c r="C1625" s="152" t="s">
        <v>1455</v>
      </c>
      <c r="D1625" s="153" t="s">
        <v>125</v>
      </c>
      <c r="E1625" s="130" t="s">
        <v>1456</v>
      </c>
      <c r="F1625" s="171" t="s">
        <v>1657</v>
      </c>
      <c r="G1625" s="171" t="s">
        <v>1657</v>
      </c>
      <c r="H1625" s="171" t="s">
        <v>1657</v>
      </c>
      <c r="I1625" s="171" t="s">
        <v>1657</v>
      </c>
      <c r="J1625" s="132">
        <v>0.9</v>
      </c>
      <c r="K1625" s="133" t="s">
        <v>35</v>
      </c>
      <c r="L1625" s="133" t="s">
        <v>35</v>
      </c>
      <c r="M1625" s="134" t="s">
        <v>35</v>
      </c>
      <c r="N1625" s="133" t="s">
        <v>35</v>
      </c>
      <c r="O1625" s="135">
        <v>0.9</v>
      </c>
      <c r="P1625" s="133" t="s">
        <v>35</v>
      </c>
      <c r="Q1625" s="133">
        <v>0</v>
      </c>
      <c r="R1625" s="133">
        <v>0</v>
      </c>
      <c r="S1625" s="133">
        <v>0</v>
      </c>
      <c r="T1625" s="135">
        <v>0.9</v>
      </c>
      <c r="U1625" s="133" t="s">
        <v>35</v>
      </c>
      <c r="V1625" s="133">
        <v>0</v>
      </c>
      <c r="W1625" s="133">
        <v>1</v>
      </c>
      <c r="X1625" s="133">
        <v>0.8</v>
      </c>
      <c r="Y1625" s="135">
        <v>0.92</v>
      </c>
      <c r="Z1625" s="135" t="s">
        <v>35</v>
      </c>
      <c r="AA1625" s="135" t="s">
        <v>35</v>
      </c>
      <c r="AB1625" s="135" t="s">
        <v>35</v>
      </c>
      <c r="AC1625" s="135" t="s">
        <v>35</v>
      </c>
      <c r="AD1625" s="135">
        <v>0.92</v>
      </c>
      <c r="AE1625" s="133">
        <v>1</v>
      </c>
      <c r="AF1625" s="133">
        <v>0.990338164251208</v>
      </c>
      <c r="AG1625" s="133">
        <v>0.986062717770035</v>
      </c>
      <c r="AH1625" s="133">
        <v>0.982765780730897</v>
      </c>
      <c r="AI1625" s="135">
        <v>0.92</v>
      </c>
      <c r="AJ1625" s="133" t="s">
        <v>35</v>
      </c>
      <c r="AK1625" s="133">
        <v>0</v>
      </c>
      <c r="AL1625" s="133">
        <v>1</v>
      </c>
      <c r="AM1625" s="133">
        <v>0.8</v>
      </c>
      <c r="AN1625" s="132">
        <v>0.99</v>
      </c>
      <c r="AO1625" s="137">
        <v>1</v>
      </c>
      <c r="AP1625" s="137">
        <v>1</v>
      </c>
      <c r="AQ1625" s="137">
        <v>1</v>
      </c>
      <c r="AR1625" s="137">
        <v>1</v>
      </c>
      <c r="AS1625" s="158">
        <v>0.110069253262963</v>
      </c>
      <c r="AT1625" s="141" t="s">
        <v>35</v>
      </c>
      <c r="AU1625" s="141" t="s">
        <v>35</v>
      </c>
      <c r="AV1625" s="141" t="s">
        <v>35</v>
      </c>
      <c r="AW1625" s="141" t="s">
        <v>35</v>
      </c>
      <c r="AX1625" s="95"/>
      <c r="AY1625" s="93"/>
    </row>
    <row r="1626" ht="14.5" spans="1:51">
      <c r="A1626" s="91"/>
      <c r="B1626" s="95"/>
      <c r="C1626" s="152" t="s">
        <v>1455</v>
      </c>
      <c r="D1626" s="153" t="s">
        <v>125</v>
      </c>
      <c r="E1626" s="130" t="s">
        <v>1456</v>
      </c>
      <c r="F1626" s="171" t="s">
        <v>1658</v>
      </c>
      <c r="G1626" s="171" t="s">
        <v>1658</v>
      </c>
      <c r="H1626" s="171" t="s">
        <v>1658</v>
      </c>
      <c r="I1626" s="171" t="s">
        <v>1658</v>
      </c>
      <c r="J1626" s="132">
        <v>0.9</v>
      </c>
      <c r="K1626" s="133" t="s">
        <v>35</v>
      </c>
      <c r="L1626" s="133" t="s">
        <v>35</v>
      </c>
      <c r="M1626" s="134" t="s">
        <v>35</v>
      </c>
      <c r="N1626" s="133" t="s">
        <v>35</v>
      </c>
      <c r="O1626" s="135">
        <v>0.9</v>
      </c>
      <c r="P1626" s="133" t="s">
        <v>35</v>
      </c>
      <c r="Q1626" s="133" t="s">
        <v>35</v>
      </c>
      <c r="R1626" s="133" t="s">
        <v>35</v>
      </c>
      <c r="S1626" s="133">
        <v>0</v>
      </c>
      <c r="T1626" s="135">
        <v>0.9</v>
      </c>
      <c r="U1626" s="133" t="s">
        <v>35</v>
      </c>
      <c r="V1626" s="133" t="s">
        <v>35</v>
      </c>
      <c r="W1626" s="133" t="s">
        <v>35</v>
      </c>
      <c r="X1626" s="133">
        <v>1</v>
      </c>
      <c r="Y1626" s="135">
        <v>0.92</v>
      </c>
      <c r="Z1626" s="135" t="s">
        <v>35</v>
      </c>
      <c r="AA1626" s="135" t="s">
        <v>35</v>
      </c>
      <c r="AB1626" s="135" t="s">
        <v>35</v>
      </c>
      <c r="AC1626" s="135" t="s">
        <v>35</v>
      </c>
      <c r="AD1626" s="135">
        <v>0.92</v>
      </c>
      <c r="AE1626" s="133">
        <v>0.967136150234742</v>
      </c>
      <c r="AF1626" s="133">
        <v>0.95</v>
      </c>
      <c r="AG1626" s="133">
        <v>1</v>
      </c>
      <c r="AH1626" s="133">
        <v>0.990694345025054</v>
      </c>
      <c r="AI1626" s="135">
        <v>0.92</v>
      </c>
      <c r="AJ1626" s="133" t="s">
        <v>35</v>
      </c>
      <c r="AK1626" s="133">
        <v>1</v>
      </c>
      <c r="AL1626" s="133" t="s">
        <v>35</v>
      </c>
      <c r="AM1626" s="133">
        <v>0.875</v>
      </c>
      <c r="AN1626" s="132">
        <v>0.99</v>
      </c>
      <c r="AO1626" s="137">
        <v>1</v>
      </c>
      <c r="AP1626" s="137">
        <v>1</v>
      </c>
      <c r="AQ1626" s="137">
        <v>1</v>
      </c>
      <c r="AR1626" s="137">
        <v>1</v>
      </c>
      <c r="AS1626" s="158">
        <v>0.110069253262963</v>
      </c>
      <c r="AT1626" s="141" t="s">
        <v>35</v>
      </c>
      <c r="AU1626" s="141" t="s">
        <v>35</v>
      </c>
      <c r="AV1626" s="141" t="s">
        <v>35</v>
      </c>
      <c r="AW1626" s="141" t="s">
        <v>35</v>
      </c>
      <c r="AX1626" s="95"/>
      <c r="AY1626" s="93"/>
    </row>
    <row r="1627" ht="14.5" spans="1:51">
      <c r="A1627" s="91"/>
      <c r="B1627" s="95"/>
      <c r="C1627" s="152" t="s">
        <v>1455</v>
      </c>
      <c r="D1627" s="153" t="s">
        <v>125</v>
      </c>
      <c r="E1627" s="130" t="s">
        <v>1456</v>
      </c>
      <c r="F1627" s="171" t="s">
        <v>1659</v>
      </c>
      <c r="G1627" s="171" t="s">
        <v>1659</v>
      </c>
      <c r="H1627" s="171" t="s">
        <v>1659</v>
      </c>
      <c r="I1627" s="171" t="s">
        <v>1659</v>
      </c>
      <c r="J1627" s="132">
        <v>0.9</v>
      </c>
      <c r="K1627" s="133" t="s">
        <v>35</v>
      </c>
      <c r="L1627" s="133" t="s">
        <v>35</v>
      </c>
      <c r="M1627" s="134" t="s">
        <v>35</v>
      </c>
      <c r="N1627" s="133" t="s">
        <v>35</v>
      </c>
      <c r="O1627" s="135">
        <v>0.9</v>
      </c>
      <c r="P1627" s="133">
        <v>0</v>
      </c>
      <c r="Q1627" s="133" t="s">
        <v>35</v>
      </c>
      <c r="R1627" s="133" t="s">
        <v>35</v>
      </c>
      <c r="S1627" s="133">
        <v>0.333333333333333</v>
      </c>
      <c r="T1627" s="135">
        <v>0.9</v>
      </c>
      <c r="U1627" s="133">
        <v>0</v>
      </c>
      <c r="V1627" s="133" t="s">
        <v>35</v>
      </c>
      <c r="W1627" s="133" t="s">
        <v>35</v>
      </c>
      <c r="X1627" s="133">
        <v>0.333333333333333</v>
      </c>
      <c r="Y1627" s="135">
        <v>0.92</v>
      </c>
      <c r="Z1627" s="135" t="s">
        <v>35</v>
      </c>
      <c r="AA1627" s="135" t="s">
        <v>35</v>
      </c>
      <c r="AB1627" s="135" t="s">
        <v>35</v>
      </c>
      <c r="AC1627" s="135" t="s">
        <v>35</v>
      </c>
      <c r="AD1627" s="135">
        <v>0.92</v>
      </c>
      <c r="AE1627" s="133">
        <v>1</v>
      </c>
      <c r="AF1627" s="133">
        <v>0.987012987012987</v>
      </c>
      <c r="AG1627" s="133">
        <v>1</v>
      </c>
      <c r="AH1627" s="133">
        <v>0.991820263932817</v>
      </c>
      <c r="AI1627" s="135">
        <v>0.92</v>
      </c>
      <c r="AJ1627" s="133">
        <v>0</v>
      </c>
      <c r="AK1627" s="133" t="s">
        <v>35</v>
      </c>
      <c r="AL1627" s="133" t="s">
        <v>35</v>
      </c>
      <c r="AM1627" s="133">
        <v>0.333333333333333</v>
      </c>
      <c r="AN1627" s="132">
        <v>0.99</v>
      </c>
      <c r="AO1627" s="137">
        <v>1</v>
      </c>
      <c r="AP1627" s="137">
        <v>1</v>
      </c>
      <c r="AQ1627" s="137">
        <v>1</v>
      </c>
      <c r="AR1627" s="137">
        <v>1</v>
      </c>
      <c r="AS1627" s="158">
        <v>0.110069253262963</v>
      </c>
      <c r="AT1627" s="141" t="s">
        <v>35</v>
      </c>
      <c r="AU1627" s="141" t="s">
        <v>35</v>
      </c>
      <c r="AV1627" s="141" t="s">
        <v>35</v>
      </c>
      <c r="AW1627" s="141" t="s">
        <v>35</v>
      </c>
      <c r="AX1627" s="95"/>
      <c r="AY1627" s="93"/>
    </row>
    <row r="1628" ht="14.5" spans="1:51">
      <c r="A1628" s="91"/>
      <c r="B1628" s="95"/>
      <c r="C1628" s="152" t="s">
        <v>1455</v>
      </c>
      <c r="D1628" s="153" t="s">
        <v>125</v>
      </c>
      <c r="E1628" s="130" t="s">
        <v>1456</v>
      </c>
      <c r="F1628" s="171" t="s">
        <v>1660</v>
      </c>
      <c r="G1628" s="171" t="s">
        <v>1660</v>
      </c>
      <c r="H1628" s="171" t="s">
        <v>1660</v>
      </c>
      <c r="I1628" s="171" t="s">
        <v>1660</v>
      </c>
      <c r="J1628" s="132">
        <v>0.9</v>
      </c>
      <c r="K1628" s="133" t="s">
        <v>35</v>
      </c>
      <c r="L1628" s="133" t="s">
        <v>35</v>
      </c>
      <c r="M1628" s="134" t="s">
        <v>35</v>
      </c>
      <c r="N1628" s="133" t="s">
        <v>35</v>
      </c>
      <c r="O1628" s="135">
        <v>0.9</v>
      </c>
      <c r="P1628" s="133" t="s">
        <v>35</v>
      </c>
      <c r="Q1628" s="133" t="s">
        <v>35</v>
      </c>
      <c r="R1628" s="133" t="s">
        <v>35</v>
      </c>
      <c r="S1628" s="133">
        <v>0</v>
      </c>
      <c r="T1628" s="135">
        <v>0.9</v>
      </c>
      <c r="U1628" s="133" t="s">
        <v>35</v>
      </c>
      <c r="V1628" s="133" t="s">
        <v>35</v>
      </c>
      <c r="W1628" s="133" t="s">
        <v>35</v>
      </c>
      <c r="X1628" s="133">
        <v>0.75</v>
      </c>
      <c r="Y1628" s="135">
        <v>0.92</v>
      </c>
      <c r="Z1628" s="135" t="s">
        <v>35</v>
      </c>
      <c r="AA1628" s="135" t="s">
        <v>35</v>
      </c>
      <c r="AB1628" s="135" t="s">
        <v>35</v>
      </c>
      <c r="AC1628" s="135">
        <v>0</v>
      </c>
      <c r="AD1628" s="135">
        <v>0.92</v>
      </c>
      <c r="AE1628" s="133">
        <v>0.901162790697674</v>
      </c>
      <c r="AF1628" s="133">
        <v>0.922693266832918</v>
      </c>
      <c r="AG1628" s="133">
        <v>0.983758700696056</v>
      </c>
      <c r="AH1628" s="133">
        <v>0.935703084161004</v>
      </c>
      <c r="AI1628" s="135">
        <v>0.92</v>
      </c>
      <c r="AJ1628" s="133" t="s">
        <v>35</v>
      </c>
      <c r="AK1628" s="133">
        <v>0</v>
      </c>
      <c r="AL1628" s="133" t="s">
        <v>35</v>
      </c>
      <c r="AM1628" s="133">
        <v>0.571428571428571</v>
      </c>
      <c r="AN1628" s="132">
        <v>0.99</v>
      </c>
      <c r="AO1628" s="137">
        <v>1</v>
      </c>
      <c r="AP1628" s="137">
        <v>1</v>
      </c>
      <c r="AQ1628" s="137">
        <v>1</v>
      </c>
      <c r="AR1628" s="137">
        <v>1</v>
      </c>
      <c r="AS1628" s="158">
        <v>0.110069253262963</v>
      </c>
      <c r="AT1628" s="141" t="s">
        <v>35</v>
      </c>
      <c r="AU1628" s="141" t="s">
        <v>35</v>
      </c>
      <c r="AV1628" s="141" t="s">
        <v>35</v>
      </c>
      <c r="AW1628" s="141" t="s">
        <v>35</v>
      </c>
      <c r="AX1628" s="95"/>
      <c r="AY1628" s="93"/>
    </row>
    <row r="1629" ht="14.5" spans="1:51">
      <c r="A1629" s="91"/>
      <c r="B1629" s="95"/>
      <c r="C1629" s="152" t="s">
        <v>1455</v>
      </c>
      <c r="D1629" s="153" t="s">
        <v>25</v>
      </c>
      <c r="E1629" s="130" t="s">
        <v>1456</v>
      </c>
      <c r="F1629" s="171" t="s">
        <v>1661</v>
      </c>
      <c r="G1629" s="171" t="s">
        <v>1661</v>
      </c>
      <c r="H1629" s="171" t="s">
        <v>1661</v>
      </c>
      <c r="I1629" s="171" t="s">
        <v>1661</v>
      </c>
      <c r="J1629" s="132">
        <v>0.9</v>
      </c>
      <c r="K1629" s="133">
        <v>0.78125</v>
      </c>
      <c r="L1629" s="133">
        <v>0.814814814814815</v>
      </c>
      <c r="M1629" s="134">
        <v>0.827586206896552</v>
      </c>
      <c r="N1629" s="133">
        <v>0.780392156862745</v>
      </c>
      <c r="O1629" s="135">
        <v>0.9</v>
      </c>
      <c r="P1629" s="133">
        <v>0.977885652642934</v>
      </c>
      <c r="Q1629" s="133">
        <v>0.950039032006245</v>
      </c>
      <c r="R1629" s="133">
        <v>0.964214711729622</v>
      </c>
      <c r="S1629" s="133">
        <v>0.968303313890135</v>
      </c>
      <c r="T1629" s="135">
        <v>0.9</v>
      </c>
      <c r="U1629" s="133">
        <v>0.482740021574973</v>
      </c>
      <c r="V1629" s="133">
        <v>0.405152224824356</v>
      </c>
      <c r="W1629" s="133">
        <v>0.390987408880053</v>
      </c>
      <c r="X1629" s="133">
        <v>0.397314274725979</v>
      </c>
      <c r="Y1629" s="135">
        <v>0.92</v>
      </c>
      <c r="Z1629" s="135">
        <v>0.497282608695652</v>
      </c>
      <c r="AA1629" s="135">
        <v>0.518587360594795</v>
      </c>
      <c r="AB1629" s="135">
        <v>0.607463718037319</v>
      </c>
      <c r="AC1629" s="135">
        <v>0.599283542300162</v>
      </c>
      <c r="AD1629" s="135">
        <v>0.92</v>
      </c>
      <c r="AE1629" s="133">
        <v>1</v>
      </c>
      <c r="AF1629" s="133">
        <v>0.977272727272727</v>
      </c>
      <c r="AG1629" s="133">
        <v>1</v>
      </c>
      <c r="AH1629" s="133">
        <v>0.875851996105161</v>
      </c>
      <c r="AI1629" s="135">
        <v>0.92</v>
      </c>
      <c r="AJ1629" s="133">
        <v>0.655212355212355</v>
      </c>
      <c r="AK1629" s="133">
        <v>0.623249893932966</v>
      </c>
      <c r="AL1629" s="133">
        <v>0.681326116373478</v>
      </c>
      <c r="AM1629" s="133">
        <v>0.685513071185459</v>
      </c>
      <c r="AN1629" s="132">
        <v>0.99</v>
      </c>
      <c r="AO1629" s="137">
        <v>1</v>
      </c>
      <c r="AP1629" s="137" t="s">
        <v>35</v>
      </c>
      <c r="AQ1629" s="137">
        <v>1</v>
      </c>
      <c r="AR1629" s="137">
        <v>1</v>
      </c>
      <c r="AS1629" s="158">
        <v>0.110069253262963</v>
      </c>
      <c r="AT1629" s="141">
        <v>0.0416666666666667</v>
      </c>
      <c r="AU1629" s="141">
        <v>0.2</v>
      </c>
      <c r="AV1629" s="141">
        <v>0.0357142857142857</v>
      </c>
      <c r="AW1629" s="141">
        <v>0.119341563786008</v>
      </c>
      <c r="AX1629" s="95"/>
      <c r="AY1629" s="93"/>
    </row>
    <row r="1630" ht="14.5" spans="1:51">
      <c r="A1630" s="91"/>
      <c r="B1630" s="95"/>
      <c r="C1630" s="152" t="s">
        <v>1455</v>
      </c>
      <c r="D1630" s="153" t="s">
        <v>125</v>
      </c>
      <c r="E1630" s="130" t="s">
        <v>1456</v>
      </c>
      <c r="F1630" s="171" t="s">
        <v>1662</v>
      </c>
      <c r="G1630" s="171" t="s">
        <v>1662</v>
      </c>
      <c r="H1630" s="171" t="s">
        <v>1662</v>
      </c>
      <c r="I1630" s="171" t="s">
        <v>1662</v>
      </c>
      <c r="J1630" s="132">
        <v>0.9</v>
      </c>
      <c r="K1630" s="133" t="s">
        <v>35</v>
      </c>
      <c r="L1630" s="133" t="s">
        <v>35</v>
      </c>
      <c r="M1630" s="134" t="s">
        <v>35</v>
      </c>
      <c r="N1630" s="133" t="s">
        <v>35</v>
      </c>
      <c r="O1630" s="135">
        <v>0.9</v>
      </c>
      <c r="P1630" s="133">
        <v>0</v>
      </c>
      <c r="Q1630" s="133" t="s">
        <v>35</v>
      </c>
      <c r="R1630" s="133">
        <v>0</v>
      </c>
      <c r="S1630" s="133">
        <v>0</v>
      </c>
      <c r="T1630" s="135">
        <v>0.9</v>
      </c>
      <c r="U1630" s="133">
        <v>1</v>
      </c>
      <c r="V1630" s="133" t="s">
        <v>35</v>
      </c>
      <c r="W1630" s="133">
        <v>1</v>
      </c>
      <c r="X1630" s="133">
        <v>1</v>
      </c>
      <c r="Y1630" s="135">
        <v>0.92</v>
      </c>
      <c r="Z1630" s="135" t="s">
        <v>35</v>
      </c>
      <c r="AA1630" s="135" t="s">
        <v>35</v>
      </c>
      <c r="AB1630" s="135" t="s">
        <v>35</v>
      </c>
      <c r="AC1630" s="135">
        <v>0</v>
      </c>
      <c r="AD1630" s="135">
        <v>0.92</v>
      </c>
      <c r="AE1630" s="133">
        <v>1</v>
      </c>
      <c r="AF1630" s="133">
        <v>0.99112426035503</v>
      </c>
      <c r="AG1630" s="133">
        <v>0.991836734693878</v>
      </c>
      <c r="AH1630" s="133">
        <v>0.995952047329908</v>
      </c>
      <c r="AI1630" s="135">
        <v>0.92</v>
      </c>
      <c r="AJ1630" s="133">
        <v>1</v>
      </c>
      <c r="AK1630" s="133" t="s">
        <v>35</v>
      </c>
      <c r="AL1630" s="133">
        <v>1</v>
      </c>
      <c r="AM1630" s="133">
        <v>0.875</v>
      </c>
      <c r="AN1630" s="132">
        <v>0.99</v>
      </c>
      <c r="AO1630" s="137" t="s">
        <v>35</v>
      </c>
      <c r="AP1630" s="137">
        <v>1</v>
      </c>
      <c r="AQ1630" s="137">
        <v>1</v>
      </c>
      <c r="AR1630" s="137">
        <v>1</v>
      </c>
      <c r="AS1630" s="158">
        <v>0.110069253262963</v>
      </c>
      <c r="AT1630" s="141" t="s">
        <v>35</v>
      </c>
      <c r="AU1630" s="141" t="s">
        <v>35</v>
      </c>
      <c r="AV1630" s="141" t="s">
        <v>35</v>
      </c>
      <c r="AW1630" s="141" t="s">
        <v>35</v>
      </c>
      <c r="AX1630" s="95"/>
      <c r="AY1630" s="93"/>
    </row>
    <row r="1631" ht="14.5" spans="1:51">
      <c r="A1631" s="91"/>
      <c r="B1631" s="95"/>
      <c r="C1631" s="152" t="s">
        <v>1455</v>
      </c>
      <c r="D1631" s="153" t="s">
        <v>25</v>
      </c>
      <c r="E1631" s="130" t="s">
        <v>1456</v>
      </c>
      <c r="F1631" s="171" t="s">
        <v>1663</v>
      </c>
      <c r="G1631" s="171" t="s">
        <v>1663</v>
      </c>
      <c r="H1631" s="171" t="s">
        <v>1663</v>
      </c>
      <c r="I1631" s="171" t="s">
        <v>1663</v>
      </c>
      <c r="J1631" s="132">
        <v>0.9</v>
      </c>
      <c r="K1631" s="133">
        <v>0.923076923076923</v>
      </c>
      <c r="L1631" s="133">
        <v>0.923076923076923</v>
      </c>
      <c r="M1631" s="134">
        <v>1</v>
      </c>
      <c r="N1631" s="133">
        <v>0.957943925233645</v>
      </c>
      <c r="O1631" s="135">
        <v>0.9</v>
      </c>
      <c r="P1631" s="133">
        <v>0.996340347666972</v>
      </c>
      <c r="Q1631" s="133">
        <v>0.996792301523657</v>
      </c>
      <c r="R1631" s="133">
        <v>0.994920174165457</v>
      </c>
      <c r="S1631" s="133">
        <v>0.983996698459281</v>
      </c>
      <c r="T1631" s="135">
        <v>0.9</v>
      </c>
      <c r="U1631" s="133">
        <v>0.938700823421775</v>
      </c>
      <c r="V1631" s="133">
        <v>0.934242181234964</v>
      </c>
      <c r="W1631" s="133">
        <v>0.916545718432511</v>
      </c>
      <c r="X1631" s="133">
        <v>0.919295671313279</v>
      </c>
      <c r="Y1631" s="135">
        <v>0.92</v>
      </c>
      <c r="Z1631" s="135" t="s">
        <v>35</v>
      </c>
      <c r="AA1631" s="135" t="s">
        <v>35</v>
      </c>
      <c r="AB1631" s="135" t="s">
        <v>35</v>
      </c>
      <c r="AC1631" s="135" t="s">
        <v>35</v>
      </c>
      <c r="AD1631" s="135">
        <v>0.92</v>
      </c>
      <c r="AE1631" s="133">
        <v>0.885714285714286</v>
      </c>
      <c r="AF1631" s="133">
        <v>1</v>
      </c>
      <c r="AG1631" s="133">
        <v>1</v>
      </c>
      <c r="AH1631" s="133">
        <v>0.948412698412698</v>
      </c>
      <c r="AI1631" s="135">
        <v>0.92</v>
      </c>
      <c r="AJ1631" s="133">
        <v>0.961573650503202</v>
      </c>
      <c r="AK1631" s="133">
        <v>0.979149959903769</v>
      </c>
      <c r="AL1631" s="133">
        <v>0.973875181422351</v>
      </c>
      <c r="AM1631" s="133">
        <v>0.97702677916361</v>
      </c>
      <c r="AN1631" s="132">
        <v>0.99</v>
      </c>
      <c r="AO1631" s="137">
        <v>1</v>
      </c>
      <c r="AP1631" s="137" t="s">
        <v>35</v>
      </c>
      <c r="AQ1631" s="137">
        <v>1</v>
      </c>
      <c r="AR1631" s="137">
        <v>1</v>
      </c>
      <c r="AS1631" s="158">
        <v>0.110069253262963</v>
      </c>
      <c r="AT1631" s="141">
        <v>0.0377358490566038</v>
      </c>
      <c r="AU1631" s="141">
        <v>0.0204081632653061</v>
      </c>
      <c r="AV1631" s="141">
        <v>0.0338983050847458</v>
      </c>
      <c r="AW1631" s="141">
        <v>0.0472972972972973</v>
      </c>
      <c r="AX1631" s="95"/>
      <c r="AY1631" s="93"/>
    </row>
    <row r="1632" ht="14.5" spans="1:51">
      <c r="A1632" s="91"/>
      <c r="B1632" s="95"/>
      <c r="C1632" s="152" t="s">
        <v>1455</v>
      </c>
      <c r="D1632" s="153" t="s">
        <v>25</v>
      </c>
      <c r="E1632" s="130" t="s">
        <v>1456</v>
      </c>
      <c r="F1632" s="171" t="s">
        <v>1664</v>
      </c>
      <c r="G1632" s="171" t="s">
        <v>1664</v>
      </c>
      <c r="H1632" s="171" t="s">
        <v>1664</v>
      </c>
      <c r="I1632" s="171" t="s">
        <v>1664</v>
      </c>
      <c r="J1632" s="132">
        <v>0.9</v>
      </c>
      <c r="K1632" s="133">
        <v>1</v>
      </c>
      <c r="L1632" s="133">
        <v>0.826086956521739</v>
      </c>
      <c r="M1632" s="134">
        <v>1</v>
      </c>
      <c r="N1632" s="133">
        <v>0.951923076923077</v>
      </c>
      <c r="O1632" s="135">
        <v>0.9</v>
      </c>
      <c r="P1632" s="133">
        <v>0.989556135770235</v>
      </c>
      <c r="Q1632" s="133">
        <v>0.983994432846207</v>
      </c>
      <c r="R1632" s="133">
        <v>0.981062598632299</v>
      </c>
      <c r="S1632" s="133">
        <v>0.971653924027681</v>
      </c>
      <c r="T1632" s="135">
        <v>0.9</v>
      </c>
      <c r="U1632" s="133">
        <v>0.446910356832028</v>
      </c>
      <c r="V1632" s="133">
        <v>0.522616562282533</v>
      </c>
      <c r="W1632" s="133">
        <v>0.524986849026828</v>
      </c>
      <c r="X1632" s="133">
        <v>0.478287147562781</v>
      </c>
      <c r="Y1632" s="135">
        <v>0.92</v>
      </c>
      <c r="Z1632" s="135">
        <v>0.69079754601227</v>
      </c>
      <c r="AA1632" s="135">
        <v>0.649046793760832</v>
      </c>
      <c r="AB1632" s="135">
        <v>0.761972837741244</v>
      </c>
      <c r="AC1632" s="135">
        <v>0.709580452613046</v>
      </c>
      <c r="AD1632" s="135">
        <v>0.92</v>
      </c>
      <c r="AE1632" s="133">
        <v>1</v>
      </c>
      <c r="AF1632" s="133">
        <v>1</v>
      </c>
      <c r="AG1632" s="133">
        <v>0.983606557377049</v>
      </c>
      <c r="AH1632" s="133">
        <v>0.934177215189873</v>
      </c>
      <c r="AI1632" s="135">
        <v>0.92</v>
      </c>
      <c r="AJ1632" s="133">
        <v>0.819145518792162</v>
      </c>
      <c r="AK1632" s="133">
        <v>0.761096101891162</v>
      </c>
      <c r="AL1632" s="133">
        <v>0.843986670705847</v>
      </c>
      <c r="AM1632" s="133">
        <v>0.816719858156028</v>
      </c>
      <c r="AN1632" s="132">
        <v>0.99</v>
      </c>
      <c r="AO1632" s="137" t="s">
        <v>35</v>
      </c>
      <c r="AP1632" s="137">
        <v>1</v>
      </c>
      <c r="AQ1632" s="137">
        <v>1</v>
      </c>
      <c r="AR1632" s="137">
        <v>1</v>
      </c>
      <c r="AS1632" s="158">
        <v>0.110069253262963</v>
      </c>
      <c r="AT1632" s="141">
        <v>0.2</v>
      </c>
      <c r="AU1632" s="141">
        <v>0.0666666666666667</v>
      </c>
      <c r="AV1632" s="141">
        <v>0</v>
      </c>
      <c r="AW1632" s="141">
        <v>0.0642570281124498</v>
      </c>
      <c r="AX1632" s="95"/>
      <c r="AY1632" s="93"/>
    </row>
    <row r="1633" ht="14.5" spans="1:51">
      <c r="A1633" s="91"/>
      <c r="B1633" s="95"/>
      <c r="C1633" s="152" t="s">
        <v>1455</v>
      </c>
      <c r="D1633" s="153" t="s">
        <v>25</v>
      </c>
      <c r="E1633" s="130" t="s">
        <v>1456</v>
      </c>
      <c r="F1633" s="171" t="s">
        <v>1665</v>
      </c>
      <c r="G1633" s="171" t="s">
        <v>1665</v>
      </c>
      <c r="H1633" s="171" t="s">
        <v>1665</v>
      </c>
      <c r="I1633" s="171" t="s">
        <v>1665</v>
      </c>
      <c r="J1633" s="132">
        <v>0.9</v>
      </c>
      <c r="K1633" s="133">
        <v>1</v>
      </c>
      <c r="L1633" s="133">
        <v>1</v>
      </c>
      <c r="M1633" s="134">
        <v>1</v>
      </c>
      <c r="N1633" s="133">
        <v>0.983673469387755</v>
      </c>
      <c r="O1633" s="135">
        <v>0.9</v>
      </c>
      <c r="P1633" s="133">
        <v>0.827956989247312</v>
      </c>
      <c r="Q1633" s="133">
        <v>0.939102564102564</v>
      </c>
      <c r="R1633" s="133">
        <v>0.898007590132827</v>
      </c>
      <c r="S1633" s="133">
        <v>0.87008127983486</v>
      </c>
      <c r="T1633" s="135">
        <v>0.9</v>
      </c>
      <c r="U1633" s="133">
        <v>0.861648745519713</v>
      </c>
      <c r="V1633" s="133">
        <v>0.914102564102564</v>
      </c>
      <c r="W1633" s="133">
        <v>0.921252371916509</v>
      </c>
      <c r="X1633" s="133">
        <v>0.895755386401755</v>
      </c>
      <c r="Y1633" s="135">
        <v>0.92</v>
      </c>
      <c r="Z1633" s="135">
        <v>0.902838427947598</v>
      </c>
      <c r="AA1633" s="135">
        <v>0.743462897526502</v>
      </c>
      <c r="AB1633" s="135">
        <v>0.758647194465796</v>
      </c>
      <c r="AC1633" s="135">
        <v>0.776411716491955</v>
      </c>
      <c r="AD1633" s="135">
        <v>0.92</v>
      </c>
      <c r="AE1633" s="133">
        <v>0.963235294117647</v>
      </c>
      <c r="AF1633" s="133">
        <v>0.9921875</v>
      </c>
      <c r="AG1633" s="133">
        <v>0.842696629213483</v>
      </c>
      <c r="AH1633" s="133">
        <v>0.83926981300089</v>
      </c>
      <c r="AI1633" s="135">
        <v>0.92</v>
      </c>
      <c r="AJ1633" s="133">
        <v>0.924275205538728</v>
      </c>
      <c r="AK1633" s="133">
        <v>0.853109243697479</v>
      </c>
      <c r="AL1633" s="133">
        <v>0.892930478146084</v>
      </c>
      <c r="AM1633" s="133">
        <v>0.887361369969183</v>
      </c>
      <c r="AN1633" s="132">
        <v>0.99</v>
      </c>
      <c r="AO1633" s="137">
        <v>1</v>
      </c>
      <c r="AP1633" s="137">
        <v>1</v>
      </c>
      <c r="AQ1633" s="137">
        <v>1</v>
      </c>
      <c r="AR1633" s="137">
        <v>1</v>
      </c>
      <c r="AS1633" s="158">
        <v>0.110069253262963</v>
      </c>
      <c r="AT1633" s="141">
        <v>0</v>
      </c>
      <c r="AU1633" s="141">
        <v>0</v>
      </c>
      <c r="AV1633" s="141">
        <v>0.117647058823529</v>
      </c>
      <c r="AW1633" s="141">
        <v>0.0529801324503311</v>
      </c>
      <c r="AX1633" s="95"/>
      <c r="AY1633" s="93"/>
    </row>
    <row r="1634" ht="14.5" spans="1:51">
      <c r="A1634" s="91"/>
      <c r="B1634" s="95"/>
      <c r="C1634" s="152" t="s">
        <v>1455</v>
      </c>
      <c r="D1634" s="153" t="s">
        <v>25</v>
      </c>
      <c r="E1634" s="130" t="s">
        <v>1456</v>
      </c>
      <c r="F1634" s="171" t="s">
        <v>1666</v>
      </c>
      <c r="G1634" s="171" t="s">
        <v>1666</v>
      </c>
      <c r="H1634" s="171" t="s">
        <v>1666</v>
      </c>
      <c r="I1634" s="171" t="s">
        <v>1666</v>
      </c>
      <c r="J1634" s="132">
        <v>0.9</v>
      </c>
      <c r="K1634" s="133">
        <v>0.96</v>
      </c>
      <c r="L1634" s="133">
        <v>0.962962962962963</v>
      </c>
      <c r="M1634" s="134">
        <v>0.966666666666667</v>
      </c>
      <c r="N1634" s="133">
        <v>0.930648769574944</v>
      </c>
      <c r="O1634" s="135">
        <v>0.9</v>
      </c>
      <c r="P1634" s="133">
        <v>0.978011472275335</v>
      </c>
      <c r="Q1634" s="133">
        <v>0.993269992082344</v>
      </c>
      <c r="R1634" s="133">
        <v>0.989029825162839</v>
      </c>
      <c r="S1634" s="133">
        <v>0.976682484900777</v>
      </c>
      <c r="T1634" s="135">
        <v>0.9</v>
      </c>
      <c r="U1634" s="133">
        <v>0.917782026768642</v>
      </c>
      <c r="V1634" s="133">
        <v>0.938638163103721</v>
      </c>
      <c r="W1634" s="133">
        <v>0.940692492286596</v>
      </c>
      <c r="X1634" s="133">
        <v>0.918636755823986</v>
      </c>
      <c r="Y1634" s="135">
        <v>0.92</v>
      </c>
      <c r="Z1634" s="135" t="s">
        <v>35</v>
      </c>
      <c r="AA1634" s="135" t="s">
        <v>35</v>
      </c>
      <c r="AB1634" s="135" t="s">
        <v>35</v>
      </c>
      <c r="AC1634" s="135">
        <v>0</v>
      </c>
      <c r="AD1634" s="135">
        <v>0.92</v>
      </c>
      <c r="AE1634" s="133">
        <v>1</v>
      </c>
      <c r="AF1634" s="133">
        <v>1</v>
      </c>
      <c r="AG1634" s="133">
        <v>1</v>
      </c>
      <c r="AH1634" s="133">
        <v>0.947076397780623</v>
      </c>
      <c r="AI1634" s="135">
        <v>0.92</v>
      </c>
      <c r="AJ1634" s="133">
        <v>0.948374760994264</v>
      </c>
      <c r="AK1634" s="133">
        <v>0.965162311955661</v>
      </c>
      <c r="AL1634" s="133">
        <v>0.974631470689064</v>
      </c>
      <c r="AM1634" s="133">
        <v>0.967932416706176</v>
      </c>
      <c r="AN1634" s="132">
        <v>0.99</v>
      </c>
      <c r="AO1634" s="137" t="s">
        <v>35</v>
      </c>
      <c r="AP1634" s="137" t="s">
        <v>35</v>
      </c>
      <c r="AQ1634" s="137" t="s">
        <v>35</v>
      </c>
      <c r="AR1634" s="137">
        <v>1</v>
      </c>
      <c r="AS1634" s="158">
        <v>0.110069253262963</v>
      </c>
      <c r="AT1634" s="141">
        <v>0</v>
      </c>
      <c r="AU1634" s="141">
        <v>0</v>
      </c>
      <c r="AV1634" s="141">
        <v>0.05</v>
      </c>
      <c r="AW1634" s="141">
        <v>0.0489913544668588</v>
      </c>
      <c r="AX1634" s="95"/>
      <c r="AY1634" s="93"/>
    </row>
    <row r="1635" ht="14.5" spans="1:51">
      <c r="A1635" s="91"/>
      <c r="B1635" s="95"/>
      <c r="C1635" s="152" t="s">
        <v>1455</v>
      </c>
      <c r="D1635" s="153" t="s">
        <v>25</v>
      </c>
      <c r="E1635" s="130" t="s">
        <v>1456</v>
      </c>
      <c r="F1635" s="171" t="s">
        <v>1667</v>
      </c>
      <c r="G1635" s="171" t="s">
        <v>1667</v>
      </c>
      <c r="H1635" s="171" t="s">
        <v>1667</v>
      </c>
      <c r="I1635" s="171" t="s">
        <v>1667</v>
      </c>
      <c r="J1635" s="132">
        <v>0.9</v>
      </c>
      <c r="K1635" s="133">
        <v>0.904761904761905</v>
      </c>
      <c r="L1635" s="133">
        <v>0.948717948717949</v>
      </c>
      <c r="M1635" s="134">
        <v>0.926829268292683</v>
      </c>
      <c r="N1635" s="133">
        <v>0.889695210449927</v>
      </c>
      <c r="O1635" s="135">
        <v>0.9</v>
      </c>
      <c r="P1635" s="133">
        <v>0.967091295116773</v>
      </c>
      <c r="Q1635" s="133">
        <v>0.984577922077922</v>
      </c>
      <c r="R1635" s="133">
        <v>0.975519630484988</v>
      </c>
      <c r="S1635" s="133">
        <v>0.976556394894504</v>
      </c>
      <c r="T1635" s="135">
        <v>0.9</v>
      </c>
      <c r="U1635" s="133">
        <v>0.940021231422505</v>
      </c>
      <c r="V1635" s="133">
        <v>0.949404761904762</v>
      </c>
      <c r="W1635" s="133">
        <v>0.970438799076212</v>
      </c>
      <c r="X1635" s="133">
        <v>0.963807125698243</v>
      </c>
      <c r="Y1635" s="135">
        <v>0.92</v>
      </c>
      <c r="Z1635" s="135">
        <v>0</v>
      </c>
      <c r="AA1635" s="135">
        <v>0</v>
      </c>
      <c r="AB1635" s="135">
        <v>0</v>
      </c>
      <c r="AC1635" s="135">
        <v>0.1875</v>
      </c>
      <c r="AD1635" s="135">
        <v>0.92</v>
      </c>
      <c r="AE1635" s="133">
        <v>0.7</v>
      </c>
      <c r="AF1635" s="133">
        <v>0.8</v>
      </c>
      <c r="AG1635" s="133">
        <v>1</v>
      </c>
      <c r="AH1635" s="133">
        <v>0.854014598540146</v>
      </c>
      <c r="AI1635" s="135">
        <v>0.92</v>
      </c>
      <c r="AJ1635" s="133">
        <v>0.957328385899815</v>
      </c>
      <c r="AK1635" s="133">
        <v>0.967297297297297</v>
      </c>
      <c r="AL1635" s="133">
        <v>0.979912260447933</v>
      </c>
      <c r="AM1635" s="133">
        <v>0.981263925460806</v>
      </c>
      <c r="AN1635" s="132">
        <v>0.99</v>
      </c>
      <c r="AO1635" s="137" t="s">
        <v>35</v>
      </c>
      <c r="AP1635" s="137">
        <v>1</v>
      </c>
      <c r="AQ1635" s="137">
        <v>1</v>
      </c>
      <c r="AR1635" s="137">
        <v>1</v>
      </c>
      <c r="AS1635" s="158">
        <v>0.110069253262963</v>
      </c>
      <c r="AT1635" s="141">
        <v>0.0512820512820513</v>
      </c>
      <c r="AU1635" s="141">
        <v>0.130434782608696</v>
      </c>
      <c r="AV1635" s="141">
        <v>0.08</v>
      </c>
      <c r="AW1635" s="141">
        <v>0.0807453416149068</v>
      </c>
      <c r="AX1635" s="95"/>
      <c r="AY1635" s="93"/>
    </row>
    <row r="1636" ht="14.5" spans="1:51">
      <c r="A1636" s="91"/>
      <c r="B1636" s="95"/>
      <c r="C1636" s="152" t="s">
        <v>1455</v>
      </c>
      <c r="D1636" s="153" t="s">
        <v>25</v>
      </c>
      <c r="E1636" s="130" t="s">
        <v>1456</v>
      </c>
      <c r="F1636" s="171" t="s">
        <v>1668</v>
      </c>
      <c r="G1636" s="171" t="s">
        <v>1668</v>
      </c>
      <c r="H1636" s="171" t="s">
        <v>1668</v>
      </c>
      <c r="I1636" s="171" t="s">
        <v>1668</v>
      </c>
      <c r="J1636" s="132">
        <v>0.9</v>
      </c>
      <c r="K1636" s="133">
        <v>1</v>
      </c>
      <c r="L1636" s="133">
        <v>0.961538461538462</v>
      </c>
      <c r="M1636" s="134">
        <v>1</v>
      </c>
      <c r="N1636" s="133">
        <v>0.995642701525055</v>
      </c>
      <c r="O1636" s="135">
        <v>0.9</v>
      </c>
      <c r="P1636" s="133">
        <v>0.768335273573923</v>
      </c>
      <c r="Q1636" s="133">
        <v>0.904382470119522</v>
      </c>
      <c r="R1636" s="133">
        <v>0.956268221574344</v>
      </c>
      <c r="S1636" s="133">
        <v>0.932731841023298</v>
      </c>
      <c r="T1636" s="135">
        <v>0.9</v>
      </c>
      <c r="U1636" s="133">
        <v>0.745052386495926</v>
      </c>
      <c r="V1636" s="133">
        <v>0.785657370517928</v>
      </c>
      <c r="W1636" s="133">
        <v>0.849854227405248</v>
      </c>
      <c r="X1636" s="133">
        <v>0.773717070199482</v>
      </c>
      <c r="Y1636" s="135">
        <v>0.92</v>
      </c>
      <c r="Z1636" s="135">
        <v>0.858267716535433</v>
      </c>
      <c r="AA1636" s="135">
        <v>0.816931216931217</v>
      </c>
      <c r="AB1636" s="135">
        <v>0.931891025641026</v>
      </c>
      <c r="AC1636" s="135">
        <v>0.86945118028406</v>
      </c>
      <c r="AD1636" s="135">
        <v>0.92</v>
      </c>
      <c r="AE1636" s="133">
        <v>0.917293233082707</v>
      </c>
      <c r="AF1636" s="133">
        <v>0.931506849315068</v>
      </c>
      <c r="AG1636" s="133">
        <v>1</v>
      </c>
      <c r="AH1636" s="133">
        <v>0.989922125515346</v>
      </c>
      <c r="AI1636" s="135">
        <v>0.92</v>
      </c>
      <c r="AJ1636" s="133">
        <v>0.894177645558861</v>
      </c>
      <c r="AK1636" s="133">
        <v>0.866363636363636</v>
      </c>
      <c r="AL1636" s="133">
        <v>0.944317315026697</v>
      </c>
      <c r="AM1636" s="133">
        <v>0.903501225859177</v>
      </c>
      <c r="AN1636" s="132">
        <v>0.99</v>
      </c>
      <c r="AO1636" s="137">
        <v>1</v>
      </c>
      <c r="AP1636" s="137" t="s">
        <v>35</v>
      </c>
      <c r="AQ1636" s="137">
        <v>1</v>
      </c>
      <c r="AR1636" s="137">
        <v>1</v>
      </c>
      <c r="AS1636" s="158">
        <v>0.110069253262963</v>
      </c>
      <c r="AT1636" s="141">
        <v>0.05</v>
      </c>
      <c r="AU1636" s="141">
        <v>0.130434782608696</v>
      </c>
      <c r="AV1636" s="141">
        <v>0.107142857142857</v>
      </c>
      <c r="AW1636" s="141">
        <v>0.0728744939271255</v>
      </c>
      <c r="AX1636" s="95"/>
      <c r="AY1636" s="93"/>
    </row>
    <row r="1637" ht="14.5" spans="1:51">
      <c r="A1637" s="91"/>
      <c r="B1637" s="95"/>
      <c r="C1637" s="152" t="s">
        <v>1455</v>
      </c>
      <c r="D1637" s="153" t="s">
        <v>25</v>
      </c>
      <c r="E1637" s="130" t="s">
        <v>1456</v>
      </c>
      <c r="F1637" s="171" t="s">
        <v>1669</v>
      </c>
      <c r="G1637" s="171" t="s">
        <v>1669</v>
      </c>
      <c r="H1637" s="171" t="s">
        <v>1669</v>
      </c>
      <c r="I1637" s="171" t="s">
        <v>1669</v>
      </c>
      <c r="J1637" s="132">
        <v>0.9</v>
      </c>
      <c r="K1637" s="133">
        <v>1</v>
      </c>
      <c r="L1637" s="133">
        <v>0.954545454545455</v>
      </c>
      <c r="M1637" s="134">
        <v>0.96</v>
      </c>
      <c r="N1637" s="133">
        <v>0.983372921615202</v>
      </c>
      <c r="O1637" s="135">
        <v>0.9</v>
      </c>
      <c r="P1637" s="133">
        <v>0.864132632430247</v>
      </c>
      <c r="Q1637" s="133">
        <v>0.860990443092963</v>
      </c>
      <c r="R1637" s="133">
        <v>0.880756578947368</v>
      </c>
      <c r="S1637" s="133">
        <v>0.875694601310142</v>
      </c>
      <c r="T1637" s="135">
        <v>0.9</v>
      </c>
      <c r="U1637" s="133">
        <v>0.767488879902952</v>
      </c>
      <c r="V1637" s="133">
        <v>0.84144222415291</v>
      </c>
      <c r="W1637" s="133">
        <v>0.871299342105263</v>
      </c>
      <c r="X1637" s="133">
        <v>0.851886153151118</v>
      </c>
      <c r="Y1637" s="135">
        <v>0.92</v>
      </c>
      <c r="Z1637" s="135">
        <v>0.833333333333333</v>
      </c>
      <c r="AA1637" s="135">
        <v>0.6</v>
      </c>
      <c r="AB1637" s="135">
        <v>0.4</v>
      </c>
      <c r="AC1637" s="135">
        <v>0.54320987654321</v>
      </c>
      <c r="AD1637" s="135">
        <v>0.92</v>
      </c>
      <c r="AE1637" s="133">
        <v>0.923076923076923</v>
      </c>
      <c r="AF1637" s="133">
        <v>1</v>
      </c>
      <c r="AG1637" s="133">
        <v>1</v>
      </c>
      <c r="AH1637" s="133">
        <v>0.957386363636364</v>
      </c>
      <c r="AI1637" s="135">
        <v>0.92</v>
      </c>
      <c r="AJ1637" s="133">
        <v>0.890278338039532</v>
      </c>
      <c r="AK1637" s="133">
        <v>0.927209705372617</v>
      </c>
      <c r="AL1637" s="133">
        <v>0.959819598195982</v>
      </c>
      <c r="AM1637" s="133">
        <v>0.955568079350766</v>
      </c>
      <c r="AN1637" s="132">
        <v>0.99</v>
      </c>
      <c r="AO1637" s="137">
        <v>1</v>
      </c>
      <c r="AP1637" s="137">
        <v>1</v>
      </c>
      <c r="AQ1637" s="137" t="s">
        <v>35</v>
      </c>
      <c r="AR1637" s="137">
        <v>1</v>
      </c>
      <c r="AS1637" s="158">
        <v>0.110069253262963</v>
      </c>
      <c r="AT1637" s="141">
        <v>0.0833333333333333</v>
      </c>
      <c r="AU1637" s="141">
        <v>0.0555555555555556</v>
      </c>
      <c r="AV1637" s="141">
        <v>0.05</v>
      </c>
      <c r="AW1637" s="141">
        <v>0.0468227424749164</v>
      </c>
      <c r="AX1637" s="95"/>
      <c r="AY1637" s="93"/>
    </row>
    <row r="1638" ht="14.5" spans="1:51">
      <c r="A1638" s="91"/>
      <c r="B1638" s="95"/>
      <c r="C1638" s="152" t="s">
        <v>1455</v>
      </c>
      <c r="D1638" s="153" t="s">
        <v>25</v>
      </c>
      <c r="E1638" s="130" t="s">
        <v>1456</v>
      </c>
      <c r="F1638" s="171" t="s">
        <v>1670</v>
      </c>
      <c r="G1638" s="171" t="s">
        <v>1670</v>
      </c>
      <c r="H1638" s="171" t="s">
        <v>1670</v>
      </c>
      <c r="I1638" s="171" t="s">
        <v>1670</v>
      </c>
      <c r="J1638" s="132">
        <v>0.9</v>
      </c>
      <c r="K1638" s="133">
        <v>1</v>
      </c>
      <c r="L1638" s="133">
        <v>1</v>
      </c>
      <c r="M1638" s="134">
        <v>1</v>
      </c>
      <c r="N1638" s="133">
        <v>0.983827493261456</v>
      </c>
      <c r="O1638" s="135">
        <v>0.9</v>
      </c>
      <c r="P1638" s="133">
        <v>0.998049414824447</v>
      </c>
      <c r="Q1638" s="133">
        <v>0.994128009395185</v>
      </c>
      <c r="R1638" s="133">
        <v>0.997743936830231</v>
      </c>
      <c r="S1638" s="133">
        <v>0.993016437724413</v>
      </c>
      <c r="T1638" s="135">
        <v>0.9</v>
      </c>
      <c r="U1638" s="133">
        <v>0.925877763328999</v>
      </c>
      <c r="V1638" s="133">
        <v>0.94539048737522</v>
      </c>
      <c r="W1638" s="133">
        <v>0.960518894529047</v>
      </c>
      <c r="X1638" s="133">
        <v>0.938136179464374</v>
      </c>
      <c r="Y1638" s="135">
        <v>0.92</v>
      </c>
      <c r="Z1638" s="135" t="s">
        <v>35</v>
      </c>
      <c r="AA1638" s="135" t="s">
        <v>35</v>
      </c>
      <c r="AB1638" s="135" t="s">
        <v>35</v>
      </c>
      <c r="AC1638" s="135" t="s">
        <v>35</v>
      </c>
      <c r="AD1638" s="135">
        <v>0.92</v>
      </c>
      <c r="AE1638" s="133">
        <v>0.622950819672131</v>
      </c>
      <c r="AF1638" s="133">
        <v>1</v>
      </c>
      <c r="AG1638" s="133">
        <v>1</v>
      </c>
      <c r="AH1638" s="133">
        <v>0.954587581093605</v>
      </c>
      <c r="AI1638" s="135">
        <v>0.92</v>
      </c>
      <c r="AJ1638" s="133">
        <v>0.961638491547464</v>
      </c>
      <c r="AK1638" s="133">
        <v>0.977099236641221</v>
      </c>
      <c r="AL1638" s="133">
        <v>0.984207557811619</v>
      </c>
      <c r="AM1638" s="133">
        <v>0.97733636393583</v>
      </c>
      <c r="AN1638" s="132">
        <v>0.99</v>
      </c>
      <c r="AO1638" s="137">
        <v>1</v>
      </c>
      <c r="AP1638" s="137">
        <v>1</v>
      </c>
      <c r="AQ1638" s="137">
        <v>1</v>
      </c>
      <c r="AR1638" s="137">
        <v>1</v>
      </c>
      <c r="AS1638" s="158">
        <v>0.110069253262963</v>
      </c>
      <c r="AT1638" s="141">
        <v>0</v>
      </c>
      <c r="AU1638" s="141">
        <v>0.1</v>
      </c>
      <c r="AV1638" s="141">
        <v>0.0625</v>
      </c>
      <c r="AW1638" s="141">
        <v>0.0647482014388489</v>
      </c>
      <c r="AX1638" s="95"/>
      <c r="AY1638" s="93"/>
    </row>
    <row r="1639" ht="14.5" spans="1:51">
      <c r="A1639" s="91"/>
      <c r="B1639" s="95"/>
      <c r="C1639" s="152" t="s">
        <v>1455</v>
      </c>
      <c r="D1639" s="153" t="s">
        <v>25</v>
      </c>
      <c r="E1639" s="130" t="s">
        <v>1456</v>
      </c>
      <c r="F1639" s="171" t="s">
        <v>1671</v>
      </c>
      <c r="G1639" s="171" t="s">
        <v>1671</v>
      </c>
      <c r="H1639" s="171" t="s">
        <v>1671</v>
      </c>
      <c r="I1639" s="171" t="s">
        <v>1671</v>
      </c>
      <c r="J1639" s="132">
        <v>0.9</v>
      </c>
      <c r="K1639" s="133">
        <v>0.978723404255319</v>
      </c>
      <c r="L1639" s="133">
        <v>0.954545454545455</v>
      </c>
      <c r="M1639" s="134">
        <v>0.94</v>
      </c>
      <c r="N1639" s="133">
        <v>0.9725</v>
      </c>
      <c r="O1639" s="135">
        <v>0.9</v>
      </c>
      <c r="P1639" s="133">
        <v>0.922951709169832</v>
      </c>
      <c r="Q1639" s="133">
        <v>0.971287361732172</v>
      </c>
      <c r="R1639" s="133">
        <v>0.971287765159631</v>
      </c>
      <c r="S1639" s="133">
        <v>0.937710694615929</v>
      </c>
      <c r="T1639" s="135">
        <v>0.9</v>
      </c>
      <c r="U1639" s="133">
        <v>0.810634834508953</v>
      </c>
      <c r="V1639" s="133">
        <v>0.892915980230643</v>
      </c>
      <c r="W1639" s="133">
        <v>0.895436040282837</v>
      </c>
      <c r="X1639" s="133">
        <v>0.88403645797206</v>
      </c>
      <c r="Y1639" s="135">
        <v>0.92</v>
      </c>
      <c r="Z1639" s="135" t="s">
        <v>35</v>
      </c>
      <c r="AA1639" s="135" t="s">
        <v>35</v>
      </c>
      <c r="AB1639" s="135" t="s">
        <v>35</v>
      </c>
      <c r="AC1639" s="135">
        <v>1</v>
      </c>
      <c r="AD1639" s="135">
        <v>0.92</v>
      </c>
      <c r="AE1639" s="133">
        <v>0.965087281795511</v>
      </c>
      <c r="AF1639" s="133">
        <v>0.890547263681592</v>
      </c>
      <c r="AG1639" s="133">
        <v>0.90301724137931</v>
      </c>
      <c r="AH1639" s="133">
        <v>0.944395631981925</v>
      </c>
      <c r="AI1639" s="135">
        <v>0.92</v>
      </c>
      <c r="AJ1639" s="133">
        <v>0.862489829129373</v>
      </c>
      <c r="AK1639" s="133">
        <v>0.927041656860438</v>
      </c>
      <c r="AL1639" s="133">
        <v>0.941289907863724</v>
      </c>
      <c r="AM1639" s="133">
        <v>0.939141291530832</v>
      </c>
      <c r="AN1639" s="132">
        <v>0.99</v>
      </c>
      <c r="AO1639" s="137">
        <v>1</v>
      </c>
      <c r="AP1639" s="137">
        <v>1</v>
      </c>
      <c r="AQ1639" s="137">
        <v>1</v>
      </c>
      <c r="AR1639" s="137">
        <v>1</v>
      </c>
      <c r="AS1639" s="158">
        <v>0.110069253262963</v>
      </c>
      <c r="AT1639" s="141">
        <v>0</v>
      </c>
      <c r="AU1639" s="141">
        <v>0.0645161290322581</v>
      </c>
      <c r="AV1639" s="141">
        <v>0.0238095238095238</v>
      </c>
      <c r="AW1639" s="141">
        <v>0.0467937608318891</v>
      </c>
      <c r="AX1639" s="95"/>
      <c r="AY1639" s="93"/>
    </row>
    <row r="1640" ht="14.5" spans="1:51">
      <c r="A1640" s="91"/>
      <c r="B1640" s="95"/>
      <c r="C1640" s="152" t="s">
        <v>1455</v>
      </c>
      <c r="D1640" s="153" t="s">
        <v>25</v>
      </c>
      <c r="E1640" s="130" t="s">
        <v>1456</v>
      </c>
      <c r="F1640" s="171" t="s">
        <v>1672</v>
      </c>
      <c r="G1640" s="171" t="s">
        <v>1672</v>
      </c>
      <c r="H1640" s="171" t="s">
        <v>1672</v>
      </c>
      <c r="I1640" s="171" t="s">
        <v>1672</v>
      </c>
      <c r="J1640" s="132">
        <v>0.9</v>
      </c>
      <c r="K1640" s="133">
        <v>0.925925925925926</v>
      </c>
      <c r="L1640" s="133">
        <v>0.875</v>
      </c>
      <c r="M1640" s="134">
        <v>0.962962962962963</v>
      </c>
      <c r="N1640" s="133">
        <v>0.940042826552463</v>
      </c>
      <c r="O1640" s="135">
        <v>0.9</v>
      </c>
      <c r="P1640" s="133">
        <v>0.908821034775233</v>
      </c>
      <c r="Q1640" s="133">
        <v>0.966419367434596</v>
      </c>
      <c r="R1640" s="133">
        <v>0.941176470588235</v>
      </c>
      <c r="S1640" s="133">
        <v>0.919800100386269</v>
      </c>
      <c r="T1640" s="135">
        <v>0.9</v>
      </c>
      <c r="U1640" s="133">
        <v>0.816793893129771</v>
      </c>
      <c r="V1640" s="133">
        <v>0.914096056228036</v>
      </c>
      <c r="W1640" s="133">
        <v>0.911764705882353</v>
      </c>
      <c r="X1640" s="133">
        <v>0.851166444798464</v>
      </c>
      <c r="Y1640" s="135">
        <v>0.92</v>
      </c>
      <c r="Z1640" s="135" t="s">
        <v>35</v>
      </c>
      <c r="AA1640" s="135" t="s">
        <v>35</v>
      </c>
      <c r="AB1640" s="135" t="s">
        <v>35</v>
      </c>
      <c r="AC1640" s="135" t="s">
        <v>35</v>
      </c>
      <c r="AD1640" s="135">
        <v>0.92</v>
      </c>
      <c r="AE1640" s="133">
        <v>0.730263157894737</v>
      </c>
      <c r="AF1640" s="133">
        <v>1</v>
      </c>
      <c r="AG1640" s="133">
        <v>1</v>
      </c>
      <c r="AH1640" s="133">
        <v>0.968642117376295</v>
      </c>
      <c r="AI1640" s="135">
        <v>0.92</v>
      </c>
      <c r="AJ1640" s="133">
        <v>0.865139949109415</v>
      </c>
      <c r="AK1640" s="133">
        <v>0.940648184303007</v>
      </c>
      <c r="AL1640" s="133">
        <v>0.954172366621067</v>
      </c>
      <c r="AM1640" s="133">
        <v>0.920107367318436</v>
      </c>
      <c r="AN1640" s="132">
        <v>0.99</v>
      </c>
      <c r="AO1640" s="137">
        <v>1</v>
      </c>
      <c r="AP1640" s="137">
        <v>1</v>
      </c>
      <c r="AQ1640" s="137">
        <v>1</v>
      </c>
      <c r="AR1640" s="137">
        <v>1</v>
      </c>
      <c r="AS1640" s="158">
        <v>0.110069253262963</v>
      </c>
      <c r="AT1640" s="141">
        <v>0.0769230769230769</v>
      </c>
      <c r="AU1640" s="141">
        <v>0.0769230769230769</v>
      </c>
      <c r="AV1640" s="141">
        <v>0.0384615384615385</v>
      </c>
      <c r="AW1640" s="141">
        <v>0.0652173913043478</v>
      </c>
      <c r="AX1640" s="95"/>
      <c r="AY1640" s="93"/>
    </row>
    <row r="1641" ht="14.5" spans="1:51">
      <c r="A1641" s="91"/>
      <c r="B1641" s="95"/>
      <c r="C1641" s="152" t="s">
        <v>1455</v>
      </c>
      <c r="D1641" s="153" t="s">
        <v>25</v>
      </c>
      <c r="E1641" s="130" t="s">
        <v>1456</v>
      </c>
      <c r="F1641" s="171" t="s">
        <v>1673</v>
      </c>
      <c r="G1641" s="171" t="s">
        <v>1673</v>
      </c>
      <c r="H1641" s="171" t="s">
        <v>1673</v>
      </c>
      <c r="I1641" s="171" t="s">
        <v>1673</v>
      </c>
      <c r="J1641" s="132">
        <v>0.9</v>
      </c>
      <c r="K1641" s="133">
        <v>0.954545454545455</v>
      </c>
      <c r="L1641" s="133">
        <v>1</v>
      </c>
      <c r="M1641" s="134">
        <v>0.923076923076923</v>
      </c>
      <c r="N1641" s="133">
        <v>0.947608200455581</v>
      </c>
      <c r="O1641" s="135">
        <v>0.9</v>
      </c>
      <c r="P1641" s="133">
        <v>0.917021276595745</v>
      </c>
      <c r="Q1641" s="133">
        <v>0.953156822810591</v>
      </c>
      <c r="R1641" s="133">
        <v>0.943820224719101</v>
      </c>
      <c r="S1641" s="133">
        <v>0.923786993227572</v>
      </c>
      <c r="T1641" s="135">
        <v>0.9</v>
      </c>
      <c r="U1641" s="133">
        <v>0.618439716312057</v>
      </c>
      <c r="V1641" s="133">
        <v>0.719959266802444</v>
      </c>
      <c r="W1641" s="133">
        <v>0.73552290406223</v>
      </c>
      <c r="X1641" s="133">
        <v>0.709249466555339</v>
      </c>
      <c r="Y1641" s="135">
        <v>0.92</v>
      </c>
      <c r="Z1641" s="135">
        <v>0.820284697508897</v>
      </c>
      <c r="AA1641" s="135">
        <v>0.845859872611465</v>
      </c>
      <c r="AB1641" s="135">
        <v>0.884427032321254</v>
      </c>
      <c r="AC1641" s="135">
        <v>0.879580848723441</v>
      </c>
      <c r="AD1641" s="135">
        <v>0.92</v>
      </c>
      <c r="AE1641" s="133">
        <v>1</v>
      </c>
      <c r="AF1641" s="133">
        <v>0.987654320987654</v>
      </c>
      <c r="AG1641" s="133">
        <v>0.977272727272727</v>
      </c>
      <c r="AH1641" s="133">
        <v>0.968271334792123</v>
      </c>
      <c r="AI1641" s="135">
        <v>0.92</v>
      </c>
      <c r="AJ1641" s="133">
        <v>0.840851495184997</v>
      </c>
      <c r="AK1641" s="133">
        <v>0.861346915676288</v>
      </c>
      <c r="AL1641" s="133">
        <v>0.91096833409821</v>
      </c>
      <c r="AM1641" s="133">
        <v>0.899904916094878</v>
      </c>
      <c r="AN1641" s="132">
        <v>0.99</v>
      </c>
      <c r="AO1641" s="137" t="s">
        <v>35</v>
      </c>
      <c r="AP1641" s="137">
        <v>1</v>
      </c>
      <c r="AQ1641" s="137">
        <v>1</v>
      </c>
      <c r="AR1641" s="137">
        <v>1</v>
      </c>
      <c r="AS1641" s="158">
        <v>0.110069253262963</v>
      </c>
      <c r="AT1641" s="141">
        <v>0</v>
      </c>
      <c r="AU1641" s="141">
        <v>0.0625</v>
      </c>
      <c r="AV1641" s="141">
        <v>0.08</v>
      </c>
      <c r="AW1641" s="141">
        <v>0.0710659898477157</v>
      </c>
      <c r="AX1641" s="95"/>
      <c r="AY1641" s="93"/>
    </row>
    <row r="1642" ht="14.5" spans="1:51">
      <c r="A1642" s="91"/>
      <c r="B1642" s="95"/>
      <c r="C1642" s="152" t="s">
        <v>1455</v>
      </c>
      <c r="D1642" s="153" t="s">
        <v>25</v>
      </c>
      <c r="E1642" s="130" t="s">
        <v>1456</v>
      </c>
      <c r="F1642" s="171" t="s">
        <v>1674</v>
      </c>
      <c r="G1642" s="171" t="s">
        <v>1674</v>
      </c>
      <c r="H1642" s="171" t="s">
        <v>1674</v>
      </c>
      <c r="I1642" s="171" t="s">
        <v>1674</v>
      </c>
      <c r="J1642" s="132">
        <v>0.9</v>
      </c>
      <c r="K1642" s="133">
        <v>0.941176470588235</v>
      </c>
      <c r="L1642" s="133">
        <v>1</v>
      </c>
      <c r="M1642" s="134">
        <v>0.970588235294118</v>
      </c>
      <c r="N1642" s="133">
        <v>0.963604852686308</v>
      </c>
      <c r="O1642" s="135">
        <v>0.9</v>
      </c>
      <c r="P1642" s="133">
        <v>0.657615894039735</v>
      </c>
      <c r="Q1642" s="133">
        <v>0.722502522704339</v>
      </c>
      <c r="R1642" s="133">
        <v>0.831264546159814</v>
      </c>
      <c r="S1642" s="133">
        <v>0.768601463509401</v>
      </c>
      <c r="T1642" s="135">
        <v>0.9</v>
      </c>
      <c r="U1642" s="133">
        <v>0.591721854304636</v>
      </c>
      <c r="V1642" s="133">
        <v>0.581735620585267</v>
      </c>
      <c r="W1642" s="133">
        <v>0.579906904577192</v>
      </c>
      <c r="X1642" s="133">
        <v>0.617868629524899</v>
      </c>
      <c r="Y1642" s="135">
        <v>0.92</v>
      </c>
      <c r="Z1642" s="135">
        <v>0.698550724637681</v>
      </c>
      <c r="AA1642" s="135">
        <v>0.634111818825195</v>
      </c>
      <c r="AB1642" s="135">
        <v>0.712105263157895</v>
      </c>
      <c r="AC1642" s="135">
        <v>0.751227335209792</v>
      </c>
      <c r="AD1642" s="135">
        <v>0.92</v>
      </c>
      <c r="AE1642" s="133">
        <v>0.58974358974359</v>
      </c>
      <c r="AF1642" s="133">
        <v>0.761904761904762</v>
      </c>
      <c r="AG1642" s="133">
        <v>0.983050847457627</v>
      </c>
      <c r="AH1642" s="133">
        <v>0.930635838150289</v>
      </c>
      <c r="AI1642" s="135">
        <v>0.92</v>
      </c>
      <c r="AJ1642" s="133">
        <v>0.791769344504682</v>
      </c>
      <c r="AK1642" s="133">
        <v>0.70780559646539</v>
      </c>
      <c r="AL1642" s="133">
        <v>0.780803571428571</v>
      </c>
      <c r="AM1642" s="133">
        <v>0.826279118136439</v>
      </c>
      <c r="AN1642" s="132">
        <v>0.99</v>
      </c>
      <c r="AO1642" s="137">
        <v>1</v>
      </c>
      <c r="AP1642" s="137" t="s">
        <v>35</v>
      </c>
      <c r="AQ1642" s="137">
        <v>1</v>
      </c>
      <c r="AR1642" s="137">
        <v>1</v>
      </c>
      <c r="AS1642" s="158">
        <v>0.110069253262963</v>
      </c>
      <c r="AT1642" s="141">
        <v>0.129032258064516</v>
      </c>
      <c r="AU1642" s="141">
        <v>0.125</v>
      </c>
      <c r="AV1642" s="141">
        <v>0.148148148148148</v>
      </c>
      <c r="AW1642" s="141">
        <v>0.121281464530892</v>
      </c>
      <c r="AX1642" s="95"/>
      <c r="AY1642" s="93"/>
    </row>
    <row r="1643" ht="14.5" spans="1:51">
      <c r="A1643" s="91"/>
      <c r="B1643" s="95"/>
      <c r="C1643" s="152" t="s">
        <v>1455</v>
      </c>
      <c r="D1643" s="153" t="s">
        <v>25</v>
      </c>
      <c r="E1643" s="130" t="s">
        <v>1456</v>
      </c>
      <c r="F1643" s="171" t="s">
        <v>1675</v>
      </c>
      <c r="G1643" s="171" t="s">
        <v>1675</v>
      </c>
      <c r="H1643" s="171" t="s">
        <v>1675</v>
      </c>
      <c r="I1643" s="171" t="s">
        <v>1675</v>
      </c>
      <c r="J1643" s="132">
        <v>0.9</v>
      </c>
      <c r="K1643" s="133">
        <v>1</v>
      </c>
      <c r="L1643" s="133">
        <v>1</v>
      </c>
      <c r="M1643" s="134">
        <v>0.96875</v>
      </c>
      <c r="N1643" s="133">
        <v>0.980251346499102</v>
      </c>
      <c r="O1643" s="135">
        <v>0.9</v>
      </c>
      <c r="P1643" s="133">
        <v>0.878787878787879</v>
      </c>
      <c r="Q1643" s="133">
        <v>0.788972851945144</v>
      </c>
      <c r="R1643" s="133">
        <v>0.959941017449005</v>
      </c>
      <c r="S1643" s="133">
        <v>0.891255338514318</v>
      </c>
      <c r="T1643" s="135">
        <v>0.9</v>
      </c>
      <c r="U1643" s="133">
        <v>0.828367710720652</v>
      </c>
      <c r="V1643" s="133">
        <v>0.874335292471313</v>
      </c>
      <c r="W1643" s="133">
        <v>0.84050135168346</v>
      </c>
      <c r="X1643" s="133">
        <v>0.820023804522859</v>
      </c>
      <c r="Y1643" s="135">
        <v>0.92</v>
      </c>
      <c r="Z1643" s="135">
        <v>1</v>
      </c>
      <c r="AA1643" s="135">
        <v>0</v>
      </c>
      <c r="AB1643" s="135">
        <v>0.0833333333333333</v>
      </c>
      <c r="AC1643" s="135">
        <v>0.107594936708861</v>
      </c>
      <c r="AD1643" s="135">
        <v>0.92</v>
      </c>
      <c r="AE1643" s="133">
        <v>0.4625</v>
      </c>
      <c r="AF1643" s="133">
        <v>0.640625</v>
      </c>
      <c r="AG1643" s="133">
        <v>1</v>
      </c>
      <c r="AH1643" s="133">
        <v>0.919831223628692</v>
      </c>
      <c r="AI1643" s="135">
        <v>0.92</v>
      </c>
      <c r="AJ1643" s="133">
        <v>0.963594704684318</v>
      </c>
      <c r="AK1643" s="133">
        <v>0.964215823315628</v>
      </c>
      <c r="AL1643" s="133">
        <v>0.97109260166585</v>
      </c>
      <c r="AM1643" s="133">
        <v>0.9627674431596</v>
      </c>
      <c r="AN1643" s="132">
        <v>0.99</v>
      </c>
      <c r="AO1643" s="137">
        <v>1</v>
      </c>
      <c r="AP1643" s="137">
        <v>1</v>
      </c>
      <c r="AQ1643" s="137">
        <v>1</v>
      </c>
      <c r="AR1643" s="137">
        <v>1</v>
      </c>
      <c r="AS1643" s="158">
        <v>0.110069253262963</v>
      </c>
      <c r="AT1643" s="141">
        <v>0</v>
      </c>
      <c r="AU1643" s="141">
        <v>0</v>
      </c>
      <c r="AV1643" s="141">
        <v>0.04</v>
      </c>
      <c r="AW1643" s="141">
        <v>0.0846560846560847</v>
      </c>
      <c r="AX1643" s="95"/>
      <c r="AY1643" s="93"/>
    </row>
    <row r="1644" ht="14.5" spans="1:51">
      <c r="A1644" s="91"/>
      <c r="B1644" s="95"/>
      <c r="C1644" s="152" t="s">
        <v>1455</v>
      </c>
      <c r="D1644" s="153" t="s">
        <v>25</v>
      </c>
      <c r="E1644" s="130" t="s">
        <v>1456</v>
      </c>
      <c r="F1644" s="171" t="s">
        <v>1676</v>
      </c>
      <c r="G1644" s="171" t="s">
        <v>1676</v>
      </c>
      <c r="H1644" s="171" t="s">
        <v>1676</v>
      </c>
      <c r="I1644" s="171" t="s">
        <v>1676</v>
      </c>
      <c r="J1644" s="132">
        <v>0.9</v>
      </c>
      <c r="K1644" s="133">
        <v>0.928571428571429</v>
      </c>
      <c r="L1644" s="133">
        <v>0.954545454545455</v>
      </c>
      <c r="M1644" s="134">
        <v>0.86</v>
      </c>
      <c r="N1644" s="133">
        <v>0.914893617021277</v>
      </c>
      <c r="O1644" s="135">
        <v>0.9</v>
      </c>
      <c r="P1644" s="133">
        <v>0.758308960382877</v>
      </c>
      <c r="Q1644" s="133">
        <v>0.869152220375208</v>
      </c>
      <c r="R1644" s="133">
        <v>0.885598010400181</v>
      </c>
      <c r="S1644" s="133">
        <v>0.824865545256894</v>
      </c>
      <c r="T1644" s="135">
        <v>0.9</v>
      </c>
      <c r="U1644" s="133">
        <v>0.694762031374634</v>
      </c>
      <c r="V1644" s="133">
        <v>0.772263120398955</v>
      </c>
      <c r="W1644" s="133">
        <v>0.755143567714221</v>
      </c>
      <c r="X1644" s="133">
        <v>0.7282583819659</v>
      </c>
      <c r="Y1644" s="135">
        <v>0.92</v>
      </c>
      <c r="Z1644" s="135" t="s">
        <v>35</v>
      </c>
      <c r="AA1644" s="135" t="s">
        <v>35</v>
      </c>
      <c r="AB1644" s="135" t="s">
        <v>35</v>
      </c>
      <c r="AC1644" s="135" t="s">
        <v>35</v>
      </c>
      <c r="AD1644" s="135">
        <v>0.92</v>
      </c>
      <c r="AE1644" s="133">
        <v>1</v>
      </c>
      <c r="AF1644" s="133">
        <v>0.987212276214834</v>
      </c>
      <c r="AG1644" s="133">
        <v>0.834123222748815</v>
      </c>
      <c r="AH1644" s="133">
        <v>0.938176638176638</v>
      </c>
      <c r="AI1644" s="135">
        <v>0.92</v>
      </c>
      <c r="AJ1644" s="133">
        <v>0.807232119117256</v>
      </c>
      <c r="AK1644" s="133">
        <v>0.840655426264545</v>
      </c>
      <c r="AL1644" s="133">
        <v>0.862762830657924</v>
      </c>
      <c r="AM1644" s="133">
        <v>0.866489300835336</v>
      </c>
      <c r="AN1644" s="132">
        <v>0.99</v>
      </c>
      <c r="AO1644" s="137" t="s">
        <v>35</v>
      </c>
      <c r="AP1644" s="137">
        <v>1</v>
      </c>
      <c r="AQ1644" s="137">
        <v>1</v>
      </c>
      <c r="AR1644" s="137">
        <v>1</v>
      </c>
      <c r="AS1644" s="158">
        <v>0.110069253262963</v>
      </c>
      <c r="AT1644" s="141">
        <v>0.24</v>
      </c>
      <c r="AU1644" s="141">
        <v>0.0833333333333333</v>
      </c>
      <c r="AV1644" s="141">
        <v>0.133333333333333</v>
      </c>
      <c r="AW1644" s="141">
        <v>0.11875</v>
      </c>
      <c r="AX1644" s="95"/>
      <c r="AY1644" s="93"/>
    </row>
    <row r="1645" ht="14.5" spans="1:51">
      <c r="A1645" s="91"/>
      <c r="B1645" s="95"/>
      <c r="C1645" s="152" t="s">
        <v>1455</v>
      </c>
      <c r="D1645" s="153" t="s">
        <v>25</v>
      </c>
      <c r="E1645" s="130" t="s">
        <v>1456</v>
      </c>
      <c r="F1645" s="171" t="s">
        <v>1677</v>
      </c>
      <c r="G1645" s="171" t="s">
        <v>1677</v>
      </c>
      <c r="H1645" s="171" t="s">
        <v>1677</v>
      </c>
      <c r="I1645" s="171" t="s">
        <v>1677</v>
      </c>
      <c r="J1645" s="132">
        <v>0.9</v>
      </c>
      <c r="K1645" s="133">
        <v>0.961538461538462</v>
      </c>
      <c r="L1645" s="133">
        <v>1</v>
      </c>
      <c r="M1645" s="134">
        <v>0.964285714285714</v>
      </c>
      <c r="N1645" s="133">
        <v>0.969565217391304</v>
      </c>
      <c r="O1645" s="135">
        <v>0.9</v>
      </c>
      <c r="P1645" s="133">
        <v>0.828962818003914</v>
      </c>
      <c r="Q1645" s="133">
        <v>0.808089500860585</v>
      </c>
      <c r="R1645" s="133">
        <v>0.813492063492063</v>
      </c>
      <c r="S1645" s="133">
        <v>0.817594148828103</v>
      </c>
      <c r="T1645" s="135">
        <v>0.9</v>
      </c>
      <c r="U1645" s="133">
        <v>0.81839530332681</v>
      </c>
      <c r="V1645" s="133">
        <v>0.868330464716007</v>
      </c>
      <c r="W1645" s="133">
        <v>0.868386243386243</v>
      </c>
      <c r="X1645" s="133">
        <v>0.825443732338437</v>
      </c>
      <c r="Y1645" s="135">
        <v>0.92</v>
      </c>
      <c r="Z1645" s="135">
        <v>0</v>
      </c>
      <c r="AA1645" s="135">
        <v>0.5</v>
      </c>
      <c r="AB1645" s="135">
        <v>0.111111111111111</v>
      </c>
      <c r="AC1645" s="135">
        <v>0.191304347826087</v>
      </c>
      <c r="AD1645" s="135">
        <v>0.92</v>
      </c>
      <c r="AE1645" s="133">
        <v>1</v>
      </c>
      <c r="AF1645" s="133">
        <v>0.966666666666667</v>
      </c>
      <c r="AG1645" s="133">
        <v>1</v>
      </c>
      <c r="AH1645" s="133">
        <v>0.984446477584629</v>
      </c>
      <c r="AI1645" s="135">
        <v>0.92</v>
      </c>
      <c r="AJ1645" s="133">
        <v>0.939796716184519</v>
      </c>
      <c r="AK1645" s="133">
        <v>0.940343347639485</v>
      </c>
      <c r="AL1645" s="133">
        <v>0.968348170128586</v>
      </c>
      <c r="AM1645" s="133">
        <v>0.965652582505666</v>
      </c>
      <c r="AN1645" s="132">
        <v>0.99</v>
      </c>
      <c r="AO1645" s="137">
        <v>1</v>
      </c>
      <c r="AP1645" s="137">
        <v>1</v>
      </c>
      <c r="AQ1645" s="137">
        <v>1</v>
      </c>
      <c r="AR1645" s="137">
        <v>1</v>
      </c>
      <c r="AS1645" s="158">
        <v>0.110069253262963</v>
      </c>
      <c r="AT1645" s="141">
        <v>0</v>
      </c>
      <c r="AU1645" s="141">
        <v>0.0625</v>
      </c>
      <c r="AV1645" s="141">
        <v>0.142857142857143</v>
      </c>
      <c r="AW1645" s="141">
        <v>0.0395348837209302</v>
      </c>
      <c r="AX1645" s="95"/>
      <c r="AY1645" s="93"/>
    </row>
    <row r="1646" ht="14.5" spans="1:51">
      <c r="A1646" s="91"/>
      <c r="B1646" s="95"/>
      <c r="C1646" s="152" t="s">
        <v>1455</v>
      </c>
      <c r="D1646" s="153" t="s">
        <v>25</v>
      </c>
      <c r="E1646" s="130" t="s">
        <v>1456</v>
      </c>
      <c r="F1646" s="171" t="s">
        <v>1678</v>
      </c>
      <c r="G1646" s="171" t="s">
        <v>1678</v>
      </c>
      <c r="H1646" s="171" t="s">
        <v>1678</v>
      </c>
      <c r="I1646" s="171" t="s">
        <v>1678</v>
      </c>
      <c r="J1646" s="132">
        <v>0.9</v>
      </c>
      <c r="K1646" s="133">
        <v>0.96</v>
      </c>
      <c r="L1646" s="133">
        <v>1</v>
      </c>
      <c r="M1646" s="134">
        <v>1</v>
      </c>
      <c r="N1646" s="133">
        <v>0.953271028037383</v>
      </c>
      <c r="O1646" s="135">
        <v>0.9</v>
      </c>
      <c r="P1646" s="133">
        <v>0.989966555183946</v>
      </c>
      <c r="Q1646" s="133">
        <v>0.986111111111111</v>
      </c>
      <c r="R1646" s="133">
        <v>0.956595744680851</v>
      </c>
      <c r="S1646" s="133">
        <v>0.964816981447434</v>
      </c>
      <c r="T1646" s="135">
        <v>0.9</v>
      </c>
      <c r="U1646" s="133">
        <v>0.809364548494983</v>
      </c>
      <c r="V1646" s="133">
        <v>0.861111111111111</v>
      </c>
      <c r="W1646" s="133">
        <v>0.842553191489362</v>
      </c>
      <c r="X1646" s="133">
        <v>0.756518468995487</v>
      </c>
      <c r="Y1646" s="135">
        <v>0.92</v>
      </c>
      <c r="Z1646" s="135">
        <v>0.763157894736842</v>
      </c>
      <c r="AA1646" s="135">
        <v>0.797916666666667</v>
      </c>
      <c r="AB1646" s="135">
        <v>0.843639575971731</v>
      </c>
      <c r="AC1646" s="135">
        <v>0.852383863080685</v>
      </c>
      <c r="AD1646" s="135">
        <v>0.92</v>
      </c>
      <c r="AE1646" s="133">
        <v>0.861111111111111</v>
      </c>
      <c r="AF1646" s="133">
        <v>0.147058823529412</v>
      </c>
      <c r="AG1646" s="133">
        <v>1</v>
      </c>
      <c r="AH1646" s="133">
        <v>0.838565022421525</v>
      </c>
      <c r="AI1646" s="135">
        <v>0.92</v>
      </c>
      <c r="AJ1646" s="133">
        <v>0.85924869234427</v>
      </c>
      <c r="AK1646" s="133">
        <v>0.857912787849094</v>
      </c>
      <c r="AL1646" s="133">
        <v>0.893414211438475</v>
      </c>
      <c r="AM1646" s="133">
        <v>0.901573899876107</v>
      </c>
      <c r="AN1646" s="132">
        <v>0.99</v>
      </c>
      <c r="AO1646" s="137">
        <v>1</v>
      </c>
      <c r="AP1646" s="137" t="s">
        <v>35</v>
      </c>
      <c r="AQ1646" s="137" t="s">
        <v>35</v>
      </c>
      <c r="AR1646" s="137">
        <v>1</v>
      </c>
      <c r="AS1646" s="158">
        <v>0.110069253262963</v>
      </c>
      <c r="AT1646" s="141">
        <v>0.0909090909090909</v>
      </c>
      <c r="AU1646" s="141">
        <v>0.181818181818182</v>
      </c>
      <c r="AV1646" s="141">
        <v>0.136363636363636</v>
      </c>
      <c r="AW1646" s="141">
        <v>0.066006600660066</v>
      </c>
      <c r="AX1646" s="95"/>
      <c r="AY1646" s="93"/>
    </row>
    <row r="1647" ht="14.5" spans="1:51">
      <c r="A1647" s="91"/>
      <c r="B1647" s="95"/>
      <c r="C1647" s="152" t="s">
        <v>1455</v>
      </c>
      <c r="D1647" s="153" t="s">
        <v>25</v>
      </c>
      <c r="E1647" s="130" t="s">
        <v>1456</v>
      </c>
      <c r="F1647" s="171" t="s">
        <v>1679</v>
      </c>
      <c r="G1647" s="171" t="s">
        <v>1679</v>
      </c>
      <c r="H1647" s="171" t="s">
        <v>1679</v>
      </c>
      <c r="I1647" s="171" t="s">
        <v>1679</v>
      </c>
      <c r="J1647" s="132">
        <v>0.9</v>
      </c>
      <c r="K1647" s="133">
        <v>1</v>
      </c>
      <c r="L1647" s="133">
        <v>0.884615384615385</v>
      </c>
      <c r="M1647" s="134">
        <v>0.96551724137931</v>
      </c>
      <c r="N1647" s="133">
        <v>0.940677966101695</v>
      </c>
      <c r="O1647" s="135">
        <v>0.9</v>
      </c>
      <c r="P1647" s="133">
        <v>0.968951376684241</v>
      </c>
      <c r="Q1647" s="133">
        <v>0.966882067851373</v>
      </c>
      <c r="R1647" s="133">
        <v>0.963493199713672</v>
      </c>
      <c r="S1647" s="133">
        <v>0.967975433209037</v>
      </c>
      <c r="T1647" s="135">
        <v>0.9</v>
      </c>
      <c r="U1647" s="133">
        <v>0.597539543057997</v>
      </c>
      <c r="V1647" s="133">
        <v>0.57108239095315</v>
      </c>
      <c r="W1647" s="133">
        <v>0.654259126700072</v>
      </c>
      <c r="X1647" s="133">
        <v>0.613255830957081</v>
      </c>
      <c r="Y1647" s="135">
        <v>0.92</v>
      </c>
      <c r="Z1647" s="135">
        <v>0.540752351097179</v>
      </c>
      <c r="AA1647" s="135">
        <v>0.556902985074627</v>
      </c>
      <c r="AB1647" s="135">
        <v>0.79434250764526</v>
      </c>
      <c r="AC1647" s="135">
        <v>0.726324650423233</v>
      </c>
      <c r="AD1647" s="135">
        <v>0.92</v>
      </c>
      <c r="AE1647" s="133">
        <v>0.91025641025641</v>
      </c>
      <c r="AF1647" s="133">
        <v>0</v>
      </c>
      <c r="AG1647" s="133">
        <v>0.56</v>
      </c>
      <c r="AH1647" s="133">
        <v>0.592592592592593</v>
      </c>
      <c r="AI1647" s="135">
        <v>0.92</v>
      </c>
      <c r="AJ1647" s="133">
        <v>0.711300639658849</v>
      </c>
      <c r="AK1647" s="133">
        <v>0.651082251082251</v>
      </c>
      <c r="AL1647" s="133">
        <v>0.848115299334812</v>
      </c>
      <c r="AM1647" s="133">
        <v>0.805414829248282</v>
      </c>
      <c r="AN1647" s="132">
        <v>0.99</v>
      </c>
      <c r="AO1647" s="137">
        <v>1</v>
      </c>
      <c r="AP1647" s="137">
        <v>1</v>
      </c>
      <c r="AQ1647" s="137">
        <v>1</v>
      </c>
      <c r="AR1647" s="137">
        <v>1</v>
      </c>
      <c r="AS1647" s="158">
        <v>0.110069253262963</v>
      </c>
      <c r="AT1647" s="141">
        <v>0.125</v>
      </c>
      <c r="AU1647" s="141">
        <v>0.0909090909090909</v>
      </c>
      <c r="AV1647" s="141">
        <v>0.235294117647059</v>
      </c>
      <c r="AW1647" s="141">
        <v>0.0993975903614458</v>
      </c>
      <c r="AX1647" s="95"/>
      <c r="AY1647" s="93"/>
    </row>
    <row r="1648" ht="14.5" spans="1:51">
      <c r="A1648" s="91"/>
      <c r="B1648" s="95"/>
      <c r="C1648" s="152" t="s">
        <v>1455</v>
      </c>
      <c r="D1648" s="153" t="s">
        <v>25</v>
      </c>
      <c r="E1648" s="130" t="s">
        <v>1456</v>
      </c>
      <c r="F1648" s="171" t="s">
        <v>1680</v>
      </c>
      <c r="G1648" s="171" t="s">
        <v>1680</v>
      </c>
      <c r="H1648" s="171" t="s">
        <v>1680</v>
      </c>
      <c r="I1648" s="171" t="s">
        <v>1680</v>
      </c>
      <c r="J1648" s="132">
        <v>0.9</v>
      </c>
      <c r="K1648" s="133">
        <v>0.935483870967742</v>
      </c>
      <c r="L1648" s="133">
        <v>1</v>
      </c>
      <c r="M1648" s="134">
        <v>0.96551724137931</v>
      </c>
      <c r="N1648" s="133">
        <v>0.942796610169492</v>
      </c>
      <c r="O1648" s="135">
        <v>0.9</v>
      </c>
      <c r="P1648" s="133">
        <v>0.849875587503456</v>
      </c>
      <c r="Q1648" s="133">
        <v>0.80498177399757</v>
      </c>
      <c r="R1648" s="133">
        <v>0.704683195592287</v>
      </c>
      <c r="S1648" s="133">
        <v>0.787926640504073</v>
      </c>
      <c r="T1648" s="135">
        <v>0.9</v>
      </c>
      <c r="U1648" s="133">
        <v>0.700027647221454</v>
      </c>
      <c r="V1648" s="133">
        <v>0.712940461725395</v>
      </c>
      <c r="W1648" s="133">
        <v>0.742424242424242</v>
      </c>
      <c r="X1648" s="133">
        <v>0.66759955596554</v>
      </c>
      <c r="Y1648" s="135">
        <v>0.92</v>
      </c>
      <c r="Z1648" s="135">
        <v>0.2</v>
      </c>
      <c r="AA1648" s="135">
        <v>0.2</v>
      </c>
      <c r="AB1648" s="135">
        <v>0</v>
      </c>
      <c r="AC1648" s="135">
        <v>0.0283018867924528</v>
      </c>
      <c r="AD1648" s="135">
        <v>0.92</v>
      </c>
      <c r="AE1648" s="133">
        <v>1</v>
      </c>
      <c r="AF1648" s="133">
        <v>0.973684210526316</v>
      </c>
      <c r="AG1648" s="133">
        <v>0.979591836734694</v>
      </c>
      <c r="AH1648" s="133">
        <v>0.920520231213873</v>
      </c>
      <c r="AI1648" s="135">
        <v>0.92</v>
      </c>
      <c r="AJ1648" s="133">
        <v>0.884594146880177</v>
      </c>
      <c r="AK1648" s="133">
        <v>0.878070973612375</v>
      </c>
      <c r="AL1648" s="133">
        <v>0.910616061606161</v>
      </c>
      <c r="AM1648" s="133">
        <v>0.89782924202937</v>
      </c>
      <c r="AN1648" s="132">
        <v>0.99</v>
      </c>
      <c r="AO1648" s="137">
        <v>1</v>
      </c>
      <c r="AP1648" s="137">
        <v>1</v>
      </c>
      <c r="AQ1648" s="137">
        <v>1</v>
      </c>
      <c r="AR1648" s="137">
        <v>1</v>
      </c>
      <c r="AS1648" s="158">
        <v>0.110069253262963</v>
      </c>
      <c r="AT1648" s="141">
        <v>0.125</v>
      </c>
      <c r="AU1648" s="141">
        <v>0.142857142857143</v>
      </c>
      <c r="AV1648" s="141">
        <v>0.0588235294117647</v>
      </c>
      <c r="AW1648" s="141">
        <v>0.1</v>
      </c>
      <c r="AX1648" s="95"/>
      <c r="AY1648" s="93"/>
    </row>
    <row r="1649" ht="14.5" spans="1:51">
      <c r="A1649" s="91"/>
      <c r="B1649" s="95"/>
      <c r="C1649" s="152" t="s">
        <v>1455</v>
      </c>
      <c r="D1649" s="153" t="s">
        <v>25</v>
      </c>
      <c r="E1649" s="130" t="s">
        <v>1456</v>
      </c>
      <c r="F1649" s="171" t="s">
        <v>1681</v>
      </c>
      <c r="G1649" s="171" t="s">
        <v>1681</v>
      </c>
      <c r="H1649" s="171" t="s">
        <v>1681</v>
      </c>
      <c r="I1649" s="171" t="s">
        <v>1681</v>
      </c>
      <c r="J1649" s="132">
        <v>0.9</v>
      </c>
      <c r="K1649" s="133">
        <v>0.921052631578947</v>
      </c>
      <c r="L1649" s="133">
        <v>0.96969696969697</v>
      </c>
      <c r="M1649" s="134">
        <v>0.894736842105263</v>
      </c>
      <c r="N1649" s="133">
        <v>0.946945337620579</v>
      </c>
      <c r="O1649" s="135">
        <v>0.9</v>
      </c>
      <c r="P1649" s="133">
        <v>0.961737744121164</v>
      </c>
      <c r="Q1649" s="133">
        <v>0.946015424164524</v>
      </c>
      <c r="R1649" s="133">
        <v>0.956595744680851</v>
      </c>
      <c r="S1649" s="133">
        <v>0.946239703660379</v>
      </c>
      <c r="T1649" s="135">
        <v>0.9</v>
      </c>
      <c r="U1649" s="133">
        <v>0.452770027899562</v>
      </c>
      <c r="V1649" s="133">
        <v>0.482776349614396</v>
      </c>
      <c r="W1649" s="133">
        <v>0.454468085106383</v>
      </c>
      <c r="X1649" s="133">
        <v>0.477823268509041</v>
      </c>
      <c r="Y1649" s="135">
        <v>0.92</v>
      </c>
      <c r="Z1649" s="135">
        <v>0.738883632923368</v>
      </c>
      <c r="AA1649" s="135">
        <v>0.72733661278988</v>
      </c>
      <c r="AB1649" s="135">
        <v>0.719864176570458</v>
      </c>
      <c r="AC1649" s="135">
        <v>0.715648307515777</v>
      </c>
      <c r="AD1649" s="135">
        <v>0.92</v>
      </c>
      <c r="AE1649" s="133">
        <v>0.972222222222222</v>
      </c>
      <c r="AF1649" s="133">
        <v>0.961538461538462</v>
      </c>
      <c r="AG1649" s="133">
        <v>0.916666666666667</v>
      </c>
      <c r="AH1649" s="133">
        <v>0.917995444191344</v>
      </c>
      <c r="AI1649" s="135">
        <v>0.92</v>
      </c>
      <c r="AJ1649" s="133">
        <v>0.808468872686483</v>
      </c>
      <c r="AK1649" s="133">
        <v>0.775304244582962</v>
      </c>
      <c r="AL1649" s="133">
        <v>0.794274623968947</v>
      </c>
      <c r="AM1649" s="133">
        <v>0.798315062931385</v>
      </c>
      <c r="AN1649" s="132">
        <v>0.99</v>
      </c>
      <c r="AO1649" s="137" t="s">
        <v>35</v>
      </c>
      <c r="AP1649" s="137">
        <v>1</v>
      </c>
      <c r="AQ1649" s="137" t="s">
        <v>35</v>
      </c>
      <c r="AR1649" s="137">
        <v>1</v>
      </c>
      <c r="AS1649" s="158">
        <v>0.110069253262963</v>
      </c>
      <c r="AT1649" s="141">
        <v>0.0645161290322581</v>
      </c>
      <c r="AU1649" s="141">
        <v>0.0769230769230769</v>
      </c>
      <c r="AV1649" s="141">
        <v>0.142857142857143</v>
      </c>
      <c r="AW1649" s="141">
        <v>0.102678571428571</v>
      </c>
      <c r="AX1649" s="95"/>
      <c r="AY1649" s="93"/>
    </row>
    <row r="1650" ht="14.5" spans="1:51">
      <c r="A1650" s="91"/>
      <c r="B1650" s="95"/>
      <c r="C1650" s="152" t="s">
        <v>1455</v>
      </c>
      <c r="D1650" s="153" t="s">
        <v>25</v>
      </c>
      <c r="E1650" s="130" t="s">
        <v>1456</v>
      </c>
      <c r="F1650" s="171" t="s">
        <v>1682</v>
      </c>
      <c r="G1650" s="171" t="s">
        <v>1682</v>
      </c>
      <c r="H1650" s="171" t="s">
        <v>1682</v>
      </c>
      <c r="I1650" s="171" t="s">
        <v>1682</v>
      </c>
      <c r="J1650" s="132">
        <v>0.9</v>
      </c>
      <c r="K1650" s="133">
        <v>0.885714285714286</v>
      </c>
      <c r="L1650" s="133">
        <v>0.833333333333333</v>
      </c>
      <c r="M1650" s="134">
        <v>0.939393939393939</v>
      </c>
      <c r="N1650" s="133">
        <v>0.875621890547264</v>
      </c>
      <c r="O1650" s="135">
        <v>0.9</v>
      </c>
      <c r="P1650" s="133">
        <v>0.793030249425084</v>
      </c>
      <c r="Q1650" s="133">
        <v>0.846888888888889</v>
      </c>
      <c r="R1650" s="133">
        <v>0.983673469387755</v>
      </c>
      <c r="S1650" s="133">
        <v>0.88824586972479</v>
      </c>
      <c r="T1650" s="135">
        <v>0.9</v>
      </c>
      <c r="U1650" s="133">
        <v>0.625508579515302</v>
      </c>
      <c r="V1650" s="133">
        <v>0.704666666666667</v>
      </c>
      <c r="W1650" s="133">
        <v>0.679300291545189</v>
      </c>
      <c r="X1650" s="133">
        <v>0.73138583632089</v>
      </c>
      <c r="Y1650" s="135">
        <v>0.92</v>
      </c>
      <c r="Z1650" s="135">
        <v>0</v>
      </c>
      <c r="AA1650" s="135" t="s">
        <v>35</v>
      </c>
      <c r="AB1650" s="135" t="s">
        <v>35</v>
      </c>
      <c r="AC1650" s="135">
        <v>0</v>
      </c>
      <c r="AD1650" s="135">
        <v>0.92</v>
      </c>
      <c r="AE1650" s="133">
        <v>1</v>
      </c>
      <c r="AF1650" s="133">
        <v>0.994444444444444</v>
      </c>
      <c r="AG1650" s="133">
        <v>1</v>
      </c>
      <c r="AH1650" s="133">
        <v>0.947305389221557</v>
      </c>
      <c r="AI1650" s="135">
        <v>0.92</v>
      </c>
      <c r="AJ1650" s="133">
        <v>0.865758754863813</v>
      </c>
      <c r="AK1650" s="133">
        <v>0.914</v>
      </c>
      <c r="AL1650" s="133">
        <v>0.914480077745384</v>
      </c>
      <c r="AM1650" s="133">
        <v>0.940386783822309</v>
      </c>
      <c r="AN1650" s="132">
        <v>0.99</v>
      </c>
      <c r="AO1650" s="137" t="s">
        <v>35</v>
      </c>
      <c r="AP1650" s="137">
        <v>1</v>
      </c>
      <c r="AQ1650" s="137">
        <v>1</v>
      </c>
      <c r="AR1650" s="137">
        <v>1</v>
      </c>
      <c r="AS1650" s="158">
        <v>0.110069253262963</v>
      </c>
      <c r="AT1650" s="141">
        <v>0.0740740740740741</v>
      </c>
      <c r="AU1650" s="141">
        <v>0</v>
      </c>
      <c r="AV1650" s="141">
        <v>0.121212121212121</v>
      </c>
      <c r="AW1650" s="141">
        <v>0.0936863543788187</v>
      </c>
      <c r="AX1650" s="95"/>
      <c r="AY1650" s="93"/>
    </row>
    <row r="1651" ht="14.5" spans="1:51">
      <c r="A1651" s="91"/>
      <c r="B1651" s="95"/>
      <c r="C1651" s="152" t="s">
        <v>1455</v>
      </c>
      <c r="D1651" s="153" t="s">
        <v>25</v>
      </c>
      <c r="E1651" s="130" t="s">
        <v>1456</v>
      </c>
      <c r="F1651" s="171" t="s">
        <v>1683</v>
      </c>
      <c r="G1651" s="171" t="s">
        <v>1683</v>
      </c>
      <c r="H1651" s="171" t="s">
        <v>1683</v>
      </c>
      <c r="I1651" s="171" t="s">
        <v>1683</v>
      </c>
      <c r="J1651" s="132">
        <v>0.9</v>
      </c>
      <c r="K1651" s="133">
        <v>0.842105263157895</v>
      </c>
      <c r="L1651" s="133">
        <v>0.888888888888889</v>
      </c>
      <c r="M1651" s="134">
        <v>0.829268292682927</v>
      </c>
      <c r="N1651" s="133">
        <v>0.825563909774436</v>
      </c>
      <c r="O1651" s="135">
        <v>0.9</v>
      </c>
      <c r="P1651" s="133">
        <v>0.893049279104799</v>
      </c>
      <c r="Q1651" s="133">
        <v>0.990941385435169</v>
      </c>
      <c r="R1651" s="133">
        <v>0.983886407147415</v>
      </c>
      <c r="S1651" s="133">
        <v>0.982091016477466</v>
      </c>
      <c r="T1651" s="135">
        <v>0.9</v>
      </c>
      <c r="U1651" s="133">
        <v>0.851301915214117</v>
      </c>
      <c r="V1651" s="133">
        <v>0.90088809946714</v>
      </c>
      <c r="W1651" s="133">
        <v>0.900127632418634</v>
      </c>
      <c r="X1651" s="133">
        <v>0.891625122629988</v>
      </c>
      <c r="Y1651" s="135">
        <v>0.92</v>
      </c>
      <c r="Z1651" s="135" t="s">
        <v>35</v>
      </c>
      <c r="AA1651" s="135">
        <v>0</v>
      </c>
      <c r="AB1651" s="135">
        <v>0</v>
      </c>
      <c r="AC1651" s="135">
        <v>0</v>
      </c>
      <c r="AD1651" s="135">
        <v>0.92</v>
      </c>
      <c r="AE1651" s="133">
        <v>1</v>
      </c>
      <c r="AF1651" s="133">
        <v>1</v>
      </c>
      <c r="AG1651" s="133">
        <v>1</v>
      </c>
      <c r="AH1651" s="133">
        <v>0.891304347826087</v>
      </c>
      <c r="AI1651" s="135">
        <v>0.92</v>
      </c>
      <c r="AJ1651" s="133">
        <v>0.931568754034861</v>
      </c>
      <c r="AK1651" s="133">
        <v>0.955618675661282</v>
      </c>
      <c r="AL1651" s="133">
        <v>0.951682347313028</v>
      </c>
      <c r="AM1651" s="133">
        <v>0.962048500255212</v>
      </c>
      <c r="AN1651" s="132">
        <v>0.99</v>
      </c>
      <c r="AO1651" s="137">
        <v>1</v>
      </c>
      <c r="AP1651" s="137">
        <v>1</v>
      </c>
      <c r="AQ1651" s="137" t="s">
        <v>35</v>
      </c>
      <c r="AR1651" s="137">
        <v>1</v>
      </c>
      <c r="AS1651" s="158">
        <v>0.110069253262963</v>
      </c>
      <c r="AT1651" s="141">
        <v>0.0681818181818182</v>
      </c>
      <c r="AU1651" s="141">
        <v>0.1875</v>
      </c>
      <c r="AV1651" s="141">
        <v>0.0909090909090909</v>
      </c>
      <c r="AW1651" s="141">
        <v>0.0746031746031746</v>
      </c>
      <c r="AX1651" s="95"/>
      <c r="AY1651" s="93"/>
    </row>
    <row r="1652" ht="14.5" spans="1:51">
      <c r="A1652" s="91"/>
      <c r="B1652" s="95"/>
      <c r="C1652" s="152" t="s">
        <v>1455</v>
      </c>
      <c r="D1652" s="153" t="s">
        <v>25</v>
      </c>
      <c r="E1652" s="130" t="s">
        <v>1456</v>
      </c>
      <c r="F1652" s="171" t="s">
        <v>1684</v>
      </c>
      <c r="G1652" s="171" t="s">
        <v>1684</v>
      </c>
      <c r="H1652" s="171" t="s">
        <v>1684</v>
      </c>
      <c r="I1652" s="171" t="s">
        <v>1684</v>
      </c>
      <c r="J1652" s="132">
        <v>0.9</v>
      </c>
      <c r="K1652" s="133">
        <v>0.921052631578947</v>
      </c>
      <c r="L1652" s="133">
        <v>0.941176470588235</v>
      </c>
      <c r="M1652" s="134">
        <v>0.897435897435897</v>
      </c>
      <c r="N1652" s="133">
        <v>0.930081300813008</v>
      </c>
      <c r="O1652" s="135">
        <v>0.9</v>
      </c>
      <c r="P1652" s="133">
        <v>0.977799227799228</v>
      </c>
      <c r="Q1652" s="133">
        <v>0.972371450498849</v>
      </c>
      <c r="R1652" s="133">
        <v>0.977064220183486</v>
      </c>
      <c r="S1652" s="133">
        <v>0.97325461174294</v>
      </c>
      <c r="T1652" s="135">
        <v>0.9</v>
      </c>
      <c r="U1652" s="133">
        <v>0.774131274131274</v>
      </c>
      <c r="V1652" s="133">
        <v>0.760552570990023</v>
      </c>
      <c r="W1652" s="133">
        <v>0.826834862385321</v>
      </c>
      <c r="X1652" s="133">
        <v>0.758556891766883</v>
      </c>
      <c r="Y1652" s="135">
        <v>0.92</v>
      </c>
      <c r="Z1652" s="135">
        <v>0.876662636033857</v>
      </c>
      <c r="AA1652" s="135">
        <v>0.864187550525465</v>
      </c>
      <c r="AB1652" s="135">
        <v>0.926779661016949</v>
      </c>
      <c r="AC1652" s="135">
        <v>0.916127826574472</v>
      </c>
      <c r="AD1652" s="135">
        <v>0.92</v>
      </c>
      <c r="AE1652" s="133">
        <v>1</v>
      </c>
      <c r="AF1652" s="133">
        <v>1</v>
      </c>
      <c r="AG1652" s="133">
        <v>1</v>
      </c>
      <c r="AH1652" s="133">
        <v>0.998820754716981</v>
      </c>
      <c r="AI1652" s="135">
        <v>0.92</v>
      </c>
      <c r="AJ1652" s="133">
        <v>0.908934115212142</v>
      </c>
      <c r="AK1652" s="133">
        <v>0.887007874015748</v>
      </c>
      <c r="AL1652" s="133">
        <v>0.945048121701335</v>
      </c>
      <c r="AM1652" s="133">
        <v>0.934385970435905</v>
      </c>
      <c r="AN1652" s="132">
        <v>0.99</v>
      </c>
      <c r="AO1652" s="137">
        <v>1</v>
      </c>
      <c r="AP1652" s="137">
        <v>1</v>
      </c>
      <c r="AQ1652" s="137">
        <v>1</v>
      </c>
      <c r="AR1652" s="137">
        <v>1</v>
      </c>
      <c r="AS1652" s="158">
        <v>0.110069253262963</v>
      </c>
      <c r="AT1652" s="141">
        <v>0.0512820512820513</v>
      </c>
      <c r="AU1652" s="141">
        <v>0.176470588235294</v>
      </c>
      <c r="AV1652" s="141">
        <v>0</v>
      </c>
      <c r="AW1652" s="141">
        <v>0.0704761904761905</v>
      </c>
      <c r="AX1652" s="95"/>
      <c r="AY1652" s="93"/>
    </row>
    <row r="1653" ht="14.5" spans="1:51">
      <c r="A1653" s="91"/>
      <c r="B1653" s="95"/>
      <c r="C1653" s="152" t="s">
        <v>1455</v>
      </c>
      <c r="D1653" s="153" t="s">
        <v>25</v>
      </c>
      <c r="E1653" s="130" t="s">
        <v>1456</v>
      </c>
      <c r="F1653" s="171" t="s">
        <v>1685</v>
      </c>
      <c r="G1653" s="171" t="s">
        <v>1685</v>
      </c>
      <c r="H1653" s="171" t="s">
        <v>1685</v>
      </c>
      <c r="I1653" s="171" t="s">
        <v>1685</v>
      </c>
      <c r="J1653" s="132">
        <v>0.9</v>
      </c>
      <c r="K1653" s="133">
        <v>0.974358974358974</v>
      </c>
      <c r="L1653" s="133">
        <v>1</v>
      </c>
      <c r="M1653" s="134">
        <v>0.972972972972973</v>
      </c>
      <c r="N1653" s="133">
        <v>0.983974358974359</v>
      </c>
      <c r="O1653" s="135">
        <v>0.9</v>
      </c>
      <c r="P1653" s="133">
        <v>0.988205128205128</v>
      </c>
      <c r="Q1653" s="133">
        <v>0.994421906693712</v>
      </c>
      <c r="R1653" s="133">
        <v>0.98993288590604</v>
      </c>
      <c r="S1653" s="133">
        <v>0.991297615360793</v>
      </c>
      <c r="T1653" s="135">
        <v>0.9</v>
      </c>
      <c r="U1653" s="133">
        <v>0.894358974358974</v>
      </c>
      <c r="V1653" s="133">
        <v>0.961460446247465</v>
      </c>
      <c r="W1653" s="133">
        <v>0.945349952061361</v>
      </c>
      <c r="X1653" s="133">
        <v>0.940879529266027</v>
      </c>
      <c r="Y1653" s="135">
        <v>0.92</v>
      </c>
      <c r="Z1653" s="135">
        <v>0.928115015974441</v>
      </c>
      <c r="AA1653" s="135">
        <v>0.918042813455658</v>
      </c>
      <c r="AB1653" s="135">
        <v>0.95260663507109</v>
      </c>
      <c r="AC1653" s="135">
        <v>0.94256744390351</v>
      </c>
      <c r="AD1653" s="135">
        <v>0.92</v>
      </c>
      <c r="AE1653" s="133">
        <v>1</v>
      </c>
      <c r="AF1653" s="133">
        <v>0.988372093023256</v>
      </c>
      <c r="AG1653" s="133">
        <v>1</v>
      </c>
      <c r="AH1653" s="133">
        <v>0.997797356828194</v>
      </c>
      <c r="AI1653" s="135">
        <v>0.92</v>
      </c>
      <c r="AJ1653" s="133">
        <v>0.929419113054341</v>
      </c>
      <c r="AK1653" s="133">
        <v>0.952869420571112</v>
      </c>
      <c r="AL1653" s="133">
        <v>0.96716250350828</v>
      </c>
      <c r="AM1653" s="133">
        <v>0.960061727359646</v>
      </c>
      <c r="AN1653" s="132">
        <v>0.99</v>
      </c>
      <c r="AO1653" s="137">
        <v>1</v>
      </c>
      <c r="AP1653" s="137">
        <v>1</v>
      </c>
      <c r="AQ1653" s="137">
        <v>1</v>
      </c>
      <c r="AR1653" s="137">
        <v>1</v>
      </c>
      <c r="AS1653" s="158">
        <v>0.110069253262963</v>
      </c>
      <c r="AT1653" s="141">
        <v>0.16</v>
      </c>
      <c r="AU1653" s="141">
        <v>0.105263157894737</v>
      </c>
      <c r="AV1653" s="141">
        <v>0.230769230769231</v>
      </c>
      <c r="AW1653" s="141">
        <v>0.093167701863354</v>
      </c>
      <c r="AX1653" s="95"/>
      <c r="AY1653" s="93"/>
    </row>
    <row r="1654" ht="14.5" spans="1:51">
      <c r="A1654" s="91"/>
      <c r="B1654" s="95"/>
      <c r="C1654" s="152" t="s">
        <v>1455</v>
      </c>
      <c r="D1654" s="153" t="s">
        <v>922</v>
      </c>
      <c r="E1654" s="130" t="s">
        <v>1456</v>
      </c>
      <c r="F1654" s="171" t="s">
        <v>1686</v>
      </c>
      <c r="G1654" s="171" t="s">
        <v>1686</v>
      </c>
      <c r="H1654" s="171" t="s">
        <v>1686</v>
      </c>
      <c r="I1654" s="171" t="s">
        <v>1686</v>
      </c>
      <c r="J1654" s="132">
        <v>0.9</v>
      </c>
      <c r="K1654" s="133" t="s">
        <v>35</v>
      </c>
      <c r="L1654" s="133" t="s">
        <v>35</v>
      </c>
      <c r="M1654" s="134" t="s">
        <v>35</v>
      </c>
      <c r="N1654" s="133" t="s">
        <v>35</v>
      </c>
      <c r="O1654" s="135">
        <v>0.9</v>
      </c>
      <c r="P1654" s="133" t="s">
        <v>35</v>
      </c>
      <c r="Q1654" s="133" t="s">
        <v>35</v>
      </c>
      <c r="R1654" s="133" t="s">
        <v>35</v>
      </c>
      <c r="S1654" s="133" t="s">
        <v>35</v>
      </c>
      <c r="T1654" s="135">
        <v>0.9</v>
      </c>
      <c r="U1654" s="133" t="s">
        <v>35</v>
      </c>
      <c r="V1654" s="133" t="s">
        <v>35</v>
      </c>
      <c r="W1654" s="133" t="s">
        <v>35</v>
      </c>
      <c r="X1654" s="133" t="s">
        <v>35</v>
      </c>
      <c r="Y1654" s="135">
        <v>0.92</v>
      </c>
      <c r="Z1654" s="135" t="s">
        <v>35</v>
      </c>
      <c r="AA1654" s="135" t="s">
        <v>35</v>
      </c>
      <c r="AB1654" s="135" t="s">
        <v>35</v>
      </c>
      <c r="AC1654" s="135" t="s">
        <v>35</v>
      </c>
      <c r="AD1654" s="135">
        <v>0.92</v>
      </c>
      <c r="AE1654" s="133" t="s">
        <v>35</v>
      </c>
      <c r="AF1654" s="133" t="s">
        <v>35</v>
      </c>
      <c r="AG1654" s="133" t="s">
        <v>35</v>
      </c>
      <c r="AH1654" s="133" t="s">
        <v>35</v>
      </c>
      <c r="AI1654" s="135">
        <v>0.92</v>
      </c>
      <c r="AJ1654" s="133" t="s">
        <v>35</v>
      </c>
      <c r="AK1654" s="133" t="s">
        <v>35</v>
      </c>
      <c r="AL1654" s="133" t="s">
        <v>35</v>
      </c>
      <c r="AM1654" s="133" t="s">
        <v>35</v>
      </c>
      <c r="AN1654" s="132">
        <v>0.99</v>
      </c>
      <c r="AO1654" s="137" t="s">
        <v>35</v>
      </c>
      <c r="AP1654" s="137" t="s">
        <v>35</v>
      </c>
      <c r="AQ1654" s="137" t="s">
        <v>35</v>
      </c>
      <c r="AR1654" s="137" t="s">
        <v>35</v>
      </c>
      <c r="AS1654" s="158">
        <v>0.110069253262963</v>
      </c>
      <c r="AT1654" s="141" t="s">
        <v>35</v>
      </c>
      <c r="AU1654" s="141" t="s">
        <v>35</v>
      </c>
      <c r="AV1654" s="141" t="s">
        <v>35</v>
      </c>
      <c r="AW1654" s="141" t="s">
        <v>35</v>
      </c>
      <c r="AX1654" s="95"/>
      <c r="AY1654" s="93"/>
    </row>
    <row r="1655" ht="14.5" spans="1:51">
      <c r="A1655" s="91"/>
      <c r="B1655" s="95"/>
      <c r="C1655" s="152" t="s">
        <v>1455</v>
      </c>
      <c r="D1655" s="153" t="s">
        <v>922</v>
      </c>
      <c r="E1655" s="130" t="s">
        <v>1456</v>
      </c>
      <c r="F1655" s="171" t="s">
        <v>1687</v>
      </c>
      <c r="G1655" s="171" t="s">
        <v>1687</v>
      </c>
      <c r="H1655" s="171" t="s">
        <v>1687</v>
      </c>
      <c r="I1655" s="171" t="s">
        <v>1687</v>
      </c>
      <c r="J1655" s="132">
        <v>0.9</v>
      </c>
      <c r="K1655" s="133" t="s">
        <v>35</v>
      </c>
      <c r="L1655" s="133" t="s">
        <v>35</v>
      </c>
      <c r="M1655" s="134" t="s">
        <v>35</v>
      </c>
      <c r="N1655" s="133" t="s">
        <v>35</v>
      </c>
      <c r="O1655" s="135">
        <v>0.9</v>
      </c>
      <c r="P1655" s="133" t="s">
        <v>35</v>
      </c>
      <c r="Q1655" s="133" t="s">
        <v>35</v>
      </c>
      <c r="R1655" s="133" t="s">
        <v>35</v>
      </c>
      <c r="S1655" s="133" t="s">
        <v>35</v>
      </c>
      <c r="T1655" s="135">
        <v>0.9</v>
      </c>
      <c r="U1655" s="133" t="s">
        <v>35</v>
      </c>
      <c r="V1655" s="133" t="s">
        <v>35</v>
      </c>
      <c r="W1655" s="133" t="s">
        <v>35</v>
      </c>
      <c r="X1655" s="133" t="s">
        <v>35</v>
      </c>
      <c r="Y1655" s="135">
        <v>0.92</v>
      </c>
      <c r="Z1655" s="135" t="s">
        <v>35</v>
      </c>
      <c r="AA1655" s="135" t="s">
        <v>35</v>
      </c>
      <c r="AB1655" s="135" t="s">
        <v>35</v>
      </c>
      <c r="AC1655" s="135" t="s">
        <v>35</v>
      </c>
      <c r="AD1655" s="135">
        <v>0.92</v>
      </c>
      <c r="AE1655" s="133" t="s">
        <v>35</v>
      </c>
      <c r="AF1655" s="133" t="s">
        <v>35</v>
      </c>
      <c r="AG1655" s="133" t="s">
        <v>35</v>
      </c>
      <c r="AH1655" s="133" t="s">
        <v>35</v>
      </c>
      <c r="AI1655" s="135">
        <v>0.92</v>
      </c>
      <c r="AJ1655" s="133" t="s">
        <v>35</v>
      </c>
      <c r="AK1655" s="133" t="s">
        <v>35</v>
      </c>
      <c r="AL1655" s="133" t="s">
        <v>35</v>
      </c>
      <c r="AM1655" s="133" t="s">
        <v>35</v>
      </c>
      <c r="AN1655" s="132">
        <v>0.99</v>
      </c>
      <c r="AO1655" s="137" t="s">
        <v>35</v>
      </c>
      <c r="AP1655" s="137" t="s">
        <v>35</v>
      </c>
      <c r="AQ1655" s="137" t="s">
        <v>35</v>
      </c>
      <c r="AR1655" s="137" t="s">
        <v>35</v>
      </c>
      <c r="AS1655" s="158">
        <v>0.110069253262963</v>
      </c>
      <c r="AT1655" s="141" t="s">
        <v>35</v>
      </c>
      <c r="AU1655" s="141" t="s">
        <v>35</v>
      </c>
      <c r="AV1655" s="141" t="s">
        <v>35</v>
      </c>
      <c r="AW1655" s="141" t="s">
        <v>35</v>
      </c>
      <c r="AX1655" s="95"/>
      <c r="AY1655" s="93"/>
    </row>
    <row r="1656" ht="14.5" spans="1:51">
      <c r="A1656" s="91"/>
      <c r="B1656" s="95"/>
      <c r="C1656" s="152" t="s">
        <v>1455</v>
      </c>
      <c r="D1656" s="153" t="s">
        <v>125</v>
      </c>
      <c r="E1656" s="130" t="s">
        <v>1456</v>
      </c>
      <c r="F1656" s="171" t="s">
        <v>1688</v>
      </c>
      <c r="G1656" s="171" t="s">
        <v>1688</v>
      </c>
      <c r="H1656" s="171" t="s">
        <v>1688</v>
      </c>
      <c r="I1656" s="171" t="s">
        <v>1688</v>
      </c>
      <c r="J1656" s="132">
        <v>0.9</v>
      </c>
      <c r="K1656" s="133" t="s">
        <v>35</v>
      </c>
      <c r="L1656" s="133" t="s">
        <v>35</v>
      </c>
      <c r="M1656" s="134" t="s">
        <v>35</v>
      </c>
      <c r="N1656" s="133" t="s">
        <v>35</v>
      </c>
      <c r="O1656" s="135">
        <v>0.9</v>
      </c>
      <c r="P1656" s="133" t="s">
        <v>35</v>
      </c>
      <c r="Q1656" s="133" t="s">
        <v>35</v>
      </c>
      <c r="R1656" s="133" t="s">
        <v>35</v>
      </c>
      <c r="S1656" s="133" t="s">
        <v>35</v>
      </c>
      <c r="T1656" s="135">
        <v>0.9</v>
      </c>
      <c r="U1656" s="133" t="s">
        <v>35</v>
      </c>
      <c r="V1656" s="133" t="s">
        <v>35</v>
      </c>
      <c r="W1656" s="133" t="s">
        <v>35</v>
      </c>
      <c r="X1656" s="133" t="s">
        <v>35</v>
      </c>
      <c r="Y1656" s="135">
        <v>0.92</v>
      </c>
      <c r="Z1656" s="135" t="s">
        <v>35</v>
      </c>
      <c r="AA1656" s="135" t="s">
        <v>35</v>
      </c>
      <c r="AB1656" s="135" t="s">
        <v>35</v>
      </c>
      <c r="AC1656" s="135" t="s">
        <v>35</v>
      </c>
      <c r="AD1656" s="135">
        <v>0.92</v>
      </c>
      <c r="AE1656" s="133" t="s">
        <v>35</v>
      </c>
      <c r="AF1656" s="133" t="s">
        <v>35</v>
      </c>
      <c r="AG1656" s="133" t="s">
        <v>35</v>
      </c>
      <c r="AH1656" s="133" t="s">
        <v>35</v>
      </c>
      <c r="AI1656" s="135">
        <v>0.92</v>
      </c>
      <c r="AJ1656" s="133" t="s">
        <v>35</v>
      </c>
      <c r="AK1656" s="133" t="s">
        <v>35</v>
      </c>
      <c r="AL1656" s="133" t="s">
        <v>35</v>
      </c>
      <c r="AM1656" s="133" t="s">
        <v>35</v>
      </c>
      <c r="AN1656" s="132">
        <v>0.99</v>
      </c>
      <c r="AO1656" s="137" t="s">
        <v>35</v>
      </c>
      <c r="AP1656" s="137" t="s">
        <v>35</v>
      </c>
      <c r="AQ1656" s="137" t="s">
        <v>35</v>
      </c>
      <c r="AR1656" s="137" t="s">
        <v>35</v>
      </c>
      <c r="AS1656" s="158">
        <v>0.110069253262963</v>
      </c>
      <c r="AT1656" s="141" t="s">
        <v>35</v>
      </c>
      <c r="AU1656" s="141" t="s">
        <v>35</v>
      </c>
      <c r="AV1656" s="141" t="s">
        <v>35</v>
      </c>
      <c r="AW1656" s="141" t="s">
        <v>35</v>
      </c>
      <c r="AX1656" s="95"/>
      <c r="AY1656" s="93"/>
    </row>
    <row r="1657" ht="14.5" spans="1:51">
      <c r="A1657" s="91"/>
      <c r="B1657" s="95"/>
      <c r="C1657" s="152" t="s">
        <v>1455</v>
      </c>
      <c r="D1657" s="153" t="s">
        <v>25</v>
      </c>
      <c r="E1657" s="130" t="s">
        <v>1456</v>
      </c>
      <c r="F1657" s="171" t="s">
        <v>1689</v>
      </c>
      <c r="G1657" s="171" t="s">
        <v>1689</v>
      </c>
      <c r="H1657" s="171" t="s">
        <v>1689</v>
      </c>
      <c r="I1657" s="171" t="s">
        <v>1689</v>
      </c>
      <c r="J1657" s="132">
        <v>0.9</v>
      </c>
      <c r="K1657" s="133">
        <v>0.956521739130435</v>
      </c>
      <c r="L1657" s="133">
        <v>0.869565217391304</v>
      </c>
      <c r="M1657" s="134">
        <v>0.961538461538462</v>
      </c>
      <c r="N1657" s="133">
        <v>0.920792079207921</v>
      </c>
      <c r="O1657" s="135">
        <v>0.9</v>
      </c>
      <c r="P1657" s="133">
        <v>0.965255843335439</v>
      </c>
      <c r="Q1657" s="133">
        <v>0.984022556390977</v>
      </c>
      <c r="R1657" s="133">
        <v>0.978427279053584</v>
      </c>
      <c r="S1657" s="133">
        <v>0.971129763758208</v>
      </c>
      <c r="T1657" s="135">
        <v>0.9</v>
      </c>
      <c r="U1657" s="133">
        <v>0.781427668982944</v>
      </c>
      <c r="V1657" s="133">
        <v>0.836466165413534</v>
      </c>
      <c r="W1657" s="133">
        <v>0.796798886569241</v>
      </c>
      <c r="X1657" s="133">
        <v>0.715156027888716</v>
      </c>
      <c r="Y1657" s="135">
        <v>0.92</v>
      </c>
      <c r="Z1657" s="135">
        <v>0.87308868501529</v>
      </c>
      <c r="AA1657" s="135">
        <v>0.87144259077527</v>
      </c>
      <c r="AB1657" s="135">
        <v>0.92891760904685</v>
      </c>
      <c r="AC1657" s="135">
        <v>0.898329506056103</v>
      </c>
      <c r="AD1657" s="135">
        <v>0.92</v>
      </c>
      <c r="AE1657" s="133">
        <v>0.739130434782609</v>
      </c>
      <c r="AF1657" s="133">
        <v>1</v>
      </c>
      <c r="AG1657" s="133">
        <v>0.979166666666667</v>
      </c>
      <c r="AH1657" s="133">
        <v>0.949105914718019</v>
      </c>
      <c r="AI1657" s="135">
        <v>0.92</v>
      </c>
      <c r="AJ1657" s="133">
        <v>0.919982118909253</v>
      </c>
      <c r="AK1657" s="133">
        <v>0.906385021603457</v>
      </c>
      <c r="AL1657" s="133">
        <v>0.943946188340807</v>
      </c>
      <c r="AM1657" s="133">
        <v>0.927335239125396</v>
      </c>
      <c r="AN1657" s="132">
        <v>0.99</v>
      </c>
      <c r="AO1657" s="137">
        <v>1</v>
      </c>
      <c r="AP1657" s="137" t="s">
        <v>35</v>
      </c>
      <c r="AQ1657" s="137">
        <v>1</v>
      </c>
      <c r="AR1657" s="137">
        <v>1</v>
      </c>
      <c r="AS1657" s="158">
        <v>0.110069253262963</v>
      </c>
      <c r="AT1657" s="141">
        <v>0.125</v>
      </c>
      <c r="AU1657" s="141">
        <v>0</v>
      </c>
      <c r="AV1657" s="141">
        <v>0</v>
      </c>
      <c r="AW1657" s="141">
        <v>0.0745501285347044</v>
      </c>
      <c r="AX1657" s="95"/>
      <c r="AY1657" s="93"/>
    </row>
    <row r="1658" ht="14.5" spans="1:51">
      <c r="A1658" s="91"/>
      <c r="B1658" s="95"/>
      <c r="C1658" s="152" t="s">
        <v>1455</v>
      </c>
      <c r="D1658" s="153" t="s">
        <v>125</v>
      </c>
      <c r="E1658" s="130" t="s">
        <v>1456</v>
      </c>
      <c r="F1658" s="171" t="s">
        <v>1690</v>
      </c>
      <c r="G1658" s="171" t="s">
        <v>1690</v>
      </c>
      <c r="H1658" s="171" t="s">
        <v>1690</v>
      </c>
      <c r="I1658" s="171" t="s">
        <v>1690</v>
      </c>
      <c r="J1658" s="132">
        <v>0.9</v>
      </c>
      <c r="K1658" s="133" t="s">
        <v>35</v>
      </c>
      <c r="L1658" s="133" t="s">
        <v>35</v>
      </c>
      <c r="M1658" s="134" t="s">
        <v>35</v>
      </c>
      <c r="N1658" s="133" t="s">
        <v>35</v>
      </c>
      <c r="O1658" s="135">
        <v>0.9</v>
      </c>
      <c r="P1658" s="133" t="s">
        <v>35</v>
      </c>
      <c r="Q1658" s="133" t="s">
        <v>35</v>
      </c>
      <c r="R1658" s="133" t="s">
        <v>35</v>
      </c>
      <c r="S1658" s="133" t="s">
        <v>35</v>
      </c>
      <c r="T1658" s="135">
        <v>0.9</v>
      </c>
      <c r="U1658" s="133" t="s">
        <v>35</v>
      </c>
      <c r="V1658" s="133" t="s">
        <v>35</v>
      </c>
      <c r="W1658" s="133" t="s">
        <v>35</v>
      </c>
      <c r="X1658" s="133" t="s">
        <v>35</v>
      </c>
      <c r="Y1658" s="135">
        <v>0.92</v>
      </c>
      <c r="Z1658" s="135" t="s">
        <v>35</v>
      </c>
      <c r="AA1658" s="135" t="s">
        <v>35</v>
      </c>
      <c r="AB1658" s="135" t="s">
        <v>35</v>
      </c>
      <c r="AC1658" s="135" t="s">
        <v>35</v>
      </c>
      <c r="AD1658" s="135">
        <v>0.92</v>
      </c>
      <c r="AE1658" s="133">
        <v>1</v>
      </c>
      <c r="AF1658" s="133">
        <v>1</v>
      </c>
      <c r="AG1658" s="133">
        <v>1</v>
      </c>
      <c r="AH1658" s="133">
        <v>0.996182396606575</v>
      </c>
      <c r="AI1658" s="135">
        <v>0.92</v>
      </c>
      <c r="AJ1658" s="133" t="s">
        <v>35</v>
      </c>
      <c r="AK1658" s="133" t="s">
        <v>35</v>
      </c>
      <c r="AL1658" s="133" t="s">
        <v>35</v>
      </c>
      <c r="AM1658" s="133" t="s">
        <v>35</v>
      </c>
      <c r="AN1658" s="132">
        <v>0.99</v>
      </c>
      <c r="AO1658" s="137">
        <v>1</v>
      </c>
      <c r="AP1658" s="137">
        <v>1</v>
      </c>
      <c r="AQ1658" s="137">
        <v>1</v>
      </c>
      <c r="AR1658" s="137">
        <v>1</v>
      </c>
      <c r="AS1658" s="158">
        <v>0.110069253262963</v>
      </c>
      <c r="AT1658" s="141" t="s">
        <v>35</v>
      </c>
      <c r="AU1658" s="141" t="s">
        <v>35</v>
      </c>
      <c r="AV1658" s="141" t="s">
        <v>35</v>
      </c>
      <c r="AW1658" s="141" t="s">
        <v>35</v>
      </c>
      <c r="AX1658" s="95"/>
      <c r="AY1658" s="93"/>
    </row>
    <row r="1659" ht="14.5" spans="1:51">
      <c r="A1659" s="91"/>
      <c r="B1659" s="95"/>
      <c r="C1659" s="152" t="s">
        <v>1455</v>
      </c>
      <c r="D1659" s="153" t="s">
        <v>25</v>
      </c>
      <c r="E1659" s="130" t="s">
        <v>1456</v>
      </c>
      <c r="F1659" s="171" t="s">
        <v>1691</v>
      </c>
      <c r="G1659" s="171" t="s">
        <v>1691</v>
      </c>
      <c r="H1659" s="171" t="s">
        <v>1691</v>
      </c>
      <c r="I1659" s="171" t="s">
        <v>1691</v>
      </c>
      <c r="J1659" s="132">
        <v>0.9</v>
      </c>
      <c r="K1659" s="133">
        <v>0.65625</v>
      </c>
      <c r="L1659" s="133">
        <v>0.75</v>
      </c>
      <c r="M1659" s="134">
        <v>0.75</v>
      </c>
      <c r="N1659" s="133">
        <v>0.744014732965009</v>
      </c>
      <c r="O1659" s="135">
        <v>0.9</v>
      </c>
      <c r="P1659" s="133">
        <v>0.976153039832285</v>
      </c>
      <c r="Q1659" s="133">
        <v>0.974878801234024</v>
      </c>
      <c r="R1659" s="133">
        <v>0.988035892323031</v>
      </c>
      <c r="S1659" s="133">
        <v>0.987128349122208</v>
      </c>
      <c r="T1659" s="135">
        <v>0.9</v>
      </c>
      <c r="U1659" s="133">
        <v>0.775681341719078</v>
      </c>
      <c r="V1659" s="133">
        <v>0.787791978845306</v>
      </c>
      <c r="W1659" s="133">
        <v>0.874975074775673</v>
      </c>
      <c r="X1659" s="133">
        <v>0.786456556538169</v>
      </c>
      <c r="Y1659" s="135">
        <v>0.92</v>
      </c>
      <c r="Z1659" s="135" t="s">
        <v>35</v>
      </c>
      <c r="AA1659" s="135">
        <v>0</v>
      </c>
      <c r="AB1659" s="135">
        <v>0</v>
      </c>
      <c r="AC1659" s="135">
        <v>0.0740740740740741</v>
      </c>
      <c r="AD1659" s="135">
        <v>0.92</v>
      </c>
      <c r="AE1659" s="133">
        <v>0.893939393939394</v>
      </c>
      <c r="AF1659" s="133">
        <v>0.67032967032967</v>
      </c>
      <c r="AG1659" s="133">
        <v>0.92</v>
      </c>
      <c r="AH1659" s="133">
        <v>0.794117647058823</v>
      </c>
      <c r="AI1659" s="135">
        <v>0.92</v>
      </c>
      <c r="AJ1659" s="133">
        <v>0.863469601677149</v>
      </c>
      <c r="AK1659" s="133">
        <v>0.868838028169014</v>
      </c>
      <c r="AL1659" s="133">
        <v>0.921713147410359</v>
      </c>
      <c r="AM1659" s="133">
        <v>0.883264909956585</v>
      </c>
      <c r="AN1659" s="132">
        <v>0.99</v>
      </c>
      <c r="AO1659" s="137">
        <v>1</v>
      </c>
      <c r="AP1659" s="137">
        <v>1</v>
      </c>
      <c r="AQ1659" s="137">
        <v>1</v>
      </c>
      <c r="AR1659" s="137">
        <v>1</v>
      </c>
      <c r="AS1659" s="158">
        <v>0.110069253262963</v>
      </c>
      <c r="AT1659" s="141">
        <v>0.0625</v>
      </c>
      <c r="AU1659" s="141">
        <v>0.296296296296296</v>
      </c>
      <c r="AV1659" s="141">
        <v>0.05</v>
      </c>
      <c r="AW1659" s="141">
        <v>0.106818181818182</v>
      </c>
      <c r="AX1659" s="95"/>
      <c r="AY1659" s="93"/>
    </row>
    <row r="1660" ht="14.5" spans="1:51">
      <c r="A1660" s="91"/>
      <c r="B1660" s="95"/>
      <c r="C1660" s="152" t="s">
        <v>1455</v>
      </c>
      <c r="D1660" s="153" t="s">
        <v>25</v>
      </c>
      <c r="E1660" s="130" t="s">
        <v>1456</v>
      </c>
      <c r="F1660" s="171" t="s">
        <v>1692</v>
      </c>
      <c r="G1660" s="171" t="s">
        <v>1692</v>
      </c>
      <c r="H1660" s="171" t="s">
        <v>1692</v>
      </c>
      <c r="I1660" s="171" t="s">
        <v>1692</v>
      </c>
      <c r="J1660" s="132">
        <v>0.9</v>
      </c>
      <c r="K1660" s="133">
        <v>0.974358974358974</v>
      </c>
      <c r="L1660" s="133">
        <v>0.974358974358974</v>
      </c>
      <c r="M1660" s="134">
        <v>1</v>
      </c>
      <c r="N1660" s="133">
        <v>0.986745213549337</v>
      </c>
      <c r="O1660" s="135">
        <v>0.9</v>
      </c>
      <c r="P1660" s="133">
        <v>0.983410749834107</v>
      </c>
      <c r="Q1660" s="133">
        <v>0.984335839598998</v>
      </c>
      <c r="R1660" s="133">
        <v>0.979528535980149</v>
      </c>
      <c r="S1660" s="133">
        <v>0.970980215489732</v>
      </c>
      <c r="T1660" s="135">
        <v>0.9</v>
      </c>
      <c r="U1660" s="133">
        <v>0.895155938951559</v>
      </c>
      <c r="V1660" s="133">
        <v>0.966791979949875</v>
      </c>
      <c r="W1660" s="133">
        <v>0.944168734491315</v>
      </c>
      <c r="X1660" s="133">
        <v>0.934827495588843</v>
      </c>
      <c r="Y1660" s="135">
        <v>0.92</v>
      </c>
      <c r="Z1660" s="135">
        <v>0.916195856873823</v>
      </c>
      <c r="AA1660" s="135">
        <v>0.947077409162717</v>
      </c>
      <c r="AB1660" s="135">
        <v>0.953777777777778</v>
      </c>
      <c r="AC1660" s="135">
        <v>0.952307482869719</v>
      </c>
      <c r="AD1660" s="135">
        <v>0.92</v>
      </c>
      <c r="AE1660" s="133">
        <v>0.9375</v>
      </c>
      <c r="AF1660" s="133">
        <v>1</v>
      </c>
      <c r="AG1660" s="133">
        <v>0.885714285714286</v>
      </c>
      <c r="AH1660" s="133">
        <v>0.959893048128342</v>
      </c>
      <c r="AI1660" s="135">
        <v>0.92</v>
      </c>
      <c r="AJ1660" s="133">
        <v>0.932737169517885</v>
      </c>
      <c r="AK1660" s="133">
        <v>0.968553459119497</v>
      </c>
      <c r="AL1660" s="133">
        <v>0.965668371073776</v>
      </c>
      <c r="AM1660" s="133">
        <v>0.966257290725376</v>
      </c>
      <c r="AN1660" s="132">
        <v>0.99</v>
      </c>
      <c r="AO1660" s="137">
        <v>1</v>
      </c>
      <c r="AP1660" s="137">
        <v>1</v>
      </c>
      <c r="AQ1660" s="137">
        <v>1</v>
      </c>
      <c r="AR1660" s="137">
        <v>1</v>
      </c>
      <c r="AS1660" s="158">
        <v>0.110069253262963</v>
      </c>
      <c r="AT1660" s="141">
        <v>0.0740740740740741</v>
      </c>
      <c r="AU1660" s="141">
        <v>0</v>
      </c>
      <c r="AV1660" s="141">
        <v>0</v>
      </c>
      <c r="AW1660" s="141">
        <v>0.0597014925373134</v>
      </c>
      <c r="AX1660" s="95"/>
      <c r="AY1660" s="93"/>
    </row>
    <row r="1661" ht="14.5" spans="1:51">
      <c r="A1661" s="91"/>
      <c r="B1661" s="95"/>
      <c r="C1661" s="152" t="s">
        <v>1455</v>
      </c>
      <c r="D1661" s="153" t="s">
        <v>125</v>
      </c>
      <c r="E1661" s="130" t="s">
        <v>1456</v>
      </c>
      <c r="F1661" s="171" t="s">
        <v>1693</v>
      </c>
      <c r="G1661" s="171" t="s">
        <v>1693</v>
      </c>
      <c r="H1661" s="171" t="s">
        <v>1693</v>
      </c>
      <c r="I1661" s="171" t="s">
        <v>1693</v>
      </c>
      <c r="J1661" s="132">
        <v>0.9</v>
      </c>
      <c r="K1661" s="133" t="s">
        <v>35</v>
      </c>
      <c r="L1661" s="133" t="s">
        <v>35</v>
      </c>
      <c r="M1661" s="134" t="s">
        <v>35</v>
      </c>
      <c r="N1661" s="133" t="s">
        <v>35</v>
      </c>
      <c r="O1661" s="135">
        <v>0.9</v>
      </c>
      <c r="P1661" s="133" t="s">
        <v>35</v>
      </c>
      <c r="Q1661" s="133" t="s">
        <v>35</v>
      </c>
      <c r="R1661" s="133" t="s">
        <v>35</v>
      </c>
      <c r="S1661" s="133" t="s">
        <v>35</v>
      </c>
      <c r="T1661" s="135">
        <v>0.9</v>
      </c>
      <c r="U1661" s="133" t="s">
        <v>35</v>
      </c>
      <c r="V1661" s="133" t="s">
        <v>35</v>
      </c>
      <c r="W1661" s="133" t="s">
        <v>35</v>
      </c>
      <c r="X1661" s="133" t="s">
        <v>35</v>
      </c>
      <c r="Y1661" s="135">
        <v>0.92</v>
      </c>
      <c r="Z1661" s="135" t="s">
        <v>35</v>
      </c>
      <c r="AA1661" s="135" t="s">
        <v>35</v>
      </c>
      <c r="AB1661" s="135" t="s">
        <v>35</v>
      </c>
      <c r="AC1661" s="135" t="s">
        <v>35</v>
      </c>
      <c r="AD1661" s="135">
        <v>0.92</v>
      </c>
      <c r="AE1661" s="133">
        <v>1</v>
      </c>
      <c r="AF1661" s="133">
        <v>0.996363636363636</v>
      </c>
      <c r="AG1661" s="133">
        <v>1</v>
      </c>
      <c r="AH1661" s="133">
        <v>0.968482980809637</v>
      </c>
      <c r="AI1661" s="135">
        <v>0.92</v>
      </c>
      <c r="AJ1661" s="133" t="s">
        <v>35</v>
      </c>
      <c r="AK1661" s="133" t="s">
        <v>35</v>
      </c>
      <c r="AL1661" s="133" t="s">
        <v>35</v>
      </c>
      <c r="AM1661" s="133" t="s">
        <v>35</v>
      </c>
      <c r="AN1661" s="132">
        <v>0.99</v>
      </c>
      <c r="AO1661" s="137" t="s">
        <v>35</v>
      </c>
      <c r="AP1661" s="137" t="s">
        <v>35</v>
      </c>
      <c r="AQ1661" s="137" t="s">
        <v>35</v>
      </c>
      <c r="AR1661" s="137">
        <v>1</v>
      </c>
      <c r="AS1661" s="158">
        <v>0.110069253262963</v>
      </c>
      <c r="AT1661" s="141" t="s">
        <v>35</v>
      </c>
      <c r="AU1661" s="141" t="s">
        <v>35</v>
      </c>
      <c r="AV1661" s="141" t="s">
        <v>35</v>
      </c>
      <c r="AW1661" s="141" t="s">
        <v>35</v>
      </c>
      <c r="AX1661" s="95"/>
      <c r="AY1661" s="93"/>
    </row>
    <row r="1662" ht="14.5" spans="1:51">
      <c r="A1662" s="91"/>
      <c r="B1662" s="95"/>
      <c r="C1662" s="152" t="s">
        <v>1455</v>
      </c>
      <c r="D1662" s="153" t="s">
        <v>125</v>
      </c>
      <c r="E1662" s="130" t="s">
        <v>1456</v>
      </c>
      <c r="F1662" s="171" t="s">
        <v>1694</v>
      </c>
      <c r="G1662" s="171" t="s">
        <v>1694</v>
      </c>
      <c r="H1662" s="171" t="s">
        <v>1694</v>
      </c>
      <c r="I1662" s="171" t="s">
        <v>1694</v>
      </c>
      <c r="J1662" s="132">
        <v>0.9</v>
      </c>
      <c r="K1662" s="133" t="s">
        <v>35</v>
      </c>
      <c r="L1662" s="133" t="s">
        <v>35</v>
      </c>
      <c r="M1662" s="134" t="s">
        <v>35</v>
      </c>
      <c r="N1662" s="133" t="s">
        <v>35</v>
      </c>
      <c r="O1662" s="135">
        <v>0.9</v>
      </c>
      <c r="P1662" s="133" t="s">
        <v>35</v>
      </c>
      <c r="Q1662" s="133" t="s">
        <v>35</v>
      </c>
      <c r="R1662" s="133" t="s">
        <v>35</v>
      </c>
      <c r="S1662" s="133" t="s">
        <v>35</v>
      </c>
      <c r="T1662" s="135">
        <v>0.9</v>
      </c>
      <c r="U1662" s="133" t="s">
        <v>35</v>
      </c>
      <c r="V1662" s="133" t="s">
        <v>35</v>
      </c>
      <c r="W1662" s="133" t="s">
        <v>35</v>
      </c>
      <c r="X1662" s="133" t="s">
        <v>35</v>
      </c>
      <c r="Y1662" s="135">
        <v>0.92</v>
      </c>
      <c r="Z1662" s="135" t="s">
        <v>35</v>
      </c>
      <c r="AA1662" s="135" t="s">
        <v>35</v>
      </c>
      <c r="AB1662" s="135" t="s">
        <v>35</v>
      </c>
      <c r="AC1662" s="135" t="s">
        <v>35</v>
      </c>
      <c r="AD1662" s="135">
        <v>0.92</v>
      </c>
      <c r="AE1662" s="133">
        <v>1</v>
      </c>
      <c r="AF1662" s="133">
        <v>0.994269340974212</v>
      </c>
      <c r="AG1662" s="133">
        <v>0.998634812286689</v>
      </c>
      <c r="AH1662" s="133">
        <v>0.993787932881114</v>
      </c>
      <c r="AI1662" s="135">
        <v>0.92</v>
      </c>
      <c r="AJ1662" s="133" t="s">
        <v>35</v>
      </c>
      <c r="AK1662" s="133" t="s">
        <v>35</v>
      </c>
      <c r="AL1662" s="133" t="s">
        <v>35</v>
      </c>
      <c r="AM1662" s="133" t="s">
        <v>35</v>
      </c>
      <c r="AN1662" s="132">
        <v>0.99</v>
      </c>
      <c r="AO1662" s="137">
        <v>1</v>
      </c>
      <c r="AP1662" s="137" t="s">
        <v>35</v>
      </c>
      <c r="AQ1662" s="137">
        <v>1</v>
      </c>
      <c r="AR1662" s="137">
        <v>1</v>
      </c>
      <c r="AS1662" s="158">
        <v>0.110069253262963</v>
      </c>
      <c r="AT1662" s="141" t="s">
        <v>35</v>
      </c>
      <c r="AU1662" s="141" t="s">
        <v>35</v>
      </c>
      <c r="AV1662" s="141" t="s">
        <v>35</v>
      </c>
      <c r="AW1662" s="141" t="s">
        <v>35</v>
      </c>
      <c r="AX1662" s="95"/>
      <c r="AY1662" s="93"/>
    </row>
    <row r="1663" ht="14.5" spans="1:51">
      <c r="A1663" s="91"/>
      <c r="B1663" s="95"/>
      <c r="C1663" s="152" t="s">
        <v>1455</v>
      </c>
      <c r="D1663" s="153" t="s">
        <v>25</v>
      </c>
      <c r="E1663" s="130" t="s">
        <v>1456</v>
      </c>
      <c r="F1663" s="171" t="s">
        <v>1695</v>
      </c>
      <c r="G1663" s="171" t="s">
        <v>1695</v>
      </c>
      <c r="H1663" s="171" t="s">
        <v>1695</v>
      </c>
      <c r="I1663" s="171" t="s">
        <v>1695</v>
      </c>
      <c r="J1663" s="132">
        <v>0.9</v>
      </c>
      <c r="K1663" s="133">
        <v>0.564102564102564</v>
      </c>
      <c r="L1663" s="133">
        <v>0.757575757575758</v>
      </c>
      <c r="M1663" s="134">
        <v>0.692307692307692</v>
      </c>
      <c r="N1663" s="133">
        <v>0.660910518053375</v>
      </c>
      <c r="O1663" s="135">
        <v>0.9</v>
      </c>
      <c r="P1663" s="133">
        <v>0.763913595933926</v>
      </c>
      <c r="Q1663" s="133">
        <v>0.855667683642337</v>
      </c>
      <c r="R1663" s="133">
        <v>0.908813352330552</v>
      </c>
      <c r="S1663" s="133">
        <v>0.846953555426204</v>
      </c>
      <c r="T1663" s="135">
        <v>0.9</v>
      </c>
      <c r="U1663" s="133">
        <v>0.655654383735705</v>
      </c>
      <c r="V1663" s="133">
        <v>0.687632011264961</v>
      </c>
      <c r="W1663" s="133">
        <v>0.803582332587014</v>
      </c>
      <c r="X1663" s="133">
        <v>0.745779919591732</v>
      </c>
      <c r="Y1663" s="135">
        <v>0.92</v>
      </c>
      <c r="Z1663" s="135">
        <v>1</v>
      </c>
      <c r="AA1663" s="135">
        <v>0.8</v>
      </c>
      <c r="AB1663" s="135">
        <v>0.2</v>
      </c>
      <c r="AC1663" s="135">
        <v>0.382352941176471</v>
      </c>
      <c r="AD1663" s="135">
        <v>0.92</v>
      </c>
      <c r="AE1663" s="133">
        <v>0.891891891891892</v>
      </c>
      <c r="AF1663" s="133">
        <v>0.888888888888889</v>
      </c>
      <c r="AG1663" s="133">
        <v>0.861111111111111</v>
      </c>
      <c r="AH1663" s="133">
        <v>0.788709677419355</v>
      </c>
      <c r="AI1663" s="135">
        <v>0.92</v>
      </c>
      <c r="AJ1663" s="133">
        <v>0.824454591577879</v>
      </c>
      <c r="AK1663" s="133">
        <v>0.812924373682978</v>
      </c>
      <c r="AL1663" s="133">
        <v>0.867019113460756</v>
      </c>
      <c r="AM1663" s="133">
        <v>0.879948068106514</v>
      </c>
      <c r="AN1663" s="132">
        <v>0.99</v>
      </c>
      <c r="AO1663" s="137">
        <v>1</v>
      </c>
      <c r="AP1663" s="137">
        <v>1</v>
      </c>
      <c r="AQ1663" s="137">
        <v>1</v>
      </c>
      <c r="AR1663" s="137">
        <v>1</v>
      </c>
      <c r="AS1663" s="158">
        <v>0.110069253262963</v>
      </c>
      <c r="AT1663" s="141">
        <v>0.129032258064516</v>
      </c>
      <c r="AU1663" s="141">
        <v>0.173913043478261</v>
      </c>
      <c r="AV1663" s="141">
        <v>0.08</v>
      </c>
      <c r="AW1663" s="141">
        <v>0.096085409252669</v>
      </c>
      <c r="AX1663" s="95"/>
      <c r="AY1663" s="93"/>
    </row>
    <row r="1664" ht="14.5" spans="1:51">
      <c r="A1664" s="91"/>
      <c r="B1664" s="95"/>
      <c r="C1664" s="152" t="s">
        <v>1455</v>
      </c>
      <c r="D1664" s="153" t="s">
        <v>125</v>
      </c>
      <c r="E1664" s="130" t="s">
        <v>1456</v>
      </c>
      <c r="F1664" s="171" t="s">
        <v>1696</v>
      </c>
      <c r="G1664" s="171" t="s">
        <v>1696</v>
      </c>
      <c r="H1664" s="171" t="s">
        <v>1696</v>
      </c>
      <c r="I1664" s="171" t="s">
        <v>1696</v>
      </c>
      <c r="J1664" s="132">
        <v>0.9</v>
      </c>
      <c r="K1664" s="133" t="s">
        <v>35</v>
      </c>
      <c r="L1664" s="133" t="s">
        <v>35</v>
      </c>
      <c r="M1664" s="134" t="s">
        <v>35</v>
      </c>
      <c r="N1664" s="133" t="s">
        <v>35</v>
      </c>
      <c r="O1664" s="135">
        <v>0.9</v>
      </c>
      <c r="P1664" s="133" t="s">
        <v>35</v>
      </c>
      <c r="Q1664" s="133" t="s">
        <v>35</v>
      </c>
      <c r="R1664" s="133" t="s">
        <v>35</v>
      </c>
      <c r="S1664" s="133">
        <v>0</v>
      </c>
      <c r="T1664" s="135">
        <v>0.9</v>
      </c>
      <c r="U1664" s="133" t="s">
        <v>35</v>
      </c>
      <c r="V1664" s="133" t="s">
        <v>35</v>
      </c>
      <c r="W1664" s="133" t="s">
        <v>35</v>
      </c>
      <c r="X1664" s="133">
        <v>0.166666666666667</v>
      </c>
      <c r="Y1664" s="135">
        <v>0.92</v>
      </c>
      <c r="Z1664" s="135" t="s">
        <v>35</v>
      </c>
      <c r="AA1664" s="135" t="s">
        <v>35</v>
      </c>
      <c r="AB1664" s="135" t="s">
        <v>35</v>
      </c>
      <c r="AC1664" s="135" t="s">
        <v>35</v>
      </c>
      <c r="AD1664" s="135">
        <v>0.92</v>
      </c>
      <c r="AE1664" s="133">
        <v>0.96039603960396</v>
      </c>
      <c r="AF1664" s="133">
        <v>0.933333333333333</v>
      </c>
      <c r="AG1664" s="133">
        <v>0.993865030674847</v>
      </c>
      <c r="AH1664" s="133">
        <v>0.967562557924004</v>
      </c>
      <c r="AI1664" s="135">
        <v>0.92</v>
      </c>
      <c r="AJ1664" s="133" t="s">
        <v>35</v>
      </c>
      <c r="AK1664" s="133" t="s">
        <v>35</v>
      </c>
      <c r="AL1664" s="133" t="s">
        <v>35</v>
      </c>
      <c r="AM1664" s="133">
        <v>0.285714285714286</v>
      </c>
      <c r="AN1664" s="132">
        <v>0.99</v>
      </c>
      <c r="AO1664" s="137">
        <v>1</v>
      </c>
      <c r="AP1664" s="137">
        <v>1</v>
      </c>
      <c r="AQ1664" s="137">
        <v>1</v>
      </c>
      <c r="AR1664" s="137">
        <v>1</v>
      </c>
      <c r="AS1664" s="158">
        <v>0.110069253262963</v>
      </c>
      <c r="AT1664" s="141" t="s">
        <v>35</v>
      </c>
      <c r="AU1664" s="141" t="s">
        <v>35</v>
      </c>
      <c r="AV1664" s="141" t="s">
        <v>35</v>
      </c>
      <c r="AW1664" s="141" t="s">
        <v>35</v>
      </c>
      <c r="AX1664" s="95"/>
      <c r="AY1664" s="93"/>
    </row>
    <row r="1665" ht="14.5" spans="1:51">
      <c r="A1665" s="91"/>
      <c r="B1665" s="95"/>
      <c r="C1665" s="152" t="s">
        <v>1455</v>
      </c>
      <c r="D1665" s="153" t="s">
        <v>125</v>
      </c>
      <c r="E1665" s="130" t="s">
        <v>1456</v>
      </c>
      <c r="F1665" s="171" t="s">
        <v>1697</v>
      </c>
      <c r="G1665" s="171" t="s">
        <v>1697</v>
      </c>
      <c r="H1665" s="171" t="s">
        <v>1697</v>
      </c>
      <c r="I1665" s="171" t="s">
        <v>1697</v>
      </c>
      <c r="J1665" s="132">
        <v>0.9</v>
      </c>
      <c r="K1665" s="133" t="s">
        <v>35</v>
      </c>
      <c r="L1665" s="133" t="s">
        <v>35</v>
      </c>
      <c r="M1665" s="134" t="s">
        <v>35</v>
      </c>
      <c r="N1665" s="133" t="s">
        <v>35</v>
      </c>
      <c r="O1665" s="135">
        <v>0.9</v>
      </c>
      <c r="P1665" s="133" t="s">
        <v>35</v>
      </c>
      <c r="Q1665" s="133" t="s">
        <v>35</v>
      </c>
      <c r="R1665" s="133" t="s">
        <v>35</v>
      </c>
      <c r="S1665" s="133">
        <v>0</v>
      </c>
      <c r="T1665" s="135">
        <v>0.9</v>
      </c>
      <c r="U1665" s="133" t="s">
        <v>35</v>
      </c>
      <c r="V1665" s="133" t="s">
        <v>35</v>
      </c>
      <c r="W1665" s="133" t="s">
        <v>35</v>
      </c>
      <c r="X1665" s="133">
        <v>0.8</v>
      </c>
      <c r="Y1665" s="135">
        <v>0.92</v>
      </c>
      <c r="Z1665" s="135" t="s">
        <v>35</v>
      </c>
      <c r="AA1665" s="135" t="s">
        <v>35</v>
      </c>
      <c r="AB1665" s="135" t="s">
        <v>35</v>
      </c>
      <c r="AC1665" s="135" t="s">
        <v>35</v>
      </c>
      <c r="AD1665" s="135">
        <v>0.92</v>
      </c>
      <c r="AE1665" s="133">
        <v>0.936170212765957</v>
      </c>
      <c r="AF1665" s="133">
        <v>0.733431516936672</v>
      </c>
      <c r="AG1665" s="133">
        <v>1</v>
      </c>
      <c r="AH1665" s="133">
        <v>0.868329868329868</v>
      </c>
      <c r="AI1665" s="135">
        <v>0.92</v>
      </c>
      <c r="AJ1665" s="133" t="s">
        <v>35</v>
      </c>
      <c r="AK1665" s="133" t="s">
        <v>35</v>
      </c>
      <c r="AL1665" s="133" t="s">
        <v>35</v>
      </c>
      <c r="AM1665" s="133">
        <v>1</v>
      </c>
      <c r="AN1665" s="132">
        <v>0.99</v>
      </c>
      <c r="AO1665" s="137">
        <v>1</v>
      </c>
      <c r="AP1665" s="137">
        <v>1</v>
      </c>
      <c r="AQ1665" s="137">
        <v>1</v>
      </c>
      <c r="AR1665" s="137">
        <v>1</v>
      </c>
      <c r="AS1665" s="158">
        <v>0.110069253262963</v>
      </c>
      <c r="AT1665" s="141" t="s">
        <v>35</v>
      </c>
      <c r="AU1665" s="141" t="s">
        <v>35</v>
      </c>
      <c r="AV1665" s="141" t="s">
        <v>35</v>
      </c>
      <c r="AW1665" s="141" t="s">
        <v>35</v>
      </c>
      <c r="AX1665" s="95"/>
      <c r="AY1665" s="93"/>
    </row>
    <row r="1666" ht="14.5" spans="1:51">
      <c r="A1666" s="91"/>
      <c r="B1666" s="95"/>
      <c r="C1666" s="152" t="s">
        <v>1455</v>
      </c>
      <c r="D1666" s="153" t="s">
        <v>125</v>
      </c>
      <c r="E1666" s="130" t="s">
        <v>1456</v>
      </c>
      <c r="F1666" s="171" t="s">
        <v>1698</v>
      </c>
      <c r="G1666" s="171" t="s">
        <v>1698</v>
      </c>
      <c r="H1666" s="171" t="s">
        <v>1698</v>
      </c>
      <c r="I1666" s="171" t="s">
        <v>1698</v>
      </c>
      <c r="J1666" s="132">
        <v>0.9</v>
      </c>
      <c r="K1666" s="133" t="s">
        <v>35</v>
      </c>
      <c r="L1666" s="133" t="s">
        <v>35</v>
      </c>
      <c r="M1666" s="134" t="s">
        <v>35</v>
      </c>
      <c r="N1666" s="133" t="s">
        <v>35</v>
      </c>
      <c r="O1666" s="135">
        <v>0.9</v>
      </c>
      <c r="P1666" s="133" t="s">
        <v>35</v>
      </c>
      <c r="Q1666" s="133" t="s">
        <v>35</v>
      </c>
      <c r="R1666" s="133" t="s">
        <v>35</v>
      </c>
      <c r="S1666" s="133">
        <v>0</v>
      </c>
      <c r="T1666" s="135">
        <v>0.9</v>
      </c>
      <c r="U1666" s="133" t="s">
        <v>35</v>
      </c>
      <c r="V1666" s="133" t="s">
        <v>35</v>
      </c>
      <c r="W1666" s="133" t="s">
        <v>35</v>
      </c>
      <c r="X1666" s="133">
        <v>0.5</v>
      </c>
      <c r="Y1666" s="135">
        <v>0.92</v>
      </c>
      <c r="Z1666" s="135" t="s">
        <v>35</v>
      </c>
      <c r="AA1666" s="135" t="s">
        <v>35</v>
      </c>
      <c r="AB1666" s="135" t="s">
        <v>35</v>
      </c>
      <c r="AC1666" s="135" t="s">
        <v>35</v>
      </c>
      <c r="AD1666" s="135">
        <v>0.92</v>
      </c>
      <c r="AE1666" s="133">
        <v>1</v>
      </c>
      <c r="AF1666" s="133">
        <v>1</v>
      </c>
      <c r="AG1666" s="133">
        <v>0.964028776978417</v>
      </c>
      <c r="AH1666" s="133">
        <v>0.923250990005657</v>
      </c>
      <c r="AI1666" s="135">
        <v>0.92</v>
      </c>
      <c r="AJ1666" s="133" t="s">
        <v>35</v>
      </c>
      <c r="AK1666" s="133" t="s">
        <v>35</v>
      </c>
      <c r="AL1666" s="133" t="s">
        <v>35</v>
      </c>
      <c r="AM1666" s="133">
        <v>0.666666666666667</v>
      </c>
      <c r="AN1666" s="132">
        <v>0.99</v>
      </c>
      <c r="AO1666" s="137">
        <v>1</v>
      </c>
      <c r="AP1666" s="137">
        <v>1</v>
      </c>
      <c r="AQ1666" s="137">
        <v>1</v>
      </c>
      <c r="AR1666" s="137">
        <v>1</v>
      </c>
      <c r="AS1666" s="158">
        <v>0.110069253262963</v>
      </c>
      <c r="AT1666" s="141" t="s">
        <v>35</v>
      </c>
      <c r="AU1666" s="141" t="s">
        <v>35</v>
      </c>
      <c r="AV1666" s="141" t="s">
        <v>35</v>
      </c>
      <c r="AW1666" s="141" t="s">
        <v>35</v>
      </c>
      <c r="AX1666" s="95"/>
      <c r="AY1666" s="93"/>
    </row>
    <row r="1667" ht="14.5" spans="1:51">
      <c r="A1667" s="91"/>
      <c r="B1667" s="95"/>
      <c r="C1667" s="152" t="s">
        <v>1455</v>
      </c>
      <c r="D1667" s="153" t="s">
        <v>25</v>
      </c>
      <c r="E1667" s="130" t="s">
        <v>1456</v>
      </c>
      <c r="F1667" s="171" t="s">
        <v>1699</v>
      </c>
      <c r="G1667" s="171" t="s">
        <v>1699</v>
      </c>
      <c r="H1667" s="171" t="s">
        <v>1699</v>
      </c>
      <c r="I1667" s="171" t="s">
        <v>1699</v>
      </c>
      <c r="J1667" s="132">
        <v>0.9</v>
      </c>
      <c r="K1667" s="133">
        <v>0.857142857142857</v>
      </c>
      <c r="L1667" s="133">
        <v>1</v>
      </c>
      <c r="M1667" s="134">
        <v>1</v>
      </c>
      <c r="N1667" s="133">
        <v>0.941176470588235</v>
      </c>
      <c r="O1667" s="135">
        <v>0.9</v>
      </c>
      <c r="P1667" s="133">
        <v>1</v>
      </c>
      <c r="Q1667" s="133">
        <v>1</v>
      </c>
      <c r="R1667" s="133">
        <v>1</v>
      </c>
      <c r="S1667" s="133">
        <v>0.212374171372453</v>
      </c>
      <c r="T1667" s="135">
        <v>0.9</v>
      </c>
      <c r="U1667" s="133">
        <v>0.938461538461538</v>
      </c>
      <c r="V1667" s="133">
        <v>0.917808219178082</v>
      </c>
      <c r="W1667" s="133">
        <v>0.792452830188679</v>
      </c>
      <c r="X1667" s="133">
        <v>0.120427203535478</v>
      </c>
      <c r="Y1667" s="135">
        <v>0.92</v>
      </c>
      <c r="Z1667" s="135" t="s">
        <v>35</v>
      </c>
      <c r="AA1667" s="135" t="s">
        <v>35</v>
      </c>
      <c r="AB1667" s="135" t="s">
        <v>35</v>
      </c>
      <c r="AC1667" s="135" t="s">
        <v>35</v>
      </c>
      <c r="AD1667" s="135">
        <v>0.92</v>
      </c>
      <c r="AE1667" s="133">
        <v>0</v>
      </c>
      <c r="AF1667" s="133">
        <v>0</v>
      </c>
      <c r="AG1667" s="133">
        <v>0</v>
      </c>
      <c r="AH1667" s="133">
        <v>0.536585365853659</v>
      </c>
      <c r="AI1667" s="135">
        <v>0.92</v>
      </c>
      <c r="AJ1667" s="133">
        <v>0.685950413223141</v>
      </c>
      <c r="AK1667" s="133">
        <v>0.192743764172336</v>
      </c>
      <c r="AL1667" s="133">
        <v>0.165012406947891</v>
      </c>
      <c r="AM1667" s="133">
        <v>0.243319799830044</v>
      </c>
      <c r="AN1667" s="132">
        <v>0.99</v>
      </c>
      <c r="AO1667" s="137" t="s">
        <v>35</v>
      </c>
      <c r="AP1667" s="137" t="s">
        <v>35</v>
      </c>
      <c r="AQ1667" s="137" t="s">
        <v>35</v>
      </c>
      <c r="AR1667" s="137" t="s">
        <v>35</v>
      </c>
      <c r="AS1667" s="158">
        <v>0.110069253262963</v>
      </c>
      <c r="AT1667" s="141">
        <v>0.0909090909090909</v>
      </c>
      <c r="AU1667" s="141">
        <v>0.1</v>
      </c>
      <c r="AV1667" s="141">
        <v>0.214285714285714</v>
      </c>
      <c r="AW1667" s="141">
        <v>0.0763546798029557</v>
      </c>
      <c r="AX1667" s="95"/>
      <c r="AY1667" s="93"/>
    </row>
    <row r="1668" ht="14.5" spans="1:51">
      <c r="A1668" s="91"/>
      <c r="B1668" s="95"/>
      <c r="C1668" s="152" t="s">
        <v>1455</v>
      </c>
      <c r="D1668" s="153" t="s">
        <v>25</v>
      </c>
      <c r="E1668" s="130" t="s">
        <v>1456</v>
      </c>
      <c r="F1668" s="171" t="s">
        <v>1700</v>
      </c>
      <c r="G1668" s="171" t="s">
        <v>1700</v>
      </c>
      <c r="H1668" s="171" t="s">
        <v>1700</v>
      </c>
      <c r="I1668" s="171" t="s">
        <v>1700</v>
      </c>
      <c r="J1668" s="132">
        <v>0.9</v>
      </c>
      <c r="K1668" s="133">
        <v>0.967741935483871</v>
      </c>
      <c r="L1668" s="133">
        <v>0.966666666666667</v>
      </c>
      <c r="M1668" s="134">
        <v>0.933333333333333</v>
      </c>
      <c r="N1668" s="133">
        <v>0.970588235294118</v>
      </c>
      <c r="O1668" s="135">
        <v>0.9</v>
      </c>
      <c r="P1668" s="133">
        <v>0.978606356968215</v>
      </c>
      <c r="Q1668" s="133">
        <v>0.977991746905089</v>
      </c>
      <c r="R1668" s="133">
        <v>0.976713532513181</v>
      </c>
      <c r="S1668" s="133">
        <v>0.970287027316126</v>
      </c>
      <c r="T1668" s="135">
        <v>0.9</v>
      </c>
      <c r="U1668" s="133">
        <v>0.558679706601467</v>
      </c>
      <c r="V1668" s="133">
        <v>0.557427785419532</v>
      </c>
      <c r="W1668" s="133">
        <v>0.722759226713533</v>
      </c>
      <c r="X1668" s="133">
        <v>0.549729611948577</v>
      </c>
      <c r="Y1668" s="135">
        <v>0.92</v>
      </c>
      <c r="Z1668" s="135" t="s">
        <v>35</v>
      </c>
      <c r="AA1668" s="135" t="s">
        <v>35</v>
      </c>
      <c r="AB1668" s="135" t="s">
        <v>35</v>
      </c>
      <c r="AC1668" s="135" t="s">
        <v>35</v>
      </c>
      <c r="AD1668" s="135">
        <v>0.92</v>
      </c>
      <c r="AE1668" s="133">
        <v>1</v>
      </c>
      <c r="AF1668" s="133">
        <v>1</v>
      </c>
      <c r="AG1668" s="133">
        <v>1</v>
      </c>
      <c r="AH1668" s="133">
        <v>0.995092024539877</v>
      </c>
      <c r="AI1668" s="135">
        <v>0.92</v>
      </c>
      <c r="AJ1668" s="133">
        <v>0.878361858190709</v>
      </c>
      <c r="AK1668" s="133">
        <v>0.876203576341128</v>
      </c>
      <c r="AL1668" s="133">
        <v>0.934094903339192</v>
      </c>
      <c r="AM1668" s="133">
        <v>0.918368559713171</v>
      </c>
      <c r="AN1668" s="132">
        <v>0.99</v>
      </c>
      <c r="AO1668" s="137">
        <v>1</v>
      </c>
      <c r="AP1668" s="137">
        <v>1</v>
      </c>
      <c r="AQ1668" s="137">
        <v>1</v>
      </c>
      <c r="AR1668" s="137">
        <v>1</v>
      </c>
      <c r="AS1668" s="158">
        <v>0.110069253262963</v>
      </c>
      <c r="AT1668" s="141">
        <v>0</v>
      </c>
      <c r="AU1668" s="141">
        <v>0</v>
      </c>
      <c r="AV1668" s="141">
        <v>0.2</v>
      </c>
      <c r="AW1668" s="141">
        <v>0.0891472868217054</v>
      </c>
      <c r="AX1668" s="95"/>
      <c r="AY1668" s="93"/>
    </row>
    <row r="1669" ht="14.5" spans="1:51">
      <c r="A1669" s="91"/>
      <c r="B1669" s="95"/>
      <c r="C1669" s="152" t="s">
        <v>1455</v>
      </c>
      <c r="D1669" s="153" t="s">
        <v>25</v>
      </c>
      <c r="E1669" s="130" t="s">
        <v>1456</v>
      </c>
      <c r="F1669" s="171" t="s">
        <v>1701</v>
      </c>
      <c r="G1669" s="171" t="s">
        <v>1701</v>
      </c>
      <c r="H1669" s="171" t="s">
        <v>1701</v>
      </c>
      <c r="I1669" s="171" t="s">
        <v>1701</v>
      </c>
      <c r="J1669" s="132">
        <v>0.9</v>
      </c>
      <c r="K1669" s="133" t="s">
        <v>35</v>
      </c>
      <c r="L1669" s="133" t="s">
        <v>35</v>
      </c>
      <c r="M1669" s="134" t="s">
        <v>35</v>
      </c>
      <c r="N1669" s="133" t="s">
        <v>35</v>
      </c>
      <c r="O1669" s="135">
        <v>0.9</v>
      </c>
      <c r="P1669" s="133" t="s">
        <v>35</v>
      </c>
      <c r="Q1669" s="133" t="s">
        <v>35</v>
      </c>
      <c r="R1669" s="133" t="s">
        <v>35</v>
      </c>
      <c r="S1669" s="133" t="s">
        <v>35</v>
      </c>
      <c r="T1669" s="135">
        <v>0.9</v>
      </c>
      <c r="U1669" s="133" t="s">
        <v>35</v>
      </c>
      <c r="V1669" s="133" t="s">
        <v>35</v>
      </c>
      <c r="W1669" s="133" t="s">
        <v>35</v>
      </c>
      <c r="X1669" s="133" t="s">
        <v>35</v>
      </c>
      <c r="Y1669" s="135">
        <v>0.92</v>
      </c>
      <c r="Z1669" s="135" t="s">
        <v>35</v>
      </c>
      <c r="AA1669" s="135" t="s">
        <v>35</v>
      </c>
      <c r="AB1669" s="135" t="s">
        <v>35</v>
      </c>
      <c r="AC1669" s="135" t="s">
        <v>35</v>
      </c>
      <c r="AD1669" s="135">
        <v>0.92</v>
      </c>
      <c r="AE1669" s="133" t="s">
        <v>35</v>
      </c>
      <c r="AF1669" s="133" t="s">
        <v>35</v>
      </c>
      <c r="AG1669" s="133" t="s">
        <v>35</v>
      </c>
      <c r="AH1669" s="133" t="s">
        <v>35</v>
      </c>
      <c r="AI1669" s="135">
        <v>0.92</v>
      </c>
      <c r="AJ1669" s="133" t="s">
        <v>35</v>
      </c>
      <c r="AK1669" s="133" t="s">
        <v>35</v>
      </c>
      <c r="AL1669" s="133" t="s">
        <v>35</v>
      </c>
      <c r="AM1669" s="133" t="s">
        <v>35</v>
      </c>
      <c r="AN1669" s="132">
        <v>0.99</v>
      </c>
      <c r="AO1669" s="137" t="s">
        <v>35</v>
      </c>
      <c r="AP1669" s="137" t="s">
        <v>35</v>
      </c>
      <c r="AQ1669" s="137" t="s">
        <v>35</v>
      </c>
      <c r="AR1669" s="137" t="s">
        <v>35</v>
      </c>
      <c r="AS1669" s="158">
        <v>0.110069253262963</v>
      </c>
      <c r="AT1669" s="141" t="s">
        <v>35</v>
      </c>
      <c r="AU1669" s="141" t="s">
        <v>35</v>
      </c>
      <c r="AV1669" s="141" t="s">
        <v>35</v>
      </c>
      <c r="AW1669" s="141" t="s">
        <v>35</v>
      </c>
      <c r="AX1669" s="95"/>
      <c r="AY1669" s="93"/>
    </row>
    <row r="1670" ht="14.5" spans="1:51">
      <c r="A1670" s="91"/>
      <c r="B1670" s="95"/>
      <c r="C1670" s="152" t="s">
        <v>1455</v>
      </c>
      <c r="D1670" s="153" t="s">
        <v>25</v>
      </c>
      <c r="E1670" s="130" t="s">
        <v>1456</v>
      </c>
      <c r="F1670" s="171" t="s">
        <v>1702</v>
      </c>
      <c r="G1670" s="171" t="s">
        <v>1702</v>
      </c>
      <c r="H1670" s="171" t="s">
        <v>1702</v>
      </c>
      <c r="I1670" s="171" t="s">
        <v>1702</v>
      </c>
      <c r="J1670" s="132">
        <v>0.9</v>
      </c>
      <c r="K1670" s="133" t="s">
        <v>35</v>
      </c>
      <c r="L1670" s="133" t="s">
        <v>35</v>
      </c>
      <c r="M1670" s="134" t="s">
        <v>35</v>
      </c>
      <c r="N1670" s="133" t="s">
        <v>35</v>
      </c>
      <c r="O1670" s="135">
        <v>0.9</v>
      </c>
      <c r="P1670" s="133" t="s">
        <v>35</v>
      </c>
      <c r="Q1670" s="133" t="s">
        <v>35</v>
      </c>
      <c r="R1670" s="133" t="s">
        <v>35</v>
      </c>
      <c r="S1670" s="133" t="s">
        <v>35</v>
      </c>
      <c r="T1670" s="135">
        <v>0.9</v>
      </c>
      <c r="U1670" s="133" t="s">
        <v>35</v>
      </c>
      <c r="V1670" s="133" t="s">
        <v>35</v>
      </c>
      <c r="W1670" s="133" t="s">
        <v>35</v>
      </c>
      <c r="X1670" s="133" t="s">
        <v>35</v>
      </c>
      <c r="Y1670" s="135">
        <v>0.92</v>
      </c>
      <c r="Z1670" s="135" t="s">
        <v>35</v>
      </c>
      <c r="AA1670" s="135" t="s">
        <v>35</v>
      </c>
      <c r="AB1670" s="135" t="s">
        <v>35</v>
      </c>
      <c r="AC1670" s="135" t="s">
        <v>35</v>
      </c>
      <c r="AD1670" s="135">
        <v>0.92</v>
      </c>
      <c r="AE1670" s="133" t="s">
        <v>35</v>
      </c>
      <c r="AF1670" s="133" t="s">
        <v>35</v>
      </c>
      <c r="AG1670" s="133" t="s">
        <v>35</v>
      </c>
      <c r="AH1670" s="133" t="s">
        <v>35</v>
      </c>
      <c r="AI1670" s="135">
        <v>0.92</v>
      </c>
      <c r="AJ1670" s="133" t="s">
        <v>35</v>
      </c>
      <c r="AK1670" s="133" t="s">
        <v>35</v>
      </c>
      <c r="AL1670" s="133" t="s">
        <v>35</v>
      </c>
      <c r="AM1670" s="133" t="s">
        <v>35</v>
      </c>
      <c r="AN1670" s="132">
        <v>0.99</v>
      </c>
      <c r="AO1670" s="137" t="s">
        <v>35</v>
      </c>
      <c r="AP1670" s="137" t="s">
        <v>35</v>
      </c>
      <c r="AQ1670" s="137" t="s">
        <v>35</v>
      </c>
      <c r="AR1670" s="137" t="s">
        <v>35</v>
      </c>
      <c r="AS1670" s="158">
        <v>0.110069253262963</v>
      </c>
      <c r="AT1670" s="141" t="s">
        <v>35</v>
      </c>
      <c r="AU1670" s="141" t="s">
        <v>35</v>
      </c>
      <c r="AV1670" s="141" t="s">
        <v>35</v>
      </c>
      <c r="AW1670" s="141" t="s">
        <v>35</v>
      </c>
      <c r="AX1670" s="95"/>
      <c r="AY1670" s="93"/>
    </row>
    <row r="1671" ht="14.5" spans="1:51">
      <c r="A1671" s="91"/>
      <c r="B1671" s="95"/>
      <c r="C1671" s="152" t="s">
        <v>1455</v>
      </c>
      <c r="D1671" s="153" t="s">
        <v>125</v>
      </c>
      <c r="E1671" s="130" t="s">
        <v>1456</v>
      </c>
      <c r="F1671" s="171" t="s">
        <v>1703</v>
      </c>
      <c r="G1671" s="171" t="s">
        <v>1703</v>
      </c>
      <c r="H1671" s="171" t="s">
        <v>1703</v>
      </c>
      <c r="I1671" s="171" t="s">
        <v>1703</v>
      </c>
      <c r="J1671" s="132">
        <v>0.9</v>
      </c>
      <c r="K1671" s="133" t="s">
        <v>35</v>
      </c>
      <c r="L1671" s="133" t="s">
        <v>35</v>
      </c>
      <c r="M1671" s="134" t="s">
        <v>35</v>
      </c>
      <c r="N1671" s="133" t="s">
        <v>35</v>
      </c>
      <c r="O1671" s="135">
        <v>0.9</v>
      </c>
      <c r="P1671" s="133">
        <v>0</v>
      </c>
      <c r="Q1671" s="133" t="s">
        <v>35</v>
      </c>
      <c r="R1671" s="133">
        <v>0</v>
      </c>
      <c r="S1671" s="133">
        <v>0</v>
      </c>
      <c r="T1671" s="135">
        <v>0.9</v>
      </c>
      <c r="U1671" s="133">
        <v>0</v>
      </c>
      <c r="V1671" s="133" t="s">
        <v>35</v>
      </c>
      <c r="W1671" s="133">
        <v>0</v>
      </c>
      <c r="X1671" s="133">
        <v>0.681818181818182</v>
      </c>
      <c r="Y1671" s="135">
        <v>0.92</v>
      </c>
      <c r="Z1671" s="135" t="s">
        <v>35</v>
      </c>
      <c r="AA1671" s="135" t="s">
        <v>35</v>
      </c>
      <c r="AB1671" s="135" t="s">
        <v>35</v>
      </c>
      <c r="AC1671" s="135" t="s">
        <v>35</v>
      </c>
      <c r="AD1671" s="135">
        <v>0.92</v>
      </c>
      <c r="AE1671" s="133">
        <v>1</v>
      </c>
      <c r="AF1671" s="133">
        <v>0.982954545454545</v>
      </c>
      <c r="AG1671" s="133">
        <v>0.994485294117647</v>
      </c>
      <c r="AH1671" s="133">
        <v>0.983465480564688</v>
      </c>
      <c r="AI1671" s="135">
        <v>0.92</v>
      </c>
      <c r="AJ1671" s="133">
        <v>0</v>
      </c>
      <c r="AK1671" s="133" t="s">
        <v>35</v>
      </c>
      <c r="AL1671" s="133">
        <v>0</v>
      </c>
      <c r="AM1671" s="133">
        <v>0.739130434782609</v>
      </c>
      <c r="AN1671" s="132">
        <v>0.99</v>
      </c>
      <c r="AO1671" s="137" t="s">
        <v>35</v>
      </c>
      <c r="AP1671" s="137" t="s">
        <v>35</v>
      </c>
      <c r="AQ1671" s="137">
        <v>1</v>
      </c>
      <c r="AR1671" s="137">
        <v>1</v>
      </c>
      <c r="AS1671" s="158">
        <v>0.110069253262963</v>
      </c>
      <c r="AT1671" s="141" t="s">
        <v>35</v>
      </c>
      <c r="AU1671" s="141" t="s">
        <v>35</v>
      </c>
      <c r="AV1671" s="141" t="s">
        <v>35</v>
      </c>
      <c r="AW1671" s="141" t="s">
        <v>35</v>
      </c>
      <c r="AX1671" s="95"/>
      <c r="AY1671" s="93"/>
    </row>
    <row r="1672" ht="14.5" spans="1:51">
      <c r="A1672" s="91"/>
      <c r="B1672" s="95"/>
      <c r="C1672" s="152" t="s">
        <v>1455</v>
      </c>
      <c r="D1672" s="153" t="s">
        <v>125</v>
      </c>
      <c r="E1672" s="130" t="s">
        <v>1456</v>
      </c>
      <c r="F1672" s="171" t="s">
        <v>1704</v>
      </c>
      <c r="G1672" s="171" t="s">
        <v>1704</v>
      </c>
      <c r="H1672" s="171" t="s">
        <v>1704</v>
      </c>
      <c r="I1672" s="171" t="s">
        <v>1704</v>
      </c>
      <c r="J1672" s="132">
        <v>0.9</v>
      </c>
      <c r="K1672" s="133" t="s">
        <v>35</v>
      </c>
      <c r="L1672" s="133" t="s">
        <v>35</v>
      </c>
      <c r="M1672" s="134" t="s">
        <v>35</v>
      </c>
      <c r="N1672" s="133" t="s">
        <v>35</v>
      </c>
      <c r="O1672" s="135">
        <v>0.9</v>
      </c>
      <c r="P1672" s="133">
        <v>0</v>
      </c>
      <c r="Q1672" s="133" t="s">
        <v>35</v>
      </c>
      <c r="R1672" s="133" t="s">
        <v>35</v>
      </c>
      <c r="S1672" s="133">
        <v>0</v>
      </c>
      <c r="T1672" s="135">
        <v>0.9</v>
      </c>
      <c r="U1672" s="133">
        <v>0.5</v>
      </c>
      <c r="V1672" s="133" t="s">
        <v>35</v>
      </c>
      <c r="W1672" s="133" t="s">
        <v>35</v>
      </c>
      <c r="X1672" s="133">
        <v>0.5</v>
      </c>
      <c r="Y1672" s="135">
        <v>0.92</v>
      </c>
      <c r="Z1672" s="135" t="s">
        <v>35</v>
      </c>
      <c r="AA1672" s="135" t="s">
        <v>35</v>
      </c>
      <c r="AB1672" s="135" t="s">
        <v>35</v>
      </c>
      <c r="AC1672" s="135" t="s">
        <v>35</v>
      </c>
      <c r="AD1672" s="135">
        <v>0.92</v>
      </c>
      <c r="AE1672" s="133">
        <v>1</v>
      </c>
      <c r="AF1672" s="133">
        <v>0.9925</v>
      </c>
      <c r="AG1672" s="133">
        <v>1</v>
      </c>
      <c r="AH1672" s="133">
        <v>0.991153573956122</v>
      </c>
      <c r="AI1672" s="135">
        <v>0.92</v>
      </c>
      <c r="AJ1672" s="133">
        <v>0.5</v>
      </c>
      <c r="AK1672" s="133" t="s">
        <v>35</v>
      </c>
      <c r="AL1672" s="133" t="s">
        <v>35</v>
      </c>
      <c r="AM1672" s="133">
        <v>0.5</v>
      </c>
      <c r="AN1672" s="132">
        <v>0.99</v>
      </c>
      <c r="AO1672" s="137">
        <v>1</v>
      </c>
      <c r="AP1672" s="137">
        <v>1</v>
      </c>
      <c r="AQ1672" s="137">
        <v>1</v>
      </c>
      <c r="AR1672" s="137">
        <v>1</v>
      </c>
      <c r="AS1672" s="158">
        <v>0.110069253262963</v>
      </c>
      <c r="AT1672" s="141" t="s">
        <v>35</v>
      </c>
      <c r="AU1672" s="141" t="s">
        <v>35</v>
      </c>
      <c r="AV1672" s="141" t="s">
        <v>35</v>
      </c>
      <c r="AW1672" s="141" t="s">
        <v>35</v>
      </c>
      <c r="AX1672" s="95"/>
      <c r="AY1672" s="93"/>
    </row>
    <row r="1673" ht="14.5" spans="1:51">
      <c r="A1673" s="91"/>
      <c r="B1673" s="95"/>
      <c r="C1673" s="152" t="s">
        <v>1455</v>
      </c>
      <c r="D1673" s="153" t="s">
        <v>25</v>
      </c>
      <c r="E1673" s="130" t="s">
        <v>1456</v>
      </c>
      <c r="F1673" s="171" t="s">
        <v>1705</v>
      </c>
      <c r="G1673" s="171" t="s">
        <v>1705</v>
      </c>
      <c r="H1673" s="171" t="s">
        <v>1705</v>
      </c>
      <c r="I1673" s="171" t="s">
        <v>1705</v>
      </c>
      <c r="J1673" s="132">
        <v>0.9</v>
      </c>
      <c r="K1673" s="133" t="s">
        <v>35</v>
      </c>
      <c r="L1673" s="133" t="s">
        <v>35</v>
      </c>
      <c r="M1673" s="134" t="s">
        <v>35</v>
      </c>
      <c r="N1673" s="133" t="s">
        <v>35</v>
      </c>
      <c r="O1673" s="135">
        <v>0.9</v>
      </c>
      <c r="P1673" s="133">
        <v>0</v>
      </c>
      <c r="Q1673" s="133" t="s">
        <v>35</v>
      </c>
      <c r="R1673" s="133">
        <v>0</v>
      </c>
      <c r="S1673" s="133">
        <v>0</v>
      </c>
      <c r="T1673" s="135">
        <v>0.9</v>
      </c>
      <c r="U1673" s="133">
        <v>0.818181818181818</v>
      </c>
      <c r="V1673" s="133" t="s">
        <v>35</v>
      </c>
      <c r="W1673" s="133">
        <v>0.666666666666667</v>
      </c>
      <c r="X1673" s="133">
        <v>0.722772277227723</v>
      </c>
      <c r="Y1673" s="135">
        <v>0.92</v>
      </c>
      <c r="Z1673" s="135" t="s">
        <v>35</v>
      </c>
      <c r="AA1673" s="135" t="s">
        <v>35</v>
      </c>
      <c r="AB1673" s="135" t="s">
        <v>35</v>
      </c>
      <c r="AC1673" s="135" t="s">
        <v>35</v>
      </c>
      <c r="AD1673" s="135">
        <v>0.92</v>
      </c>
      <c r="AE1673" s="133">
        <v>0.998727735368957</v>
      </c>
      <c r="AF1673" s="133">
        <v>0.99792531120332</v>
      </c>
      <c r="AG1673" s="133">
        <v>0.999146393512591</v>
      </c>
      <c r="AH1673" s="133">
        <v>0.990116260311246</v>
      </c>
      <c r="AI1673" s="135">
        <v>0.92</v>
      </c>
      <c r="AJ1673" s="133">
        <v>0.916666666666667</v>
      </c>
      <c r="AK1673" s="133" t="s">
        <v>35</v>
      </c>
      <c r="AL1673" s="133">
        <v>0.8</v>
      </c>
      <c r="AM1673" s="133">
        <v>0.864864864864865</v>
      </c>
      <c r="AN1673" s="132">
        <v>0.99</v>
      </c>
      <c r="AO1673" s="137">
        <v>1</v>
      </c>
      <c r="AP1673" s="137">
        <v>1</v>
      </c>
      <c r="AQ1673" s="137">
        <v>1</v>
      </c>
      <c r="AR1673" s="137">
        <v>1</v>
      </c>
      <c r="AS1673" s="158">
        <v>0.110069253262963</v>
      </c>
      <c r="AT1673" s="141" t="s">
        <v>35</v>
      </c>
      <c r="AU1673" s="141" t="s">
        <v>35</v>
      </c>
      <c r="AV1673" s="141" t="s">
        <v>35</v>
      </c>
      <c r="AW1673" s="141" t="s">
        <v>35</v>
      </c>
      <c r="AX1673" s="95"/>
      <c r="AY1673" s="93"/>
    </row>
    <row r="1674" ht="14.5" spans="1:51">
      <c r="A1674" s="91"/>
      <c r="B1674" s="95"/>
      <c r="C1674" s="152" t="s">
        <v>1455</v>
      </c>
      <c r="D1674" s="153" t="s">
        <v>25</v>
      </c>
      <c r="E1674" s="130" t="s">
        <v>1456</v>
      </c>
      <c r="F1674" s="171" t="s">
        <v>1706</v>
      </c>
      <c r="G1674" s="171" t="s">
        <v>1706</v>
      </c>
      <c r="H1674" s="171" t="s">
        <v>1706</v>
      </c>
      <c r="I1674" s="171" t="s">
        <v>1706</v>
      </c>
      <c r="J1674" s="132">
        <v>0.9</v>
      </c>
      <c r="K1674" s="133">
        <v>1</v>
      </c>
      <c r="L1674" s="133">
        <v>1</v>
      </c>
      <c r="M1674" s="134">
        <v>1</v>
      </c>
      <c r="N1674" s="133">
        <v>0.990990990990991</v>
      </c>
      <c r="O1674" s="135">
        <v>0.9</v>
      </c>
      <c r="P1674" s="133">
        <v>0.884192240880139</v>
      </c>
      <c r="Q1674" s="133">
        <v>0.962034383954155</v>
      </c>
      <c r="R1674" s="133">
        <v>0.999164578111946</v>
      </c>
      <c r="S1674" s="133">
        <v>0.953276748551375</v>
      </c>
      <c r="T1674" s="135">
        <v>0.9</v>
      </c>
      <c r="U1674" s="133">
        <v>0.793283149971048</v>
      </c>
      <c r="V1674" s="133">
        <v>0.834527220630373</v>
      </c>
      <c r="W1674" s="133">
        <v>0.913951545530493</v>
      </c>
      <c r="X1674" s="133">
        <v>0.716926466987676</v>
      </c>
      <c r="Y1674" s="135">
        <v>0.92</v>
      </c>
      <c r="Z1674" s="135" t="s">
        <v>35</v>
      </c>
      <c r="AA1674" s="135" t="s">
        <v>35</v>
      </c>
      <c r="AB1674" s="135" t="s">
        <v>35</v>
      </c>
      <c r="AC1674" s="135" t="s">
        <v>35</v>
      </c>
      <c r="AD1674" s="135">
        <v>0.92</v>
      </c>
      <c r="AE1674" s="133">
        <v>1</v>
      </c>
      <c r="AF1674" s="133">
        <v>1</v>
      </c>
      <c r="AG1674" s="133">
        <v>0.75</v>
      </c>
      <c r="AH1674" s="133">
        <v>0.988200589970501</v>
      </c>
      <c r="AI1674" s="135">
        <v>0.92</v>
      </c>
      <c r="AJ1674" s="133">
        <v>0.928778228141285</v>
      </c>
      <c r="AK1674" s="133">
        <v>0.944126074498567</v>
      </c>
      <c r="AL1674" s="133">
        <v>0.95906432748538</v>
      </c>
      <c r="AM1674" s="133">
        <v>0.924141026687342</v>
      </c>
      <c r="AN1674" s="132">
        <v>0.99</v>
      </c>
      <c r="AO1674" s="137">
        <v>1</v>
      </c>
      <c r="AP1674" s="137">
        <v>1</v>
      </c>
      <c r="AQ1674" s="137">
        <v>1</v>
      </c>
      <c r="AR1674" s="137">
        <v>1</v>
      </c>
      <c r="AS1674" s="158">
        <v>0.110069253262963</v>
      </c>
      <c r="AT1674" s="141">
        <v>0</v>
      </c>
      <c r="AU1674" s="141">
        <v>0.142857142857143</v>
      </c>
      <c r="AV1674" s="141">
        <v>0.333333333333333</v>
      </c>
      <c r="AW1674" s="141">
        <v>0.120567375886525</v>
      </c>
      <c r="AX1674" s="95"/>
      <c r="AY1674" s="93"/>
    </row>
    <row r="1675" ht="14.5" spans="1:51">
      <c r="A1675" s="91"/>
      <c r="B1675" s="95"/>
      <c r="C1675" s="152" t="s">
        <v>1455</v>
      </c>
      <c r="D1675" s="153" t="s">
        <v>25</v>
      </c>
      <c r="E1675" s="130" t="s">
        <v>1456</v>
      </c>
      <c r="F1675" s="171" t="s">
        <v>1707</v>
      </c>
      <c r="G1675" s="171" t="s">
        <v>1707</v>
      </c>
      <c r="H1675" s="171" t="s">
        <v>1707</v>
      </c>
      <c r="I1675" s="171" t="s">
        <v>1707</v>
      </c>
      <c r="J1675" s="132">
        <v>0.9</v>
      </c>
      <c r="K1675" s="133">
        <v>0.5</v>
      </c>
      <c r="L1675" s="133">
        <v>0.285714285714286</v>
      </c>
      <c r="M1675" s="134">
        <v>0.4</v>
      </c>
      <c r="N1675" s="133">
        <v>0.381443298969072</v>
      </c>
      <c r="O1675" s="135">
        <v>0.9</v>
      </c>
      <c r="P1675" s="133" t="s">
        <v>35</v>
      </c>
      <c r="Q1675" s="133">
        <v>0</v>
      </c>
      <c r="R1675" s="133" t="s">
        <v>35</v>
      </c>
      <c r="S1675" s="133">
        <v>0.5</v>
      </c>
      <c r="T1675" s="135">
        <v>0.9</v>
      </c>
      <c r="U1675" s="133" t="s">
        <v>35</v>
      </c>
      <c r="V1675" s="133">
        <v>1</v>
      </c>
      <c r="W1675" s="133" t="s">
        <v>35</v>
      </c>
      <c r="X1675" s="133">
        <v>0.5</v>
      </c>
      <c r="Y1675" s="135">
        <v>0.92</v>
      </c>
      <c r="Z1675" s="135" t="s">
        <v>35</v>
      </c>
      <c r="AA1675" s="135" t="s">
        <v>35</v>
      </c>
      <c r="AB1675" s="135" t="s">
        <v>35</v>
      </c>
      <c r="AC1675" s="135" t="s">
        <v>35</v>
      </c>
      <c r="AD1675" s="135">
        <v>0.92</v>
      </c>
      <c r="AE1675" s="133">
        <v>0</v>
      </c>
      <c r="AF1675" s="133">
        <v>0</v>
      </c>
      <c r="AG1675" s="133" t="s">
        <v>35</v>
      </c>
      <c r="AH1675" s="133">
        <v>0.538461538461538</v>
      </c>
      <c r="AI1675" s="135">
        <v>0.92</v>
      </c>
      <c r="AJ1675" s="133">
        <v>0.690072639225182</v>
      </c>
      <c r="AK1675" s="133">
        <v>0.579462102689487</v>
      </c>
      <c r="AL1675" s="133">
        <v>0.610778443113772</v>
      </c>
      <c r="AM1675" s="133">
        <v>0.630226244343891</v>
      </c>
      <c r="AN1675" s="132">
        <v>0.99</v>
      </c>
      <c r="AO1675" s="137" t="s">
        <v>35</v>
      </c>
      <c r="AP1675" s="137" t="s">
        <v>35</v>
      </c>
      <c r="AQ1675" s="137" t="s">
        <v>35</v>
      </c>
      <c r="AR1675" s="137">
        <v>1</v>
      </c>
      <c r="AS1675" s="158">
        <v>0.110069253262963</v>
      </c>
      <c r="AT1675" s="141">
        <v>0.571428571428571</v>
      </c>
      <c r="AU1675" s="141">
        <v>0</v>
      </c>
      <c r="AV1675" s="141">
        <v>0.230769230769231</v>
      </c>
      <c r="AW1675" s="141">
        <v>0.0909090909090909</v>
      </c>
      <c r="AX1675" s="95"/>
      <c r="AY1675" s="93"/>
    </row>
    <row r="1676" ht="14.5" spans="1:51">
      <c r="A1676" s="91"/>
      <c r="B1676" s="95"/>
      <c r="C1676" s="152" t="s">
        <v>1455</v>
      </c>
      <c r="D1676" s="153" t="s">
        <v>25</v>
      </c>
      <c r="E1676" s="130" t="s">
        <v>1456</v>
      </c>
      <c r="F1676" s="171" t="s">
        <v>1708</v>
      </c>
      <c r="G1676" s="171" t="s">
        <v>1708</v>
      </c>
      <c r="H1676" s="171" t="s">
        <v>1708</v>
      </c>
      <c r="I1676" s="171" t="s">
        <v>1708</v>
      </c>
      <c r="J1676" s="132">
        <v>0.9</v>
      </c>
      <c r="K1676" s="133">
        <v>1</v>
      </c>
      <c r="L1676" s="133">
        <v>1</v>
      </c>
      <c r="M1676" s="134">
        <v>1</v>
      </c>
      <c r="N1676" s="133">
        <v>1</v>
      </c>
      <c r="O1676" s="135">
        <v>0.9</v>
      </c>
      <c r="P1676" s="133">
        <v>0.924319727891156</v>
      </c>
      <c r="Q1676" s="133">
        <v>0.987635239567233</v>
      </c>
      <c r="R1676" s="133">
        <v>0.995864920744314</v>
      </c>
      <c r="S1676" s="133">
        <v>0.961979399910434</v>
      </c>
      <c r="T1676" s="135">
        <v>0.9</v>
      </c>
      <c r="U1676" s="133">
        <v>0.931122448979592</v>
      </c>
      <c r="V1676" s="133">
        <v>0.97758887171561</v>
      </c>
      <c r="W1676" s="133">
        <v>0.960716747070986</v>
      </c>
      <c r="X1676" s="133">
        <v>0.949261083743842</v>
      </c>
      <c r="Y1676" s="135">
        <v>0.92</v>
      </c>
      <c r="Z1676" s="135" t="s">
        <v>35</v>
      </c>
      <c r="AA1676" s="135" t="s">
        <v>35</v>
      </c>
      <c r="AB1676" s="135" t="s">
        <v>35</v>
      </c>
      <c r="AC1676" s="135" t="s">
        <v>35</v>
      </c>
      <c r="AD1676" s="135">
        <v>0.92</v>
      </c>
      <c r="AE1676" s="133">
        <v>0.904761904761905</v>
      </c>
      <c r="AF1676" s="133">
        <v>0.660714285714286</v>
      </c>
      <c r="AG1676" s="133">
        <v>0.405797101449275</v>
      </c>
      <c r="AH1676" s="133">
        <v>0.47337962962963</v>
      </c>
      <c r="AI1676" s="135">
        <v>0.92</v>
      </c>
      <c r="AJ1676" s="133">
        <v>0.974489795918367</v>
      </c>
      <c r="AK1676" s="133">
        <v>0.997681607418856</v>
      </c>
      <c r="AL1676" s="133">
        <v>0.990351481736733</v>
      </c>
      <c r="AM1676" s="133">
        <v>0.989789520824004</v>
      </c>
      <c r="AN1676" s="132">
        <v>0.99</v>
      </c>
      <c r="AO1676" s="137">
        <v>1</v>
      </c>
      <c r="AP1676" s="137">
        <v>1</v>
      </c>
      <c r="AQ1676" s="137">
        <v>1</v>
      </c>
      <c r="AR1676" s="137">
        <v>1</v>
      </c>
      <c r="AS1676" s="158">
        <v>0.110069253262963</v>
      </c>
      <c r="AT1676" s="141">
        <v>0</v>
      </c>
      <c r="AU1676" s="141">
        <v>0.0769230769230769</v>
      </c>
      <c r="AV1676" s="141">
        <v>0.2</v>
      </c>
      <c r="AW1676" s="141">
        <v>0.103004291845494</v>
      </c>
      <c r="AX1676" s="95"/>
      <c r="AY1676" s="93"/>
    </row>
    <row r="1677" ht="14.5" spans="1:51">
      <c r="A1677" s="91"/>
      <c r="B1677" s="95"/>
      <c r="C1677" s="152" t="s">
        <v>1455</v>
      </c>
      <c r="D1677" s="153" t="s">
        <v>25</v>
      </c>
      <c r="E1677" s="130" t="s">
        <v>1456</v>
      </c>
      <c r="F1677" s="171" t="s">
        <v>1709</v>
      </c>
      <c r="G1677" s="171" t="s">
        <v>1709</v>
      </c>
      <c r="H1677" s="171" t="s">
        <v>1709</v>
      </c>
      <c r="I1677" s="171" t="s">
        <v>1709</v>
      </c>
      <c r="J1677" s="132">
        <v>0.9</v>
      </c>
      <c r="K1677" s="133">
        <v>1</v>
      </c>
      <c r="L1677" s="133">
        <v>1</v>
      </c>
      <c r="M1677" s="134">
        <v>1</v>
      </c>
      <c r="N1677" s="133">
        <v>0.952802359882006</v>
      </c>
      <c r="O1677" s="135">
        <v>0.9</v>
      </c>
      <c r="P1677" s="133">
        <v>0.940711462450593</v>
      </c>
      <c r="Q1677" s="133">
        <v>0.972878390201225</v>
      </c>
      <c r="R1677" s="133">
        <v>0.992406075139888</v>
      </c>
      <c r="S1677" s="133">
        <v>0.965101366349332</v>
      </c>
      <c r="T1677" s="135">
        <v>0.9</v>
      </c>
      <c r="U1677" s="133">
        <v>0.891304347826087</v>
      </c>
      <c r="V1677" s="133">
        <v>0.926509186351706</v>
      </c>
      <c r="W1677" s="133">
        <v>0.921662669864109</v>
      </c>
      <c r="X1677" s="133">
        <v>0.897375820056232</v>
      </c>
      <c r="Y1677" s="135">
        <v>0.92</v>
      </c>
      <c r="Z1677" s="135" t="s">
        <v>35</v>
      </c>
      <c r="AA1677" s="135" t="s">
        <v>35</v>
      </c>
      <c r="AB1677" s="135" t="s">
        <v>35</v>
      </c>
      <c r="AC1677" s="135" t="s">
        <v>35</v>
      </c>
      <c r="AD1677" s="135">
        <v>0.92</v>
      </c>
      <c r="AE1677" s="133">
        <v>1</v>
      </c>
      <c r="AF1677" s="133">
        <v>0.96</v>
      </c>
      <c r="AG1677" s="133">
        <v>0.717791411042945</v>
      </c>
      <c r="AH1677" s="133">
        <v>0.894128525196486</v>
      </c>
      <c r="AI1677" s="135">
        <v>0.92</v>
      </c>
      <c r="AJ1677" s="133">
        <v>0.922430830039526</v>
      </c>
      <c r="AK1677" s="133">
        <v>0.942694663167104</v>
      </c>
      <c r="AL1677" s="133">
        <v>0.961630695443645</v>
      </c>
      <c r="AM1677" s="133">
        <v>0.944976076555024</v>
      </c>
      <c r="AN1677" s="132">
        <v>0.99</v>
      </c>
      <c r="AO1677" s="137">
        <v>1</v>
      </c>
      <c r="AP1677" s="137" t="s">
        <v>35</v>
      </c>
      <c r="AQ1677" s="137">
        <v>1</v>
      </c>
      <c r="AR1677" s="137">
        <v>1</v>
      </c>
      <c r="AS1677" s="158">
        <v>0.110069253262963</v>
      </c>
      <c r="AT1677" s="141">
        <v>0.25</v>
      </c>
      <c r="AU1677" s="141">
        <v>0.0588235294117647</v>
      </c>
      <c r="AV1677" s="141">
        <v>0.142857142857143</v>
      </c>
      <c r="AW1677" s="141">
        <v>0.0697674418604651</v>
      </c>
      <c r="AX1677" s="95"/>
      <c r="AY1677" s="93"/>
    </row>
    <row r="1678" ht="14.5" spans="1:51">
      <c r="A1678" s="91"/>
      <c r="B1678" s="95"/>
      <c r="C1678" s="152" t="s">
        <v>1455</v>
      </c>
      <c r="D1678" s="153" t="s">
        <v>25</v>
      </c>
      <c r="E1678" s="130" t="s">
        <v>1456</v>
      </c>
      <c r="F1678" s="171" t="s">
        <v>1710</v>
      </c>
      <c r="G1678" s="171" t="s">
        <v>1710</v>
      </c>
      <c r="H1678" s="171" t="s">
        <v>1710</v>
      </c>
      <c r="I1678" s="171" t="s">
        <v>1710</v>
      </c>
      <c r="J1678" s="132">
        <v>0.9</v>
      </c>
      <c r="K1678" s="133">
        <v>0.9375</v>
      </c>
      <c r="L1678" s="133">
        <v>0.95</v>
      </c>
      <c r="M1678" s="134">
        <v>0.904761904761905</v>
      </c>
      <c r="N1678" s="133">
        <v>0.90282131661442</v>
      </c>
      <c r="O1678" s="135">
        <v>0.9</v>
      </c>
      <c r="P1678" s="133">
        <v>0.86065954482118</v>
      </c>
      <c r="Q1678" s="133">
        <v>0.877982890589824</v>
      </c>
      <c r="R1678" s="133">
        <v>0.914824797843666</v>
      </c>
      <c r="S1678" s="133">
        <v>0.856584803560565</v>
      </c>
      <c r="T1678" s="135">
        <v>0.9</v>
      </c>
      <c r="U1678" s="133">
        <v>0.620993961913609</v>
      </c>
      <c r="V1678" s="133">
        <v>0.614588023412877</v>
      </c>
      <c r="W1678" s="133">
        <v>0.640431266846361</v>
      </c>
      <c r="X1678" s="133">
        <v>0.614965899266754</v>
      </c>
      <c r="Y1678" s="135">
        <v>0.92</v>
      </c>
      <c r="Z1678" s="135" t="s">
        <v>35</v>
      </c>
      <c r="AA1678" s="135" t="s">
        <v>35</v>
      </c>
      <c r="AB1678" s="135" t="s">
        <v>35</v>
      </c>
      <c r="AC1678" s="135" t="s">
        <v>35</v>
      </c>
      <c r="AD1678" s="135">
        <v>0.92</v>
      </c>
      <c r="AE1678" s="133">
        <v>0.928571428571429</v>
      </c>
      <c r="AF1678" s="133">
        <v>0.555555555555556</v>
      </c>
      <c r="AG1678" s="133">
        <v>1</v>
      </c>
      <c r="AH1678" s="133">
        <v>0.480968858131488</v>
      </c>
      <c r="AI1678" s="135">
        <v>0.92</v>
      </c>
      <c r="AJ1678" s="133">
        <v>0.706920575940548</v>
      </c>
      <c r="AK1678" s="133">
        <v>0.75056280954525</v>
      </c>
      <c r="AL1678" s="133">
        <v>0.757412398921833</v>
      </c>
      <c r="AM1678" s="133">
        <v>0.73478274791073</v>
      </c>
      <c r="AN1678" s="132">
        <v>0.99</v>
      </c>
      <c r="AO1678" s="137">
        <v>1</v>
      </c>
      <c r="AP1678" s="137">
        <v>1</v>
      </c>
      <c r="AQ1678" s="137">
        <v>1</v>
      </c>
      <c r="AR1678" s="137">
        <v>1</v>
      </c>
      <c r="AS1678" s="158">
        <v>0.110069253262963</v>
      </c>
      <c r="AT1678" s="141">
        <v>0.0666666666666667</v>
      </c>
      <c r="AU1678" s="141">
        <v>0.0571428571428571</v>
      </c>
      <c r="AV1678" s="141">
        <v>0.0454545454545455</v>
      </c>
      <c r="AW1678" s="141">
        <v>0.109053497942387</v>
      </c>
      <c r="AX1678" s="95"/>
      <c r="AY1678" s="93"/>
    </row>
    <row r="1679" ht="14.5" spans="1:51">
      <c r="A1679" s="91"/>
      <c r="B1679" s="95"/>
      <c r="C1679" s="152" t="s">
        <v>1455</v>
      </c>
      <c r="D1679" s="153" t="s">
        <v>25</v>
      </c>
      <c r="E1679" s="130" t="s">
        <v>1456</v>
      </c>
      <c r="F1679" s="171" t="s">
        <v>1711</v>
      </c>
      <c r="G1679" s="171" t="s">
        <v>1711</v>
      </c>
      <c r="H1679" s="171" t="s">
        <v>1711</v>
      </c>
      <c r="I1679" s="171" t="s">
        <v>1711</v>
      </c>
      <c r="J1679" s="132">
        <v>0.9</v>
      </c>
      <c r="K1679" s="133">
        <v>1</v>
      </c>
      <c r="L1679" s="133">
        <v>0.8</v>
      </c>
      <c r="M1679" s="134">
        <v>0.8</v>
      </c>
      <c r="N1679" s="133">
        <v>0.767441860465116</v>
      </c>
      <c r="O1679" s="135">
        <v>0.9</v>
      </c>
      <c r="P1679" s="133">
        <v>0.99803536345776</v>
      </c>
      <c r="Q1679" s="133">
        <v>0.997658079625293</v>
      </c>
      <c r="R1679" s="133">
        <v>0.997849462365591</v>
      </c>
      <c r="S1679" s="133">
        <v>0.988505747126437</v>
      </c>
      <c r="T1679" s="135">
        <v>0.9</v>
      </c>
      <c r="U1679" s="133">
        <v>0.860510805500982</v>
      </c>
      <c r="V1679" s="133">
        <v>0.889929742388759</v>
      </c>
      <c r="W1679" s="133">
        <v>0.92258064516129</v>
      </c>
      <c r="X1679" s="133">
        <v>0.896004378762999</v>
      </c>
      <c r="Y1679" s="135">
        <v>0.92</v>
      </c>
      <c r="Z1679" s="135" t="s">
        <v>35</v>
      </c>
      <c r="AA1679" s="135" t="s">
        <v>35</v>
      </c>
      <c r="AB1679" s="135" t="s">
        <v>35</v>
      </c>
      <c r="AC1679" s="135" t="s">
        <v>35</v>
      </c>
      <c r="AD1679" s="135">
        <v>0.92</v>
      </c>
      <c r="AE1679" s="133">
        <v>0</v>
      </c>
      <c r="AF1679" s="133">
        <v>0</v>
      </c>
      <c r="AG1679" s="133">
        <v>0</v>
      </c>
      <c r="AH1679" s="133">
        <v>0.0833333333333333</v>
      </c>
      <c r="AI1679" s="135">
        <v>0.92</v>
      </c>
      <c r="AJ1679" s="133">
        <v>0.894934333958724</v>
      </c>
      <c r="AK1679" s="133">
        <v>0.972911963882618</v>
      </c>
      <c r="AL1679" s="133">
        <v>0.945833333333333</v>
      </c>
      <c r="AM1679" s="133">
        <v>0.949911905361188</v>
      </c>
      <c r="AN1679" s="132">
        <v>0.99</v>
      </c>
      <c r="AO1679" s="137" t="s">
        <v>35</v>
      </c>
      <c r="AP1679" s="137" t="s">
        <v>35</v>
      </c>
      <c r="AQ1679" s="137" t="s">
        <v>35</v>
      </c>
      <c r="AR1679" s="137" t="s">
        <v>35</v>
      </c>
      <c r="AS1679" s="158">
        <v>0.110069253262963</v>
      </c>
      <c r="AT1679" s="141">
        <v>0.111111111111111</v>
      </c>
      <c r="AU1679" s="141">
        <v>0</v>
      </c>
      <c r="AV1679" s="141">
        <v>0</v>
      </c>
      <c r="AW1679" s="141">
        <v>0.0865384615384615</v>
      </c>
      <c r="AX1679" s="95"/>
      <c r="AY1679" s="93"/>
    </row>
    <row r="1680" ht="14.5" spans="1:51">
      <c r="A1680" s="91"/>
      <c r="B1680" s="95"/>
      <c r="C1680" s="152" t="s">
        <v>1455</v>
      </c>
      <c r="D1680" s="153" t="s">
        <v>25</v>
      </c>
      <c r="E1680" s="130" t="s">
        <v>1456</v>
      </c>
      <c r="F1680" s="171" t="s">
        <v>1712</v>
      </c>
      <c r="G1680" s="171" t="s">
        <v>1712</v>
      </c>
      <c r="H1680" s="171" t="s">
        <v>1712</v>
      </c>
      <c r="I1680" s="171" t="s">
        <v>1712</v>
      </c>
      <c r="J1680" s="132">
        <v>0.9</v>
      </c>
      <c r="K1680" s="133">
        <v>1</v>
      </c>
      <c r="L1680" s="133">
        <v>0.923076923076923</v>
      </c>
      <c r="M1680" s="134">
        <v>0.866666666666667</v>
      </c>
      <c r="N1680" s="133">
        <v>0.938325991189427</v>
      </c>
      <c r="O1680" s="135">
        <v>0.9</v>
      </c>
      <c r="P1680" s="133">
        <v>0</v>
      </c>
      <c r="Q1680" s="133">
        <v>0</v>
      </c>
      <c r="R1680" s="133">
        <v>1</v>
      </c>
      <c r="S1680" s="133">
        <v>0.0952380952380952</v>
      </c>
      <c r="T1680" s="135">
        <v>0.9</v>
      </c>
      <c r="U1680" s="133">
        <v>0</v>
      </c>
      <c r="V1680" s="133">
        <v>1</v>
      </c>
      <c r="W1680" s="133">
        <v>0</v>
      </c>
      <c r="X1680" s="133">
        <v>0.142857142857143</v>
      </c>
      <c r="Y1680" s="135">
        <v>0.92</v>
      </c>
      <c r="Z1680" s="135" t="s">
        <v>35</v>
      </c>
      <c r="AA1680" s="135" t="s">
        <v>35</v>
      </c>
      <c r="AB1680" s="135" t="s">
        <v>35</v>
      </c>
      <c r="AC1680" s="135" t="s">
        <v>35</v>
      </c>
      <c r="AD1680" s="135">
        <v>0.92</v>
      </c>
      <c r="AE1680" s="133">
        <v>0.1</v>
      </c>
      <c r="AF1680" s="133">
        <v>0</v>
      </c>
      <c r="AG1680" s="133">
        <v>0.166666666666667</v>
      </c>
      <c r="AH1680" s="133">
        <v>0.185185185185185</v>
      </c>
      <c r="AI1680" s="135">
        <v>0.92</v>
      </c>
      <c r="AJ1680" s="133">
        <v>0.851671732522796</v>
      </c>
      <c r="AK1680" s="133">
        <v>0.815573770491803</v>
      </c>
      <c r="AL1680" s="133">
        <v>0.860836501901141</v>
      </c>
      <c r="AM1680" s="133">
        <v>0.877590548130932</v>
      </c>
      <c r="AN1680" s="132">
        <v>0.99</v>
      </c>
      <c r="AO1680" s="137">
        <v>1</v>
      </c>
      <c r="AP1680" s="137" t="s">
        <v>35</v>
      </c>
      <c r="AQ1680" s="137">
        <v>1</v>
      </c>
      <c r="AR1680" s="137">
        <v>1</v>
      </c>
      <c r="AS1680" s="158">
        <v>0.110069253262963</v>
      </c>
      <c r="AT1680" s="141">
        <v>0.375</v>
      </c>
      <c r="AU1680" s="141">
        <v>0.2</v>
      </c>
      <c r="AV1680" s="141">
        <v>0.0476190476190476</v>
      </c>
      <c r="AW1680" s="141">
        <v>0.112676056338028</v>
      </c>
      <c r="AX1680" s="95"/>
      <c r="AY1680" s="93"/>
    </row>
    <row r="1681" ht="14.5" spans="1:73">
      <c r="A1681" s="91"/>
      <c r="B1681" s="95"/>
      <c r="C1681" s="152" t="s">
        <v>1455</v>
      </c>
      <c r="D1681" s="153" t="s">
        <v>25</v>
      </c>
      <c r="E1681" s="130" t="s">
        <v>1456</v>
      </c>
      <c r="F1681" s="171" t="s">
        <v>1713</v>
      </c>
      <c r="G1681" s="171" t="s">
        <v>1713</v>
      </c>
      <c r="H1681" s="171" t="s">
        <v>1713</v>
      </c>
      <c r="I1681" s="171" t="s">
        <v>1713</v>
      </c>
      <c r="J1681" s="132">
        <v>0.9</v>
      </c>
      <c r="K1681" s="133">
        <v>0.933333333333333</v>
      </c>
      <c r="L1681" s="133">
        <v>0.9375</v>
      </c>
      <c r="M1681" s="134">
        <v>0.935483870967742</v>
      </c>
      <c r="N1681" s="133">
        <v>0.941071428571429</v>
      </c>
      <c r="O1681" s="135">
        <v>0.9</v>
      </c>
      <c r="P1681" s="133">
        <v>0.0113700966458215</v>
      </c>
      <c r="Q1681" s="133">
        <v>0.0640776699029126</v>
      </c>
      <c r="R1681" s="133">
        <v>0.137377341659233</v>
      </c>
      <c r="S1681" s="133">
        <v>0.184877529286475</v>
      </c>
      <c r="T1681" s="135">
        <v>0.9</v>
      </c>
      <c r="U1681" s="133">
        <v>0.236782262649233</v>
      </c>
      <c r="V1681" s="133">
        <v>0.331391585760518</v>
      </c>
      <c r="W1681" s="133">
        <v>0.349985132322331</v>
      </c>
      <c r="X1681" s="133">
        <v>0.405668878512329</v>
      </c>
      <c r="Y1681" s="135">
        <v>0.92</v>
      </c>
      <c r="Z1681" s="135" t="s">
        <v>35</v>
      </c>
      <c r="AA1681" s="135" t="s">
        <v>35</v>
      </c>
      <c r="AB1681" s="135" t="s">
        <v>35</v>
      </c>
      <c r="AC1681" s="135" t="s">
        <v>35</v>
      </c>
      <c r="AD1681" s="135">
        <v>0.92</v>
      </c>
      <c r="AE1681" s="133">
        <v>0.96</v>
      </c>
      <c r="AF1681" s="133">
        <v>0.99290780141844</v>
      </c>
      <c r="AG1681" s="133">
        <v>0.96875</v>
      </c>
      <c r="AH1681" s="133">
        <v>0.96203132415757</v>
      </c>
      <c r="AI1681" s="135">
        <v>0.92</v>
      </c>
      <c r="AJ1681" s="133">
        <v>0.654633314383172</v>
      </c>
      <c r="AK1681" s="133">
        <v>0.675404530744337</v>
      </c>
      <c r="AL1681" s="133">
        <v>0.733868569729408</v>
      </c>
      <c r="AM1681" s="133">
        <v>0.780732366674859</v>
      </c>
      <c r="AN1681" s="132">
        <v>0.99</v>
      </c>
      <c r="AO1681" s="137" t="s">
        <v>35</v>
      </c>
      <c r="AP1681" s="137">
        <v>1</v>
      </c>
      <c r="AQ1681" s="137">
        <v>1</v>
      </c>
      <c r="AR1681" s="137">
        <v>1</v>
      </c>
      <c r="AS1681" s="158">
        <v>0.110069253262963</v>
      </c>
      <c r="AT1681" s="141">
        <v>0.111111111111111</v>
      </c>
      <c r="AU1681" s="141">
        <v>0.148148148148148</v>
      </c>
      <c r="AV1681" s="141">
        <v>0.16</v>
      </c>
      <c r="AW1681" s="141">
        <v>0.0953436807095344</v>
      </c>
      <c r="AX1681" s="95"/>
      <c r="AY1681" s="93"/>
    </row>
    <row r="1682" ht="14.5" spans="1:73">
      <c r="A1682" s="91"/>
      <c r="B1682" s="95"/>
      <c r="C1682" s="152" t="s">
        <v>1455</v>
      </c>
      <c r="D1682" s="153" t="s">
        <v>25</v>
      </c>
      <c r="E1682" s="130" t="s">
        <v>1456</v>
      </c>
      <c r="F1682" s="171" t="s">
        <v>1714</v>
      </c>
      <c r="G1682" s="171" t="s">
        <v>1714</v>
      </c>
      <c r="H1682" s="171" t="s">
        <v>1714</v>
      </c>
      <c r="I1682" s="171" t="s">
        <v>1714</v>
      </c>
      <c r="J1682" s="132">
        <v>0.9</v>
      </c>
      <c r="K1682" s="133">
        <v>0.92</v>
      </c>
      <c r="L1682" s="133">
        <v>0.916666666666667</v>
      </c>
      <c r="M1682" s="134">
        <v>0.916666666666667</v>
      </c>
      <c r="N1682" s="133">
        <v>0.91866028708134</v>
      </c>
      <c r="O1682" s="135">
        <v>0.9</v>
      </c>
      <c r="P1682" s="133">
        <v>0.809704641350211</v>
      </c>
      <c r="Q1682" s="133">
        <v>0.905140434552199</v>
      </c>
      <c r="R1682" s="133">
        <v>0.836872586872587</v>
      </c>
      <c r="S1682" s="133">
        <v>0.850738108255877</v>
      </c>
      <c r="T1682" s="135">
        <v>0.9</v>
      </c>
      <c r="U1682" s="133">
        <v>0.555274261603376</v>
      </c>
      <c r="V1682" s="133">
        <v>0.605723370429253</v>
      </c>
      <c r="W1682" s="133">
        <v>0.490830115830116</v>
      </c>
      <c r="X1682" s="133">
        <v>0.50844580012086</v>
      </c>
      <c r="Y1682" s="135">
        <v>0.92</v>
      </c>
      <c r="Z1682" s="135" t="s">
        <v>35</v>
      </c>
      <c r="AA1682" s="135" t="s">
        <v>35</v>
      </c>
      <c r="AB1682" s="135" t="s">
        <v>35</v>
      </c>
      <c r="AC1682" s="135" t="s">
        <v>35</v>
      </c>
      <c r="AD1682" s="135">
        <v>0.92</v>
      </c>
      <c r="AE1682" s="133">
        <v>0.53968253968254</v>
      </c>
      <c r="AF1682" s="133">
        <v>0.34</v>
      </c>
      <c r="AG1682" s="133">
        <v>0.103448275862069</v>
      </c>
      <c r="AH1682" s="133">
        <v>0.240963855421687</v>
      </c>
      <c r="AI1682" s="135">
        <v>0.92</v>
      </c>
      <c r="AJ1682" s="133">
        <v>0.851476793248945</v>
      </c>
      <c r="AK1682" s="133">
        <v>0.815050344462109</v>
      </c>
      <c r="AL1682" s="133">
        <v>0.81515444015444</v>
      </c>
      <c r="AM1682" s="133">
        <v>0.855342292308135</v>
      </c>
      <c r="AN1682" s="132">
        <v>0.99</v>
      </c>
      <c r="AO1682" s="137">
        <v>1</v>
      </c>
      <c r="AP1682" s="137">
        <v>1</v>
      </c>
      <c r="AQ1682" s="137" t="s">
        <v>35</v>
      </c>
      <c r="AR1682" s="137">
        <v>1</v>
      </c>
      <c r="AS1682" s="158">
        <v>0.110069253262963</v>
      </c>
      <c r="AT1682" s="141">
        <v>0</v>
      </c>
      <c r="AU1682" s="141">
        <v>0.161290322580645</v>
      </c>
      <c r="AV1682" s="141">
        <v>0.0740740740740741</v>
      </c>
      <c r="AW1682" s="141">
        <v>0.0658227848101266</v>
      </c>
      <c r="AX1682" s="95"/>
      <c r="AY1682" s="93"/>
    </row>
    <row r="1683" ht="14.5" spans="1:73">
      <c r="A1683" s="91"/>
      <c r="B1683" s="95"/>
      <c r="C1683" s="152" t="s">
        <v>1455</v>
      </c>
      <c r="D1683" s="153" t="s">
        <v>25</v>
      </c>
      <c r="E1683" s="130" t="s">
        <v>1456</v>
      </c>
      <c r="F1683" s="171" t="s">
        <v>1715</v>
      </c>
      <c r="G1683" s="171" t="s">
        <v>1715</v>
      </c>
      <c r="H1683" s="171" t="s">
        <v>1715</v>
      </c>
      <c r="I1683" s="171" t="s">
        <v>1715</v>
      </c>
      <c r="J1683" s="132">
        <v>0.9</v>
      </c>
      <c r="K1683" s="133" t="s">
        <v>35</v>
      </c>
      <c r="L1683" s="133" t="s">
        <v>35</v>
      </c>
      <c r="M1683" s="134" t="s">
        <v>35</v>
      </c>
      <c r="N1683" s="133" t="s">
        <v>35</v>
      </c>
      <c r="O1683" s="135">
        <v>0.9</v>
      </c>
      <c r="P1683" s="133" t="s">
        <v>35</v>
      </c>
      <c r="Q1683" s="133" t="s">
        <v>35</v>
      </c>
      <c r="R1683" s="133" t="s">
        <v>35</v>
      </c>
      <c r="S1683" s="133" t="s">
        <v>35</v>
      </c>
      <c r="T1683" s="135">
        <v>0.9</v>
      </c>
      <c r="U1683" s="133" t="s">
        <v>35</v>
      </c>
      <c r="V1683" s="133" t="s">
        <v>35</v>
      </c>
      <c r="W1683" s="133" t="s">
        <v>35</v>
      </c>
      <c r="X1683" s="133" t="s">
        <v>35</v>
      </c>
      <c r="Y1683" s="135">
        <v>0.92</v>
      </c>
      <c r="Z1683" s="135" t="s">
        <v>35</v>
      </c>
      <c r="AA1683" s="135" t="s">
        <v>35</v>
      </c>
      <c r="AB1683" s="135" t="s">
        <v>35</v>
      </c>
      <c r="AC1683" s="135" t="s">
        <v>35</v>
      </c>
      <c r="AD1683" s="135">
        <v>0.92</v>
      </c>
      <c r="AE1683" s="133" t="s">
        <v>35</v>
      </c>
      <c r="AF1683" s="133" t="s">
        <v>35</v>
      </c>
      <c r="AG1683" s="133" t="s">
        <v>35</v>
      </c>
      <c r="AH1683" s="133" t="s">
        <v>35</v>
      </c>
      <c r="AI1683" s="135">
        <v>0.92</v>
      </c>
      <c r="AJ1683" s="133" t="s">
        <v>35</v>
      </c>
      <c r="AK1683" s="133" t="s">
        <v>35</v>
      </c>
      <c r="AL1683" s="133" t="s">
        <v>35</v>
      </c>
      <c r="AM1683" s="133" t="s">
        <v>35</v>
      </c>
      <c r="AN1683" s="132">
        <v>0.99</v>
      </c>
      <c r="AO1683" s="137" t="s">
        <v>35</v>
      </c>
      <c r="AP1683" s="137" t="s">
        <v>35</v>
      </c>
      <c r="AQ1683" s="137" t="s">
        <v>35</v>
      </c>
      <c r="AR1683" s="137" t="s">
        <v>35</v>
      </c>
      <c r="AS1683" s="158">
        <v>0.110069253262963</v>
      </c>
      <c r="AT1683" s="141" t="s">
        <v>35</v>
      </c>
      <c r="AU1683" s="141" t="s">
        <v>35</v>
      </c>
      <c r="AV1683" s="141" t="s">
        <v>35</v>
      </c>
      <c r="AW1683" s="141" t="s">
        <v>35</v>
      </c>
      <c r="AX1683" s="95"/>
      <c r="AY1683" s="93"/>
    </row>
    <row r="1684" ht="17.25" customHeight="1" spans="1:73">
      <c r="A1684" s="91"/>
      <c r="B1684" s="95"/>
      <c r="C1684" s="203" t="s">
        <v>1716</v>
      </c>
      <c r="D1684" s="204"/>
      <c r="E1684" s="204"/>
      <c r="F1684" s="204"/>
      <c r="G1684" s="204"/>
      <c r="H1684" s="204"/>
      <c r="I1684" s="204"/>
      <c r="J1684" s="205" t="s">
        <v>35</v>
      </c>
      <c r="K1684" s="206">
        <v>0.919734210482818</v>
      </c>
      <c r="L1684" s="206">
        <v>0.917168867803565</v>
      </c>
      <c r="M1684" s="206">
        <v>0.924559454834739</v>
      </c>
      <c r="N1684" s="206">
        <v>0.92558740689407</v>
      </c>
      <c r="O1684" s="205" t="s">
        <v>35</v>
      </c>
      <c r="P1684" s="207">
        <v>0.937244079208298</v>
      </c>
      <c r="Q1684" s="207">
        <v>0.939737132775444</v>
      </c>
      <c r="R1684" s="207">
        <v>0.950116948908469</v>
      </c>
      <c r="S1684" s="206">
        <v>0.940669705243667</v>
      </c>
      <c r="T1684" s="205" t="s">
        <v>35</v>
      </c>
      <c r="U1684" s="207">
        <v>0.856862691029755</v>
      </c>
      <c r="V1684" s="207">
        <v>0.873839882007257</v>
      </c>
      <c r="W1684" s="207">
        <v>0.901799515746839</v>
      </c>
      <c r="X1684" s="208">
        <v>0.881168177410602</v>
      </c>
      <c r="Y1684" s="205" t="s">
        <v>35</v>
      </c>
      <c r="Z1684" s="209">
        <v>0.869313861241465</v>
      </c>
      <c r="AA1684" s="209">
        <v>0.906317833700686</v>
      </c>
      <c r="AB1684" s="209">
        <v>0.934667006488038</v>
      </c>
      <c r="AC1684" s="209">
        <v>0.932182641442935</v>
      </c>
      <c r="AD1684" s="205" t="s">
        <v>35</v>
      </c>
      <c r="AE1684" s="207">
        <v>0.985687048197303</v>
      </c>
      <c r="AF1684" s="207">
        <v>0.982560968767056</v>
      </c>
      <c r="AG1684" s="207">
        <v>0.979861486548952</v>
      </c>
      <c r="AH1684" s="208">
        <v>0.972249194925675</v>
      </c>
      <c r="AI1684" s="205" t="s">
        <v>35</v>
      </c>
      <c r="AJ1684" s="207">
        <v>0.919451474143732</v>
      </c>
      <c r="AK1684" s="207">
        <v>0.937634396006812</v>
      </c>
      <c r="AL1684" s="207">
        <v>0.957966508245821</v>
      </c>
      <c r="AM1684" s="208">
        <v>0.956406911108216</v>
      </c>
      <c r="AN1684" s="205" t="s">
        <v>35</v>
      </c>
      <c r="AO1684" s="208">
        <v>0.992383731971334</v>
      </c>
      <c r="AP1684" s="208">
        <v>0.992849764923778</v>
      </c>
      <c r="AQ1684" s="208">
        <v>0.991957568601754</v>
      </c>
      <c r="AR1684" s="208">
        <v>0.99239865644589</v>
      </c>
      <c r="AS1684" s="205" t="s">
        <v>35</v>
      </c>
      <c r="AT1684" s="208">
        <v>0.0556812897225236</v>
      </c>
      <c r="AU1684" s="208">
        <v>0.0440310938367574</v>
      </c>
      <c r="AV1684" s="208">
        <v>0.0519802670085565</v>
      </c>
      <c r="AW1684" s="208">
        <v>0.053216681363758</v>
      </c>
      <c r="AX1684" s="95"/>
      <c r="AY1684" s="93"/>
    </row>
    <row r="1685" ht="24" customHeight="1" spans="1:73">
      <c r="A1685" s="91"/>
      <c r="B1685" s="95"/>
      <c r="C1685" s="210"/>
      <c r="D1685" s="210"/>
      <c r="E1685" s="210"/>
      <c r="F1685" s="210"/>
      <c r="G1685" s="210"/>
      <c r="H1685" s="210"/>
      <c r="I1685" s="210"/>
      <c r="J1685" s="211"/>
      <c r="K1685" s="211"/>
      <c r="L1685" s="211"/>
      <c r="M1685" s="211"/>
      <c r="N1685" s="211"/>
      <c r="O1685" s="211"/>
      <c r="P1685" s="211"/>
      <c r="Q1685" s="211"/>
      <c r="R1685" s="211"/>
      <c r="S1685" s="211"/>
      <c r="T1685" s="211"/>
      <c r="U1685" s="212"/>
      <c r="V1685" s="211"/>
      <c r="W1685" s="211"/>
      <c r="X1685" s="211"/>
      <c r="Y1685" s="211"/>
      <c r="Z1685" s="211"/>
      <c r="AA1685" s="211"/>
      <c r="AB1685" s="211"/>
      <c r="AC1685" s="211"/>
      <c r="AD1685" s="211"/>
      <c r="AE1685" s="211"/>
      <c r="AF1685" s="211"/>
      <c r="AG1685" s="211"/>
      <c r="AH1685" s="211"/>
      <c r="AI1685" s="211"/>
      <c r="AJ1685" s="211"/>
      <c r="AK1685" s="211"/>
      <c r="AL1685" s="211"/>
      <c r="AM1685" s="211"/>
      <c r="AN1685" s="211"/>
      <c r="AO1685" s="211"/>
      <c r="AP1685" s="211"/>
      <c r="AQ1685" s="211"/>
      <c r="AR1685" s="211"/>
      <c r="AS1685" s="211"/>
      <c r="AT1685" s="211"/>
      <c r="AU1685" s="211"/>
      <c r="AV1685" s="211"/>
      <c r="AW1685" s="211"/>
      <c r="AX1685" s="95"/>
      <c r="AY1685" s="93"/>
    </row>
    <row r="1686" ht="10.5" customHeight="1" spans="1:73">
      <c r="A1686" s="93" t="s">
        <v>1717</v>
      </c>
      <c r="B1686" s="93"/>
      <c r="C1686" s="213"/>
      <c r="D1686" s="213"/>
      <c r="E1686" s="213"/>
      <c r="F1686" s="213"/>
      <c r="G1686" s="213"/>
      <c r="H1686" s="213"/>
      <c r="I1686" s="214"/>
      <c r="J1686" s="215"/>
      <c r="K1686" s="215"/>
      <c r="L1686" s="215"/>
      <c r="M1686" s="215"/>
      <c r="N1686" s="215"/>
      <c r="O1686" s="215"/>
      <c r="P1686" s="215"/>
      <c r="Q1686" s="215"/>
      <c r="R1686" s="215"/>
      <c r="S1686" s="215"/>
      <c r="T1686" s="215"/>
      <c r="U1686" s="215"/>
      <c r="V1686" s="215"/>
      <c r="W1686" s="215"/>
      <c r="X1686" s="215"/>
      <c r="Y1686" s="215"/>
      <c r="Z1686" s="215"/>
      <c r="AA1686" s="215"/>
      <c r="AB1686" s="215"/>
      <c r="AC1686" s="215"/>
      <c r="AD1686" s="215"/>
      <c r="AE1686" s="215"/>
      <c r="AF1686" s="215"/>
      <c r="AG1686" s="215"/>
      <c r="AH1686" s="215"/>
      <c r="AI1686" s="215"/>
      <c r="AJ1686" s="215"/>
      <c r="AK1686" s="215"/>
      <c r="AL1686" s="215"/>
      <c r="AM1686" s="215"/>
      <c r="AN1686" s="215"/>
      <c r="AO1686" s="215"/>
      <c r="AP1686" s="215"/>
      <c r="AQ1686" s="215"/>
      <c r="AR1686" s="215"/>
      <c r="AS1686" s="216"/>
      <c r="AT1686" s="215"/>
      <c r="AU1686" s="215"/>
      <c r="AV1686" s="215"/>
      <c r="AW1686" s="215"/>
      <c r="AX1686" s="93"/>
      <c r="AY1686" s="93"/>
    </row>
    <row r="1687" ht="409.5" hidden="1" customHeight="1" spans="1:73">
      <c r="C1687" s="217" t="s">
        <v>1718</v>
      </c>
      <c r="D1687" s="218"/>
      <c r="E1687" s="219"/>
      <c r="F1687" s="219"/>
      <c r="G1687" s="219"/>
      <c r="H1687" s="219"/>
      <c r="I1687" s="219"/>
      <c r="J1687" s="219"/>
      <c r="K1687" s="219"/>
      <c r="L1687" s="219"/>
      <c r="M1687" s="219"/>
      <c r="N1687" s="219"/>
      <c r="O1687" s="219"/>
      <c r="P1687" s="219"/>
      <c r="Q1687" s="219"/>
      <c r="R1687" s="219"/>
      <c r="S1687" s="219"/>
      <c r="T1687" s="219"/>
      <c r="U1687" s="219" t="s">
        <v>1719</v>
      </c>
      <c r="V1687" s="219"/>
      <c r="W1687" s="219"/>
      <c r="X1687" s="219"/>
      <c r="Y1687" s="219"/>
      <c r="Z1687" s="219"/>
      <c r="AA1687" s="219"/>
      <c r="AB1687" s="219"/>
      <c r="AC1687" s="219"/>
      <c r="AD1687" s="219"/>
      <c r="AE1687" s="219"/>
      <c r="AF1687" s="219"/>
      <c r="AG1687" s="219"/>
      <c r="AH1687" s="219"/>
      <c r="AI1687" s="219"/>
      <c r="AJ1687" s="219"/>
      <c r="AK1687" s="219"/>
      <c r="AL1687" s="219"/>
      <c r="AM1687" s="219"/>
      <c r="AN1687" s="219"/>
      <c r="AO1687" s="219"/>
      <c r="AP1687" s="219"/>
      <c r="AQ1687" s="219"/>
      <c r="AR1687" s="219"/>
      <c r="AS1687" s="219"/>
      <c r="AT1687" s="219"/>
      <c r="AU1687" s="219"/>
      <c r="AV1687" s="219"/>
      <c r="AW1687" s="219"/>
      <c r="AX1687" s="219"/>
      <c r="BE1687" s="220" t="s">
        <v>1720</v>
      </c>
      <c r="BF1687" s="221"/>
      <c r="BG1687" s="221"/>
      <c r="BH1687" s="221"/>
      <c r="BI1687" s="221"/>
      <c r="BJ1687" s="221"/>
      <c r="BK1687" s="221"/>
      <c r="BL1687" s="221"/>
      <c r="BM1687" s="221"/>
      <c r="BN1687" s="221"/>
      <c r="BO1687" s="221"/>
      <c r="BP1687" s="221"/>
      <c r="BQ1687" s="221"/>
      <c r="BR1687" s="221"/>
      <c r="BS1687" s="221"/>
      <c r="BT1687" s="221"/>
      <c r="BU1687" s="222"/>
    </row>
    <row r="1688" ht="327" hidden="1" customHeight="1" spans="1:73">
      <c r="C1688" s="217"/>
      <c r="D1688" s="218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219"/>
      <c r="R1688" s="219"/>
      <c r="S1688" s="219"/>
      <c r="T1688" s="219"/>
      <c r="U1688" s="219"/>
      <c r="V1688" s="219"/>
      <c r="W1688" s="219"/>
      <c r="X1688" s="219"/>
      <c r="Y1688" s="219"/>
      <c r="Z1688" s="219"/>
      <c r="AA1688" s="219"/>
      <c r="AB1688" s="219"/>
      <c r="AC1688" s="219"/>
      <c r="AD1688" s="219"/>
      <c r="AE1688" s="219"/>
      <c r="AF1688" s="219"/>
      <c r="AG1688" s="219"/>
      <c r="AH1688" s="219"/>
      <c r="AI1688" s="219"/>
      <c r="AJ1688" s="219"/>
      <c r="AK1688" s="219"/>
      <c r="AL1688" s="219"/>
      <c r="AM1688" s="219"/>
      <c r="AN1688" s="219"/>
      <c r="AO1688" s="219"/>
      <c r="AP1688" s="219"/>
      <c r="AQ1688" s="219"/>
      <c r="AR1688" s="219"/>
      <c r="AS1688" s="219"/>
      <c r="AT1688" s="219"/>
      <c r="AU1688" s="219"/>
      <c r="AV1688" s="219"/>
      <c r="AW1688" s="219"/>
      <c r="AX1688" s="219"/>
      <c r="BE1688" s="223"/>
      <c r="BF1688" s="224"/>
      <c r="BG1688" s="224"/>
      <c r="BH1688" s="224"/>
      <c r="BI1688" s="224"/>
      <c r="BJ1688" s="224"/>
      <c r="BK1688" s="224"/>
      <c r="BL1688" s="224"/>
      <c r="BM1688" s="224"/>
      <c r="BN1688" s="224"/>
      <c r="BO1688" s="224"/>
      <c r="BP1688" s="224"/>
      <c r="BQ1688" s="224"/>
      <c r="BR1688" s="224"/>
      <c r="BS1688" s="224"/>
      <c r="BT1688" s="224"/>
      <c r="BU1688" s="225"/>
    </row>
  </sheetData>
  <autoFilter xmlns:etc="http://www.wps.cn/officeDocument/2017/etCustomData" ref="C8:AW1684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84:I1684"/>
    <mergeCell ref="C6:C8"/>
    <mergeCell ref="D6:D8"/>
    <mergeCell ref="E6:E8"/>
    <mergeCell ref="F6:F8"/>
    <mergeCell ref="G6:G8"/>
    <mergeCell ref="I6:I8"/>
    <mergeCell ref="B1:AX2"/>
    <mergeCell ref="C1687:S1688"/>
    <mergeCell ref="U1687:AX1688"/>
    <mergeCell ref="BE1687:BU1688"/>
  </mergeCells>
  <conditionalFormatting sqref="F372">
    <cfRule type="duplicateValues" dxfId="0" priority="244"/>
  </conditionalFormatting>
  <conditionalFormatting sqref="G372">
    <cfRule type="duplicateValues" dxfId="0" priority="213"/>
  </conditionalFormatting>
  <conditionalFormatting sqref="H372">
    <cfRule type="duplicateValues" dxfId="0" priority="182"/>
  </conditionalFormatting>
  <conditionalFormatting sqref="I372">
    <cfRule type="duplicateValues" dxfId="0" priority="151"/>
  </conditionalFormatting>
  <conditionalFormatting sqref="F402">
    <cfRule type="duplicateValues" dxfId="0" priority="241"/>
  </conditionalFormatting>
  <conditionalFormatting sqref="G402">
    <cfRule type="duplicateValues" dxfId="0" priority="210"/>
  </conditionalFormatting>
  <conditionalFormatting sqref="H402">
    <cfRule type="duplicateValues" dxfId="0" priority="179"/>
  </conditionalFormatting>
  <conditionalFormatting sqref="I402">
    <cfRule type="duplicateValues" dxfId="0" priority="148"/>
  </conditionalFormatting>
  <conditionalFormatting sqref="F461">
    <cfRule type="duplicateValues" dxfId="0" priority="238"/>
  </conditionalFormatting>
  <conditionalFormatting sqref="G461">
    <cfRule type="duplicateValues" dxfId="0" priority="207"/>
  </conditionalFormatting>
  <conditionalFormatting sqref="H461">
    <cfRule type="duplicateValues" dxfId="0" priority="176"/>
  </conditionalFormatting>
  <conditionalFormatting sqref="I461">
    <cfRule type="duplicateValues" dxfId="0" priority="145"/>
  </conditionalFormatting>
  <conditionalFormatting sqref="F473">
    <cfRule type="duplicateValues" dxfId="0" priority="237"/>
  </conditionalFormatting>
  <conditionalFormatting sqref="G473">
    <cfRule type="duplicateValues" dxfId="0" priority="206"/>
  </conditionalFormatting>
  <conditionalFormatting sqref="H473">
    <cfRule type="duplicateValues" dxfId="0" priority="175"/>
  </conditionalFormatting>
  <conditionalFormatting sqref="I473">
    <cfRule type="duplicateValues" dxfId="0" priority="144"/>
  </conditionalFormatting>
  <conditionalFormatting sqref="F486">
    <cfRule type="duplicateValues" dxfId="0" priority="233"/>
  </conditionalFormatting>
  <conditionalFormatting sqref="G486">
    <cfRule type="duplicateValues" dxfId="0" priority="202"/>
  </conditionalFormatting>
  <conditionalFormatting sqref="H486">
    <cfRule type="duplicateValues" dxfId="0" priority="171"/>
  </conditionalFormatting>
  <conditionalFormatting sqref="I486">
    <cfRule type="duplicateValues" dxfId="0" priority="140"/>
  </conditionalFormatting>
  <conditionalFormatting sqref="F506">
    <cfRule type="duplicateValues" dxfId="0" priority="231"/>
  </conditionalFormatting>
  <conditionalFormatting sqref="G506">
    <cfRule type="duplicateValues" dxfId="0" priority="200"/>
  </conditionalFormatting>
  <conditionalFormatting sqref="H506">
    <cfRule type="duplicateValues" dxfId="0" priority="169"/>
  </conditionalFormatting>
  <conditionalFormatting sqref="I506">
    <cfRule type="duplicateValues" dxfId="0" priority="138"/>
  </conditionalFormatting>
  <conditionalFormatting sqref="F549">
    <cfRule type="duplicateValues" dxfId="0" priority="227"/>
  </conditionalFormatting>
  <conditionalFormatting sqref="G549">
    <cfRule type="duplicateValues" dxfId="0" priority="196"/>
  </conditionalFormatting>
  <conditionalFormatting sqref="H549">
    <cfRule type="duplicateValues" dxfId="0" priority="165"/>
  </conditionalFormatting>
  <conditionalFormatting sqref="I549">
    <cfRule type="duplicateValues" dxfId="0" priority="134"/>
  </conditionalFormatting>
  <conditionalFormatting sqref="F552">
    <cfRule type="duplicateValues" dxfId="0" priority="225"/>
  </conditionalFormatting>
  <conditionalFormatting sqref="G552">
    <cfRule type="duplicateValues" dxfId="0" priority="194"/>
  </conditionalFormatting>
  <conditionalFormatting sqref="H552">
    <cfRule type="duplicateValues" dxfId="0" priority="163"/>
  </conditionalFormatting>
  <conditionalFormatting sqref="I552">
    <cfRule type="duplicateValues" dxfId="0" priority="132"/>
  </conditionalFormatting>
  <conditionalFormatting sqref="F596">
    <cfRule type="duplicateValues" dxfId="0" priority="223"/>
  </conditionalFormatting>
  <conditionalFormatting sqref="G596">
    <cfRule type="duplicateValues" dxfId="0" priority="192"/>
  </conditionalFormatting>
  <conditionalFormatting sqref="H596">
    <cfRule type="duplicateValues" dxfId="0" priority="161"/>
  </conditionalFormatting>
  <conditionalFormatting sqref="I596">
    <cfRule type="duplicateValues" dxfId="0" priority="130"/>
  </conditionalFormatting>
  <conditionalFormatting sqref="F622">
    <cfRule type="duplicateValues" dxfId="0" priority="220"/>
  </conditionalFormatting>
  <conditionalFormatting sqref="G622">
    <cfRule type="duplicateValues" dxfId="0" priority="189"/>
  </conditionalFormatting>
  <conditionalFormatting sqref="H622">
    <cfRule type="duplicateValues" dxfId="0" priority="158"/>
  </conditionalFormatting>
  <conditionalFormatting sqref="I622">
    <cfRule type="duplicateValues" dxfId="0" priority="127"/>
  </conditionalFormatting>
  <conditionalFormatting sqref="F623">
    <cfRule type="duplicateValues" dxfId="0" priority="219"/>
  </conditionalFormatting>
  <conditionalFormatting sqref="G623">
    <cfRule type="duplicateValues" dxfId="0" priority="188"/>
  </conditionalFormatting>
  <conditionalFormatting sqref="H623">
    <cfRule type="duplicateValues" dxfId="0" priority="157"/>
  </conditionalFormatting>
  <conditionalFormatting sqref="I623">
    <cfRule type="duplicateValues" dxfId="0" priority="126"/>
  </conditionalFormatting>
  <conditionalFormatting sqref="F637">
    <cfRule type="duplicateValues" dxfId="0" priority="217"/>
  </conditionalFormatting>
  <conditionalFormatting sqref="G637">
    <cfRule type="duplicateValues" dxfId="0" priority="186"/>
  </conditionalFormatting>
  <conditionalFormatting sqref="H637">
    <cfRule type="duplicateValues" dxfId="0" priority="155"/>
  </conditionalFormatting>
  <conditionalFormatting sqref="I637">
    <cfRule type="duplicateValues" dxfId="0" priority="124"/>
  </conditionalFormatting>
  <conditionalFormatting sqref="F639">
    <cfRule type="duplicateValues" dxfId="0" priority="216"/>
  </conditionalFormatting>
  <conditionalFormatting sqref="G639">
    <cfRule type="duplicateValues" dxfId="0" priority="185"/>
  </conditionalFormatting>
  <conditionalFormatting sqref="H639">
    <cfRule type="duplicateValues" dxfId="0" priority="154"/>
  </conditionalFormatting>
  <conditionalFormatting sqref="I639">
    <cfRule type="duplicateValues" dxfId="0" priority="123"/>
  </conditionalFormatting>
  <conditionalFormatting sqref="F641">
    <cfRule type="duplicateValues" dxfId="0" priority="215"/>
  </conditionalFormatting>
  <conditionalFormatting sqref="G641">
    <cfRule type="duplicateValues" dxfId="0" priority="184"/>
  </conditionalFormatting>
  <conditionalFormatting sqref="H641">
    <cfRule type="duplicateValues" dxfId="0" priority="153"/>
  </conditionalFormatting>
  <conditionalFormatting sqref="I641">
    <cfRule type="duplicateValues" dxfId="0" priority="122"/>
  </conditionalFormatting>
  <conditionalFormatting sqref="J1686:AR1686">
    <cfRule type="cellIs" dxfId="1" priority="246" operator="greaterThan">
      <formula>0.97</formula>
    </cfRule>
  </conditionalFormatting>
  <conditionalFormatting sqref="F368:F372">
    <cfRule type="duplicateValues" dxfId="0" priority="242"/>
  </conditionalFormatting>
  <conditionalFormatting sqref="F370:F372">
    <cfRule type="duplicateValues" dxfId="0" priority="243"/>
  </conditionalFormatting>
  <conditionalFormatting sqref="F380:F384">
    <cfRule type="duplicateValues" dxfId="0" priority="245"/>
  </conditionalFormatting>
  <conditionalFormatting sqref="F470:F472">
    <cfRule type="duplicateValues" dxfId="0" priority="239"/>
  </conditionalFormatting>
  <conditionalFormatting sqref="F480:F481">
    <cfRule type="duplicateValues" dxfId="0" priority="236"/>
  </conditionalFormatting>
  <conditionalFormatting sqref="F482:F483">
    <cfRule type="duplicateValues" dxfId="0" priority="235"/>
  </conditionalFormatting>
  <conditionalFormatting sqref="F484:F485">
    <cfRule type="duplicateValues" dxfId="0" priority="234"/>
  </conditionalFormatting>
  <conditionalFormatting sqref="F515:F519">
    <cfRule type="duplicateValues" dxfId="0" priority="229"/>
  </conditionalFormatting>
  <conditionalFormatting sqref="F518:F519">
    <cfRule type="duplicateValues" dxfId="0" priority="230"/>
  </conditionalFormatting>
  <conditionalFormatting sqref="F537:F538">
    <cfRule type="duplicateValues" dxfId="0" priority="228"/>
  </conditionalFormatting>
  <conditionalFormatting sqref="F550:F551">
    <cfRule type="duplicateValues" dxfId="0" priority="226"/>
  </conditionalFormatting>
  <conditionalFormatting sqref="F585:F587">
    <cfRule type="duplicateValues" dxfId="0" priority="224"/>
  </conditionalFormatting>
  <conditionalFormatting sqref="F598:F601">
    <cfRule type="duplicateValues" dxfId="0" priority="222"/>
  </conditionalFormatting>
  <conditionalFormatting sqref="F602:F605">
    <cfRule type="duplicateValues" dxfId="0" priority="221"/>
  </conditionalFormatting>
  <conditionalFormatting sqref="F602:F609">
    <cfRule type="duplicateValues" dxfId="0" priority="232"/>
  </conditionalFormatting>
  <conditionalFormatting sqref="F624:F625">
    <cfRule type="duplicateValues" dxfId="0" priority="218"/>
  </conditionalFormatting>
  <conditionalFormatting sqref="F643:F898">
    <cfRule type="duplicateValues" dxfId="0" priority="119"/>
  </conditionalFormatting>
  <conditionalFormatting sqref="G368:G372">
    <cfRule type="duplicateValues" dxfId="0" priority="211"/>
  </conditionalFormatting>
  <conditionalFormatting sqref="G370:G372">
    <cfRule type="duplicateValues" dxfId="0" priority="212"/>
  </conditionalFormatting>
  <conditionalFormatting sqref="G380:G384">
    <cfRule type="duplicateValues" dxfId="0" priority="214"/>
  </conditionalFormatting>
  <conditionalFormatting sqref="G470:G472">
    <cfRule type="duplicateValues" dxfId="0" priority="208"/>
  </conditionalFormatting>
  <conditionalFormatting sqref="G480:G481">
    <cfRule type="duplicateValues" dxfId="0" priority="205"/>
  </conditionalFormatting>
  <conditionalFormatting sqref="G482:G483">
    <cfRule type="duplicateValues" dxfId="0" priority="204"/>
  </conditionalFormatting>
  <conditionalFormatting sqref="G484:G485">
    <cfRule type="duplicateValues" dxfId="0" priority="203"/>
  </conditionalFormatting>
  <conditionalFormatting sqref="G515:G519">
    <cfRule type="duplicateValues" dxfId="0" priority="198"/>
  </conditionalFormatting>
  <conditionalFormatting sqref="G518:G519">
    <cfRule type="duplicateValues" dxfId="0" priority="199"/>
  </conditionalFormatting>
  <conditionalFormatting sqref="G537:G538">
    <cfRule type="duplicateValues" dxfId="0" priority="197"/>
  </conditionalFormatting>
  <conditionalFormatting sqref="G550:G551">
    <cfRule type="duplicateValues" dxfId="0" priority="195"/>
  </conditionalFormatting>
  <conditionalFormatting sqref="G585:G587">
    <cfRule type="duplicateValues" dxfId="0" priority="193"/>
  </conditionalFormatting>
  <conditionalFormatting sqref="G598:G601">
    <cfRule type="duplicateValues" dxfId="0" priority="191"/>
  </conditionalFormatting>
  <conditionalFormatting sqref="G602:G605">
    <cfRule type="duplicateValues" dxfId="0" priority="190"/>
  </conditionalFormatting>
  <conditionalFormatting sqref="G602:G609">
    <cfRule type="duplicateValues" dxfId="0" priority="201"/>
  </conditionalFormatting>
  <conditionalFormatting sqref="G624:G625">
    <cfRule type="duplicateValues" dxfId="0" priority="187"/>
  </conditionalFormatting>
  <conditionalFormatting sqref="G643:G898">
    <cfRule type="duplicateValues" dxfId="0" priority="118"/>
  </conditionalFormatting>
  <conditionalFormatting sqref="H368:H372">
    <cfRule type="duplicateValues" dxfId="0" priority="180"/>
  </conditionalFormatting>
  <conditionalFormatting sqref="H370:H372">
    <cfRule type="duplicateValues" dxfId="0" priority="181"/>
  </conditionalFormatting>
  <conditionalFormatting sqref="H380:H384">
    <cfRule type="duplicateValues" dxfId="0" priority="183"/>
  </conditionalFormatting>
  <conditionalFormatting sqref="H470:H472">
    <cfRule type="duplicateValues" dxfId="0" priority="177"/>
  </conditionalFormatting>
  <conditionalFormatting sqref="H480:H481">
    <cfRule type="duplicateValues" dxfId="0" priority="174"/>
  </conditionalFormatting>
  <conditionalFormatting sqref="H482:H483">
    <cfRule type="duplicateValues" dxfId="0" priority="173"/>
  </conditionalFormatting>
  <conditionalFormatting sqref="H484:H485">
    <cfRule type="duplicateValues" dxfId="0" priority="172"/>
  </conditionalFormatting>
  <conditionalFormatting sqref="H515:H519">
    <cfRule type="duplicateValues" dxfId="0" priority="167"/>
  </conditionalFormatting>
  <conditionalFormatting sqref="H518:H519">
    <cfRule type="duplicateValues" dxfId="0" priority="168"/>
  </conditionalFormatting>
  <conditionalFormatting sqref="H537:H538">
    <cfRule type="duplicateValues" dxfId="0" priority="166"/>
  </conditionalFormatting>
  <conditionalFormatting sqref="H550:H551">
    <cfRule type="duplicateValues" dxfId="0" priority="164"/>
  </conditionalFormatting>
  <conditionalFormatting sqref="H585:H587">
    <cfRule type="duplicateValues" dxfId="0" priority="162"/>
  </conditionalFormatting>
  <conditionalFormatting sqref="H598:H601">
    <cfRule type="duplicateValues" dxfId="0" priority="160"/>
  </conditionalFormatting>
  <conditionalFormatting sqref="H602:H605">
    <cfRule type="duplicateValues" dxfId="0" priority="159"/>
  </conditionalFormatting>
  <conditionalFormatting sqref="H602:H609">
    <cfRule type="duplicateValues" dxfId="0" priority="170"/>
  </conditionalFormatting>
  <conditionalFormatting sqref="H624:H625">
    <cfRule type="duplicateValues" dxfId="0" priority="156"/>
  </conditionalFormatting>
  <conditionalFormatting sqref="H643:H898">
    <cfRule type="duplicateValues" dxfId="0" priority="117"/>
  </conditionalFormatting>
  <conditionalFormatting sqref="I368:I372">
    <cfRule type="duplicateValues" dxfId="0" priority="149"/>
  </conditionalFormatting>
  <conditionalFormatting sqref="I370:I372">
    <cfRule type="duplicateValues" dxfId="0" priority="150"/>
  </conditionalFormatting>
  <conditionalFormatting sqref="I380:I384">
    <cfRule type="duplicateValues" dxfId="0" priority="152"/>
  </conditionalFormatting>
  <conditionalFormatting sqref="I470:I472">
    <cfRule type="duplicateValues" dxfId="0" priority="146"/>
  </conditionalFormatting>
  <conditionalFormatting sqref="I480:I481">
    <cfRule type="duplicateValues" dxfId="0" priority="143"/>
  </conditionalFormatting>
  <conditionalFormatting sqref="I482:I483">
    <cfRule type="duplicateValues" dxfId="0" priority="142"/>
  </conditionalFormatting>
  <conditionalFormatting sqref="I484:I485">
    <cfRule type="duplicateValues" dxfId="0" priority="141"/>
  </conditionalFormatting>
  <conditionalFormatting sqref="I515:I519">
    <cfRule type="duplicateValues" dxfId="0" priority="136"/>
  </conditionalFormatting>
  <conditionalFormatting sqref="I518:I519">
    <cfRule type="duplicateValues" dxfId="0" priority="137"/>
  </conditionalFormatting>
  <conditionalFormatting sqref="I537:I538">
    <cfRule type="duplicateValues" dxfId="0" priority="135"/>
  </conditionalFormatting>
  <conditionalFormatting sqref="I550:I551">
    <cfRule type="duplicateValues" dxfId="0" priority="133"/>
  </conditionalFormatting>
  <conditionalFormatting sqref="I585:I587">
    <cfRule type="duplicateValues" dxfId="0" priority="131"/>
  </conditionalFormatting>
  <conditionalFormatting sqref="I598:I601">
    <cfRule type="duplicateValues" dxfId="0" priority="129"/>
  </conditionalFormatting>
  <conditionalFormatting sqref="I602:I605">
    <cfRule type="duplicateValues" dxfId="0" priority="128"/>
  </conditionalFormatting>
  <conditionalFormatting sqref="I602:I609">
    <cfRule type="duplicateValues" dxfId="0" priority="139"/>
  </conditionalFormatting>
  <conditionalFormatting sqref="I624:I625">
    <cfRule type="duplicateValues" dxfId="0" priority="125"/>
  </conditionalFormatting>
  <conditionalFormatting sqref="I643:I898">
    <cfRule type="duplicateValues" dxfId="0" priority="116"/>
  </conditionalFormatting>
  <conditionalFormatting sqref="J80:J187">
    <cfRule type="cellIs" dxfId="1" priority="113" operator="greaterThan">
      <formula>0.97</formula>
    </cfRule>
  </conditionalFormatting>
  <conditionalFormatting sqref="J189:J236">
    <cfRule type="cellIs" dxfId="1" priority="112" operator="greaterThan">
      <formula>0.97</formula>
    </cfRule>
  </conditionalFormatting>
  <conditionalFormatting sqref="J238:J325">
    <cfRule type="cellIs" dxfId="1" priority="111" operator="greaterThan">
      <formula>0.97</formula>
    </cfRule>
  </conditionalFormatting>
  <conditionalFormatting sqref="J327:J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J351:J641">
    <cfRule type="cellIs" dxfId="1" priority="121" operator="greaterThan">
      <formula>0.97</formula>
    </cfRule>
  </conditionalFormatting>
  <conditionalFormatting sqref="J643:J898">
    <cfRule type="cellIs" dxfId="1" priority="115" operator="greaterThan">
      <formula>0.97</formula>
    </cfRule>
  </conditionalFormatting>
  <conditionalFormatting sqref="J900:J1055">
    <cfRule type="cellIs" dxfId="1" priority="120" operator="greaterThan">
      <formula>0.97</formula>
    </cfRule>
  </conditionalFormatting>
  <conditionalFormatting sqref="J1057:J1423">
    <cfRule type="cellIs" dxfId="1" priority="110" operator="greaterThan">
      <formula>0.97</formula>
    </cfRule>
  </conditionalFormatting>
  <conditionalFormatting sqref="J1425:J1683">
    <cfRule type="cellIs" dxfId="1" priority="109" operator="greaterThan">
      <formula>0.97</formula>
    </cfRule>
  </conditionalFormatting>
  <conditionalFormatting sqref="O80:O1683">
    <cfRule type="cellIs" dxfId="1" priority="105" operator="greaterThan">
      <formula>0.96</formula>
    </cfRule>
    <cfRule type="cellIs" dxfId="1" priority="106" operator="greaterThan">
      <formula>0.97</formula>
    </cfRule>
  </conditionalFormatting>
  <conditionalFormatting sqref="Y9:Y1683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9:AD78">
    <cfRule type="cellIs" dxfId="1" priority="103" operator="greaterThan">
      <formula>0.96</formula>
    </cfRule>
    <cfRule type="cellIs" dxfId="1" priority="104" operator="greaterThan">
      <formula>0.97</formula>
    </cfRule>
  </conditionalFormatting>
  <conditionalFormatting sqref="AD80:AD325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AD327:AD349">
    <cfRule type="cellIs" dxfId="1" priority="61" operator="greaterThan">
      <formula>0.96</formula>
    </cfRule>
    <cfRule type="cellIs" dxfId="1" priority="62" operator="greaterThan">
      <formula>0.97</formula>
    </cfRule>
  </conditionalFormatting>
  <conditionalFormatting sqref="AD351:AD641">
    <cfRule type="cellIs" dxfId="1" priority="99" operator="greaterThan">
      <formula>0.96</formula>
    </cfRule>
    <cfRule type="cellIs" dxfId="1" priority="100" operator="greaterThan">
      <formula>0.97</formula>
    </cfRule>
  </conditionalFormatting>
  <conditionalFormatting sqref="AD643:AD898">
    <cfRule type="cellIs" dxfId="1" priority="97" operator="greaterThan">
      <formula>0.96</formula>
    </cfRule>
    <cfRule type="cellIs" dxfId="1" priority="98" operator="greaterThan">
      <formula>0.97</formula>
    </cfRule>
  </conditionalFormatting>
  <conditionalFormatting sqref="AD900:AD1055">
    <cfRule type="cellIs" dxfId="1" priority="95" operator="greaterThan">
      <formula>0.96</formula>
    </cfRule>
    <cfRule type="cellIs" dxfId="1" priority="96" operator="greaterThan">
      <formula>0.97</formula>
    </cfRule>
  </conditionalFormatting>
  <conditionalFormatting sqref="AD1057:AD1423">
    <cfRule type="cellIs" dxfId="1" priority="93" operator="greaterThan">
      <formula>0.96</formula>
    </cfRule>
    <cfRule type="cellIs" dxfId="1" priority="94" operator="greaterThan">
      <formula>0.97</formula>
    </cfRule>
  </conditionalFormatting>
  <conditionalFormatting sqref="AD1425:AD1683">
    <cfRule type="cellIs" dxfId="1" priority="91" operator="greaterThan">
      <formula>0.96</formula>
    </cfRule>
    <cfRule type="cellIs" dxfId="1" priority="92" operator="greaterThan">
      <formula>0.97</formula>
    </cfRule>
  </conditionalFormatting>
  <conditionalFormatting sqref="AI9:AI325">
    <cfRule type="cellIs" dxfId="1" priority="89" operator="greaterThan">
      <formula>0.96</formula>
    </cfRule>
    <cfRule type="cellIs" dxfId="1" priority="90" operator="greaterThan">
      <formula>0.97</formula>
    </cfRule>
  </conditionalFormatting>
  <conditionalFormatting sqref="AI327:AI349">
    <cfRule type="cellIs" dxfId="1" priority="83" operator="greaterThan">
      <formula>0.96</formula>
    </cfRule>
    <cfRule type="cellIs" dxfId="1" priority="84" operator="greaterThan">
      <formula>0.97</formula>
    </cfRule>
  </conditionalFormatting>
  <conditionalFormatting sqref="K9:N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P9:S1683">
    <cfRule type="cellIs" dxfId="2" priority="57" operator="lessThan">
      <formula>0.9</formula>
    </cfRule>
    <cfRule type="cellIs" dxfId="1" priority="58" operator="greaterThan">
      <formula>0.9</formula>
    </cfRule>
  </conditionalFormatting>
  <conditionalFormatting sqref="U9:X1683">
    <cfRule type="cellIs" dxfId="2" priority="23" operator="lessThan">
      <formula>0.9</formula>
    </cfRule>
    <cfRule type="cellIs" dxfId="1" priority="24" operator="greaterThan">
      <formula>0.9</formula>
    </cfRule>
  </conditionalFormatting>
  <conditionalFormatting sqref="Z9:AC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E9:AH1683">
    <cfRule type="cellIs" dxfId="2" priority="53" operator="lessThan">
      <formula>0.92</formula>
    </cfRule>
    <cfRule type="cellIs" dxfId="1" priority="54" operator="greaterThan">
      <formula>0.92</formula>
    </cfRule>
  </conditionalFormatting>
  <conditionalFormatting sqref="AJ9:AM1683">
    <cfRule type="cellIs" dxfId="2" priority="51" operator="lessThan">
      <formula>0.92</formula>
    </cfRule>
    <cfRule type="cellIs" dxfId="1" priority="52" operator="greaterThan">
      <formula>0.92</formula>
    </cfRule>
  </conditionalFormatting>
  <conditionalFormatting sqref="AO9:AR1683">
    <cfRule type="cellIs" dxfId="2" priority="49" operator="lessThan">
      <formula>0.99</formula>
    </cfRule>
    <cfRule type="cellIs" dxfId="1" priority="50" operator="greaterThan">
      <formula>0.99</formula>
    </cfRule>
  </conditionalFormatting>
  <conditionalFormatting sqref="AT9:AW78">
    <cfRule type="cellIs" dxfId="2" priority="19" operator="lessThan">
      <formula>$AS$9</formula>
    </cfRule>
    <cfRule type="cellIs" dxfId="1" priority="20" operator="greaterThan">
      <formula>$AS$9</formula>
    </cfRule>
  </conditionalFormatting>
  <conditionalFormatting sqref="AT80:AW187">
    <cfRule type="cellIs" dxfId="2" priority="17" operator="lessThan">
      <formula>$AS$80</formula>
    </cfRule>
    <cfRule type="cellIs" dxfId="1" priority="18" operator="greaterThan">
      <formula>$AS$80</formula>
    </cfRule>
  </conditionalFormatting>
  <conditionalFormatting sqref="AT189:AW236">
    <cfRule type="cellIs" dxfId="2" priority="15" operator="lessThan">
      <formula>$AS$189</formula>
    </cfRule>
    <cfRule type="cellIs" dxfId="1" priority="16" operator="greaterThan">
      <formula>$AS$189</formula>
    </cfRule>
  </conditionalFormatting>
  <conditionalFormatting sqref="AT238:AW325">
    <cfRule type="cellIs" dxfId="2" priority="13" operator="lessThan">
      <formula>$AS$238</formula>
    </cfRule>
    <cfRule type="cellIs" dxfId="1" priority="14" operator="greaterThan">
      <formula>$AS$238</formula>
    </cfRule>
  </conditionalFormatting>
  <conditionalFormatting sqref="AT327:AW349">
    <cfRule type="cellIs" dxfId="2" priority="11" operator="lessThan">
      <formula>$AS$327</formula>
    </cfRule>
    <cfRule type="cellIs" dxfId="1" priority="12" operator="greaterThan">
      <formula>$AS$327</formula>
    </cfRule>
  </conditionalFormatting>
  <conditionalFormatting sqref="AT351:AW641">
    <cfRule type="cellIs" dxfId="2" priority="9" operator="lessThan">
      <formula>$AS$351</formula>
    </cfRule>
    <cfRule type="cellIs" dxfId="1" priority="10" operator="greaterThan">
      <formula>$AS$351</formula>
    </cfRule>
  </conditionalFormatting>
  <conditionalFormatting sqref="AT643:AW898">
    <cfRule type="cellIs" dxfId="2" priority="7" operator="lessThan">
      <formula>$AS$643</formula>
    </cfRule>
    <cfRule type="cellIs" dxfId="1" priority="8" operator="greaterThan">
      <formula>$AS$643</formula>
    </cfRule>
  </conditionalFormatting>
  <conditionalFormatting sqref="AT900:AW1055">
    <cfRule type="cellIs" dxfId="2" priority="5" operator="lessThan">
      <formula>$AS$900</formula>
    </cfRule>
    <cfRule type="cellIs" dxfId="1" priority="6" operator="greaterThan">
      <formula>$AS$900</formula>
    </cfRule>
  </conditionalFormatting>
  <conditionalFormatting sqref="AT1057:AW1423">
    <cfRule type="cellIs" dxfId="2" priority="3" operator="lessThan">
      <formula>$AS$1057</formula>
    </cfRule>
    <cfRule type="cellIs" dxfId="1" priority="4" operator="greaterThan">
      <formula>$AS$1057</formula>
    </cfRule>
  </conditionalFormatting>
  <conditionalFormatting sqref="AT1425:AW1683">
    <cfRule type="cellIs" dxfId="2" priority="1" operator="lessThan">
      <formula>$AS$1425</formula>
    </cfRule>
    <cfRule type="cellIs" dxfId="1" priority="2" operator="greaterThan">
      <formula>$AS$1425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B3" workbookViewId="0">
      <selection activeCell="F5" sqref="F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30" t="s">
        <v>1721</v>
      </c>
      <c r="C2" s="31" t="s">
        <v>1722</v>
      </c>
      <c r="D2" s="31" t="s">
        <v>1723</v>
      </c>
      <c r="E2" s="31" t="s">
        <v>1724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3"/>
      <c r="S2" s="74"/>
    </row>
    <row r="3" ht="36" customHeight="1" spans="2:19">
      <c r="B3" s="32"/>
      <c r="C3" s="8"/>
      <c r="D3" s="8"/>
      <c r="E3" s="8" t="s">
        <v>1725</v>
      </c>
      <c r="F3" s="8"/>
      <c r="G3" s="8"/>
      <c r="H3" s="8"/>
      <c r="I3" s="8"/>
      <c r="J3" s="8" t="s">
        <v>1726</v>
      </c>
      <c r="K3" s="8"/>
      <c r="L3" s="8"/>
      <c r="M3" s="8"/>
      <c r="N3" s="8"/>
      <c r="O3" s="8" t="s">
        <v>1727</v>
      </c>
      <c r="P3" s="8"/>
      <c r="Q3" s="8"/>
      <c r="R3" s="33"/>
      <c r="S3" s="75"/>
    </row>
    <row r="4" ht="29.75" spans="2:19">
      <c r="B4" s="76"/>
      <c r="C4" s="77"/>
      <c r="D4" s="77"/>
      <c r="E4" s="77" t="s">
        <v>21</v>
      </c>
      <c r="F4" s="78">
        <v>46251</v>
      </c>
      <c r="G4" s="78">
        <f>F4-1</f>
        <v>46250</v>
      </c>
      <c r="H4" s="78">
        <f>G4-1</f>
        <v>46249</v>
      </c>
      <c r="I4" s="77" t="s">
        <v>1728</v>
      </c>
      <c r="J4" s="77" t="s">
        <v>21</v>
      </c>
      <c r="K4" s="79">
        <f>F4</f>
        <v>46251</v>
      </c>
      <c r="L4" s="78">
        <f>F4-1</f>
        <v>46250</v>
      </c>
      <c r="M4" s="78">
        <f>G4-1</f>
        <v>46249</v>
      </c>
      <c r="N4" s="77" t="s">
        <v>1728</v>
      </c>
      <c r="O4" s="77" t="s">
        <v>21</v>
      </c>
      <c r="P4" s="79">
        <f>F4</f>
        <v>46251</v>
      </c>
      <c r="Q4" s="78">
        <f>F4-1</f>
        <v>46250</v>
      </c>
      <c r="R4" s="78">
        <f>G4-1</f>
        <v>46249</v>
      </c>
      <c r="S4" s="80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81">
        <v>0.9</v>
      </c>
      <c r="F5" s="66">
        <v>0.943083003952569</v>
      </c>
      <c r="G5" s="66">
        <v>0.9418013165769</v>
      </c>
      <c r="H5" s="66">
        <v>0.951872399445215</v>
      </c>
      <c r="I5" s="66">
        <v>0.945416156620468</v>
      </c>
      <c r="J5" s="81">
        <v>0.9</v>
      </c>
      <c r="K5" s="66">
        <v>0.912643156248423</v>
      </c>
      <c r="L5" s="66">
        <v>0.920099492316604</v>
      </c>
      <c r="M5" s="66">
        <v>0.938918561473117</v>
      </c>
      <c r="N5" s="82">
        <v>0.923070948043391</v>
      </c>
      <c r="O5" s="81">
        <v>0.9</v>
      </c>
      <c r="P5" s="66">
        <v>0.870566570808738</v>
      </c>
      <c r="Q5" s="66">
        <v>0.893945279225868</v>
      </c>
      <c r="R5" s="66">
        <v>0.917879851467521</v>
      </c>
      <c r="S5" s="66">
        <v>0.89934229199358</v>
      </c>
    </row>
    <row r="6" ht="15.25" spans="2:19">
      <c r="B6" s="45"/>
      <c r="C6" s="40" t="s">
        <v>212</v>
      </c>
      <c r="D6" s="40" t="s">
        <v>211</v>
      </c>
      <c r="E6" s="81">
        <v>0.9</v>
      </c>
      <c r="F6" s="66">
        <v>0.938430311231394</v>
      </c>
      <c r="G6" s="66">
        <v>0.942599067599068</v>
      </c>
      <c r="H6" s="66">
        <v>0.939542483660131</v>
      </c>
      <c r="I6" s="66">
        <v>0.946425098852661</v>
      </c>
      <c r="J6" s="81">
        <v>0.9</v>
      </c>
      <c r="K6" s="66">
        <v>0.944427881840267</v>
      </c>
      <c r="L6" s="66">
        <v>0.949555943915292</v>
      </c>
      <c r="M6" s="66">
        <v>0.958140714579684</v>
      </c>
      <c r="N6" s="82">
        <v>0.94358562602381</v>
      </c>
      <c r="O6" s="81">
        <v>0.9</v>
      </c>
      <c r="P6" s="66">
        <v>0.864682114290426</v>
      </c>
      <c r="Q6" s="66">
        <v>0.89774865576379</v>
      </c>
      <c r="R6" s="66">
        <v>0.92283764512208</v>
      </c>
      <c r="S6" s="66">
        <v>0.907337899366689</v>
      </c>
    </row>
    <row r="7" ht="15.25" spans="2:19">
      <c r="B7" s="45"/>
      <c r="C7" s="40" t="s">
        <v>279</v>
      </c>
      <c r="D7" s="40" t="s">
        <v>261</v>
      </c>
      <c r="E7" s="81">
        <v>0.9</v>
      </c>
      <c r="F7" s="66">
        <v>0.937220982142857</v>
      </c>
      <c r="G7" s="66">
        <v>0.938354521467978</v>
      </c>
      <c r="H7" s="66">
        <v>0.930158003205862</v>
      </c>
      <c r="I7" s="66">
        <v>0.942855583451588</v>
      </c>
      <c r="J7" s="81">
        <v>0.9</v>
      </c>
      <c r="K7" s="66">
        <v>0.963509976448852</v>
      </c>
      <c r="L7" s="66">
        <v>0.948033707865168</v>
      </c>
      <c r="M7" s="66">
        <v>0.954333107374164</v>
      </c>
      <c r="N7" s="82">
        <v>0.945176025799517</v>
      </c>
      <c r="O7" s="81">
        <v>0.9</v>
      </c>
      <c r="P7" s="66">
        <v>0.926763342324208</v>
      </c>
      <c r="Q7" s="66">
        <v>0.933340240682753</v>
      </c>
      <c r="R7" s="66">
        <v>0.936912472129434</v>
      </c>
      <c r="S7" s="66">
        <v>0.934680501326823</v>
      </c>
    </row>
    <row r="8" ht="15.25" spans="2:19">
      <c r="B8" s="46"/>
      <c r="C8" s="40" t="s">
        <v>1731</v>
      </c>
      <c r="D8" s="40" t="s">
        <v>351</v>
      </c>
      <c r="E8" s="81">
        <v>0.9</v>
      </c>
      <c r="F8" s="66">
        <v>0.886010362694301</v>
      </c>
      <c r="G8" s="66">
        <v>0.906362545018007</v>
      </c>
      <c r="H8" s="66">
        <v>0.920689655172414</v>
      </c>
      <c r="I8" s="66">
        <v>0.924399973840821</v>
      </c>
      <c r="J8" s="81">
        <v>0.9</v>
      </c>
      <c r="K8" s="66">
        <v>0.94481555333998</v>
      </c>
      <c r="L8" s="66">
        <v>0.94636556104446</v>
      </c>
      <c r="M8" s="66">
        <v>0.952464978158421</v>
      </c>
      <c r="N8" s="82">
        <v>0.94887094925058</v>
      </c>
      <c r="O8" s="81">
        <v>0.9</v>
      </c>
      <c r="P8" s="66">
        <v>0.876570289132602</v>
      </c>
      <c r="Q8" s="66">
        <v>0.904022582921665</v>
      </c>
      <c r="R8" s="66">
        <v>0.912310903574272</v>
      </c>
      <c r="S8" s="66">
        <v>0.911430246316714</v>
      </c>
    </row>
    <row r="9" ht="15.25" spans="2:19">
      <c r="B9" s="45"/>
      <c r="C9" s="40" t="s">
        <v>1732</v>
      </c>
      <c r="D9" s="40" t="s">
        <v>376</v>
      </c>
      <c r="E9" s="81">
        <v>0.9</v>
      </c>
      <c r="F9" s="66">
        <v>0.907002711756261</v>
      </c>
      <c r="G9" s="66">
        <v>0.908774056675254</v>
      </c>
      <c r="H9" s="66">
        <v>0.914874109598702</v>
      </c>
      <c r="I9" s="66">
        <v>0.913984894335795</v>
      </c>
      <c r="J9" s="81">
        <v>0.9</v>
      </c>
      <c r="K9" s="66">
        <v>0.933567126629565</v>
      </c>
      <c r="L9" s="66">
        <v>0.941152467823241</v>
      </c>
      <c r="M9" s="66">
        <v>0.958991394836902</v>
      </c>
      <c r="N9" s="82">
        <v>0.945524329581641</v>
      </c>
      <c r="O9" s="81">
        <v>0.9</v>
      </c>
      <c r="P9" s="66">
        <v>0.813360100971597</v>
      </c>
      <c r="Q9" s="66">
        <v>0.863120102276717</v>
      </c>
      <c r="R9" s="66">
        <v>0.899880728437062</v>
      </c>
      <c r="S9" s="66">
        <v>0.869788102122265</v>
      </c>
    </row>
    <row r="10" ht="15.25" spans="2:19">
      <c r="B10" s="45"/>
      <c r="C10" s="40" t="s">
        <v>836</v>
      </c>
      <c r="D10" s="40" t="s">
        <v>669</v>
      </c>
      <c r="E10" s="81">
        <v>0.9</v>
      </c>
      <c r="F10" s="66">
        <v>0.899422706863374</v>
      </c>
      <c r="G10" s="66">
        <v>0.900317712470214</v>
      </c>
      <c r="H10" s="66">
        <v>0.912011863568957</v>
      </c>
      <c r="I10" s="66">
        <v>0.913455790646702</v>
      </c>
      <c r="J10" s="81">
        <v>0.9</v>
      </c>
      <c r="K10" s="66">
        <v>0.947218976089497</v>
      </c>
      <c r="L10" s="66">
        <v>0.936059676389516</v>
      </c>
      <c r="M10" s="66">
        <v>0.954919912382778</v>
      </c>
      <c r="N10" s="82">
        <v>0.944393159215286</v>
      </c>
      <c r="O10" s="81">
        <v>0.9</v>
      </c>
      <c r="P10" s="66">
        <v>0.911116873908533</v>
      </c>
      <c r="Q10" s="66">
        <v>0.906266643826017</v>
      </c>
      <c r="R10" s="66">
        <v>0.928176124306934</v>
      </c>
      <c r="S10" s="66">
        <v>0.919854417957311</v>
      </c>
    </row>
    <row r="11" ht="15.25" spans="2:19">
      <c r="B11" s="45"/>
      <c r="C11" s="40" t="s">
        <v>963</v>
      </c>
      <c r="D11" s="40" t="s">
        <v>928</v>
      </c>
      <c r="E11" s="81">
        <v>0.9</v>
      </c>
      <c r="F11" s="66">
        <v>0.91515308770109</v>
      </c>
      <c r="G11" s="66">
        <v>0.898404255319149</v>
      </c>
      <c r="H11" s="66">
        <v>0.928805031446541</v>
      </c>
      <c r="I11" s="66">
        <v>0.922032785907131</v>
      </c>
      <c r="J11" s="81">
        <v>0.9</v>
      </c>
      <c r="K11" s="66">
        <v>0.913212763441647</v>
      </c>
      <c r="L11" s="66">
        <v>0.916015015419152</v>
      </c>
      <c r="M11" s="66">
        <v>0.947187756790936</v>
      </c>
      <c r="N11" s="82">
        <v>0.928610776512579</v>
      </c>
      <c r="O11" s="81">
        <v>0.9</v>
      </c>
      <c r="P11" s="66">
        <v>0.884851436647316</v>
      </c>
      <c r="Q11" s="66">
        <v>0.873875060488316</v>
      </c>
      <c r="R11" s="66">
        <v>0.918246507643264</v>
      </c>
      <c r="S11" s="66">
        <v>0.895217702004079</v>
      </c>
    </row>
    <row r="12" ht="15.25" spans="2:19">
      <c r="B12" s="45"/>
      <c r="C12" s="40" t="s">
        <v>1733</v>
      </c>
      <c r="D12" s="40" t="s">
        <v>1086</v>
      </c>
      <c r="E12" s="81">
        <v>0.9</v>
      </c>
      <c r="F12" s="66">
        <v>0.934753857457752</v>
      </c>
      <c r="G12" s="66">
        <v>0.930438701923077</v>
      </c>
      <c r="H12" s="66">
        <v>0.939024390243902</v>
      </c>
      <c r="I12" s="66">
        <v>0.935891487449579</v>
      </c>
      <c r="J12" s="81">
        <v>0.9</v>
      </c>
      <c r="K12" s="66">
        <v>0.956845557148489</v>
      </c>
      <c r="L12" s="66">
        <v>0.955326917362905</v>
      </c>
      <c r="M12" s="66">
        <v>0.958739333939592</v>
      </c>
      <c r="N12" s="82">
        <v>0.955597498791094</v>
      </c>
      <c r="O12" s="81">
        <v>0.9</v>
      </c>
      <c r="P12" s="66">
        <v>0.889002073887299</v>
      </c>
      <c r="Q12" s="66">
        <v>0.887082949331964</v>
      </c>
      <c r="R12" s="66">
        <v>0.912650205878004</v>
      </c>
      <c r="S12" s="66">
        <v>0.900614880336485</v>
      </c>
    </row>
    <row r="13" ht="15.25" spans="2:19">
      <c r="B13" s="45"/>
      <c r="C13" s="40" t="s">
        <v>1734</v>
      </c>
      <c r="D13" s="40" t="s">
        <v>1456</v>
      </c>
      <c r="E13" s="81">
        <v>0.9</v>
      </c>
      <c r="F13" s="66">
        <v>0.90541825095057</v>
      </c>
      <c r="G13" s="66">
        <v>0.895956607495069</v>
      </c>
      <c r="H13" s="66">
        <v>0.904280338664158</v>
      </c>
      <c r="I13" s="66">
        <v>0.903079076277117</v>
      </c>
      <c r="J13" s="81">
        <v>0.9</v>
      </c>
      <c r="K13" s="66">
        <v>0.905036854674212</v>
      </c>
      <c r="L13" s="66">
        <v>0.922559359195134</v>
      </c>
      <c r="M13" s="66">
        <v>0.93844859142082</v>
      </c>
      <c r="N13" s="82">
        <v>0.907826707326821</v>
      </c>
      <c r="O13" s="81">
        <v>0.9</v>
      </c>
      <c r="P13" s="66">
        <v>0.74166895440175</v>
      </c>
      <c r="Q13" s="66">
        <v>0.803237801696709</v>
      </c>
      <c r="R13" s="66">
        <v>0.827786703389182</v>
      </c>
      <c r="S13" s="66">
        <v>0.778350911275863</v>
      </c>
    </row>
    <row r="14" ht="15.25" spans="2:19">
      <c r="B14" s="45"/>
      <c r="C14" s="40" t="s">
        <v>1735</v>
      </c>
      <c r="D14" s="40" t="s">
        <v>26</v>
      </c>
      <c r="E14" s="81">
        <v>0.9</v>
      </c>
      <c r="F14" s="66">
        <v>0.90982087708462</v>
      </c>
      <c r="G14" s="66">
        <v>0.896180941787171</v>
      </c>
      <c r="H14" s="66">
        <v>0.895342842412786</v>
      </c>
      <c r="I14" s="66">
        <v>0.913916800744766</v>
      </c>
      <c r="J14" s="81">
        <v>0.9</v>
      </c>
      <c r="K14" s="66">
        <v>0.928315815375962</v>
      </c>
      <c r="L14" s="66">
        <v>0.949392129322364</v>
      </c>
      <c r="M14" s="66">
        <v>0.924817657972494</v>
      </c>
      <c r="N14" s="82">
        <v>0.93814621267527</v>
      </c>
      <c r="O14" s="81">
        <v>0.9</v>
      </c>
      <c r="P14" s="66">
        <v>0.753330755439941</v>
      </c>
      <c r="Q14" s="66">
        <v>0.78719124131154</v>
      </c>
      <c r="R14" s="66">
        <v>0.839889956709107</v>
      </c>
      <c r="S14" s="66">
        <v>0.794783592431364</v>
      </c>
    </row>
    <row r="15" ht="15.25" spans="2:19">
      <c r="B15" s="47" t="s">
        <v>1716</v>
      </c>
      <c r="C15" s="48"/>
      <c r="D15" s="48"/>
      <c r="E15" s="83" t="s">
        <v>35</v>
      </c>
      <c r="F15" s="83">
        <v>0.919734210482818</v>
      </c>
      <c r="G15" s="83">
        <v>0.917168867803565</v>
      </c>
      <c r="H15" s="83">
        <v>0.924559454834739</v>
      </c>
      <c r="I15" s="83">
        <v>0.92558740689407</v>
      </c>
      <c r="J15" s="83" t="s">
        <v>35</v>
      </c>
      <c r="K15" s="83">
        <v>0.937244079208298</v>
      </c>
      <c r="L15" s="83">
        <v>0.939737132775444</v>
      </c>
      <c r="M15" s="83">
        <v>0.950116948908469</v>
      </c>
      <c r="N15" s="83">
        <v>0.940669705243667</v>
      </c>
      <c r="O15" s="83" t="s">
        <v>35</v>
      </c>
      <c r="P15" s="83">
        <v>0.856862691029755</v>
      </c>
      <c r="Q15" s="83">
        <v>0.873839882007257</v>
      </c>
      <c r="R15" s="83">
        <v>0.901799515746839</v>
      </c>
      <c r="S15" s="84">
        <v>0.881168177410602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E2" workbookViewId="0">
      <selection activeCell="E5" sqref="E5: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30" t="s">
        <v>1721</v>
      </c>
      <c r="C2" s="31" t="s">
        <v>1722</v>
      </c>
      <c r="D2" s="31" t="s">
        <v>1723</v>
      </c>
      <c r="E2" s="54" t="s">
        <v>1736</v>
      </c>
      <c r="F2" s="55"/>
      <c r="G2" s="55"/>
      <c r="H2" s="55"/>
      <c r="I2" s="56"/>
      <c r="J2" s="57" t="s">
        <v>1737</v>
      </c>
      <c r="K2" s="58"/>
      <c r="L2" s="58"/>
      <c r="M2" s="58"/>
      <c r="N2" s="58"/>
      <c r="O2" s="58"/>
      <c r="P2" s="58"/>
      <c r="Q2" s="58"/>
      <c r="R2" s="58"/>
      <c r="S2" s="59"/>
    </row>
    <row r="3" ht="55.05" customHeight="1" spans="2:19">
      <c r="B3" s="32"/>
      <c r="C3" s="8"/>
      <c r="D3" s="8"/>
      <c r="E3" s="60" t="s">
        <v>1738</v>
      </c>
      <c r="F3" s="61"/>
      <c r="G3" s="61"/>
      <c r="H3" s="61"/>
      <c r="I3" s="62"/>
      <c r="J3" s="33" t="s">
        <v>1739</v>
      </c>
      <c r="K3" s="34"/>
      <c r="L3" s="34"/>
      <c r="M3" s="34"/>
      <c r="N3" s="35"/>
      <c r="O3" s="33" t="s">
        <v>1740</v>
      </c>
      <c r="P3" s="34"/>
      <c r="Q3" s="34"/>
      <c r="R3" s="34"/>
      <c r="S3" s="35"/>
    </row>
    <row r="4" ht="29.75" spans="2:19">
      <c r="B4" s="36"/>
      <c r="C4" s="11"/>
      <c r="D4" s="11"/>
      <c r="E4" s="37" t="s">
        <v>21</v>
      </c>
      <c r="F4" s="37">
        <f>'06.30, 07.30, &amp; 12.00'!F4</f>
        <v>46251</v>
      </c>
      <c r="G4" s="38">
        <f>F4-1</f>
        <v>46250</v>
      </c>
      <c r="H4" s="38">
        <f>G4-1</f>
        <v>46249</v>
      </c>
      <c r="I4" s="63" t="s">
        <v>1728</v>
      </c>
      <c r="J4" s="64" t="s">
        <v>21</v>
      </c>
      <c r="K4" s="37">
        <f>F4</f>
        <v>46251</v>
      </c>
      <c r="L4" s="38">
        <f>F4-1</f>
        <v>46250</v>
      </c>
      <c r="M4" s="38">
        <f>G4-1</f>
        <v>46249</v>
      </c>
      <c r="N4" s="11" t="s">
        <v>1728</v>
      </c>
      <c r="O4" s="37" t="s">
        <v>21</v>
      </c>
      <c r="P4" s="37">
        <f>K4</f>
        <v>46251</v>
      </c>
      <c r="Q4" s="38">
        <f>K4-1</f>
        <v>46250</v>
      </c>
      <c r="R4" s="38">
        <f>L4-1</f>
        <v>46249</v>
      </c>
      <c r="S4" s="11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65">
        <v>0.92</v>
      </c>
      <c r="F5" s="66">
        <v>0.833758999316253</v>
      </c>
      <c r="G5" s="66">
        <v>0.918248830440476</v>
      </c>
      <c r="H5" s="66">
        <v>0.941932989471716</v>
      </c>
      <c r="I5" s="66">
        <v>0.940242609678829</v>
      </c>
      <c r="J5" s="43">
        <v>0.92</v>
      </c>
      <c r="K5" s="67">
        <v>0.984347109870495</v>
      </c>
      <c r="L5" s="67">
        <v>0.979066274169809</v>
      </c>
      <c r="M5" s="67">
        <v>0.981836323745342</v>
      </c>
      <c r="N5" s="67">
        <v>0.970728943679201</v>
      </c>
      <c r="O5" s="43">
        <v>0.93</v>
      </c>
      <c r="P5" s="67">
        <v>0.925870743562437</v>
      </c>
      <c r="Q5" s="67">
        <v>0.954464295098086</v>
      </c>
      <c r="R5" s="67">
        <v>0.968591389949494</v>
      </c>
      <c r="S5" s="67">
        <v>0.967269565160012</v>
      </c>
    </row>
    <row r="6" ht="15.25" spans="2:19">
      <c r="B6" s="45"/>
      <c r="C6" s="40" t="s">
        <v>212</v>
      </c>
      <c r="D6" s="40" t="s">
        <v>211</v>
      </c>
      <c r="E6" s="65">
        <v>0.92</v>
      </c>
      <c r="F6" s="66">
        <v>0.858015168001039</v>
      </c>
      <c r="G6" s="66">
        <v>0.919827475031166</v>
      </c>
      <c r="H6" s="66">
        <v>0.93932536293766</v>
      </c>
      <c r="I6" s="66">
        <v>0.940944046210592</v>
      </c>
      <c r="J6" s="43">
        <v>0.92</v>
      </c>
      <c r="K6" s="67">
        <v>0.993637013487838</v>
      </c>
      <c r="L6" s="67">
        <v>0.993623024647464</v>
      </c>
      <c r="M6" s="67">
        <v>0.991770384833086</v>
      </c>
      <c r="N6" s="67">
        <v>0.981599605239223</v>
      </c>
      <c r="O6" s="43">
        <v>0.93</v>
      </c>
      <c r="P6" s="67">
        <v>0.911754111590879</v>
      </c>
      <c r="Q6" s="67">
        <v>0.946800605476813</v>
      </c>
      <c r="R6" s="67">
        <v>0.960818749514022</v>
      </c>
      <c r="S6" s="67">
        <v>0.961816243158848</v>
      </c>
    </row>
    <row r="7" ht="15.25" spans="2:19">
      <c r="B7" s="45"/>
      <c r="C7" s="40" t="s">
        <v>279</v>
      </c>
      <c r="D7" s="40" t="s">
        <v>261</v>
      </c>
      <c r="E7" s="65">
        <v>0.92</v>
      </c>
      <c r="F7" s="66">
        <v>0.940895538869258</v>
      </c>
      <c r="G7" s="66">
        <v>0.968309007851171</v>
      </c>
      <c r="H7" s="66">
        <v>0.976692901410593</v>
      </c>
      <c r="I7" s="66">
        <v>0.976101756535337</v>
      </c>
      <c r="J7" s="43">
        <v>0.92</v>
      </c>
      <c r="K7" s="67">
        <v>0.971507066478381</v>
      </c>
      <c r="L7" s="67">
        <v>0.988630314190119</v>
      </c>
      <c r="M7" s="67">
        <v>0.957695650463352</v>
      </c>
      <c r="N7" s="67">
        <v>0.96445453985977</v>
      </c>
      <c r="O7" s="43">
        <v>0.93</v>
      </c>
      <c r="P7" s="67">
        <v>0.966850605869919</v>
      </c>
      <c r="Q7" s="67">
        <v>0.980613382988603</v>
      </c>
      <c r="R7" s="67">
        <v>0.985539201080587</v>
      </c>
      <c r="S7" s="67">
        <v>0.984941517790699</v>
      </c>
    </row>
    <row r="8" ht="15.25" spans="2:19">
      <c r="B8" s="46"/>
      <c r="C8" s="40" t="s">
        <v>1731</v>
      </c>
      <c r="D8" s="40" t="s">
        <v>351</v>
      </c>
      <c r="E8" s="65">
        <v>0.92</v>
      </c>
      <c r="F8" s="66">
        <v>0.903310508160428</v>
      </c>
      <c r="G8" s="66">
        <v>0.935795788730738</v>
      </c>
      <c r="H8" s="66">
        <v>0.950563950192544</v>
      </c>
      <c r="I8" s="66">
        <v>0.954302970742091</v>
      </c>
      <c r="J8" s="43">
        <v>0.92</v>
      </c>
      <c r="K8" s="67">
        <v>0.99467630002852</v>
      </c>
      <c r="L8" s="67">
        <v>0.980297777502631</v>
      </c>
      <c r="M8" s="67">
        <v>0.944803899460528</v>
      </c>
      <c r="N8" s="67">
        <v>0.960267737778306</v>
      </c>
      <c r="O8" s="43">
        <v>0.93</v>
      </c>
      <c r="P8" s="67">
        <v>0.933185603008327</v>
      </c>
      <c r="Q8" s="67">
        <v>0.952185451985051</v>
      </c>
      <c r="R8" s="67">
        <v>0.962046812341436</v>
      </c>
      <c r="S8" s="67">
        <v>0.965472838469448</v>
      </c>
    </row>
    <row r="9" ht="15.25" spans="2:19">
      <c r="B9" s="45"/>
      <c r="C9" s="40" t="s">
        <v>1732</v>
      </c>
      <c r="D9" s="40" t="s">
        <v>376</v>
      </c>
      <c r="E9" s="65">
        <v>0.92</v>
      </c>
      <c r="F9" s="66">
        <v>0.820209202562144</v>
      </c>
      <c r="G9" s="66">
        <v>0.883049111432584</v>
      </c>
      <c r="H9" s="66">
        <v>0.917301469412257</v>
      </c>
      <c r="I9" s="66">
        <v>0.909702145895335</v>
      </c>
      <c r="J9" s="43">
        <v>0.92</v>
      </c>
      <c r="K9" s="67">
        <v>0.986913151233452</v>
      </c>
      <c r="L9" s="67">
        <v>0.98809131384049</v>
      </c>
      <c r="M9" s="67">
        <v>0.982386725516949</v>
      </c>
      <c r="N9" s="67">
        <v>0.976132069601635</v>
      </c>
      <c r="O9" s="43">
        <v>0.93</v>
      </c>
      <c r="P9" s="67">
        <v>0.897546936725357</v>
      </c>
      <c r="Q9" s="67">
        <v>0.931282923176732</v>
      </c>
      <c r="R9" s="67">
        <v>0.952973278301957</v>
      </c>
      <c r="S9" s="67">
        <v>0.949412738006746</v>
      </c>
    </row>
    <row r="10" ht="15.25" spans="2:19">
      <c r="B10" s="45"/>
      <c r="C10" s="40" t="s">
        <v>836</v>
      </c>
      <c r="D10" s="40" t="s">
        <v>669</v>
      </c>
      <c r="E10" s="65">
        <v>0.92</v>
      </c>
      <c r="F10" s="66">
        <v>0.891264628026988</v>
      </c>
      <c r="G10" s="66">
        <v>0.89839693289658</v>
      </c>
      <c r="H10" s="66">
        <v>0.923626464991101</v>
      </c>
      <c r="I10" s="66">
        <v>0.919041316291576</v>
      </c>
      <c r="J10" s="43">
        <v>0.92</v>
      </c>
      <c r="K10" s="67">
        <v>0.993343617811118</v>
      </c>
      <c r="L10" s="67">
        <v>0.984245523954921</v>
      </c>
      <c r="M10" s="67">
        <v>0.97601599343355</v>
      </c>
      <c r="N10" s="67">
        <v>0.981274032082889</v>
      </c>
      <c r="O10" s="43">
        <v>0.93</v>
      </c>
      <c r="P10" s="67">
        <v>0.945855274097888</v>
      </c>
      <c r="Q10" s="67">
        <v>0.945763791259628</v>
      </c>
      <c r="R10" s="67">
        <v>0.961944822268156</v>
      </c>
      <c r="S10" s="67">
        <v>0.960613636305252</v>
      </c>
    </row>
    <row r="11" ht="15.25" spans="2:19">
      <c r="B11" s="45"/>
      <c r="C11" s="40" t="s">
        <v>963</v>
      </c>
      <c r="D11" s="40" t="s">
        <v>928</v>
      </c>
      <c r="E11" s="65">
        <v>0.92</v>
      </c>
      <c r="F11" s="66">
        <v>0.826793365290799</v>
      </c>
      <c r="G11" s="66">
        <v>0.807545214537738</v>
      </c>
      <c r="H11" s="66">
        <v>0.89594655073205</v>
      </c>
      <c r="I11" s="66">
        <v>0.874915979791785</v>
      </c>
      <c r="J11" s="43">
        <v>0.92</v>
      </c>
      <c r="K11" s="67">
        <v>0.987912507681321</v>
      </c>
      <c r="L11" s="67">
        <v>0.978647674939342</v>
      </c>
      <c r="M11" s="67">
        <v>0.97897807264059</v>
      </c>
      <c r="N11" s="67">
        <v>0.967211775250365</v>
      </c>
      <c r="O11" s="43">
        <v>0.93</v>
      </c>
      <c r="P11" s="67">
        <v>0.929608357572334</v>
      </c>
      <c r="Q11" s="67">
        <v>0.923896592943736</v>
      </c>
      <c r="R11" s="67">
        <v>0.958305522776179</v>
      </c>
      <c r="S11" s="67">
        <v>0.950856139104871</v>
      </c>
    </row>
    <row r="12" ht="15.25" spans="2:19">
      <c r="B12" s="45"/>
      <c r="C12" s="40" t="s">
        <v>1733</v>
      </c>
      <c r="D12" s="40" t="s">
        <v>1086</v>
      </c>
      <c r="E12" s="65">
        <v>0.92</v>
      </c>
      <c r="F12" s="66">
        <v>0.927663382493573</v>
      </c>
      <c r="G12" s="66">
        <v>0.93169036447436</v>
      </c>
      <c r="H12" s="66">
        <v>0.949798655068497</v>
      </c>
      <c r="I12" s="66">
        <v>0.949529891835941</v>
      </c>
      <c r="J12" s="43">
        <v>0.92</v>
      </c>
      <c r="K12" s="67">
        <v>0.98694552722257</v>
      </c>
      <c r="L12" s="67">
        <v>0.977527720323599</v>
      </c>
      <c r="M12" s="67">
        <v>0.979099219627692</v>
      </c>
      <c r="N12" s="67">
        <v>0.973798209108705</v>
      </c>
      <c r="O12" s="43">
        <v>0.93</v>
      </c>
      <c r="P12" s="67">
        <v>0.946639491551997</v>
      </c>
      <c r="Q12" s="67">
        <v>0.948667785378383</v>
      </c>
      <c r="R12" s="67">
        <v>0.965436622350881</v>
      </c>
      <c r="S12" s="67">
        <v>0.96486074082964</v>
      </c>
    </row>
    <row r="13" ht="15.25" spans="2:19">
      <c r="B13" s="45"/>
      <c r="C13" s="40" t="s">
        <v>1734</v>
      </c>
      <c r="D13" s="40" t="s">
        <v>1456</v>
      </c>
      <c r="E13" s="65">
        <v>0.92</v>
      </c>
      <c r="F13" s="66">
        <v>0.809285636620637</v>
      </c>
      <c r="G13" s="66">
        <v>0.799864042270494</v>
      </c>
      <c r="H13" s="66">
        <v>0.857565771099816</v>
      </c>
      <c r="I13" s="66">
        <v>0.845507256975966</v>
      </c>
      <c r="J13" s="43">
        <v>0.92</v>
      </c>
      <c r="K13" s="67">
        <v>0.95221203779903</v>
      </c>
      <c r="L13" s="67">
        <v>0.949002590237831</v>
      </c>
      <c r="M13" s="67">
        <v>0.967709118311982</v>
      </c>
      <c r="N13" s="67">
        <v>0.960248477764208</v>
      </c>
      <c r="O13" s="43">
        <v>0.93</v>
      </c>
      <c r="P13" s="67">
        <v>0.853687627423934</v>
      </c>
      <c r="Q13" s="67">
        <v>0.868108854019368</v>
      </c>
      <c r="R13" s="67">
        <v>0.906756759985568</v>
      </c>
      <c r="S13" s="67">
        <v>0.900597992930233</v>
      </c>
    </row>
    <row r="14" ht="15.25" spans="2:19">
      <c r="B14" s="45"/>
      <c r="C14" s="40" t="s">
        <v>1735</v>
      </c>
      <c r="D14" s="40" t="s">
        <v>26</v>
      </c>
      <c r="E14" s="65">
        <v>0.92</v>
      </c>
      <c r="F14" s="66">
        <v>0.844858285177811</v>
      </c>
      <c r="G14" s="66">
        <v>0.888418160466198</v>
      </c>
      <c r="H14" s="66">
        <v>0.931456838021338</v>
      </c>
      <c r="I14" s="66">
        <v>0.931635538570171</v>
      </c>
      <c r="J14" s="43">
        <v>0.92</v>
      </c>
      <c r="K14" s="67">
        <v>0.982246502638886</v>
      </c>
      <c r="L14" s="67">
        <v>0.98275296634488</v>
      </c>
      <c r="M14" s="67">
        <v>0.984915165920357</v>
      </c>
      <c r="N14" s="67">
        <v>0.96800349609981</v>
      </c>
      <c r="O14" s="43">
        <v>0.93</v>
      </c>
      <c r="P14" s="67">
        <v>0.870390691977955</v>
      </c>
      <c r="Q14" s="67">
        <v>0.913244928604315</v>
      </c>
      <c r="R14" s="67">
        <v>0.949339521545771</v>
      </c>
      <c r="S14" s="67">
        <v>0.950596179511219</v>
      </c>
    </row>
    <row r="15" ht="15.25" spans="2:19">
      <c r="B15" s="47" t="s">
        <v>1716</v>
      </c>
      <c r="C15" s="48"/>
      <c r="D15" s="49"/>
      <c r="E15" s="68" t="s">
        <v>35</v>
      </c>
      <c r="F15" s="69">
        <v>0.869313861241465</v>
      </c>
      <c r="G15" s="69">
        <v>0.906317833700686</v>
      </c>
      <c r="H15" s="69">
        <v>0.934667006488038</v>
      </c>
      <c r="I15" s="70">
        <v>0.932182641442935</v>
      </c>
      <c r="J15" s="71" t="s">
        <v>35</v>
      </c>
      <c r="K15" s="51">
        <v>0.985687048197303</v>
      </c>
      <c r="L15" s="51">
        <v>0.982560968767056</v>
      </c>
      <c r="M15" s="51">
        <v>0.979861486548952</v>
      </c>
      <c r="N15" s="72">
        <v>0.972249194925675</v>
      </c>
      <c r="O15" s="51" t="s">
        <v>35</v>
      </c>
      <c r="P15" s="51">
        <v>0.919451474143732</v>
      </c>
      <c r="Q15" s="51">
        <v>0.937634396006812</v>
      </c>
      <c r="R15" s="51">
        <v>0.957966508245821</v>
      </c>
      <c r="S15" s="51">
        <v>0.956406911108216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2" workbookViewId="0">
      <selection activeCell="I6" sqref="I6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1090909090909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30" t="s">
        <v>1721</v>
      </c>
      <c r="C2" s="31" t="s">
        <v>1722</v>
      </c>
      <c r="D2" s="31" t="s">
        <v>1723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2"/>
      <c r="C3" s="8"/>
      <c r="D3" s="8"/>
      <c r="E3" s="33" t="s">
        <v>1741</v>
      </c>
      <c r="F3" s="34"/>
      <c r="G3" s="34"/>
      <c r="H3" s="34"/>
      <c r="I3" s="35"/>
      <c r="J3" s="33" t="s">
        <v>1742</v>
      </c>
      <c r="K3" s="34"/>
      <c r="L3" s="34"/>
      <c r="M3" s="34"/>
      <c r="N3" s="35"/>
    </row>
    <row r="4" ht="29.75" spans="2:14">
      <c r="B4" s="36"/>
      <c r="C4" s="11"/>
      <c r="D4" s="11"/>
      <c r="E4" s="11" t="s">
        <v>21</v>
      </c>
      <c r="F4" s="37">
        <f>'06.30, 07.30, &amp; 12.00'!F4</f>
        <v>46251</v>
      </c>
      <c r="G4" s="38">
        <f>F4-1</f>
        <v>46250</v>
      </c>
      <c r="H4" s="38">
        <f>G4-1</f>
        <v>46249</v>
      </c>
      <c r="I4" s="11" t="s">
        <v>1728</v>
      </c>
      <c r="J4" s="11" t="s">
        <v>23</v>
      </c>
      <c r="K4" s="37">
        <f>F4</f>
        <v>46251</v>
      </c>
      <c r="L4" s="38">
        <f>K4-1</f>
        <v>46250</v>
      </c>
      <c r="M4" s="38">
        <f>L4-1</f>
        <v>46249</v>
      </c>
      <c r="N4" s="11" t="s">
        <v>1728</v>
      </c>
    </row>
    <row r="5" ht="15.25" spans="2:14">
      <c r="B5" s="39" t="s">
        <v>1729</v>
      </c>
      <c r="C5" s="40" t="s">
        <v>1730</v>
      </c>
      <c r="D5" s="40" t="s">
        <v>100</v>
      </c>
      <c r="E5" s="41">
        <v>0.99</v>
      </c>
      <c r="F5" s="42">
        <v>0.989237929028505</v>
      </c>
      <c r="G5" s="42">
        <v>0.991550516357334</v>
      </c>
      <c r="H5" s="42">
        <v>0.978910126814924</v>
      </c>
      <c r="I5" s="42">
        <v>0.989329218598889</v>
      </c>
      <c r="J5" s="43">
        <v>0.105261498981944</v>
      </c>
      <c r="K5" s="44">
        <v>0.0714285714285714</v>
      </c>
      <c r="L5" s="44">
        <v>0.0578923563998191</v>
      </c>
      <c r="M5" s="44">
        <v>0.0628042843232717</v>
      </c>
      <c r="N5" s="44">
        <v>0.0746018908441866</v>
      </c>
    </row>
    <row r="6" ht="15.25" spans="2:14">
      <c r="B6" s="45"/>
      <c r="C6" s="40" t="s">
        <v>212</v>
      </c>
      <c r="D6" s="40" t="s">
        <v>211</v>
      </c>
      <c r="E6" s="41">
        <v>0.99</v>
      </c>
      <c r="F6" s="42">
        <v>0.992340253981052</v>
      </c>
      <c r="G6" s="42">
        <v>0.990561351217089</v>
      </c>
      <c r="H6" s="42">
        <v>0.996126452580282</v>
      </c>
      <c r="I6" s="42">
        <v>0.994579945799458</v>
      </c>
      <c r="J6" s="43">
        <v>0.0719793575775068</v>
      </c>
      <c r="K6" s="44">
        <v>0.0425155004428698</v>
      </c>
      <c r="L6" s="44">
        <v>0.037893384714194</v>
      </c>
      <c r="M6" s="44">
        <v>0.0318042813455657</v>
      </c>
      <c r="N6" s="44">
        <v>0.0577987010755644</v>
      </c>
    </row>
    <row r="7" ht="15.25" spans="2:14">
      <c r="B7" s="45"/>
      <c r="C7" s="40" t="s">
        <v>279</v>
      </c>
      <c r="D7" s="40" t="s">
        <v>261</v>
      </c>
      <c r="E7" s="41">
        <v>0.99</v>
      </c>
      <c r="F7" s="42">
        <v>0.993731193580742</v>
      </c>
      <c r="G7" s="42">
        <v>0.994490358126722</v>
      </c>
      <c r="H7" s="42">
        <v>0.997119045169256</v>
      </c>
      <c r="I7" s="42">
        <v>0.994424938123391</v>
      </c>
      <c r="J7" s="43">
        <v>0.0922287257019438</v>
      </c>
      <c r="K7" s="44">
        <v>0.101666666666667</v>
      </c>
      <c r="L7" s="44">
        <v>0.0534188034188034</v>
      </c>
      <c r="M7" s="44">
        <v>0.0634595701125896</v>
      </c>
      <c r="N7" s="44">
        <v>0.0791832104367555</v>
      </c>
    </row>
    <row r="8" ht="15.25" spans="2:14">
      <c r="B8" s="46"/>
      <c r="C8" s="40" t="s">
        <v>1731</v>
      </c>
      <c r="D8" s="40" t="s">
        <v>351</v>
      </c>
      <c r="E8" s="41">
        <v>0.99</v>
      </c>
      <c r="F8" s="42">
        <v>0.994587280108254</v>
      </c>
      <c r="G8" s="42">
        <v>0.987794955248169</v>
      </c>
      <c r="H8" s="42">
        <v>0.999471737982039</v>
      </c>
      <c r="I8" s="42">
        <v>0.994043106249323</v>
      </c>
      <c r="J8" s="43">
        <v>0.0739852556983447</v>
      </c>
      <c r="K8" s="44">
        <v>0.0743405275779376</v>
      </c>
      <c r="L8" s="44">
        <v>0.0324324324324324</v>
      </c>
      <c r="M8" s="44">
        <v>0.0392523364485981</v>
      </c>
      <c r="N8" s="44">
        <v>0.046605681271064</v>
      </c>
    </row>
    <row r="9" ht="15.25" spans="2:14">
      <c r="B9" s="45"/>
      <c r="C9" s="40" t="s">
        <v>1732</v>
      </c>
      <c r="D9" s="40" t="s">
        <v>376</v>
      </c>
      <c r="E9" s="41">
        <v>0.99</v>
      </c>
      <c r="F9" s="42">
        <v>0.996628922119457</v>
      </c>
      <c r="G9" s="42">
        <v>0.995351978388686</v>
      </c>
      <c r="H9" s="42">
        <v>0.990439307757473</v>
      </c>
      <c r="I9" s="42">
        <v>0.995046188629262</v>
      </c>
      <c r="J9" s="43">
        <v>0.05</v>
      </c>
      <c r="K9" s="44">
        <v>0.0453492624649518</v>
      </c>
      <c r="L9" s="44">
        <v>0.0327868852459016</v>
      </c>
      <c r="M9" s="44">
        <v>0.053750140559991</v>
      </c>
      <c r="N9" s="44">
        <v>0.04226939578676</v>
      </c>
    </row>
    <row r="10" ht="15.25" spans="2:14">
      <c r="B10" s="45"/>
      <c r="C10" s="40" t="s">
        <v>836</v>
      </c>
      <c r="D10" s="40" t="s">
        <v>669</v>
      </c>
      <c r="E10" s="41">
        <v>0.99</v>
      </c>
      <c r="F10" s="42">
        <v>0.992368610511159</v>
      </c>
      <c r="G10" s="42">
        <v>0.990327467661112</v>
      </c>
      <c r="H10" s="42">
        <v>0.994918032786885</v>
      </c>
      <c r="I10" s="42">
        <v>0.98899716282194</v>
      </c>
      <c r="J10" s="43">
        <v>0.0810595228934205</v>
      </c>
      <c r="K10" s="44">
        <v>0.046712288009521</v>
      </c>
      <c r="L10" s="44">
        <v>0.0372354674524511</v>
      </c>
      <c r="M10" s="44">
        <v>0.0408366533864542</v>
      </c>
      <c r="N10" s="44">
        <v>0.0410967669690135</v>
      </c>
    </row>
    <row r="11" ht="15.25" spans="2:14">
      <c r="B11" s="45"/>
      <c r="C11" s="40" t="s">
        <v>963</v>
      </c>
      <c r="D11" s="40" t="s">
        <v>928</v>
      </c>
      <c r="E11" s="41">
        <v>0.99</v>
      </c>
      <c r="F11" s="42">
        <v>0.9923273657289</v>
      </c>
      <c r="G11" s="42">
        <v>0.992923010937165</v>
      </c>
      <c r="H11" s="42">
        <v>0.995948379351741</v>
      </c>
      <c r="I11" s="42">
        <v>0.992084420742086</v>
      </c>
      <c r="J11" s="43">
        <v>0.0656418488929858</v>
      </c>
      <c r="K11" s="44">
        <v>0.0440494590417311</v>
      </c>
      <c r="L11" s="44">
        <v>0.0386528893991581</v>
      </c>
      <c r="M11" s="44">
        <v>0.0386404293381038</v>
      </c>
      <c r="N11" s="44">
        <v>0.0433390903857225</v>
      </c>
    </row>
    <row r="12" ht="15.25" spans="2:14">
      <c r="B12" s="45"/>
      <c r="C12" s="40" t="s">
        <v>1733</v>
      </c>
      <c r="D12" s="40" t="s">
        <v>1086</v>
      </c>
      <c r="E12" s="41">
        <v>0.99</v>
      </c>
      <c r="F12" s="42">
        <v>0.993471494724057</v>
      </c>
      <c r="G12" s="42">
        <v>0.993187475435609</v>
      </c>
      <c r="H12" s="42">
        <v>0.994838709677419</v>
      </c>
      <c r="I12" s="42">
        <v>0.993007690685092</v>
      </c>
      <c r="J12" s="43">
        <v>0.0721861525408278</v>
      </c>
      <c r="K12" s="44">
        <v>0.0353895649741223</v>
      </c>
      <c r="L12" s="44">
        <v>0.0349708576186511</v>
      </c>
      <c r="M12" s="44">
        <v>0.0316359095323991</v>
      </c>
      <c r="N12" s="44">
        <v>0.0364326065005595</v>
      </c>
    </row>
    <row r="13" ht="15.25" spans="2:14">
      <c r="B13" s="45"/>
      <c r="C13" s="40" t="s">
        <v>1734</v>
      </c>
      <c r="D13" s="40" t="s">
        <v>1456</v>
      </c>
      <c r="E13" s="41">
        <v>0.99</v>
      </c>
      <c r="F13" s="42">
        <v>0.989830508474576</v>
      </c>
      <c r="G13" s="42">
        <v>0.98731884057971</v>
      </c>
      <c r="H13" s="42">
        <v>0.992869875222816</v>
      </c>
      <c r="I13" s="42">
        <v>0.988257990035241</v>
      </c>
      <c r="J13" s="43">
        <v>0.110069253262963</v>
      </c>
      <c r="K13" s="44">
        <v>0.10221465076661</v>
      </c>
      <c r="L13" s="44">
        <v>0.0850379223167088</v>
      </c>
      <c r="M13" s="44">
        <v>0.104461604461604</v>
      </c>
      <c r="N13" s="44">
        <v>0.0942561299704157</v>
      </c>
    </row>
    <row r="14" ht="15.25" spans="2:14">
      <c r="B14" s="45"/>
      <c r="C14" s="40" t="s">
        <v>1735</v>
      </c>
      <c r="D14" s="40" t="s">
        <v>26</v>
      </c>
      <c r="E14" s="41">
        <v>0.99</v>
      </c>
      <c r="F14" s="42">
        <v>0.98375054896794</v>
      </c>
      <c r="G14" s="42">
        <v>0.992296852982621</v>
      </c>
      <c r="H14" s="42">
        <v>0.993474915358572</v>
      </c>
      <c r="I14" s="42">
        <v>0.991372706609235</v>
      </c>
      <c r="J14" s="43">
        <v>0.0872182100128262</v>
      </c>
      <c r="K14" s="44">
        <v>0.0661252900232019</v>
      </c>
      <c r="L14" s="44">
        <v>0.0480955455132343</v>
      </c>
      <c r="M14" s="44">
        <v>0.0438003220611916</v>
      </c>
      <c r="N14" s="44">
        <v>0.0572361300853397</v>
      </c>
    </row>
    <row r="15" ht="15.25" spans="2:14">
      <c r="B15" s="47" t="s">
        <v>1716</v>
      </c>
      <c r="C15" s="48"/>
      <c r="D15" s="49"/>
      <c r="E15" s="50" t="s">
        <v>35</v>
      </c>
      <c r="F15" s="51">
        <v>0.992383731971334</v>
      </c>
      <c r="G15" s="51">
        <v>0.992849764923778</v>
      </c>
      <c r="H15" s="51">
        <v>0.991957568601754</v>
      </c>
      <c r="I15" s="51">
        <v>0.99239865644589</v>
      </c>
      <c r="J15" s="52" t="s">
        <v>35</v>
      </c>
      <c r="K15" s="51">
        <v>0.0556812897225236</v>
      </c>
      <c r="L15" s="51">
        <v>0.0440310938367574</v>
      </c>
      <c r="M15" s="51">
        <v>0.0519802670085565</v>
      </c>
      <c r="N15" s="53">
        <v>0.053216681363758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70"/>
  <sheetViews>
    <sheetView workbookViewId="0">
      <selection activeCell="I15" sqref="I15"/>
    </sheetView>
  </sheetViews>
  <sheetFormatPr defaultColWidth="9" defaultRowHeight="14.5" outlineLevelCol="6"/>
  <cols>
    <col min="2" max="2" width="24.4454545454545" customWidth="1"/>
    <col min="3" max="3" width="18.5545454545455" customWidth="1"/>
    <col min="4" max="4" width="26.4454545454545" customWidth="1"/>
    <col min="5" max="5" width="19.5545454545455" customWidth="1"/>
    <col min="6" max="6" width="44.7818181818182" customWidth="1"/>
    <col min="7" max="7" width="23" customWidth="1"/>
  </cols>
  <sheetData>
    <row r="1" ht="15.25"/>
    <row r="2" spans="2:7">
      <c r="B2" s="1" t="s">
        <v>5</v>
      </c>
      <c r="C2" s="2" t="s">
        <v>7</v>
      </c>
      <c r="D2" s="3" t="s">
        <v>8</v>
      </c>
      <c r="E2" s="4" t="s">
        <v>1743</v>
      </c>
      <c r="F2" s="5" t="s">
        <v>1744</v>
      </c>
      <c r="G2" s="6"/>
    </row>
    <row r="3" spans="2:7">
      <c r="B3" s="7"/>
      <c r="C3" s="8"/>
      <c r="D3" s="9"/>
      <c r="E3" s="10"/>
      <c r="F3" s="10"/>
      <c r="G3" s="6"/>
    </row>
    <row r="4" ht="15.25" spans="2:7">
      <c r="B4" s="7"/>
      <c r="C4" s="11"/>
      <c r="D4" s="9"/>
      <c r="E4" s="10"/>
      <c r="F4" s="10"/>
      <c r="G4" s="6"/>
    </row>
    <row r="5" spans="2:7">
      <c r="B5" s="12" t="s">
        <v>24</v>
      </c>
      <c r="C5" s="13" t="s">
        <v>26</v>
      </c>
      <c r="D5" s="14" t="s">
        <v>27</v>
      </c>
      <c r="E5" s="15" t="s">
        <v>1745</v>
      </c>
      <c r="F5" s="16" t="str">
        <f>_xlfn.XLOOKUP(D5,[2]DP!$F:$F,[2]DP!$E:$E,"-")</f>
        <v>APRI NUR YUSUP</v>
      </c>
      <c r="G5" s="17"/>
    </row>
    <row r="6" spans="2:7">
      <c r="B6" s="18" t="s">
        <v>24</v>
      </c>
      <c r="C6" s="16" t="s">
        <v>26</v>
      </c>
      <c r="D6" s="19" t="s">
        <v>28</v>
      </c>
      <c r="E6" s="20" t="s">
        <v>1745</v>
      </c>
      <c r="F6" s="16" t="str">
        <f>_xlfn.XLOOKUP(D6,[2]DP!$F:$F,[2]DP!$E:$E,"-")</f>
        <v>RIZKY ADITYAWARMAN</v>
      </c>
      <c r="G6" s="21"/>
    </row>
    <row r="7" spans="2:7">
      <c r="B7" s="18" t="s">
        <v>24</v>
      </c>
      <c r="C7" s="16" t="s">
        <v>26</v>
      </c>
      <c r="D7" s="19" t="s">
        <v>29</v>
      </c>
      <c r="E7" s="20" t="s">
        <v>1722</v>
      </c>
      <c r="F7" s="16" t="str">
        <f>_xlfn.XLOOKUP(D7,[2]DP!$F:$F,[2]DP!$E:$E,"-")</f>
        <v>RUBBY ROCHMAN</v>
      </c>
      <c r="G7" s="21"/>
    </row>
    <row r="8" spans="2:7">
      <c r="B8" s="18" t="s">
        <v>24</v>
      </c>
      <c r="C8" s="16" t="s">
        <v>26</v>
      </c>
      <c r="D8" s="19" t="s">
        <v>30</v>
      </c>
      <c r="E8" s="20" t="s">
        <v>1722</v>
      </c>
      <c r="F8" s="16" t="str">
        <f>_xlfn.XLOOKUP(D8,[2]DP!$F:$F,[2]DP!$E:$E,"-")</f>
        <v>ARDY KRISNANTO</v>
      </c>
      <c r="G8" s="21"/>
    </row>
    <row r="9" spans="2:7">
      <c r="B9" s="18" t="s">
        <v>24</v>
      </c>
      <c r="C9" s="16" t="s">
        <v>26</v>
      </c>
      <c r="D9" s="19" t="s">
        <v>31</v>
      </c>
      <c r="E9" s="20" t="s">
        <v>1745</v>
      </c>
      <c r="F9" s="16" t="str">
        <f>_xlfn.XLOOKUP(D9,[2]DP!$F:$F,[2]DP!$E:$E,"-")</f>
        <v>RUBBY ROCHMAN</v>
      </c>
      <c r="G9" s="21"/>
    </row>
    <row r="10" spans="2:7">
      <c r="B10" s="18" t="s">
        <v>24</v>
      </c>
      <c r="C10" s="16" t="s">
        <v>26</v>
      </c>
      <c r="D10" s="19" t="s">
        <v>32</v>
      </c>
      <c r="E10" s="20" t="s">
        <v>1745</v>
      </c>
      <c r="F10" s="16" t="str">
        <f>_xlfn.XLOOKUP(D10,[2]DP!$F:$F,[2]DP!$E:$E,"-")</f>
        <v>HENLY KURNIAWAN</v>
      </c>
      <c r="G10" s="21"/>
    </row>
    <row r="11" spans="2:7">
      <c r="B11" s="18" t="s">
        <v>24</v>
      </c>
      <c r="C11" s="16" t="s">
        <v>26</v>
      </c>
      <c r="D11" s="19" t="s">
        <v>33</v>
      </c>
      <c r="E11" s="20" t="s">
        <v>1745</v>
      </c>
      <c r="F11" s="16" t="str">
        <f>_xlfn.XLOOKUP(D11,[2]DP!$F:$F,[2]DP!$E:$E,"-")</f>
        <v>RIZKY ADITYAWARMAN</v>
      </c>
      <c r="G11" s="21"/>
    </row>
    <row r="12" spans="2:7">
      <c r="B12" s="18" t="s">
        <v>24</v>
      </c>
      <c r="C12" s="16" t="s">
        <v>26</v>
      </c>
      <c r="D12" s="19" t="s">
        <v>34</v>
      </c>
      <c r="E12" s="20" t="s">
        <v>1722</v>
      </c>
      <c r="F12" s="16" t="str">
        <f>_xlfn.XLOOKUP(D12,[2]DP!$F:$F,[2]DP!$E:$E,"-")</f>
        <v>RUBBY ROCHMAN</v>
      </c>
      <c r="G12" s="21"/>
    </row>
    <row r="13" spans="2:7">
      <c r="B13" s="18" t="s">
        <v>24</v>
      </c>
      <c r="C13" s="16" t="s">
        <v>26</v>
      </c>
      <c r="D13" s="19" t="s">
        <v>36</v>
      </c>
      <c r="E13" s="20" t="s">
        <v>1722</v>
      </c>
      <c r="F13" s="16" t="str">
        <f>_xlfn.XLOOKUP(D13,[2]DP!$F:$F,[2]DP!$E:$E,"-")</f>
        <v>ALFIN WARDANA</v>
      </c>
      <c r="G13" s="21"/>
    </row>
    <row r="14" spans="2:7">
      <c r="B14" s="18" t="s">
        <v>24</v>
      </c>
      <c r="C14" s="16" t="s">
        <v>26</v>
      </c>
      <c r="D14" s="19" t="s">
        <v>37</v>
      </c>
      <c r="E14" s="20" t="s">
        <v>1722</v>
      </c>
      <c r="F14" s="16" t="str">
        <f>_xlfn.XLOOKUP(D14,[2]DP!$F:$F,[2]DP!$E:$E,"-")</f>
        <v>EKA PRATAMA BAHARA</v>
      </c>
      <c r="G14" s="21"/>
    </row>
    <row r="15" spans="2:7">
      <c r="B15" s="18" t="s">
        <v>24</v>
      </c>
      <c r="C15" s="16" t="s">
        <v>26</v>
      </c>
      <c r="D15" s="19" t="s">
        <v>38</v>
      </c>
      <c r="E15" s="20" t="s">
        <v>1745</v>
      </c>
      <c r="F15" s="16" t="str">
        <f>_xlfn.XLOOKUP(D15,[2]DP!$F:$F,[2]DP!$E:$E,"-")</f>
        <v>RENGGA SAPUTRA</v>
      </c>
      <c r="G15" s="21"/>
    </row>
    <row r="16" spans="2:7">
      <c r="B16" s="18" t="s">
        <v>24</v>
      </c>
      <c r="C16" s="16" t="s">
        <v>26</v>
      </c>
      <c r="D16" s="19" t="s">
        <v>39</v>
      </c>
      <c r="E16" s="20" t="s">
        <v>1722</v>
      </c>
      <c r="F16" s="16" t="str">
        <f>_xlfn.XLOOKUP(D16,[2]DP!$F:$F,[2]DP!$E:$E,"-")</f>
        <v>PAZRI FIRDAUS</v>
      </c>
      <c r="G16" s="21"/>
    </row>
    <row r="17" spans="2:7">
      <c r="B17" s="18" t="s">
        <v>24</v>
      </c>
      <c r="C17" s="16" t="s">
        <v>26</v>
      </c>
      <c r="D17" s="19" t="s">
        <v>40</v>
      </c>
      <c r="E17" s="20" t="s">
        <v>1745</v>
      </c>
      <c r="F17" s="16" t="str">
        <f>_xlfn.XLOOKUP(D17,[2]DP!$F:$F,[2]DP!$E:$E,"-")</f>
        <v>RENGGA SAPUTRA</v>
      </c>
      <c r="G17" s="21"/>
    </row>
    <row r="18" spans="2:7">
      <c r="B18" s="18" t="s">
        <v>24</v>
      </c>
      <c r="C18" s="16" t="s">
        <v>26</v>
      </c>
      <c r="D18" s="19" t="s">
        <v>41</v>
      </c>
      <c r="E18" s="20" t="s">
        <v>1745</v>
      </c>
      <c r="F18" s="16" t="str">
        <f>_xlfn.XLOOKUP(D18,[2]DP!$F:$F,[2]DP!$E:$E,"-")</f>
        <v>RENGGA SAPUTRA</v>
      </c>
      <c r="G18" s="21"/>
    </row>
    <row r="19" spans="2:7">
      <c r="B19" s="18" t="s">
        <v>24</v>
      </c>
      <c r="C19" s="16" t="s">
        <v>26</v>
      </c>
      <c r="D19" s="19" t="s">
        <v>42</v>
      </c>
      <c r="E19" s="20" t="s">
        <v>1745</v>
      </c>
      <c r="F19" s="16" t="str">
        <f>_xlfn.XLOOKUP(D19,[2]DP!$F:$F,[2]DP!$E:$E,"-")</f>
        <v>NUGROHO HARI KUNCAHYO</v>
      </c>
      <c r="G19" s="21"/>
    </row>
    <row r="20" spans="2:7">
      <c r="B20" s="18" t="s">
        <v>24</v>
      </c>
      <c r="C20" s="16" t="s">
        <v>26</v>
      </c>
      <c r="D20" s="19" t="s">
        <v>43</v>
      </c>
      <c r="E20" s="20" t="s">
        <v>1722</v>
      </c>
      <c r="F20" s="16" t="str">
        <f>_xlfn.XLOOKUP(D20,[2]DP!$F:$F,[2]DP!$E:$E,"-")</f>
        <v>AHMAD KAMAL</v>
      </c>
      <c r="G20" s="21"/>
    </row>
    <row r="21" spans="2:7">
      <c r="B21" s="18" t="s">
        <v>24</v>
      </c>
      <c r="C21" s="16" t="s">
        <v>26</v>
      </c>
      <c r="D21" s="19" t="s">
        <v>44</v>
      </c>
      <c r="E21" s="20" t="s">
        <v>1745</v>
      </c>
      <c r="F21" s="16" t="str">
        <f>_xlfn.XLOOKUP(D21,[2]DP!$F:$F,[2]DP!$E:$E,"-")</f>
        <v>QORI SEKENAWAN OSADI</v>
      </c>
      <c r="G21" s="21"/>
    </row>
    <row r="22" spans="2:7">
      <c r="B22" s="18" t="s">
        <v>24</v>
      </c>
      <c r="C22" s="16" t="s">
        <v>26</v>
      </c>
      <c r="D22" s="19" t="s">
        <v>45</v>
      </c>
      <c r="E22" s="20" t="s">
        <v>1722</v>
      </c>
      <c r="F22" s="16" t="str">
        <f>_xlfn.XLOOKUP(D22,[2]DP!$F:$F,[2]DP!$E:$E,"-")</f>
        <v>RIO PERMANNA WIJAYA</v>
      </c>
      <c r="G22" s="21"/>
    </row>
    <row r="23" spans="2:7">
      <c r="B23" s="18" t="s">
        <v>24</v>
      </c>
      <c r="C23" s="16" t="s">
        <v>26</v>
      </c>
      <c r="D23" s="19" t="s">
        <v>46</v>
      </c>
      <c r="E23" s="20" t="s">
        <v>1722</v>
      </c>
      <c r="F23" s="16" t="str">
        <f>_xlfn.XLOOKUP(D23,[2]DP!$F:$F,[2]DP!$E:$E,"-")</f>
        <v>PAMUJI RYAN ANDRIANTO</v>
      </c>
      <c r="G23" s="21"/>
    </row>
    <row r="24" spans="2:7">
      <c r="B24" s="18" t="s">
        <v>24</v>
      </c>
      <c r="C24" s="16" t="s">
        <v>26</v>
      </c>
      <c r="D24" s="19" t="s">
        <v>47</v>
      </c>
      <c r="E24" s="20" t="s">
        <v>1745</v>
      </c>
      <c r="F24" s="16" t="str">
        <f>_xlfn.XLOOKUP(D24,[2]DP!$F:$F,[2]DP!$E:$E,"-")</f>
        <v>ARDY SASMOYO</v>
      </c>
      <c r="G24" s="21"/>
    </row>
    <row r="25" spans="2:7">
      <c r="B25" s="18" t="s">
        <v>24</v>
      </c>
      <c r="C25" s="16" t="s">
        <v>26</v>
      </c>
      <c r="D25" s="19" t="s">
        <v>48</v>
      </c>
      <c r="E25" s="20" t="s">
        <v>1745</v>
      </c>
      <c r="F25" s="16" t="str">
        <f>_xlfn.XLOOKUP(D25,[2]DP!$F:$F,[2]DP!$E:$E,"-")</f>
        <v>HENDRI ADITYA</v>
      </c>
      <c r="G25" s="21"/>
    </row>
    <row r="26" spans="2:7">
      <c r="B26" s="18" t="s">
        <v>24</v>
      </c>
      <c r="C26" s="16" t="s">
        <v>26</v>
      </c>
      <c r="D26" s="19" t="s">
        <v>49</v>
      </c>
      <c r="E26" s="20" t="s">
        <v>1722</v>
      </c>
      <c r="F26" s="16" t="str">
        <f>_xlfn.XLOOKUP(D26,[2]DP!$F:$F,[2]DP!$E:$E,"-")</f>
        <v>YODY EVANDER LODEWIJK N.</v>
      </c>
      <c r="G26" s="21"/>
    </row>
    <row r="27" spans="2:7">
      <c r="B27" s="18" t="s">
        <v>24</v>
      </c>
      <c r="C27" s="16" t="s">
        <v>26</v>
      </c>
      <c r="D27" s="19" t="s">
        <v>50</v>
      </c>
      <c r="E27" s="20" t="s">
        <v>1722</v>
      </c>
      <c r="F27" s="16" t="str">
        <f>_xlfn.XLOOKUP(D27,[2]DP!$F:$F,[2]DP!$E:$E,"-")</f>
        <v>HUSEIN AL IDRUS ANHAR</v>
      </c>
      <c r="G27" s="21"/>
    </row>
    <row r="28" spans="2:7">
      <c r="B28" s="18" t="s">
        <v>24</v>
      </c>
      <c r="C28" s="16" t="s">
        <v>26</v>
      </c>
      <c r="D28" s="19" t="s">
        <v>51</v>
      </c>
      <c r="E28" s="20" t="s">
        <v>1722</v>
      </c>
      <c r="F28" s="16" t="str">
        <f>_xlfn.XLOOKUP(D28,[2]DP!$F:$F,[2]DP!$E:$E,"-")</f>
        <v>NOVENDRA ALDI MUHAMMAD</v>
      </c>
      <c r="G28" s="21"/>
    </row>
    <row r="29" spans="2:7">
      <c r="B29" s="18" t="s">
        <v>24</v>
      </c>
      <c r="C29" s="16" t="s">
        <v>26</v>
      </c>
      <c r="D29" s="19" t="s">
        <v>52</v>
      </c>
      <c r="E29" s="20" t="s">
        <v>1745</v>
      </c>
      <c r="F29" s="16" t="str">
        <f>_xlfn.XLOOKUP(D29,[2]DP!$F:$F,[2]DP!$E:$E,"-")</f>
        <v>YODY EVANDER LODEWIJK N.</v>
      </c>
      <c r="G29" s="21"/>
    </row>
    <row r="30" spans="2:7">
      <c r="B30" s="18" t="s">
        <v>24</v>
      </c>
      <c r="C30" s="16" t="s">
        <v>26</v>
      </c>
      <c r="D30" s="19" t="s">
        <v>53</v>
      </c>
      <c r="E30" s="20" t="s">
        <v>1722</v>
      </c>
      <c r="F30" s="16" t="str">
        <f>_xlfn.XLOOKUP(D30,[2]DP!$F:$F,[2]DP!$E:$E,"-")</f>
        <v>MUHAMAD FAISAL</v>
      </c>
      <c r="G30" s="21"/>
    </row>
    <row r="31" spans="2:7">
      <c r="B31" s="18" t="s">
        <v>24</v>
      </c>
      <c r="C31" s="16" t="s">
        <v>26</v>
      </c>
      <c r="D31" s="19" t="s">
        <v>54</v>
      </c>
      <c r="E31" s="20" t="s">
        <v>1745</v>
      </c>
      <c r="F31" s="16" t="str">
        <f>_xlfn.XLOOKUP(D31,[2]DP!$F:$F,[2]DP!$E:$E,"-")</f>
        <v>ROYMAN</v>
      </c>
      <c r="G31" s="21"/>
    </row>
    <row r="32" spans="2:7">
      <c r="B32" s="18" t="s">
        <v>24</v>
      </c>
      <c r="C32" s="16" t="s">
        <v>26</v>
      </c>
      <c r="D32" s="19" t="s">
        <v>55</v>
      </c>
      <c r="E32" s="20" t="s">
        <v>1722</v>
      </c>
      <c r="F32" s="16" t="str">
        <f>_xlfn.XLOOKUP(D32,[2]DP!$F:$F,[2]DP!$E:$E,"-")</f>
        <v>MAHMUD H</v>
      </c>
      <c r="G32" s="21"/>
    </row>
    <row r="33" spans="2:7">
      <c r="B33" s="18" t="s">
        <v>24</v>
      </c>
      <c r="C33" s="16" t="s">
        <v>26</v>
      </c>
      <c r="D33" s="19" t="s">
        <v>56</v>
      </c>
      <c r="E33" s="20" t="s">
        <v>1722</v>
      </c>
      <c r="F33" s="16" t="str">
        <f>_xlfn.XLOOKUP(D33,[2]DP!$F:$F,[2]DP!$E:$E,"-")</f>
        <v>ARMAN SURYADI</v>
      </c>
      <c r="G33" s="21"/>
    </row>
    <row r="34" spans="2:7">
      <c r="B34" s="18" t="s">
        <v>24</v>
      </c>
      <c r="C34" s="16" t="s">
        <v>26</v>
      </c>
      <c r="D34" s="19" t="s">
        <v>57</v>
      </c>
      <c r="E34" s="20" t="s">
        <v>1722</v>
      </c>
      <c r="F34" s="16" t="str">
        <f>_xlfn.XLOOKUP(D34,[2]DP!$F:$F,[2]DP!$E:$E,"-")</f>
        <v>TADIN SAPUTRA</v>
      </c>
      <c r="G34" s="21"/>
    </row>
    <row r="35" spans="2:7">
      <c r="B35" s="18" t="s">
        <v>24</v>
      </c>
      <c r="C35" s="16" t="s">
        <v>26</v>
      </c>
      <c r="D35" s="19" t="s">
        <v>58</v>
      </c>
      <c r="E35" s="20" t="s">
        <v>1722</v>
      </c>
      <c r="F35" s="16" t="str">
        <f>_xlfn.XLOOKUP(D35,[2]DP!$F:$F,[2]DP!$E:$E,"-")</f>
        <v>SATRIO KESIT WICAKSONO</v>
      </c>
      <c r="G35" s="21"/>
    </row>
    <row r="36" spans="2:7">
      <c r="B36" s="18" t="s">
        <v>24</v>
      </c>
      <c r="C36" s="16" t="s">
        <v>26</v>
      </c>
      <c r="D36" s="19" t="s">
        <v>59</v>
      </c>
      <c r="E36" s="20" t="s">
        <v>1745</v>
      </c>
      <c r="F36" s="16" t="str">
        <f>_xlfn.XLOOKUP(D36,[2]DP!$F:$F,[2]DP!$E:$E,"-")</f>
        <v>MUHAMMAD IQBAL</v>
      </c>
      <c r="G36" s="21"/>
    </row>
    <row r="37" spans="2:7">
      <c r="B37" s="18" t="s">
        <v>24</v>
      </c>
      <c r="C37" s="16" t="s">
        <v>26</v>
      </c>
      <c r="D37" s="19" t="s">
        <v>60</v>
      </c>
      <c r="E37" s="20" t="s">
        <v>1722</v>
      </c>
      <c r="F37" s="16" t="str">
        <f>_xlfn.XLOOKUP(D37,[2]DP!$F:$F,[2]DP!$E:$E,"-")</f>
        <v>PAZRIN HIDAYAT</v>
      </c>
      <c r="G37" s="21"/>
    </row>
    <row r="38" spans="2:7">
      <c r="B38" s="18" t="s">
        <v>24</v>
      </c>
      <c r="C38" s="16" t="s">
        <v>26</v>
      </c>
      <c r="D38" s="19" t="s">
        <v>61</v>
      </c>
      <c r="E38" s="20" t="s">
        <v>1722</v>
      </c>
      <c r="F38" s="16" t="str">
        <f>_xlfn.XLOOKUP(D38,[2]DP!$F:$F,[2]DP!$E:$E,"-")</f>
        <v>LILIS INDRA WATI</v>
      </c>
      <c r="G38" s="21"/>
    </row>
    <row r="39" spans="2:7">
      <c r="B39" s="18" t="s">
        <v>24</v>
      </c>
      <c r="C39" s="16" t="s">
        <v>26</v>
      </c>
      <c r="D39" s="19" t="s">
        <v>62</v>
      </c>
      <c r="E39" s="20" t="s">
        <v>1722</v>
      </c>
      <c r="F39" s="16" t="str">
        <f>_xlfn.XLOOKUP(D39,[2]DP!$F:$F,[2]DP!$E:$E,"-")</f>
        <v>FIRMAN SYAHPUTRA</v>
      </c>
      <c r="G39" s="21"/>
    </row>
    <row r="40" spans="2:7">
      <c r="B40" s="18" t="s">
        <v>24</v>
      </c>
      <c r="C40" s="16" t="s">
        <v>26</v>
      </c>
      <c r="D40" s="19" t="s">
        <v>63</v>
      </c>
      <c r="E40" s="20" t="s">
        <v>1722</v>
      </c>
      <c r="F40" s="16" t="str">
        <f>_xlfn.XLOOKUP(D40,[2]DP!$F:$F,[2]DP!$E:$E,"-")</f>
        <v>RIDWAN ALDIANSYAH</v>
      </c>
      <c r="G40" s="21"/>
    </row>
    <row r="41" spans="2:7">
      <c r="B41" s="18" t="s">
        <v>24</v>
      </c>
      <c r="C41" s="16" t="s">
        <v>26</v>
      </c>
      <c r="D41" s="19" t="s">
        <v>64</v>
      </c>
      <c r="E41" s="20" t="s">
        <v>1745</v>
      </c>
      <c r="F41" s="16" t="str">
        <f>_xlfn.XLOOKUP(D41,[2]DP!$F:$F,[2]DP!$E:$E,"-")</f>
        <v>SAMSU RIJAL</v>
      </c>
      <c r="G41" s="21"/>
    </row>
    <row r="42" spans="2:7">
      <c r="B42" s="18" t="s">
        <v>24</v>
      </c>
      <c r="C42" s="16" t="s">
        <v>26</v>
      </c>
      <c r="D42" s="19" t="s">
        <v>65</v>
      </c>
      <c r="E42" s="20" t="s">
        <v>1745</v>
      </c>
      <c r="F42" s="16" t="str">
        <f>_xlfn.XLOOKUP(D42,[2]DP!$F:$F,[2]DP!$E:$E,"-")</f>
        <v>RAKA FAHRIZKI</v>
      </c>
      <c r="G42" s="21"/>
    </row>
    <row r="43" spans="2:7">
      <c r="B43" s="18" t="s">
        <v>24</v>
      </c>
      <c r="C43" s="16" t="s">
        <v>26</v>
      </c>
      <c r="D43" s="19" t="s">
        <v>66</v>
      </c>
      <c r="E43" s="20" t="s">
        <v>1745</v>
      </c>
      <c r="F43" s="16" t="str">
        <f>_xlfn.XLOOKUP(D43,[2]DP!$F:$F,[2]DP!$E:$E,"-")</f>
        <v>NUR KHUSJANANTO</v>
      </c>
      <c r="G43" s="21"/>
    </row>
    <row r="44" spans="2:7">
      <c r="B44" s="18" t="s">
        <v>24</v>
      </c>
      <c r="C44" s="16" t="s">
        <v>26</v>
      </c>
      <c r="D44" s="19" t="s">
        <v>67</v>
      </c>
      <c r="E44" s="20" t="s">
        <v>1745</v>
      </c>
      <c r="F44" s="16" t="str">
        <f>_xlfn.XLOOKUP(D44,[2]DP!$F:$F,[2]DP!$E:$E,"-")</f>
        <v>LUKMAN NULHAKIM</v>
      </c>
      <c r="G44" s="21"/>
    </row>
    <row r="45" spans="2:7">
      <c r="B45" s="18" t="s">
        <v>24</v>
      </c>
      <c r="C45" s="16" t="s">
        <v>26</v>
      </c>
      <c r="D45" s="19" t="s">
        <v>68</v>
      </c>
      <c r="E45" s="20" t="s">
        <v>1745</v>
      </c>
      <c r="F45" s="16" t="str">
        <f>_xlfn.XLOOKUP(D45,[2]DP!$F:$F,[2]DP!$E:$E,"-")</f>
        <v>SAMSU RIJAL</v>
      </c>
      <c r="G45" s="21"/>
    </row>
    <row r="46" spans="2:7">
      <c r="B46" s="18" t="s">
        <v>24</v>
      </c>
      <c r="C46" s="16" t="s">
        <v>26</v>
      </c>
      <c r="D46" s="19" t="s">
        <v>69</v>
      </c>
      <c r="E46" s="20" t="s">
        <v>1722</v>
      </c>
      <c r="F46" s="16" t="str">
        <f>_xlfn.XLOOKUP(D46,[2]DP!$F:$F,[2]DP!$E:$E,"-")</f>
        <v>MUHAMMAD MUGHNIL LABIB</v>
      </c>
      <c r="G46" s="21"/>
    </row>
    <row r="47" spans="2:7">
      <c r="B47" s="18" t="s">
        <v>24</v>
      </c>
      <c r="C47" s="16" t="s">
        <v>26</v>
      </c>
      <c r="D47" s="19" t="s">
        <v>70</v>
      </c>
      <c r="E47" s="20" t="s">
        <v>1722</v>
      </c>
      <c r="F47" s="16" t="str">
        <f>_xlfn.XLOOKUP(D47,[2]DP!$F:$F,[2]DP!$E:$E,"-")</f>
        <v>RANDI PRIHARTONO</v>
      </c>
      <c r="G47" s="21"/>
    </row>
    <row r="48" spans="2:7">
      <c r="B48" s="18" t="s">
        <v>24</v>
      </c>
      <c r="C48" s="16" t="s">
        <v>26</v>
      </c>
      <c r="D48" s="19" t="s">
        <v>71</v>
      </c>
      <c r="E48" s="20" t="s">
        <v>1722</v>
      </c>
      <c r="F48" s="16" t="str">
        <f>_xlfn.XLOOKUP(D48,[2]DP!$F:$F,[2]DP!$E:$E,"-")</f>
        <v>PRAMU SINTO</v>
      </c>
      <c r="G48" s="21"/>
    </row>
    <row r="49" spans="2:7">
      <c r="B49" s="18" t="s">
        <v>24</v>
      </c>
      <c r="C49" s="16" t="s">
        <v>26</v>
      </c>
      <c r="D49" s="19" t="s">
        <v>72</v>
      </c>
      <c r="E49" s="20" t="s">
        <v>1745</v>
      </c>
      <c r="F49" s="16" t="str">
        <f>_xlfn.XLOOKUP(D49,[2]DP!$F:$F,[2]DP!$E:$E,"-")</f>
        <v>RAFLI FEBRIANSYAH</v>
      </c>
      <c r="G49" s="21"/>
    </row>
    <row r="50" spans="2:7">
      <c r="B50" s="18" t="s">
        <v>24</v>
      </c>
      <c r="C50" s="16" t="s">
        <v>26</v>
      </c>
      <c r="D50" s="19" t="s">
        <v>73</v>
      </c>
      <c r="E50" s="20" t="s">
        <v>1745</v>
      </c>
      <c r="F50" s="16" t="str">
        <f>_xlfn.XLOOKUP(D50,[2]DP!$F:$F,[2]DP!$E:$E,"-")</f>
        <v>DIRA CANA</v>
      </c>
      <c r="G50" s="21"/>
    </row>
    <row r="51" spans="2:7">
      <c r="B51" s="18" t="s">
        <v>24</v>
      </c>
      <c r="C51" s="16" t="s">
        <v>26</v>
      </c>
      <c r="D51" s="19" t="s">
        <v>74</v>
      </c>
      <c r="E51" s="20" t="s">
        <v>1745</v>
      </c>
      <c r="F51" s="16" t="str">
        <f>_xlfn.XLOOKUP(D51,[2]DP!$F:$F,[2]DP!$E:$E,"-")</f>
        <v>DIRA CANA</v>
      </c>
      <c r="G51" s="21"/>
    </row>
    <row r="52" spans="2:7">
      <c r="B52" s="18" t="s">
        <v>24</v>
      </c>
      <c r="C52" s="16" t="s">
        <v>26</v>
      </c>
      <c r="D52" s="19" t="s">
        <v>75</v>
      </c>
      <c r="E52" s="20" t="s">
        <v>1722</v>
      </c>
      <c r="F52" s="16" t="str">
        <f>_xlfn.XLOOKUP(D52,[2]DP!$F:$F,[2]DP!$E:$E,"-")</f>
        <v>NOTO IRAWAN</v>
      </c>
      <c r="G52" s="21"/>
    </row>
    <row r="53" spans="2:7">
      <c r="B53" s="18" t="s">
        <v>24</v>
      </c>
      <c r="C53" s="16" t="s">
        <v>26</v>
      </c>
      <c r="D53" s="19" t="s">
        <v>76</v>
      </c>
      <c r="E53" s="20" t="s">
        <v>1745</v>
      </c>
      <c r="F53" s="16" t="str">
        <f>_xlfn.XLOOKUP(D53,[2]DP!$F:$F,[2]DP!$E:$E,"-")</f>
        <v>RENDI ANDIRA</v>
      </c>
      <c r="G53" s="21"/>
    </row>
    <row r="54" spans="2:7">
      <c r="B54" s="18" t="s">
        <v>24</v>
      </c>
      <c r="C54" s="16" t="s">
        <v>26</v>
      </c>
      <c r="D54" s="19" t="s">
        <v>77</v>
      </c>
      <c r="E54" s="20" t="s">
        <v>1745</v>
      </c>
      <c r="F54" s="16" t="str">
        <f>_xlfn.XLOOKUP(D54,[2]DP!$F:$F,[2]DP!$E:$E,"-")</f>
        <v>RAFLI FEBRIANSYAH</v>
      </c>
      <c r="G54" s="21"/>
    </row>
    <row r="55" spans="2:7">
      <c r="B55" s="18" t="s">
        <v>24</v>
      </c>
      <c r="C55" s="16" t="s">
        <v>26</v>
      </c>
      <c r="D55" s="19" t="s">
        <v>78</v>
      </c>
      <c r="E55" s="20" t="s">
        <v>1722</v>
      </c>
      <c r="F55" s="16" t="str">
        <f>_xlfn.XLOOKUP(D55,[2]DP!$F:$F,[2]DP!$E:$E,"-")</f>
        <v>VINNY LESTARI</v>
      </c>
      <c r="G55" s="21"/>
    </row>
    <row r="56" spans="2:7">
      <c r="B56" s="18" t="s">
        <v>24</v>
      </c>
      <c r="C56" s="16" t="s">
        <v>26</v>
      </c>
      <c r="D56" s="19" t="s">
        <v>79</v>
      </c>
      <c r="E56" s="20" t="s">
        <v>1745</v>
      </c>
      <c r="F56" s="16" t="str">
        <f>_xlfn.XLOOKUP(D56,[2]DP!$F:$F,[2]DP!$E:$E,"-")</f>
        <v>MIRZA NURUL FAJAR AHMAD</v>
      </c>
      <c r="G56" s="21"/>
    </row>
    <row r="57" spans="2:7">
      <c r="B57" s="18" t="s">
        <v>24</v>
      </c>
      <c r="C57" s="16" t="s">
        <v>26</v>
      </c>
      <c r="D57" s="19" t="s">
        <v>80</v>
      </c>
      <c r="E57" s="20" t="s">
        <v>1745</v>
      </c>
      <c r="F57" s="16" t="str">
        <f>_xlfn.XLOOKUP(D57,[2]DP!$F:$F,[2]DP!$E:$E,"-")</f>
        <v>FAJAR NUR MAULANA</v>
      </c>
      <c r="G57" s="21"/>
    </row>
    <row r="58" spans="2:7">
      <c r="B58" s="18" t="s">
        <v>24</v>
      </c>
      <c r="C58" s="16" t="s">
        <v>26</v>
      </c>
      <c r="D58" s="19" t="s">
        <v>82</v>
      </c>
      <c r="E58" s="20" t="s">
        <v>1722</v>
      </c>
      <c r="F58" s="16" t="str">
        <f>_xlfn.XLOOKUP(D58,[2]DP!$F:$F,[2]DP!$E:$E,"-")</f>
        <v>TRI ASMA INDRA SAPUTRA</v>
      </c>
      <c r="G58" s="21"/>
    </row>
    <row r="59" spans="2:7">
      <c r="B59" s="18" t="s">
        <v>24</v>
      </c>
      <c r="C59" s="16" t="s">
        <v>26</v>
      </c>
      <c r="D59" s="19" t="s">
        <v>83</v>
      </c>
      <c r="E59" s="20" t="s">
        <v>1722</v>
      </c>
      <c r="F59" s="16" t="str">
        <f>_xlfn.XLOOKUP(D59,[2]DP!$F:$F,[2]DP!$E:$E,"-")</f>
        <v>DAYU CANDRA ISHAK</v>
      </c>
      <c r="G59" s="21"/>
    </row>
    <row r="60" spans="2:7">
      <c r="B60" s="18" t="s">
        <v>24</v>
      </c>
      <c r="C60" s="16" t="s">
        <v>26</v>
      </c>
      <c r="D60" s="19" t="s">
        <v>84</v>
      </c>
      <c r="E60" s="20" t="s">
        <v>1745</v>
      </c>
      <c r="F60" s="16" t="str">
        <f>_xlfn.XLOOKUP(D60,[2]DP!$F:$F,[2]DP!$E:$E,"-")</f>
        <v>DZULFIQAR SADDAM PRAKOSO</v>
      </c>
      <c r="G60" s="21"/>
    </row>
    <row r="61" spans="2:7">
      <c r="B61" s="18" t="s">
        <v>24</v>
      </c>
      <c r="C61" s="16" t="s">
        <v>26</v>
      </c>
      <c r="D61" s="19" t="s">
        <v>85</v>
      </c>
      <c r="E61" s="20" t="s">
        <v>1722</v>
      </c>
      <c r="F61" s="16" t="str">
        <f>_xlfn.XLOOKUP(D61,[2]DP!$F:$F,[2]DP!$E:$E,"-")</f>
        <v>BRIAN DANIEL</v>
      </c>
      <c r="G61" s="21"/>
    </row>
    <row r="62" spans="2:7">
      <c r="B62" s="18" t="s">
        <v>24</v>
      </c>
      <c r="C62" s="16" t="s">
        <v>26</v>
      </c>
      <c r="D62" s="19" t="s">
        <v>86</v>
      </c>
      <c r="E62" s="20" t="s">
        <v>1745</v>
      </c>
      <c r="F62" s="16" t="str">
        <f>_xlfn.XLOOKUP(D62,[2]DP!$F:$F,[2]DP!$E:$E,"-")</f>
        <v>ANJAR MAULANA</v>
      </c>
      <c r="G62" s="21"/>
    </row>
    <row r="63" spans="2:7">
      <c r="B63" s="18" t="s">
        <v>24</v>
      </c>
      <c r="C63" s="16" t="s">
        <v>26</v>
      </c>
      <c r="D63" s="19" t="s">
        <v>87</v>
      </c>
      <c r="E63" s="20" t="s">
        <v>1745</v>
      </c>
      <c r="F63" s="16" t="str">
        <f>_xlfn.XLOOKUP(D63,[2]DP!$F:$F,[2]DP!$E:$E,"-")</f>
        <v>REZA PRATAMA PUTRA</v>
      </c>
      <c r="G63" s="21"/>
    </row>
    <row r="64" spans="2:7">
      <c r="B64" s="18" t="s">
        <v>24</v>
      </c>
      <c r="C64" s="16" t="s">
        <v>26</v>
      </c>
      <c r="D64" s="19" t="s">
        <v>88</v>
      </c>
      <c r="E64" s="20" t="s">
        <v>1722</v>
      </c>
      <c r="F64" s="16" t="str">
        <f>_xlfn.XLOOKUP(D64,[2]DP!$F:$F,[2]DP!$E:$E,"-")</f>
        <v>SALEH</v>
      </c>
      <c r="G64" s="21"/>
    </row>
    <row r="65" spans="2:7">
      <c r="B65" s="18" t="s">
        <v>24</v>
      </c>
      <c r="C65" s="16" t="s">
        <v>26</v>
      </c>
      <c r="D65" s="19" t="s">
        <v>89</v>
      </c>
      <c r="E65" s="20" t="s">
        <v>1722</v>
      </c>
      <c r="F65" s="16" t="str">
        <f>_xlfn.XLOOKUP(D65,[2]DP!$F:$F,[2]DP!$E:$E,"-")</f>
        <v>IKHSAN ALIF AL MI' ROJ</v>
      </c>
      <c r="G65" s="21"/>
    </row>
    <row r="66" spans="2:7">
      <c r="B66" s="18" t="s">
        <v>24</v>
      </c>
      <c r="C66" s="16" t="s">
        <v>26</v>
      </c>
      <c r="D66" s="19" t="s">
        <v>90</v>
      </c>
      <c r="E66" s="20" t="s">
        <v>1745</v>
      </c>
      <c r="F66" s="16" t="str">
        <f>_xlfn.XLOOKUP(D66,[2]DP!$F:$F,[2]DP!$E:$E,"-")</f>
        <v>MOHAMAD IRVAN</v>
      </c>
      <c r="G66" s="21"/>
    </row>
    <row r="67" spans="2:7">
      <c r="B67" s="18" t="s">
        <v>24</v>
      </c>
      <c r="C67" s="16" t="s">
        <v>26</v>
      </c>
      <c r="D67" s="19" t="s">
        <v>91</v>
      </c>
      <c r="E67" s="20" t="s">
        <v>1745</v>
      </c>
      <c r="F67" s="16" t="str">
        <f>_xlfn.XLOOKUP(D67,[2]DP!$F:$F,[2]DP!$E:$E,"-")</f>
        <v>DWI PUTRO WARDOYO WIDODO</v>
      </c>
      <c r="G67" s="21"/>
    </row>
    <row r="68" spans="2:7">
      <c r="B68" s="18" t="s">
        <v>24</v>
      </c>
      <c r="C68" s="16" t="s">
        <v>26</v>
      </c>
      <c r="D68" s="19" t="s">
        <v>92</v>
      </c>
      <c r="E68" s="20" t="s">
        <v>1745</v>
      </c>
      <c r="F68" s="16" t="str">
        <f>_xlfn.XLOOKUP(D68,[2]DP!$F:$F,[2]DP!$E:$E,"-")</f>
        <v>OPI PAJAR IRAWAN</v>
      </c>
      <c r="G68" s="21"/>
    </row>
    <row r="69" spans="2:7">
      <c r="B69" s="18" t="s">
        <v>24</v>
      </c>
      <c r="C69" s="16" t="s">
        <v>26</v>
      </c>
      <c r="D69" s="19" t="s">
        <v>93</v>
      </c>
      <c r="E69" s="20" t="s">
        <v>1745</v>
      </c>
      <c r="F69" s="16" t="str">
        <f>_xlfn.XLOOKUP(D69,[2]DP!$F:$F,[2]DP!$E:$E,"-")</f>
        <v>KUAT PRAYITNO</v>
      </c>
      <c r="G69" s="21"/>
    </row>
    <row r="70" spans="2:7">
      <c r="B70" s="18" t="s">
        <v>24</v>
      </c>
      <c r="C70" s="16" t="s">
        <v>26</v>
      </c>
      <c r="D70" s="19" t="s">
        <v>94</v>
      </c>
      <c r="E70" s="20" t="s">
        <v>1745</v>
      </c>
      <c r="F70" s="16" t="str">
        <f>_xlfn.XLOOKUP(D70,[2]DP!$F:$F,[2]DP!$E:$E,"-")</f>
        <v>AGUNG RESTU MUSTAQIM</v>
      </c>
      <c r="G70" s="21"/>
    </row>
    <row r="71" spans="2:7">
      <c r="B71" s="18" t="s">
        <v>24</v>
      </c>
      <c r="C71" s="16" t="s">
        <v>26</v>
      </c>
      <c r="D71" s="19" t="s">
        <v>95</v>
      </c>
      <c r="E71" s="20" t="s">
        <v>1745</v>
      </c>
      <c r="F71" s="16" t="str">
        <f>_xlfn.XLOOKUP(D71,[2]DP!$F:$F,[2]DP!$E:$E,"-")</f>
        <v>MUHAMMAD SALISGIA</v>
      </c>
      <c r="G71" s="21"/>
    </row>
    <row r="72" spans="2:7">
      <c r="B72" s="18" t="s">
        <v>24</v>
      </c>
      <c r="C72" s="16" t="s">
        <v>26</v>
      </c>
      <c r="D72" s="19" t="s">
        <v>96</v>
      </c>
      <c r="E72" s="20" t="s">
        <v>1745</v>
      </c>
      <c r="F72" s="16" t="str">
        <f>_xlfn.XLOOKUP(D72,[2]DP!$F:$F,[2]DP!$E:$E,"-")</f>
        <v>FADHILLAH NURRACHMAN S</v>
      </c>
      <c r="G72" s="21"/>
    </row>
    <row r="73" spans="2:7">
      <c r="B73" s="18" t="s">
        <v>24</v>
      </c>
      <c r="C73" s="16" t="s">
        <v>26</v>
      </c>
      <c r="D73" s="19" t="s">
        <v>97</v>
      </c>
      <c r="E73" s="20" t="s">
        <v>1722</v>
      </c>
      <c r="F73" s="16" t="str">
        <f>_xlfn.XLOOKUP(D73,[2]DP!$F:$F,[2]DP!$E:$E,"-")</f>
        <v>FADHILLAH NURRACHMAN S</v>
      </c>
      <c r="G73" s="21"/>
    </row>
    <row r="74" spans="2:7">
      <c r="B74" s="18" t="s">
        <v>24</v>
      </c>
      <c r="C74" s="16" t="s">
        <v>26</v>
      </c>
      <c r="D74" s="19" t="s">
        <v>98</v>
      </c>
      <c r="E74" s="20" t="s">
        <v>1722</v>
      </c>
      <c r="F74" s="16" t="str">
        <f>_xlfn.XLOOKUP(D74,[2]DP!$F:$F,[2]DP!$E:$E,"-")</f>
        <v>AGUNG RESTU MUSTAQIM</v>
      </c>
      <c r="G74" s="21"/>
    </row>
    <row r="75" spans="2:7">
      <c r="B75" s="18" t="s">
        <v>99</v>
      </c>
      <c r="C75" s="16" t="s">
        <v>100</v>
      </c>
      <c r="D75" s="19" t="s">
        <v>101</v>
      </c>
      <c r="E75" s="20" t="s">
        <v>1745</v>
      </c>
      <c r="F75" s="16" t="str">
        <f>_xlfn.XLOOKUP(D75,'[3]DROP POINT AKTIF'!$B:$B,'[3]DROP POINT AKTIF'!$F:$F,"-")</f>
        <v>NIAMULLAH</v>
      </c>
      <c r="G75" s="21"/>
    </row>
    <row r="76" spans="2:7">
      <c r="B76" s="18" t="s">
        <v>99</v>
      </c>
      <c r="C76" s="16" t="s">
        <v>100</v>
      </c>
      <c r="D76" s="19" t="s">
        <v>102</v>
      </c>
      <c r="E76" s="20" t="s">
        <v>1745</v>
      </c>
      <c r="F76" s="16" t="str">
        <f>_xlfn.XLOOKUP(D76,'[3]DROP POINT AKTIF'!$B:$B,'[3]DROP POINT AKTIF'!$F:$F,"-")</f>
        <v>TEGUH ISWANTO</v>
      </c>
      <c r="G76" s="21"/>
    </row>
    <row r="77" spans="2:7">
      <c r="B77" s="18" t="s">
        <v>99</v>
      </c>
      <c r="C77" s="16" t="s">
        <v>100</v>
      </c>
      <c r="D77" s="19" t="s">
        <v>103</v>
      </c>
      <c r="E77" s="20" t="s">
        <v>1745</v>
      </c>
      <c r="F77" s="16" t="str">
        <f>_xlfn.XLOOKUP(D77,'[3]DROP POINT AKTIF'!$B:$B,'[3]DROP POINT AKTIF'!$F:$F,"-")</f>
        <v>RAMADANIALDI</v>
      </c>
      <c r="G77" s="21"/>
    </row>
    <row r="78" spans="2:7">
      <c r="B78" s="18" t="s">
        <v>99</v>
      </c>
      <c r="C78" s="16" t="s">
        <v>100</v>
      </c>
      <c r="D78" s="19" t="s">
        <v>104</v>
      </c>
      <c r="E78" s="20" t="s">
        <v>1745</v>
      </c>
      <c r="F78" s="16" t="str">
        <f>_xlfn.XLOOKUP(D78,'[3]DROP POINT AKTIF'!$B:$B,'[3]DROP POINT AKTIF'!$F:$F,"-")</f>
        <v>DEDE JUNA</v>
      </c>
      <c r="G78" s="21"/>
    </row>
    <row r="79" spans="2:7">
      <c r="B79" s="18" t="s">
        <v>99</v>
      </c>
      <c r="C79" s="16" t="s">
        <v>100</v>
      </c>
      <c r="D79" s="19" t="s">
        <v>105</v>
      </c>
      <c r="E79" s="20" t="s">
        <v>1745</v>
      </c>
      <c r="F79" s="16" t="str">
        <f>_xlfn.XLOOKUP(D79,'[3]DROP POINT AKTIF'!$B:$B,'[3]DROP POINT AKTIF'!$F:$F,"-")</f>
        <v>MOCH. JAJULI FAHMI</v>
      </c>
      <c r="G79" s="21"/>
    </row>
    <row r="80" spans="2:7">
      <c r="B80" s="18" t="s">
        <v>99</v>
      </c>
      <c r="C80" s="16" t="s">
        <v>100</v>
      </c>
      <c r="D80" s="19" t="s">
        <v>106</v>
      </c>
      <c r="E80" s="20" t="s">
        <v>1722</v>
      </c>
      <c r="F80" s="16" t="str">
        <f>_xlfn.XLOOKUP(D80,'[3]DROP POINT AKTIF'!$B:$B,'[3]DROP POINT AKTIF'!$F:$F,"-")</f>
        <v>ARIS HERMAWAN</v>
      </c>
      <c r="G80" s="21"/>
    </row>
    <row r="81" spans="2:7">
      <c r="B81" s="18" t="s">
        <v>99</v>
      </c>
      <c r="C81" s="16" t="s">
        <v>100</v>
      </c>
      <c r="D81" s="19" t="s">
        <v>107</v>
      </c>
      <c r="E81" s="20" t="s">
        <v>1722</v>
      </c>
      <c r="F81" s="16" t="str">
        <f>_xlfn.XLOOKUP(D81,'[3]DROP POINT AKTIF'!$B:$B,'[3]DROP POINT AKTIF'!$F:$F,"-")</f>
        <v>IBNU FADILLAH</v>
      </c>
      <c r="G81" s="21"/>
    </row>
    <row r="82" spans="2:7">
      <c r="B82" s="18" t="s">
        <v>99</v>
      </c>
      <c r="C82" s="16" t="s">
        <v>100</v>
      </c>
      <c r="D82" s="19" t="s">
        <v>108</v>
      </c>
      <c r="E82" s="20" t="s">
        <v>1722</v>
      </c>
      <c r="F82" s="16" t="str">
        <f>_xlfn.XLOOKUP(D82,'[3]DROP POINT AKTIF'!$B:$B,'[3]DROP POINT AKTIF'!$F:$F,"-")</f>
        <v>MOHAMAD JUNAEDI FIRMANSYAH</v>
      </c>
      <c r="G82" s="21"/>
    </row>
    <row r="83" spans="2:7">
      <c r="B83" s="18" t="s">
        <v>99</v>
      </c>
      <c r="C83" s="16" t="s">
        <v>100</v>
      </c>
      <c r="D83" s="19" t="s">
        <v>109</v>
      </c>
      <c r="E83" s="20" t="s">
        <v>1722</v>
      </c>
      <c r="F83" s="16" t="str">
        <f>_xlfn.XLOOKUP(D83,'[3]DROP POINT AKTIF'!$B:$B,'[3]DROP POINT AKTIF'!$F:$F,"-")</f>
        <v>MOCH. JAJULI FAHMI</v>
      </c>
      <c r="G83" s="21"/>
    </row>
    <row r="84" spans="2:7">
      <c r="B84" s="18" t="s">
        <v>99</v>
      </c>
      <c r="C84" s="16" t="s">
        <v>100</v>
      </c>
      <c r="D84" s="19" t="s">
        <v>110</v>
      </c>
      <c r="E84" s="20" t="s">
        <v>1722</v>
      </c>
      <c r="F84" s="16" t="str">
        <f>_xlfn.XLOOKUP(D84,'[3]DROP POINT AKTIF'!$B:$B,'[3]DROP POINT AKTIF'!$F:$F,"-")</f>
        <v>HANDOKO</v>
      </c>
      <c r="G84" s="21"/>
    </row>
    <row r="85" spans="2:7">
      <c r="B85" s="18" t="s">
        <v>99</v>
      </c>
      <c r="C85" s="16" t="s">
        <v>100</v>
      </c>
      <c r="D85" s="19" t="s">
        <v>111</v>
      </c>
      <c r="E85" s="20" t="s">
        <v>1722</v>
      </c>
      <c r="F85" s="16" t="str">
        <f>_xlfn.XLOOKUP(D85,'[3]DROP POINT AKTIF'!$B:$B,'[3]DROP POINT AKTIF'!$F:$F,"-")</f>
        <v>MOHAMAD KAHIS</v>
      </c>
      <c r="G85" s="21"/>
    </row>
    <row r="86" spans="2:7">
      <c r="B86" s="18" t="s">
        <v>99</v>
      </c>
      <c r="C86" s="16" t="s">
        <v>100</v>
      </c>
      <c r="D86" s="19" t="s">
        <v>112</v>
      </c>
      <c r="E86" s="20" t="s">
        <v>1722</v>
      </c>
      <c r="F86" s="16" t="str">
        <f>_xlfn.XLOOKUP(D86,'[3]DROP POINT AKTIF'!$B:$B,'[3]DROP POINT AKTIF'!$F:$F,"-")</f>
        <v>CATUR MAY ANDRIAN</v>
      </c>
      <c r="G86" s="21"/>
    </row>
    <row r="87" spans="2:7">
      <c r="B87" s="18" t="s">
        <v>99</v>
      </c>
      <c r="C87" s="16" t="s">
        <v>100</v>
      </c>
      <c r="D87" s="19" t="s">
        <v>113</v>
      </c>
      <c r="E87" s="20" t="s">
        <v>1722</v>
      </c>
      <c r="F87" s="16" t="str">
        <f>_xlfn.XLOOKUP(D87,'[3]DROP POINT AKTIF'!$B:$B,'[3]DROP POINT AKTIF'!$F:$F,"-")</f>
        <v>NOVA ANDRIANTO</v>
      </c>
      <c r="G87" s="21"/>
    </row>
    <row r="88" spans="2:7">
      <c r="B88" s="18" t="s">
        <v>99</v>
      </c>
      <c r="C88" s="16" t="s">
        <v>100</v>
      </c>
      <c r="D88" s="19" t="s">
        <v>114</v>
      </c>
      <c r="E88" s="20" t="s">
        <v>1722</v>
      </c>
      <c r="F88" s="16" t="str">
        <f>_xlfn.XLOOKUP(D88,'[3]DROP POINT AKTIF'!$B:$B,'[3]DROP POINT AKTIF'!$F:$F,"-")</f>
        <v>NOVA ANDRIANTO</v>
      </c>
      <c r="G88" s="21"/>
    </row>
    <row r="89" spans="2:7">
      <c r="B89" s="18" t="s">
        <v>99</v>
      </c>
      <c r="C89" s="16" t="s">
        <v>100</v>
      </c>
      <c r="D89" s="19" t="s">
        <v>115</v>
      </c>
      <c r="E89" s="20" t="s">
        <v>1745</v>
      </c>
      <c r="F89" s="16" t="str">
        <f>_xlfn.XLOOKUP(D89,'[3]DROP POINT AKTIF'!$B:$B,'[3]DROP POINT AKTIF'!$F:$F,"-")</f>
        <v>MUHAMAD WILDAN</v>
      </c>
      <c r="G89" s="21"/>
    </row>
    <row r="90" spans="2:7">
      <c r="B90" s="18" t="s">
        <v>99</v>
      </c>
      <c r="C90" s="16" t="s">
        <v>100</v>
      </c>
      <c r="D90" s="19" t="s">
        <v>116</v>
      </c>
      <c r="E90" s="20" t="s">
        <v>1745</v>
      </c>
      <c r="F90" s="16" t="str">
        <f>_xlfn.XLOOKUP(D90,'[3]DROP POINT AKTIF'!$B:$B,'[3]DROP POINT AKTIF'!$F:$F,"-")</f>
        <v>MUHAMMAD LUTFI</v>
      </c>
      <c r="G90" s="21"/>
    </row>
    <row r="91" spans="2:7">
      <c r="B91" s="18" t="s">
        <v>99</v>
      </c>
      <c r="C91" s="16" t="s">
        <v>100</v>
      </c>
      <c r="D91" s="19" t="s">
        <v>117</v>
      </c>
      <c r="E91" s="20" t="s">
        <v>1722</v>
      </c>
      <c r="F91" s="16" t="str">
        <f>_xlfn.XLOOKUP(D91,'[3]DROP POINT AKTIF'!$B:$B,'[3]DROP POINT AKTIF'!$F:$F,"-")</f>
        <v>DHIAS WIKRAMA ATMAJA</v>
      </c>
      <c r="G91" s="21"/>
    </row>
    <row r="92" spans="2:7">
      <c r="B92" s="18" t="s">
        <v>99</v>
      </c>
      <c r="C92" s="16" t="s">
        <v>100</v>
      </c>
      <c r="D92" s="19" t="s">
        <v>118</v>
      </c>
      <c r="E92" s="20" t="s">
        <v>1722</v>
      </c>
      <c r="F92" s="16" t="str">
        <f>_xlfn.XLOOKUP(D92,'[3]DROP POINT AKTIF'!$B:$B,'[3]DROP POINT AKTIF'!$F:$F,"-")</f>
        <v>ANDI WIDIARTO</v>
      </c>
      <c r="G92" s="21"/>
    </row>
    <row r="93" spans="2:7">
      <c r="B93" s="18" t="s">
        <v>99</v>
      </c>
      <c r="C93" s="16" t="s">
        <v>100</v>
      </c>
      <c r="D93" s="19" t="s">
        <v>119</v>
      </c>
      <c r="E93" s="20" t="s">
        <v>1722</v>
      </c>
      <c r="F93" s="16" t="str">
        <f>_xlfn.XLOOKUP(D93,'[3]DROP POINT AKTIF'!$B:$B,'[3]DROP POINT AKTIF'!$F:$F,"-")</f>
        <v>SARYONO</v>
      </c>
      <c r="G93" s="21"/>
    </row>
    <row r="94" spans="2:7">
      <c r="B94" s="18" t="s">
        <v>99</v>
      </c>
      <c r="C94" s="16" t="s">
        <v>100</v>
      </c>
      <c r="D94" s="19" t="s">
        <v>120</v>
      </c>
      <c r="E94" s="20" t="s">
        <v>1722</v>
      </c>
      <c r="F94" s="16" t="str">
        <f>_xlfn.XLOOKUP(D94,'[3]DROP POINT AKTIF'!$B:$B,'[3]DROP POINT AKTIF'!$F:$F,"-")</f>
        <v>ANGGATIO</v>
      </c>
      <c r="G94" s="21"/>
    </row>
    <row r="95" spans="2:7">
      <c r="B95" s="18" t="s">
        <v>99</v>
      </c>
      <c r="C95" s="16" t="s">
        <v>100</v>
      </c>
      <c r="D95" s="19" t="s">
        <v>121</v>
      </c>
      <c r="E95" s="20" t="s">
        <v>1722</v>
      </c>
      <c r="F95" s="16" t="str">
        <f>_xlfn.XLOOKUP(D95,'[3]DROP POINT AKTIF'!$B:$B,'[3]DROP POINT AKTIF'!$F:$F,"-")</f>
        <v>MUHAMMAD RIFKI</v>
      </c>
      <c r="G95" s="21"/>
    </row>
    <row r="96" spans="2:7">
      <c r="B96" s="18" t="s">
        <v>99</v>
      </c>
      <c r="C96" s="16" t="s">
        <v>100</v>
      </c>
      <c r="D96" s="19" t="s">
        <v>122</v>
      </c>
      <c r="E96" s="20" t="s">
        <v>1722</v>
      </c>
      <c r="F96" s="16" t="str">
        <f>_xlfn.XLOOKUP(D96,'[3]DROP POINT AKTIF'!$B:$B,'[3]DROP POINT AKTIF'!$F:$F,"-")</f>
        <v>SUPYAN SAURI</v>
      </c>
      <c r="G96" s="21"/>
    </row>
    <row r="97" spans="2:7">
      <c r="B97" s="18" t="s">
        <v>99</v>
      </c>
      <c r="C97" s="16" t="s">
        <v>100</v>
      </c>
      <c r="D97" s="19" t="s">
        <v>123</v>
      </c>
      <c r="E97" s="20" t="s">
        <v>1722</v>
      </c>
      <c r="F97" s="16" t="str">
        <f>_xlfn.XLOOKUP(D97,'[3]DROP POINT AKTIF'!$B:$B,'[3]DROP POINT AKTIF'!$F:$F,"-")</f>
        <v>-</v>
      </c>
      <c r="G97" s="21"/>
    </row>
    <row r="98" spans="2:7">
      <c r="B98" s="18" t="s">
        <v>99</v>
      </c>
      <c r="C98" s="16" t="s">
        <v>100</v>
      </c>
      <c r="D98" s="19" t="s">
        <v>124</v>
      </c>
      <c r="E98" s="20" t="s">
        <v>1745</v>
      </c>
      <c r="F98" s="16" t="str">
        <f>_xlfn.XLOOKUP(D98,'[3]DROP POINT AKTIF'!$B:$B,'[3]DROP POINT AKTIF'!$F:$F,"-")</f>
        <v>YUSTRIZA ENDISYA</v>
      </c>
      <c r="G98" s="21"/>
    </row>
    <row r="99" spans="2:7">
      <c r="B99" s="18" t="s">
        <v>99</v>
      </c>
      <c r="C99" s="16" t="s">
        <v>100</v>
      </c>
      <c r="D99" s="19" t="s">
        <v>126</v>
      </c>
      <c r="E99" s="20" t="s">
        <v>1745</v>
      </c>
      <c r="F99" s="16" t="str">
        <f>_xlfn.XLOOKUP(D99,'[3]DROP POINT AKTIF'!$B:$B,'[3]DROP POINT AKTIF'!$F:$F,"-")</f>
        <v>YUSTRIZA ENDISYA</v>
      </c>
      <c r="G99" s="21"/>
    </row>
    <row r="100" spans="2:7">
      <c r="B100" s="18" t="s">
        <v>99</v>
      </c>
      <c r="C100" s="16" t="s">
        <v>100</v>
      </c>
      <c r="D100" s="19" t="s">
        <v>127</v>
      </c>
      <c r="E100" s="20" t="s">
        <v>1745</v>
      </c>
      <c r="F100" s="16" t="str">
        <f>_xlfn.XLOOKUP(D100,'[3]DROP POINT AKTIF'!$B:$B,'[3]DROP POINT AKTIF'!$F:$F,"-")</f>
        <v>ARIF SETIANTO</v>
      </c>
      <c r="G100" s="21"/>
    </row>
    <row r="101" spans="2:7">
      <c r="B101" s="18" t="s">
        <v>99</v>
      </c>
      <c r="C101" s="16" t="s">
        <v>100</v>
      </c>
      <c r="D101" s="19" t="s">
        <v>128</v>
      </c>
      <c r="E101" s="20" t="s">
        <v>1722</v>
      </c>
      <c r="F101" s="16" t="str">
        <f>_xlfn.XLOOKUP(D101,'[3]DROP POINT AKTIF'!$B:$B,'[3]DROP POINT AKTIF'!$F:$F,"-")</f>
        <v>ALFAN AZIZ</v>
      </c>
      <c r="G101" s="21"/>
    </row>
    <row r="102" spans="2:7">
      <c r="B102" s="18" t="s">
        <v>99</v>
      </c>
      <c r="C102" s="16" t="s">
        <v>100</v>
      </c>
      <c r="D102" s="19" t="s">
        <v>129</v>
      </c>
      <c r="E102" s="20" t="s">
        <v>1722</v>
      </c>
      <c r="F102" s="16" t="str">
        <f>_xlfn.XLOOKUP(D102,'[3]DROP POINT AKTIF'!$B:$B,'[3]DROP POINT AKTIF'!$F:$F,"-")</f>
        <v>NUZUL</v>
      </c>
      <c r="G102" s="21"/>
    </row>
    <row r="103" spans="2:7">
      <c r="B103" s="18" t="s">
        <v>99</v>
      </c>
      <c r="C103" s="16" t="s">
        <v>100</v>
      </c>
      <c r="D103" s="19" t="s">
        <v>130</v>
      </c>
      <c r="E103" s="20" t="s">
        <v>1745</v>
      </c>
      <c r="F103" s="16" t="str">
        <f>_xlfn.XLOOKUP(D103,'[3]DROP POINT AKTIF'!$B:$B,'[3]DROP POINT AKTIF'!$F:$F,"-")</f>
        <v>KOMARUDIN</v>
      </c>
      <c r="G103" s="21"/>
    </row>
    <row r="104" spans="2:7">
      <c r="B104" s="18" t="s">
        <v>99</v>
      </c>
      <c r="C104" s="16" t="s">
        <v>100</v>
      </c>
      <c r="D104" s="19" t="s">
        <v>131</v>
      </c>
      <c r="E104" s="20" t="s">
        <v>1745</v>
      </c>
      <c r="F104" s="16" t="str">
        <f>_xlfn.XLOOKUP(D104,'[3]DROP POINT AKTIF'!$B:$B,'[3]DROP POINT AKTIF'!$F:$F,"-")</f>
        <v>TEGAR PRAKOSO</v>
      </c>
      <c r="G104" s="21"/>
    </row>
    <row r="105" spans="2:7">
      <c r="B105" s="18" t="s">
        <v>99</v>
      </c>
      <c r="C105" s="16" t="s">
        <v>100</v>
      </c>
      <c r="D105" s="19" t="s">
        <v>132</v>
      </c>
      <c r="E105" s="20" t="s">
        <v>1722</v>
      </c>
      <c r="F105" s="16" t="str">
        <f>_xlfn.XLOOKUP(D105,'[3]DROP POINT AKTIF'!$B:$B,'[3]DROP POINT AKTIF'!$F:$F,"-")</f>
        <v>KOMARUDIN</v>
      </c>
      <c r="G105" s="21"/>
    </row>
    <row r="106" spans="2:7">
      <c r="B106" s="18" t="s">
        <v>99</v>
      </c>
      <c r="C106" s="16" t="s">
        <v>100</v>
      </c>
      <c r="D106" s="19" t="s">
        <v>133</v>
      </c>
      <c r="E106" s="20" t="s">
        <v>1745</v>
      </c>
      <c r="F106" s="16" t="str">
        <f>_xlfn.XLOOKUP(D106,'[3]DROP POINT AKTIF'!$B:$B,'[3]DROP POINT AKTIF'!$F:$F,"-")</f>
        <v>ARIEF SOFYAN</v>
      </c>
      <c r="G106" s="21"/>
    </row>
    <row r="107" spans="2:7">
      <c r="B107" s="18" t="s">
        <v>99</v>
      </c>
      <c r="C107" s="16" t="s">
        <v>100</v>
      </c>
      <c r="D107" s="19" t="s">
        <v>134</v>
      </c>
      <c r="E107" s="20" t="s">
        <v>1745</v>
      </c>
      <c r="F107" s="16" t="str">
        <f>_xlfn.XLOOKUP(D107,'[3]DROP POINT AKTIF'!$B:$B,'[3]DROP POINT AKTIF'!$F:$F,"-")</f>
        <v>YUSTRIZA ENDISYA</v>
      </c>
      <c r="G107" s="21"/>
    </row>
    <row r="108" spans="2:7">
      <c r="B108" s="18" t="s">
        <v>99</v>
      </c>
      <c r="C108" s="16" t="s">
        <v>100</v>
      </c>
      <c r="D108" s="19" t="s">
        <v>135</v>
      </c>
      <c r="E108" s="20" t="s">
        <v>1745</v>
      </c>
      <c r="F108" s="16" t="str">
        <f>_xlfn.XLOOKUP(D108,'[3]DROP POINT AKTIF'!$B:$B,'[3]DROP POINT AKTIF'!$F:$F,"-")</f>
        <v>SYAHRUL RAMDANI</v>
      </c>
      <c r="G108" s="21"/>
    </row>
    <row r="109" spans="2:7">
      <c r="B109" s="18" t="s">
        <v>99</v>
      </c>
      <c r="C109" s="16" t="s">
        <v>100</v>
      </c>
      <c r="D109" s="19" t="s">
        <v>136</v>
      </c>
      <c r="E109" s="20" t="s">
        <v>1745</v>
      </c>
      <c r="F109" s="16" t="str">
        <f>_xlfn.XLOOKUP(D109,'[3]DROP POINT AKTIF'!$B:$B,'[3]DROP POINT AKTIF'!$F:$F,"-")</f>
        <v>ANDRI ATMAJA</v>
      </c>
      <c r="G109" s="21"/>
    </row>
    <row r="110" spans="2:7">
      <c r="B110" s="18" t="s">
        <v>99</v>
      </c>
      <c r="C110" s="16" t="s">
        <v>100</v>
      </c>
      <c r="D110" s="19" t="s">
        <v>137</v>
      </c>
      <c r="E110" s="20" t="s">
        <v>1722</v>
      </c>
      <c r="F110" s="16" t="str">
        <f>_xlfn.XLOOKUP(D110,'[3]DROP POINT AKTIF'!$B:$B,'[3]DROP POINT AKTIF'!$F:$F,"-")</f>
        <v>MUCHTAR NUR RAMDAN (AAM)</v>
      </c>
      <c r="G110" s="21"/>
    </row>
    <row r="111" spans="2:7">
      <c r="B111" s="18" t="s">
        <v>99</v>
      </c>
      <c r="C111" s="16" t="s">
        <v>100</v>
      </c>
      <c r="D111" s="19" t="s">
        <v>138</v>
      </c>
      <c r="E111" s="20" t="s">
        <v>1745</v>
      </c>
      <c r="F111" s="16" t="str">
        <f>_xlfn.XLOOKUP(D111,'[3]DROP POINT AKTIF'!$B:$B,'[3]DROP POINT AKTIF'!$F:$F,"-")</f>
        <v>MUHAMAD DEDENG</v>
      </c>
      <c r="G111" s="21"/>
    </row>
    <row r="112" spans="2:7">
      <c r="B112" s="18" t="s">
        <v>99</v>
      </c>
      <c r="C112" s="16" t="s">
        <v>100</v>
      </c>
      <c r="D112" s="19" t="s">
        <v>139</v>
      </c>
      <c r="E112" s="20" t="s">
        <v>1745</v>
      </c>
      <c r="F112" s="16" t="str">
        <f>_xlfn.XLOOKUP(D112,'[3]DROP POINT AKTIF'!$B:$B,'[3]DROP POINT AKTIF'!$F:$F,"-")</f>
        <v>DEDI KUMAEDI</v>
      </c>
      <c r="G112" s="21"/>
    </row>
    <row r="113" spans="2:7">
      <c r="B113" s="18" t="s">
        <v>99</v>
      </c>
      <c r="C113" s="16" t="s">
        <v>100</v>
      </c>
      <c r="D113" s="19" t="s">
        <v>140</v>
      </c>
      <c r="E113" s="20" t="s">
        <v>1745</v>
      </c>
      <c r="F113" s="16" t="str">
        <f>_xlfn.XLOOKUP(D113,'[3]DROP POINT AKTIF'!$B:$B,'[3]DROP POINT AKTIF'!$F:$F,"-")</f>
        <v>AMDI MUBAROK</v>
      </c>
      <c r="G113" s="21"/>
    </row>
    <row r="114" spans="2:7">
      <c r="B114" s="18" t="s">
        <v>99</v>
      </c>
      <c r="C114" s="16" t="s">
        <v>100</v>
      </c>
      <c r="D114" s="19" t="s">
        <v>141</v>
      </c>
      <c r="E114" s="20" t="s">
        <v>1745</v>
      </c>
      <c r="F114" s="16" t="str">
        <f>_xlfn.XLOOKUP(D114,'[3]DROP POINT AKTIF'!$B:$B,'[3]DROP POINT AKTIF'!$F:$F,"-")</f>
        <v>MOCH MATIN</v>
      </c>
      <c r="G114" s="21"/>
    </row>
    <row r="115" spans="2:7">
      <c r="B115" s="18" t="s">
        <v>99</v>
      </c>
      <c r="C115" s="16" t="s">
        <v>100</v>
      </c>
      <c r="D115" s="19" t="s">
        <v>142</v>
      </c>
      <c r="E115" s="20" t="s">
        <v>1745</v>
      </c>
      <c r="F115" s="16" t="str">
        <f>_xlfn.XLOOKUP(D115,'[3]DROP POINT AKTIF'!$B:$B,'[3]DROP POINT AKTIF'!$F:$F,"-")</f>
        <v>JUHANDI</v>
      </c>
      <c r="G115" s="21"/>
    </row>
    <row r="116" spans="2:7">
      <c r="B116" s="18" t="s">
        <v>99</v>
      </c>
      <c r="C116" s="16" t="s">
        <v>100</v>
      </c>
      <c r="D116" s="19" t="s">
        <v>143</v>
      </c>
      <c r="E116" s="20" t="s">
        <v>1745</v>
      </c>
      <c r="F116" s="16" t="str">
        <f>_xlfn.XLOOKUP(D116,'[3]DROP POINT AKTIF'!$B:$B,'[3]DROP POINT AKTIF'!$F:$F,"-")</f>
        <v>AZAT SUDRAJAT</v>
      </c>
      <c r="G116" s="21"/>
    </row>
    <row r="117" spans="2:7">
      <c r="B117" s="18" t="s">
        <v>99</v>
      </c>
      <c r="C117" s="16" t="s">
        <v>100</v>
      </c>
      <c r="D117" s="19" t="s">
        <v>144</v>
      </c>
      <c r="E117" s="20" t="s">
        <v>1745</v>
      </c>
      <c r="F117" s="16" t="str">
        <f>_xlfn.XLOOKUP(D117,'[3]DROP POINT AKTIF'!$B:$B,'[3]DROP POINT AKTIF'!$F:$F,"-")</f>
        <v>ROHMAN</v>
      </c>
      <c r="G117" s="21"/>
    </row>
    <row r="118" spans="2:7">
      <c r="B118" s="18" t="s">
        <v>99</v>
      </c>
      <c r="C118" s="16" t="s">
        <v>100</v>
      </c>
      <c r="D118" s="19" t="s">
        <v>145</v>
      </c>
      <c r="E118" s="20" t="s">
        <v>1745</v>
      </c>
      <c r="F118" s="16" t="str">
        <f>_xlfn.XLOOKUP(D118,'[3]DROP POINT AKTIF'!$B:$B,'[3]DROP POINT AKTIF'!$F:$F,"-")</f>
        <v>DEDI KUMAEDI</v>
      </c>
      <c r="G118" s="21"/>
    </row>
    <row r="119" spans="2:7">
      <c r="B119" s="18" t="s">
        <v>99</v>
      </c>
      <c r="C119" s="16" t="s">
        <v>100</v>
      </c>
      <c r="D119" s="19" t="s">
        <v>146</v>
      </c>
      <c r="E119" s="20" t="s">
        <v>1745</v>
      </c>
      <c r="F119" s="16" t="str">
        <f>_xlfn.XLOOKUP(D119,'[3]DROP POINT AKTIF'!$B:$B,'[3]DROP POINT AKTIF'!$F:$F,"-")</f>
        <v>WAHYUDIN</v>
      </c>
      <c r="G119" s="21"/>
    </row>
    <row r="120" spans="2:7">
      <c r="B120" s="18" t="s">
        <v>99</v>
      </c>
      <c r="C120" s="16" t="s">
        <v>100</v>
      </c>
      <c r="D120" s="19" t="s">
        <v>147</v>
      </c>
      <c r="E120" s="20" t="s">
        <v>1745</v>
      </c>
      <c r="F120" s="16" t="str">
        <f>_xlfn.XLOOKUP(D120,'[3]DROP POINT AKTIF'!$B:$B,'[3]DROP POINT AKTIF'!$F:$F,"-")</f>
        <v>WAHYUDIN</v>
      </c>
      <c r="G120" s="21"/>
    </row>
    <row r="121" spans="2:7">
      <c r="B121" s="18" t="s">
        <v>99</v>
      </c>
      <c r="C121" s="16" t="s">
        <v>100</v>
      </c>
      <c r="D121" s="19" t="s">
        <v>148</v>
      </c>
      <c r="E121" s="20" t="s">
        <v>1745</v>
      </c>
      <c r="F121" s="16" t="str">
        <f>_xlfn.XLOOKUP(D121,'[3]DROP POINT AKTIF'!$B:$B,'[3]DROP POINT AKTIF'!$F:$F,"-")</f>
        <v>IRIYANTO</v>
      </c>
      <c r="G121" s="21"/>
    </row>
    <row r="122" spans="2:7">
      <c r="B122" s="18" t="s">
        <v>99</v>
      </c>
      <c r="C122" s="16" t="s">
        <v>100</v>
      </c>
      <c r="D122" s="19" t="s">
        <v>149</v>
      </c>
      <c r="E122" s="20" t="s">
        <v>1745</v>
      </c>
      <c r="F122" s="16" t="str">
        <f>_xlfn.XLOOKUP(D122,'[3]DROP POINT AKTIF'!$B:$B,'[3]DROP POINT AKTIF'!$F:$F,"-")</f>
        <v>ADIT PURNADILATA</v>
      </c>
      <c r="G122" s="21"/>
    </row>
    <row r="123" spans="2:7">
      <c r="B123" s="18" t="s">
        <v>99</v>
      </c>
      <c r="C123" s="16" t="s">
        <v>100</v>
      </c>
      <c r="D123" s="19" t="s">
        <v>150</v>
      </c>
      <c r="E123" s="20" t="s">
        <v>1745</v>
      </c>
      <c r="F123" s="16" t="str">
        <f>_xlfn.XLOOKUP(D123,'[3]DROP POINT AKTIF'!$B:$B,'[3]DROP POINT AKTIF'!$F:$F,"-")</f>
        <v>ROBI FARLI</v>
      </c>
      <c r="G123" s="21"/>
    </row>
    <row r="124" spans="2:7">
      <c r="B124" s="18" t="s">
        <v>99</v>
      </c>
      <c r="C124" s="16" t="s">
        <v>100</v>
      </c>
      <c r="D124" s="19" t="s">
        <v>151</v>
      </c>
      <c r="E124" s="20" t="s">
        <v>1745</v>
      </c>
      <c r="F124" s="16" t="str">
        <f>_xlfn.XLOOKUP(D124,'[3]DROP POINT AKTIF'!$B:$B,'[3]DROP POINT AKTIF'!$F:$F,"-")</f>
        <v>WAHYUDIN</v>
      </c>
      <c r="G124" s="21"/>
    </row>
    <row r="125" spans="2:7">
      <c r="B125" s="18" t="s">
        <v>99</v>
      </c>
      <c r="C125" s="16" t="s">
        <v>100</v>
      </c>
      <c r="D125" s="19" t="s">
        <v>152</v>
      </c>
      <c r="E125" s="20" t="s">
        <v>1745</v>
      </c>
      <c r="F125" s="16" t="str">
        <f>_xlfn.XLOOKUP(D125,'[3]DROP POINT AKTIF'!$B:$B,'[3]DROP POINT AKTIF'!$F:$F,"-")</f>
        <v>ROBI FARLI</v>
      </c>
      <c r="G125" s="21"/>
    </row>
    <row r="126" spans="2:7">
      <c r="B126" s="18" t="s">
        <v>99</v>
      </c>
      <c r="C126" s="16" t="s">
        <v>100</v>
      </c>
      <c r="D126" s="19" t="s">
        <v>153</v>
      </c>
      <c r="E126" s="20" t="s">
        <v>1745</v>
      </c>
      <c r="F126" s="16" t="str">
        <f>_xlfn.XLOOKUP(D126,'[3]DROP POINT AKTIF'!$B:$B,'[3]DROP POINT AKTIF'!$F:$F,"-")</f>
        <v>ROBI FARLI</v>
      </c>
      <c r="G126" s="21"/>
    </row>
    <row r="127" spans="2:7">
      <c r="B127" s="18" t="s">
        <v>99</v>
      </c>
      <c r="C127" s="16" t="s">
        <v>100</v>
      </c>
      <c r="D127" s="19" t="s">
        <v>154</v>
      </c>
      <c r="E127" s="20" t="s">
        <v>1745</v>
      </c>
      <c r="F127" s="16" t="str">
        <f>_xlfn.XLOOKUP(D127,'[3]DROP POINT AKTIF'!$B:$B,'[3]DROP POINT AKTIF'!$F:$F,"-")</f>
        <v>AMDI MUBAROK</v>
      </c>
      <c r="G127" s="21"/>
    </row>
    <row r="128" spans="2:7">
      <c r="B128" s="18" t="s">
        <v>99</v>
      </c>
      <c r="C128" s="16" t="s">
        <v>100</v>
      </c>
      <c r="D128" s="19" t="s">
        <v>155</v>
      </c>
      <c r="E128" s="20" t="s">
        <v>1745</v>
      </c>
      <c r="F128" s="16" t="str">
        <f>_xlfn.XLOOKUP(D128,'[3]DROP POINT AKTIF'!$B:$B,'[3]DROP POINT AKTIF'!$F:$F,"-")</f>
        <v>MOCH MATIN</v>
      </c>
      <c r="G128" s="21"/>
    </row>
    <row r="129" spans="2:7">
      <c r="B129" s="18" t="s">
        <v>99</v>
      </c>
      <c r="C129" s="16" t="s">
        <v>100</v>
      </c>
      <c r="D129" s="19" t="s">
        <v>156</v>
      </c>
      <c r="E129" s="20" t="s">
        <v>1745</v>
      </c>
      <c r="F129" s="16" t="str">
        <f>_xlfn.XLOOKUP(D129,'[3]DROP POINT AKTIF'!$B:$B,'[3]DROP POINT AKTIF'!$F:$F,"-")</f>
        <v>FAHRI PRATAMA</v>
      </c>
      <c r="G129" s="21"/>
    </row>
    <row r="130" spans="2:7">
      <c r="B130" s="18" t="s">
        <v>99</v>
      </c>
      <c r="C130" s="16" t="s">
        <v>100</v>
      </c>
      <c r="D130" s="19" t="s">
        <v>157</v>
      </c>
      <c r="E130" s="20" t="s">
        <v>1745</v>
      </c>
      <c r="F130" s="16" t="str">
        <f>_xlfn.XLOOKUP(D130,'[3]DROP POINT AKTIF'!$B:$B,'[3]DROP POINT AKTIF'!$F:$F,"-")</f>
        <v>MUHAMAD DEDENG</v>
      </c>
      <c r="G130" s="21"/>
    </row>
    <row r="131" spans="2:7">
      <c r="B131" s="18" t="s">
        <v>99</v>
      </c>
      <c r="C131" s="16" t="s">
        <v>100</v>
      </c>
      <c r="D131" s="19" t="s">
        <v>158</v>
      </c>
      <c r="E131" s="20" t="s">
        <v>1745</v>
      </c>
      <c r="F131" s="16" t="str">
        <f>_xlfn.XLOOKUP(D131,'[3]DROP POINT AKTIF'!$B:$B,'[3]DROP POINT AKTIF'!$F:$F,"-")</f>
        <v>ADIT PURNADILATA</v>
      </c>
      <c r="G131" s="21"/>
    </row>
    <row r="132" spans="2:7">
      <c r="B132" s="18" t="s">
        <v>99</v>
      </c>
      <c r="C132" s="16" t="s">
        <v>100</v>
      </c>
      <c r="D132" s="19" t="s">
        <v>159</v>
      </c>
      <c r="E132" s="20" t="s">
        <v>1745</v>
      </c>
      <c r="F132" s="16" t="str">
        <f>_xlfn.XLOOKUP(D132,'[3]DROP POINT AKTIF'!$B:$B,'[3]DROP POINT AKTIF'!$F:$F,"-")</f>
        <v>ROHMAN</v>
      </c>
      <c r="G132" s="21"/>
    </row>
    <row r="133" spans="2:7">
      <c r="B133" s="18" t="s">
        <v>99</v>
      </c>
      <c r="C133" s="16" t="s">
        <v>100</v>
      </c>
      <c r="D133" s="19" t="s">
        <v>160</v>
      </c>
      <c r="E133" s="20" t="s">
        <v>1745</v>
      </c>
      <c r="F133" s="16" t="str">
        <f>_xlfn.XLOOKUP(D133,'[3]DROP POINT AKTIF'!$B:$B,'[3]DROP POINT AKTIF'!$F:$F,"-")</f>
        <v>DEDI KUMAEDI</v>
      </c>
      <c r="G133" s="21"/>
    </row>
    <row r="134" spans="2:7">
      <c r="B134" s="18" t="s">
        <v>99</v>
      </c>
      <c r="C134" s="16" t="s">
        <v>100</v>
      </c>
      <c r="D134" s="19" t="s">
        <v>161</v>
      </c>
      <c r="E134" s="20" t="s">
        <v>1745</v>
      </c>
      <c r="F134" s="16" t="str">
        <f>_xlfn.XLOOKUP(D134,'[3]DROP POINT AKTIF'!$B:$B,'[3]DROP POINT AKTIF'!$F:$F,"-")</f>
        <v>HENDRA SAPUTRA</v>
      </c>
      <c r="G134" s="21"/>
    </row>
    <row r="135" spans="2:7">
      <c r="B135" s="18" t="s">
        <v>99</v>
      </c>
      <c r="C135" s="16" t="s">
        <v>100</v>
      </c>
      <c r="D135" s="19" t="s">
        <v>162</v>
      </c>
      <c r="E135" s="20" t="s">
        <v>1745</v>
      </c>
      <c r="F135" s="16" t="str">
        <f>_xlfn.XLOOKUP(D135,'[3]DROP POINT AKTIF'!$B:$B,'[3]DROP POINT AKTIF'!$F:$F,"-")</f>
        <v>AHMAD SUHENDI</v>
      </c>
      <c r="G135" s="21"/>
    </row>
    <row r="136" spans="2:7">
      <c r="B136" s="18" t="s">
        <v>99</v>
      </c>
      <c r="C136" s="16" t="s">
        <v>100</v>
      </c>
      <c r="D136" s="19" t="s">
        <v>163</v>
      </c>
      <c r="E136" s="20" t="s">
        <v>1745</v>
      </c>
      <c r="F136" s="16" t="str">
        <f>_xlfn.XLOOKUP(D136,'[3]DROP POINT AKTIF'!$B:$B,'[3]DROP POINT AKTIF'!$F:$F,"-")</f>
        <v>MUHAMMAD USUP</v>
      </c>
      <c r="G136" s="21"/>
    </row>
    <row r="137" spans="2:7">
      <c r="B137" s="18" t="s">
        <v>99</v>
      </c>
      <c r="C137" s="16" t="s">
        <v>100</v>
      </c>
      <c r="D137" s="19" t="s">
        <v>164</v>
      </c>
      <c r="E137" s="20" t="s">
        <v>1745</v>
      </c>
      <c r="F137" s="16" t="str">
        <f>_xlfn.XLOOKUP(D137,'[3]DROP POINT AKTIF'!$B:$B,'[3]DROP POINT AKTIF'!$F:$F,"-")</f>
        <v>ZAKARIA MAHMUD</v>
      </c>
      <c r="G137" s="21"/>
    </row>
    <row r="138" spans="2:7">
      <c r="B138" s="18" t="s">
        <v>99</v>
      </c>
      <c r="C138" s="16" t="s">
        <v>100</v>
      </c>
      <c r="D138" s="19" t="s">
        <v>165</v>
      </c>
      <c r="E138" s="20" t="s">
        <v>1745</v>
      </c>
      <c r="F138" s="16" t="str">
        <f>_xlfn.XLOOKUP(D138,'[3]DROP POINT AKTIF'!$B:$B,'[3]DROP POINT AKTIF'!$F:$F,"-")</f>
        <v>ADE MUKLIS</v>
      </c>
      <c r="G138" s="21"/>
    </row>
    <row r="139" spans="2:7">
      <c r="B139" s="18" t="s">
        <v>99</v>
      </c>
      <c r="C139" s="16" t="s">
        <v>100</v>
      </c>
      <c r="D139" s="19" t="s">
        <v>166</v>
      </c>
      <c r="E139" s="20" t="s">
        <v>1745</v>
      </c>
      <c r="F139" s="16" t="str">
        <f>_xlfn.XLOOKUP(D139,'[3]DROP POINT AKTIF'!$B:$B,'[3]DROP POINT AKTIF'!$F:$F,"-")</f>
        <v>WIDODO</v>
      </c>
      <c r="G139" s="21"/>
    </row>
    <row r="140" spans="2:7">
      <c r="B140" s="18" t="s">
        <v>99</v>
      </c>
      <c r="C140" s="16" t="s">
        <v>100</v>
      </c>
      <c r="D140" s="19" t="s">
        <v>167</v>
      </c>
      <c r="E140" s="20" t="s">
        <v>1745</v>
      </c>
      <c r="F140" s="16" t="str">
        <f>_xlfn.XLOOKUP(D140,'[3]DROP POINT AKTIF'!$B:$B,'[3]DROP POINT AKTIF'!$F:$F,"-")</f>
        <v>MUHAMAD HAMDAN</v>
      </c>
      <c r="G140" s="21"/>
    </row>
    <row r="141" spans="2:7">
      <c r="B141" s="18" t="s">
        <v>99</v>
      </c>
      <c r="C141" s="16" t="s">
        <v>100</v>
      </c>
      <c r="D141" s="19" t="s">
        <v>168</v>
      </c>
      <c r="E141" s="20" t="s">
        <v>1745</v>
      </c>
      <c r="F141" s="16" t="str">
        <f>_xlfn.XLOOKUP(D141,'[3]DROP POINT AKTIF'!$B:$B,'[3]DROP POINT AKTIF'!$F:$F,"-")</f>
        <v>MUHAMAD LUTFI SUHENDAR</v>
      </c>
      <c r="G141" s="21"/>
    </row>
    <row r="142" spans="2:7">
      <c r="B142" s="18" t="s">
        <v>99</v>
      </c>
      <c r="C142" s="16" t="s">
        <v>100</v>
      </c>
      <c r="D142" s="19" t="s">
        <v>169</v>
      </c>
      <c r="E142" s="20" t="s">
        <v>1745</v>
      </c>
      <c r="F142" s="16" t="str">
        <f>_xlfn.XLOOKUP(D142,'[3]DROP POINT AKTIF'!$B:$B,'[3]DROP POINT AKTIF'!$F:$F,"-")</f>
        <v>MELI ROMLI</v>
      </c>
      <c r="G142" s="21"/>
    </row>
    <row r="143" spans="2:7">
      <c r="B143" s="18" t="s">
        <v>99</v>
      </c>
      <c r="C143" s="16" t="s">
        <v>100</v>
      </c>
      <c r="D143" s="19" t="s">
        <v>170</v>
      </c>
      <c r="E143" s="20" t="s">
        <v>1745</v>
      </c>
      <c r="F143" s="16" t="str">
        <f>_xlfn.XLOOKUP(D143,'[3]DROP POINT AKTIF'!$B:$B,'[3]DROP POINT AKTIF'!$F:$F,"-")</f>
        <v>RIKIYANSAH</v>
      </c>
      <c r="G143" s="21"/>
    </row>
    <row r="144" spans="2:7">
      <c r="B144" s="18" t="s">
        <v>99</v>
      </c>
      <c r="C144" s="16" t="s">
        <v>100</v>
      </c>
      <c r="D144" s="19" t="s">
        <v>171</v>
      </c>
      <c r="E144" s="20" t="s">
        <v>1745</v>
      </c>
      <c r="F144" s="16" t="str">
        <f>_xlfn.XLOOKUP(D144,'[3]DROP POINT AKTIF'!$B:$B,'[3]DROP POINT AKTIF'!$F:$F,"-")</f>
        <v>SUHENDRIK</v>
      </c>
      <c r="G144" s="21"/>
    </row>
    <row r="145" spans="2:7">
      <c r="B145" s="18" t="s">
        <v>99</v>
      </c>
      <c r="C145" s="16" t="s">
        <v>100</v>
      </c>
      <c r="D145" s="19" t="s">
        <v>172</v>
      </c>
      <c r="E145" s="20" t="s">
        <v>1745</v>
      </c>
      <c r="F145" s="16" t="str">
        <f>_xlfn.XLOOKUP(D145,'[3]DROP POINT AKTIF'!$B:$B,'[3]DROP POINT AKTIF'!$F:$F,"-")</f>
        <v>MUHAMAD FICQIH</v>
      </c>
      <c r="G145" s="21"/>
    </row>
    <row r="146" spans="2:7">
      <c r="B146" s="18" t="s">
        <v>99</v>
      </c>
      <c r="C146" s="16" t="s">
        <v>100</v>
      </c>
      <c r="D146" s="19" t="s">
        <v>173</v>
      </c>
      <c r="E146" s="20" t="s">
        <v>1745</v>
      </c>
      <c r="F146" s="16" t="str">
        <f>_xlfn.XLOOKUP(D146,'[3]DROP POINT AKTIF'!$B:$B,'[3]DROP POINT AKTIF'!$F:$F,"-")</f>
        <v>RIKIYANSAH</v>
      </c>
      <c r="G146" s="21"/>
    </row>
    <row r="147" spans="2:7">
      <c r="B147" s="18" t="s">
        <v>99</v>
      </c>
      <c r="C147" s="16" t="s">
        <v>100</v>
      </c>
      <c r="D147" s="19" t="s">
        <v>174</v>
      </c>
      <c r="E147" s="20" t="s">
        <v>1722</v>
      </c>
      <c r="F147" s="16" t="str">
        <f>_xlfn.XLOOKUP(D147,'[3]DROP POINT AKTIF'!$B:$B,'[3]DROP POINT AKTIF'!$F:$F,"-")</f>
        <v>-</v>
      </c>
      <c r="G147" s="21"/>
    </row>
    <row r="148" spans="2:7">
      <c r="B148" s="18" t="s">
        <v>99</v>
      </c>
      <c r="C148" s="16" t="s">
        <v>100</v>
      </c>
      <c r="D148" s="19" t="s">
        <v>175</v>
      </c>
      <c r="E148" s="20" t="s">
        <v>1745</v>
      </c>
      <c r="F148" s="16" t="str">
        <f>_xlfn.XLOOKUP(D148,'[3]DROP POINT AKTIF'!$B:$B,'[3]DROP POINT AKTIF'!$F:$F,"-")</f>
        <v>MOHAMAD TOPAN BERI FIRMAN</v>
      </c>
      <c r="G148" s="21"/>
    </row>
    <row r="149" spans="2:7">
      <c r="B149" s="18" t="s">
        <v>99</v>
      </c>
      <c r="C149" s="16" t="s">
        <v>100</v>
      </c>
      <c r="D149" s="19" t="s">
        <v>176</v>
      </c>
      <c r="E149" s="20" t="s">
        <v>1745</v>
      </c>
      <c r="F149" s="16" t="str">
        <f>_xlfn.XLOOKUP(D149,'[3]DROP POINT AKTIF'!$B:$B,'[3]DROP POINT AKTIF'!$F:$F,"-")</f>
        <v>DIRGAHAYU</v>
      </c>
      <c r="G149" s="21"/>
    </row>
    <row r="150" spans="2:7">
      <c r="B150" s="18" t="s">
        <v>99</v>
      </c>
      <c r="C150" s="16" t="s">
        <v>100</v>
      </c>
      <c r="D150" s="19" t="s">
        <v>177</v>
      </c>
      <c r="E150" s="20" t="s">
        <v>1722</v>
      </c>
      <c r="F150" s="16" t="str">
        <f>_xlfn.XLOOKUP(D150,'[3]DROP POINT AKTIF'!$B:$B,'[3]DROP POINT AKTIF'!$F:$F,"-")</f>
        <v>MUHAMMAD BAGUS PRATAMA</v>
      </c>
      <c r="G150" s="21"/>
    </row>
    <row r="151" spans="2:7">
      <c r="B151" s="18" t="s">
        <v>99</v>
      </c>
      <c r="C151" s="16" t="s">
        <v>100</v>
      </c>
      <c r="D151" s="19" t="s">
        <v>178</v>
      </c>
      <c r="E151" s="20" t="s">
        <v>1745</v>
      </c>
      <c r="F151" s="16" t="str">
        <f>_xlfn.XLOOKUP(D151,'[3]DROP POINT AKTIF'!$B:$B,'[3]DROP POINT AKTIF'!$F:$F,"-")</f>
        <v>SYAMSURI</v>
      </c>
      <c r="G151" s="21"/>
    </row>
    <row r="152" spans="2:7">
      <c r="B152" s="18" t="s">
        <v>99</v>
      </c>
      <c r="C152" s="16" t="s">
        <v>100</v>
      </c>
      <c r="D152" s="19" t="s">
        <v>179</v>
      </c>
      <c r="E152" s="20" t="s">
        <v>1722</v>
      </c>
      <c r="F152" s="16" t="str">
        <f>_xlfn.XLOOKUP(D152,'[3]DROP POINT AKTIF'!$B:$B,'[3]DROP POINT AKTIF'!$F:$F,"-")</f>
        <v>FAUZUL HUSNAN</v>
      </c>
      <c r="G152" s="21"/>
    </row>
    <row r="153" spans="2:7">
      <c r="B153" s="18" t="s">
        <v>99</v>
      </c>
      <c r="C153" s="16" t="s">
        <v>100</v>
      </c>
      <c r="D153" s="19" t="s">
        <v>180</v>
      </c>
      <c r="E153" s="20" t="s">
        <v>1722</v>
      </c>
      <c r="F153" s="16" t="str">
        <f>_xlfn.XLOOKUP(D153,'[3]DROP POINT AKTIF'!$B:$B,'[3]DROP POINT AKTIF'!$F:$F,"-")</f>
        <v>NUR YOYO GUNARA</v>
      </c>
      <c r="G153" s="21"/>
    </row>
    <row r="154" spans="2:7">
      <c r="B154" s="18" t="s">
        <v>99</v>
      </c>
      <c r="C154" s="16" t="s">
        <v>100</v>
      </c>
      <c r="D154" s="19" t="s">
        <v>181</v>
      </c>
      <c r="E154" s="20" t="s">
        <v>1722</v>
      </c>
      <c r="F154" s="16" t="str">
        <f>_xlfn.XLOOKUP(D154,'[3]DROP POINT AKTIF'!$B:$B,'[3]DROP POINT AKTIF'!$F:$F,"-")</f>
        <v>SANDI IRAWAN</v>
      </c>
      <c r="G154" s="21"/>
    </row>
    <row r="155" spans="2:7">
      <c r="B155" s="18" t="s">
        <v>99</v>
      </c>
      <c r="C155" s="16" t="s">
        <v>100</v>
      </c>
      <c r="D155" s="19" t="s">
        <v>182</v>
      </c>
      <c r="E155" s="20" t="s">
        <v>1722</v>
      </c>
      <c r="F155" s="16" t="str">
        <f>_xlfn.XLOOKUP(D155,'[3]DROP POINT AKTIF'!$B:$B,'[3]DROP POINT AKTIF'!$F:$F,"-")</f>
        <v>AHMAD NURYAMAN</v>
      </c>
      <c r="G155" s="21"/>
    </row>
    <row r="156" spans="2:7">
      <c r="B156" s="18" t="s">
        <v>99</v>
      </c>
      <c r="C156" s="16" t="s">
        <v>100</v>
      </c>
      <c r="D156" s="19" t="s">
        <v>183</v>
      </c>
      <c r="E156" s="20" t="s">
        <v>1722</v>
      </c>
      <c r="F156" s="16" t="str">
        <f>_xlfn.XLOOKUP(D156,'[3]DROP POINT AKTIF'!$B:$B,'[3]DROP POINT AKTIF'!$F:$F,"-")</f>
        <v>AHMAD RONI SAFRONI</v>
      </c>
      <c r="G156" s="21"/>
    </row>
    <row r="157" spans="2:7">
      <c r="B157" s="18" t="s">
        <v>99</v>
      </c>
      <c r="C157" s="16" t="s">
        <v>100</v>
      </c>
      <c r="D157" s="19" t="s">
        <v>184</v>
      </c>
      <c r="E157" s="20" t="s">
        <v>1722</v>
      </c>
      <c r="F157" s="16" t="str">
        <f>_xlfn.XLOOKUP(D157,'[3]DROP POINT AKTIF'!$B:$B,'[3]DROP POINT AKTIF'!$F:$F,"-")</f>
        <v>DWI ADI SUTRISNO</v>
      </c>
      <c r="G157" s="21"/>
    </row>
    <row r="158" spans="2:7">
      <c r="B158" s="18" t="s">
        <v>99</v>
      </c>
      <c r="C158" s="16" t="s">
        <v>100</v>
      </c>
      <c r="D158" s="19" t="s">
        <v>185</v>
      </c>
      <c r="E158" s="20" t="s">
        <v>1745</v>
      </c>
      <c r="F158" s="16" t="str">
        <f>_xlfn.XLOOKUP(D158,'[3]DROP POINT AKTIF'!$B:$B,'[3]DROP POINT AKTIF'!$F:$F,"-")</f>
        <v>SAEPI</v>
      </c>
      <c r="G158" s="21"/>
    </row>
    <row r="159" spans="2:7">
      <c r="B159" s="18" t="s">
        <v>99</v>
      </c>
      <c r="C159" s="16" t="s">
        <v>100</v>
      </c>
      <c r="D159" s="19" t="s">
        <v>186</v>
      </c>
      <c r="E159" s="20" t="s">
        <v>1722</v>
      </c>
      <c r="F159" s="16" t="str">
        <f>_xlfn.XLOOKUP(D159,'[3]DROP POINT AKTIF'!$B:$B,'[3]DROP POINT AKTIF'!$F:$F,"-")</f>
        <v>EKO PURNAWAN SUHERI</v>
      </c>
      <c r="G159" s="21"/>
    </row>
    <row r="160" spans="2:7">
      <c r="B160" s="18" t="s">
        <v>99</v>
      </c>
      <c r="C160" s="16" t="s">
        <v>100</v>
      </c>
      <c r="D160" s="19" t="s">
        <v>187</v>
      </c>
      <c r="E160" s="20" t="s">
        <v>1745</v>
      </c>
      <c r="F160" s="16" t="str">
        <f>_xlfn.XLOOKUP(D160,'[3]DROP POINT AKTIF'!$B:$B,'[3]DROP POINT AKTIF'!$F:$F,"-")</f>
        <v>AZIS BACHTIAR</v>
      </c>
      <c r="G160" s="21"/>
    </row>
    <row r="161" spans="2:7">
      <c r="B161" s="18" t="s">
        <v>99</v>
      </c>
      <c r="C161" s="16" t="s">
        <v>100</v>
      </c>
      <c r="D161" s="19" t="s">
        <v>188</v>
      </c>
      <c r="E161" s="20" t="s">
        <v>1722</v>
      </c>
      <c r="F161" s="16" t="str">
        <f>_xlfn.XLOOKUP(D161,'[3]DROP POINT AKTIF'!$B:$B,'[3]DROP POINT AKTIF'!$F:$F,"-")</f>
        <v>AHMAD RONI SAFRONI</v>
      </c>
      <c r="G161" s="21"/>
    </row>
    <row r="162" spans="2:7">
      <c r="B162" s="18" t="s">
        <v>99</v>
      </c>
      <c r="C162" s="16" t="s">
        <v>100</v>
      </c>
      <c r="D162" s="19" t="s">
        <v>189</v>
      </c>
      <c r="E162" s="20" t="s">
        <v>1745</v>
      </c>
      <c r="F162" s="16" t="str">
        <f>_xlfn.XLOOKUP(D162,'[3]DROP POINT AKTIF'!$B:$B,'[3]DROP POINT AKTIF'!$F:$F,"-")</f>
        <v>NURDIN</v>
      </c>
      <c r="G162" s="21"/>
    </row>
    <row r="163" spans="2:7">
      <c r="B163" s="18" t="s">
        <v>99</v>
      </c>
      <c r="C163" s="16" t="s">
        <v>100</v>
      </c>
      <c r="D163" s="19" t="s">
        <v>190</v>
      </c>
      <c r="E163" s="20" t="s">
        <v>1745</v>
      </c>
      <c r="F163" s="16" t="str">
        <f>_xlfn.XLOOKUP(D163,'[3]DROP POINT AKTIF'!$B:$B,'[3]DROP POINT AKTIF'!$F:$F,"-")</f>
        <v>SYAMSURI</v>
      </c>
      <c r="G163" s="21"/>
    </row>
    <row r="164" spans="2:7">
      <c r="B164" s="18" t="s">
        <v>99</v>
      </c>
      <c r="C164" s="16" t="s">
        <v>100</v>
      </c>
      <c r="D164" s="19" t="s">
        <v>191</v>
      </c>
      <c r="E164" s="20" t="s">
        <v>1722</v>
      </c>
      <c r="F164" s="16" t="str">
        <f>_xlfn.XLOOKUP(D164,'[3]DROP POINT AKTIF'!$B:$B,'[3]DROP POINT AKTIF'!$F:$F,"-")</f>
        <v>MULYADI</v>
      </c>
      <c r="G164" s="21"/>
    </row>
    <row r="165" spans="2:7">
      <c r="B165" s="18" t="s">
        <v>99</v>
      </c>
      <c r="C165" s="16" t="s">
        <v>100</v>
      </c>
      <c r="D165" s="19" t="s">
        <v>192</v>
      </c>
      <c r="E165" s="20" t="s">
        <v>1722</v>
      </c>
      <c r="F165" s="16" t="str">
        <f>_xlfn.XLOOKUP(D165,'[3]DROP POINT AKTIF'!$B:$B,'[3]DROP POINT AKTIF'!$F:$F,"-")</f>
        <v>ISHAK DISTANSYAH</v>
      </c>
      <c r="G165" s="21"/>
    </row>
    <row r="166" spans="2:7">
      <c r="B166" s="18" t="s">
        <v>99</v>
      </c>
      <c r="C166" s="16" t="s">
        <v>100</v>
      </c>
      <c r="D166" s="19" t="s">
        <v>193</v>
      </c>
      <c r="E166" s="20" t="s">
        <v>1722</v>
      </c>
      <c r="F166" s="16" t="str">
        <f>_xlfn.XLOOKUP(D166,'[3]DROP POINT AKTIF'!$B:$B,'[3]DROP POINT AKTIF'!$F:$F,"-")</f>
        <v>SOFYAN DWI SAPUTRA</v>
      </c>
      <c r="G166" s="21"/>
    </row>
    <row r="167" spans="2:7">
      <c r="B167" s="18" t="s">
        <v>99</v>
      </c>
      <c r="C167" s="16" t="s">
        <v>100</v>
      </c>
      <c r="D167" s="19" t="s">
        <v>194</v>
      </c>
      <c r="E167" s="20" t="s">
        <v>1722</v>
      </c>
      <c r="F167" s="16" t="str">
        <f>_xlfn.XLOOKUP(D167,'[3]DROP POINT AKTIF'!$B:$B,'[3]DROP POINT AKTIF'!$F:$F,"-")</f>
        <v>ADITYA</v>
      </c>
      <c r="G167" s="21"/>
    </row>
    <row r="168" spans="2:7">
      <c r="B168" s="18" t="s">
        <v>99</v>
      </c>
      <c r="C168" s="16" t="s">
        <v>100</v>
      </c>
      <c r="D168" s="19" t="s">
        <v>195</v>
      </c>
      <c r="E168" s="20" t="s">
        <v>1722</v>
      </c>
      <c r="F168" s="16" t="str">
        <f>_xlfn.XLOOKUP(D168,'[3]DROP POINT AKTIF'!$B:$B,'[3]DROP POINT AKTIF'!$F:$F,"-")</f>
        <v>ERIK</v>
      </c>
      <c r="G168" s="21"/>
    </row>
    <row r="169" spans="2:7">
      <c r="B169" s="18" t="s">
        <v>99</v>
      </c>
      <c r="C169" s="16" t="s">
        <v>100</v>
      </c>
      <c r="D169" s="19" t="s">
        <v>196</v>
      </c>
      <c r="E169" s="20" t="s">
        <v>1745</v>
      </c>
      <c r="F169" s="16" t="str">
        <f>_xlfn.XLOOKUP(D169,'[3]DROP POINT AKTIF'!$B:$B,'[3]DROP POINT AKTIF'!$F:$F,"-")</f>
        <v>DONI ANGGARA</v>
      </c>
      <c r="G169" s="21"/>
    </row>
    <row r="170" spans="2:7">
      <c r="B170" s="18" t="s">
        <v>99</v>
      </c>
      <c r="C170" s="16" t="s">
        <v>100</v>
      </c>
      <c r="D170" s="19" t="s">
        <v>197</v>
      </c>
      <c r="E170" s="20" t="s">
        <v>1745</v>
      </c>
      <c r="F170" s="16" t="str">
        <f>_xlfn.XLOOKUP(D170,'[3]DROP POINT AKTIF'!$B:$B,'[3]DROP POINT AKTIF'!$F:$F,"-")</f>
        <v>IQBAL PURWANDI</v>
      </c>
      <c r="G170" s="21"/>
    </row>
    <row r="171" spans="2:7">
      <c r="B171" s="18" t="s">
        <v>99</v>
      </c>
      <c r="C171" s="16" t="s">
        <v>100</v>
      </c>
      <c r="D171" s="19" t="s">
        <v>198</v>
      </c>
      <c r="E171" s="20" t="s">
        <v>1722</v>
      </c>
      <c r="F171" s="16" t="str">
        <f>_xlfn.XLOOKUP(D171,'[3]DROP POINT AKTIF'!$B:$B,'[3]DROP POINT AKTIF'!$F:$F,"-")</f>
        <v>ALIZHAR</v>
      </c>
      <c r="G171" s="21"/>
    </row>
    <row r="172" spans="2:7">
      <c r="B172" s="18" t="s">
        <v>99</v>
      </c>
      <c r="C172" s="16" t="s">
        <v>100</v>
      </c>
      <c r="D172" s="19" t="s">
        <v>199</v>
      </c>
      <c r="E172" s="20" t="s">
        <v>1745</v>
      </c>
      <c r="F172" s="16" t="str">
        <f>_xlfn.XLOOKUP(D172,'[3]DROP POINT AKTIF'!$B:$B,'[3]DROP POINT AKTIF'!$F:$F,"-")</f>
        <v>HERI LISTIANTO</v>
      </c>
      <c r="G172" s="21"/>
    </row>
    <row r="173" spans="2:7">
      <c r="B173" s="18" t="s">
        <v>99</v>
      </c>
      <c r="C173" s="16" t="s">
        <v>100</v>
      </c>
      <c r="D173" s="19" t="s">
        <v>200</v>
      </c>
      <c r="E173" s="20" t="s">
        <v>1722</v>
      </c>
      <c r="F173" s="16" t="str">
        <f>_xlfn.XLOOKUP(D173,'[3]DROP POINT AKTIF'!$B:$B,'[3]DROP POINT AKTIF'!$F:$F,"-")</f>
        <v>DEDEN</v>
      </c>
      <c r="G173" s="21"/>
    </row>
    <row r="174" spans="2:7">
      <c r="B174" s="18" t="s">
        <v>99</v>
      </c>
      <c r="C174" s="16" t="s">
        <v>100</v>
      </c>
      <c r="D174" s="19" t="s">
        <v>201</v>
      </c>
      <c r="E174" s="20" t="s">
        <v>1745</v>
      </c>
      <c r="F174" s="16" t="str">
        <f>_xlfn.XLOOKUP(D174,'[3]DROP POINT AKTIF'!$B:$B,'[3]DROP POINT AKTIF'!$F:$F,"-")</f>
        <v>JIDAN ALFARIZQI</v>
      </c>
      <c r="G174" s="21"/>
    </row>
    <row r="175" spans="2:7">
      <c r="B175" s="18" t="s">
        <v>99</v>
      </c>
      <c r="C175" s="16" t="s">
        <v>100</v>
      </c>
      <c r="D175" s="19" t="s">
        <v>202</v>
      </c>
      <c r="E175" s="20" t="s">
        <v>1722</v>
      </c>
      <c r="F175" s="16" t="str">
        <f>_xlfn.XLOOKUP(D175,'[3]DROP POINT AKTIF'!$B:$B,'[3]DROP POINT AKTIF'!$F:$F,"-")</f>
        <v>-</v>
      </c>
      <c r="G175" s="21"/>
    </row>
    <row r="176" spans="2:7">
      <c r="B176" s="18" t="s">
        <v>99</v>
      </c>
      <c r="C176" s="16" t="s">
        <v>100</v>
      </c>
      <c r="D176" s="19" t="s">
        <v>203</v>
      </c>
      <c r="E176" s="20" t="s">
        <v>1745</v>
      </c>
      <c r="F176" s="16" t="str">
        <f>_xlfn.XLOOKUP(D176,'[3]DROP POINT AKTIF'!$B:$B,'[3]DROP POINT AKTIF'!$F:$F,"-")</f>
        <v>ADI IKUN</v>
      </c>
      <c r="G176" s="21"/>
    </row>
    <row r="177" spans="2:7">
      <c r="B177" s="18" t="s">
        <v>99</v>
      </c>
      <c r="C177" s="16" t="s">
        <v>100</v>
      </c>
      <c r="D177" s="19" t="s">
        <v>204</v>
      </c>
      <c r="E177" s="20" t="s">
        <v>1745</v>
      </c>
      <c r="F177" s="16" t="str">
        <f>_xlfn.XLOOKUP(D177,'[3]DROP POINT AKTIF'!$B:$B,'[3]DROP POINT AKTIF'!$F:$F,"-")</f>
        <v>LEGIYONO</v>
      </c>
      <c r="G177" s="21"/>
    </row>
    <row r="178" spans="2:7">
      <c r="B178" s="18" t="s">
        <v>99</v>
      </c>
      <c r="C178" s="16" t="s">
        <v>100</v>
      </c>
      <c r="D178" s="19" t="s">
        <v>205</v>
      </c>
      <c r="E178" s="20" t="s">
        <v>1745</v>
      </c>
      <c r="F178" s="16" t="str">
        <f>_xlfn.XLOOKUP(D178,'[3]DROP POINT AKTIF'!$B:$B,'[3]DROP POINT AKTIF'!$F:$F,"-")</f>
        <v>JALALUDIN</v>
      </c>
      <c r="G178" s="21"/>
    </row>
    <row r="179" spans="2:7">
      <c r="B179" s="18" t="s">
        <v>99</v>
      </c>
      <c r="C179" s="16" t="s">
        <v>100</v>
      </c>
      <c r="D179" s="19" t="s">
        <v>206</v>
      </c>
      <c r="E179" s="20" t="s">
        <v>1722</v>
      </c>
      <c r="F179" s="16" t="str">
        <f>_xlfn.XLOOKUP(D179,'[3]DROP POINT AKTIF'!$B:$B,'[3]DROP POINT AKTIF'!$F:$F,"-")</f>
        <v>SEPTIAN</v>
      </c>
      <c r="G179" s="21"/>
    </row>
    <row r="180" spans="2:7">
      <c r="B180" s="18" t="s">
        <v>99</v>
      </c>
      <c r="C180" s="16" t="s">
        <v>100</v>
      </c>
      <c r="D180" s="19" t="s">
        <v>207</v>
      </c>
      <c r="E180" s="20" t="s">
        <v>1722</v>
      </c>
      <c r="F180" s="16" t="str">
        <f>_xlfn.XLOOKUP(D180,'[3]DROP POINT AKTIF'!$B:$B,'[3]DROP POINT AKTIF'!$F:$F,"-")</f>
        <v>MUHAMMAD PRASETYA</v>
      </c>
      <c r="G180" s="21"/>
    </row>
    <row r="181" spans="2:7">
      <c r="B181" s="18" t="s">
        <v>99</v>
      </c>
      <c r="C181" s="16" t="s">
        <v>100</v>
      </c>
      <c r="D181" s="19" t="s">
        <v>208</v>
      </c>
      <c r="E181" s="20" t="s">
        <v>1722</v>
      </c>
      <c r="F181" s="16" t="str">
        <f>_xlfn.XLOOKUP(D181,'[3]DROP POINT AKTIF'!$B:$B,'[3]DROP POINT AKTIF'!$F:$F,"-")</f>
        <v>SANUSI</v>
      </c>
      <c r="G181" s="21"/>
    </row>
    <row r="182" spans="2:7">
      <c r="B182" s="18" t="s">
        <v>99</v>
      </c>
      <c r="C182" s="16" t="s">
        <v>100</v>
      </c>
      <c r="D182" s="19" t="s">
        <v>209</v>
      </c>
      <c r="E182" s="20" t="s">
        <v>1722</v>
      </c>
      <c r="F182" s="16" t="str">
        <f>_xlfn.XLOOKUP(D182,'[3]DROP POINT AKTIF'!$B:$B,'[3]DROP POINT AKTIF'!$F:$F,"-")</f>
        <v>-</v>
      </c>
      <c r="G182" s="21"/>
    </row>
    <row r="183" spans="2:7">
      <c r="B183" s="18" t="s">
        <v>210</v>
      </c>
      <c r="C183" s="16" t="s">
        <v>211</v>
      </c>
      <c r="D183" s="19" t="s">
        <v>212</v>
      </c>
      <c r="E183" s="20" t="s">
        <v>1722</v>
      </c>
      <c r="F183" s="16" t="str">
        <f>_xlfn.XLOOKUP(D183,'[4]DROP POINT BEKASI'!$B:$B,'[4]DROP POINT BEKASI'!$E:$E,"-")</f>
        <v>ERLANGGA ISMADYA PUTRA</v>
      </c>
      <c r="G183" s="21"/>
    </row>
    <row r="184" spans="2:7">
      <c r="B184" s="18" t="s">
        <v>210</v>
      </c>
      <c r="C184" s="16" t="s">
        <v>211</v>
      </c>
      <c r="D184" s="19" t="s">
        <v>213</v>
      </c>
      <c r="E184" s="20" t="s">
        <v>1745</v>
      </c>
      <c r="F184" s="16" t="str">
        <f>_xlfn.XLOOKUP(D184,'[4]DROP POINT BEKASI'!$B:$B,'[4]DROP POINT BEKASI'!$E:$E,"-")</f>
        <v>RICHSON FAHMI</v>
      </c>
      <c r="G184" s="21"/>
    </row>
    <row r="185" spans="2:7">
      <c r="B185" s="18" t="s">
        <v>210</v>
      </c>
      <c r="C185" s="16" t="s">
        <v>211</v>
      </c>
      <c r="D185" s="19" t="s">
        <v>214</v>
      </c>
      <c r="E185" s="20" t="s">
        <v>1745</v>
      </c>
      <c r="F185" s="16" t="str">
        <f>_xlfn.XLOOKUP(D185,'[4]DROP POINT BEKASI'!$B:$B,'[4]DROP POINT BEKASI'!$E:$E,"-")</f>
        <v>TITO ASWIN KARIM</v>
      </c>
      <c r="G185" s="21"/>
    </row>
    <row r="186" spans="2:7">
      <c r="B186" s="18" t="s">
        <v>210</v>
      </c>
      <c r="C186" s="16" t="s">
        <v>211</v>
      </c>
      <c r="D186" s="19" t="s">
        <v>215</v>
      </c>
      <c r="E186" s="20" t="s">
        <v>1745</v>
      </c>
      <c r="F186" s="16" t="str">
        <f>_xlfn.XLOOKUP(D186,'[4]DROP POINT BEKASI'!$B:$B,'[4]DROP POINT BEKASI'!$E:$E,"-")</f>
        <v>AHMAD RIQBAL</v>
      </c>
      <c r="G186" s="21"/>
    </row>
    <row r="187" spans="2:7">
      <c r="B187" s="18" t="s">
        <v>210</v>
      </c>
      <c r="C187" s="16" t="s">
        <v>211</v>
      </c>
      <c r="D187" s="19" t="s">
        <v>216</v>
      </c>
      <c r="E187" s="20" t="s">
        <v>1722</v>
      </c>
      <c r="F187" s="16" t="str">
        <f>_xlfn.XLOOKUP(D187,'[4]DROP POINT BEKASI'!$B:$B,'[4]DROP POINT BEKASI'!$E:$E,"-")</f>
        <v>NURROHIM</v>
      </c>
      <c r="G187" s="21"/>
    </row>
    <row r="188" spans="2:7">
      <c r="B188" s="18" t="s">
        <v>210</v>
      </c>
      <c r="C188" s="16" t="s">
        <v>211</v>
      </c>
      <c r="D188" s="19" t="s">
        <v>217</v>
      </c>
      <c r="E188" s="20" t="s">
        <v>1745</v>
      </c>
      <c r="F188" s="16" t="str">
        <f>_xlfn.XLOOKUP(D188,'[4]DROP POINT BEKASI'!$B:$B,'[4]DROP POINT BEKASI'!$E:$E,"-")</f>
        <v>ACHMAD MAZIRI</v>
      </c>
      <c r="G188" s="21"/>
    </row>
    <row r="189" spans="2:7">
      <c r="B189" s="18" t="s">
        <v>210</v>
      </c>
      <c r="C189" s="16" t="s">
        <v>211</v>
      </c>
      <c r="D189" s="19" t="s">
        <v>218</v>
      </c>
      <c r="E189" s="20" t="s">
        <v>1745</v>
      </c>
      <c r="F189" s="16" t="str">
        <f>_xlfn.XLOOKUP(D189,'[4]DROP POINT BEKASI'!$B:$B,'[4]DROP POINT BEKASI'!$E:$E,"-")</f>
        <v>SUTISNA</v>
      </c>
      <c r="G189" s="21"/>
    </row>
    <row r="190" spans="2:7">
      <c r="B190" s="18" t="s">
        <v>210</v>
      </c>
      <c r="C190" s="16" t="s">
        <v>211</v>
      </c>
      <c r="D190" s="19" t="s">
        <v>219</v>
      </c>
      <c r="E190" s="20" t="s">
        <v>1745</v>
      </c>
      <c r="F190" s="16" t="str">
        <f>_xlfn.XLOOKUP(D190,'[4]DROP POINT BEKASI'!$B:$B,'[4]DROP POINT BEKASI'!$E:$E,"-")</f>
        <v>FAHMI AL JUFRY</v>
      </c>
      <c r="G190" s="21"/>
    </row>
    <row r="191" spans="2:7">
      <c r="B191" s="18" t="s">
        <v>210</v>
      </c>
      <c r="C191" s="16" t="s">
        <v>211</v>
      </c>
      <c r="D191" s="19" t="s">
        <v>220</v>
      </c>
      <c r="E191" s="20" t="s">
        <v>1745</v>
      </c>
      <c r="F191" s="16" t="str">
        <f>_xlfn.XLOOKUP(D191,'[4]DROP POINT BEKASI'!$B:$B,'[4]DROP POINT BEKASI'!$E:$E,"-")</f>
        <v>YOGA WARDANA</v>
      </c>
      <c r="G191" s="21"/>
    </row>
    <row r="192" spans="2:7">
      <c r="B192" s="18" t="s">
        <v>210</v>
      </c>
      <c r="C192" s="16" t="s">
        <v>211</v>
      </c>
      <c r="D192" s="19" t="s">
        <v>221</v>
      </c>
      <c r="E192" s="20" t="s">
        <v>1745</v>
      </c>
      <c r="F192" s="16" t="str">
        <f>_xlfn.XLOOKUP(D192,'[4]DROP POINT BEKASI'!$B:$B,'[4]DROP POINT BEKASI'!$E:$E,"-")</f>
        <v>ANGGA KUSUMA</v>
      </c>
      <c r="G192" s="21"/>
    </row>
    <row r="193" spans="2:7">
      <c r="B193" s="18" t="s">
        <v>210</v>
      </c>
      <c r="C193" s="16" t="s">
        <v>211</v>
      </c>
      <c r="D193" s="19" t="s">
        <v>222</v>
      </c>
      <c r="E193" s="20" t="s">
        <v>1722</v>
      </c>
      <c r="F193" s="16" t="str">
        <f>_xlfn.XLOOKUP(D193,'[4]DROP POINT BEKASI'!$B:$B,'[4]DROP POINT BEKASI'!$E:$E,"-")</f>
        <v>ALI IBRAHIM</v>
      </c>
      <c r="G193" s="21"/>
    </row>
    <row r="194" spans="2:7">
      <c r="B194" s="18" t="s">
        <v>210</v>
      </c>
      <c r="C194" s="16" t="s">
        <v>211</v>
      </c>
      <c r="D194" s="19" t="s">
        <v>223</v>
      </c>
      <c r="E194" s="20" t="s">
        <v>1722</v>
      </c>
      <c r="F194" s="16" t="str">
        <f>_xlfn.XLOOKUP(D194,'[4]DROP POINT BEKASI'!$B:$B,'[4]DROP POINT BEKASI'!$E:$E,"-")</f>
        <v>ACHMAD MAULANA PUTRA</v>
      </c>
      <c r="G194" s="21"/>
    </row>
    <row r="195" spans="2:7">
      <c r="B195" s="18" t="s">
        <v>210</v>
      </c>
      <c r="C195" s="16" t="s">
        <v>211</v>
      </c>
      <c r="D195" s="19" t="s">
        <v>224</v>
      </c>
      <c r="E195" s="20" t="s">
        <v>1722</v>
      </c>
      <c r="F195" s="16" t="str">
        <f>_xlfn.XLOOKUP(D195,'[4]DROP POINT BEKASI'!$B:$B,'[4]DROP POINT BEKASI'!$E:$E,"-")</f>
        <v>ANNISAA NURULHUDA WAHIDIN</v>
      </c>
      <c r="G195" s="21"/>
    </row>
    <row r="196" spans="2:7">
      <c r="B196" s="18" t="s">
        <v>210</v>
      </c>
      <c r="C196" s="16" t="s">
        <v>211</v>
      </c>
      <c r="D196" s="19" t="s">
        <v>225</v>
      </c>
      <c r="E196" s="20" t="s">
        <v>1745</v>
      </c>
      <c r="F196" s="16" t="str">
        <f>_xlfn.XLOOKUP(D196,'[4]DROP POINT BEKASI'!$B:$B,'[4]DROP POINT BEKASI'!$E:$E,"-")</f>
        <v>DIDIT JAMALUDIN</v>
      </c>
      <c r="G196" s="21"/>
    </row>
    <row r="197" spans="2:7">
      <c r="B197" s="18" t="s">
        <v>210</v>
      </c>
      <c r="C197" s="16" t="s">
        <v>211</v>
      </c>
      <c r="D197" s="19" t="s">
        <v>226</v>
      </c>
      <c r="E197" s="20" t="s">
        <v>1745</v>
      </c>
      <c r="F197" s="16" t="str">
        <f>_xlfn.XLOOKUP(D197,'[4]DROP POINT BEKASI'!$B:$B,'[4]DROP POINT BEKASI'!$E:$E,"-")</f>
        <v>RENDY DIRGANTARA</v>
      </c>
      <c r="G197" s="21"/>
    </row>
    <row r="198" spans="2:7">
      <c r="B198" s="18" t="s">
        <v>210</v>
      </c>
      <c r="C198" s="16" t="s">
        <v>211</v>
      </c>
      <c r="D198" s="19" t="s">
        <v>227</v>
      </c>
      <c r="E198" s="20" t="s">
        <v>1745</v>
      </c>
      <c r="F198" s="16" t="str">
        <f>_xlfn.XLOOKUP(D198,'[4]DROP POINT BEKASI'!$B:$B,'[4]DROP POINT BEKASI'!$E:$E,"-")</f>
        <v>FAUZI AKBAR</v>
      </c>
      <c r="G198" s="21"/>
    </row>
    <row r="199" spans="2:7">
      <c r="B199" s="18" t="s">
        <v>210</v>
      </c>
      <c r="C199" s="16" t="s">
        <v>211</v>
      </c>
      <c r="D199" s="19" t="s">
        <v>228</v>
      </c>
      <c r="E199" s="20" t="s">
        <v>1745</v>
      </c>
      <c r="F199" s="16" t="str">
        <f>_xlfn.XLOOKUP(D199,'[4]DROP POINT BEKASI'!$B:$B,'[4]DROP POINT BEKASI'!$E:$E,"-")</f>
        <v>FACHRUDIN</v>
      </c>
      <c r="G199" s="21"/>
    </row>
    <row r="200" spans="2:7">
      <c r="B200" s="18" t="s">
        <v>210</v>
      </c>
      <c r="C200" s="16" t="s">
        <v>211</v>
      </c>
      <c r="D200" s="19" t="s">
        <v>229</v>
      </c>
      <c r="E200" s="20" t="s">
        <v>1745</v>
      </c>
      <c r="F200" s="16" t="str">
        <f>_xlfn.XLOOKUP(D200,'[4]DROP POINT BEKASI'!$B:$B,'[4]DROP POINT BEKASI'!$E:$E,"-")</f>
        <v>FAJAR SAPUTRA NOVEBRYANTO</v>
      </c>
      <c r="G200" s="21"/>
    </row>
    <row r="201" spans="2:7">
      <c r="B201" s="18" t="s">
        <v>210</v>
      </c>
      <c r="C201" s="16" t="s">
        <v>211</v>
      </c>
      <c r="D201" s="19" t="s">
        <v>230</v>
      </c>
      <c r="E201" s="20" t="s">
        <v>1745</v>
      </c>
      <c r="F201" s="16" t="str">
        <f>_xlfn.XLOOKUP(D201,'[4]DROP POINT BEKASI'!$B:$B,'[4]DROP POINT BEKASI'!$E:$E,"-")</f>
        <v>KHOIRUL ANWAR</v>
      </c>
      <c r="G201" s="21"/>
    </row>
    <row r="202" spans="2:7">
      <c r="B202" s="18" t="s">
        <v>210</v>
      </c>
      <c r="C202" s="16" t="s">
        <v>211</v>
      </c>
      <c r="D202" s="19" t="s">
        <v>231</v>
      </c>
      <c r="E202" s="20" t="s">
        <v>1745</v>
      </c>
      <c r="F202" s="16" t="str">
        <f>_xlfn.XLOOKUP(D202,'[4]DROP POINT BEKASI'!$B:$B,'[4]DROP POINT BEKASI'!$E:$E,"-")</f>
        <v>DENI PERMANA</v>
      </c>
      <c r="G202" s="21"/>
    </row>
    <row r="203" spans="2:7">
      <c r="B203" s="18" t="s">
        <v>210</v>
      </c>
      <c r="C203" s="16" t="s">
        <v>211</v>
      </c>
      <c r="D203" s="19" t="s">
        <v>232</v>
      </c>
      <c r="E203" s="20" t="s">
        <v>1722</v>
      </c>
      <c r="F203" s="16" t="str">
        <f>_xlfn.XLOOKUP(D203,'[4]DROP POINT BEKASI'!$B:$B,'[4]DROP POINT BEKASI'!$E:$E,"-")</f>
        <v>AROFIQ WALHIDAYAT</v>
      </c>
      <c r="G203" s="21"/>
    </row>
    <row r="204" spans="2:7">
      <c r="B204" s="18" t="s">
        <v>210</v>
      </c>
      <c r="C204" s="16" t="s">
        <v>211</v>
      </c>
      <c r="D204" s="19" t="s">
        <v>233</v>
      </c>
      <c r="E204" s="20" t="s">
        <v>1722</v>
      </c>
      <c r="F204" s="16" t="str">
        <f>_xlfn.XLOOKUP(D204,'[4]DROP POINT BEKASI'!$B:$B,'[4]DROP POINT BEKASI'!$E:$E,"-")</f>
        <v>AAN SUPRATMAN</v>
      </c>
      <c r="G204" s="21"/>
    </row>
    <row r="205" spans="2:7">
      <c r="B205" s="18" t="s">
        <v>210</v>
      </c>
      <c r="C205" s="16" t="s">
        <v>211</v>
      </c>
      <c r="D205" s="19" t="s">
        <v>234</v>
      </c>
      <c r="E205" s="20" t="s">
        <v>1722</v>
      </c>
      <c r="F205" s="16" t="str">
        <f>_xlfn.XLOOKUP(D205,'[4]DROP POINT BEKASI'!$B:$B,'[4]DROP POINT BEKASI'!$E:$E,"-")</f>
        <v>JHENIS ATHA NANDA</v>
      </c>
      <c r="G205" s="21"/>
    </row>
    <row r="206" spans="2:7">
      <c r="B206" s="18" t="s">
        <v>210</v>
      </c>
      <c r="C206" s="16" t="s">
        <v>211</v>
      </c>
      <c r="D206" s="19" t="s">
        <v>235</v>
      </c>
      <c r="E206" s="20" t="s">
        <v>1722</v>
      </c>
      <c r="F206" s="16" t="str">
        <f>_xlfn.XLOOKUP(D206,'[4]DROP POINT BEKASI'!$B:$B,'[4]DROP POINT BEKASI'!$E:$E,"-")</f>
        <v>SELAMET DARSIYO</v>
      </c>
      <c r="G206" s="21"/>
    </row>
    <row r="207" spans="2:7">
      <c r="B207" s="18" t="s">
        <v>210</v>
      </c>
      <c r="C207" s="16" t="s">
        <v>211</v>
      </c>
      <c r="D207" s="19" t="s">
        <v>236</v>
      </c>
      <c r="E207" s="20" t="s">
        <v>1722</v>
      </c>
      <c r="F207" s="16" t="str">
        <f>_xlfn.XLOOKUP(D207,'[4]DROP POINT BEKASI'!$B:$B,'[4]DROP POINT BEKASI'!$E:$E,"-")</f>
        <v>NANDA ARIS WANDI</v>
      </c>
      <c r="G207" s="21"/>
    </row>
    <row r="208" spans="2:7">
      <c r="B208" s="18" t="s">
        <v>210</v>
      </c>
      <c r="C208" s="16" t="s">
        <v>211</v>
      </c>
      <c r="D208" s="19" t="s">
        <v>237</v>
      </c>
      <c r="E208" s="20" t="s">
        <v>1745</v>
      </c>
      <c r="F208" s="16" t="str">
        <f>_xlfn.XLOOKUP(D208,'[4]DROP POINT BEKASI'!$B:$B,'[4]DROP POINT BEKASI'!$E:$E,"-")</f>
        <v>IHWAN RAMADHAN</v>
      </c>
      <c r="G208" s="21"/>
    </row>
    <row r="209" spans="2:7">
      <c r="B209" s="18" t="s">
        <v>210</v>
      </c>
      <c r="C209" s="16" t="s">
        <v>211</v>
      </c>
      <c r="D209" s="19" t="s">
        <v>238</v>
      </c>
      <c r="E209" s="20" t="s">
        <v>1722</v>
      </c>
      <c r="F209" s="16" t="str">
        <f>_xlfn.XLOOKUP(D209,'[4]DROP POINT BEKASI'!$B:$B,'[4]DROP POINT BEKASI'!$E:$E,"-")</f>
        <v>APRIYANTO</v>
      </c>
      <c r="G209" s="21"/>
    </row>
    <row r="210" spans="2:7">
      <c r="B210" s="18" t="s">
        <v>210</v>
      </c>
      <c r="C210" s="16" t="s">
        <v>211</v>
      </c>
      <c r="D210" s="19" t="s">
        <v>239</v>
      </c>
      <c r="E210" s="20" t="s">
        <v>1745</v>
      </c>
      <c r="F210" s="16" t="str">
        <f>_xlfn.XLOOKUP(D210,'[4]DROP POINT BEKASI'!$B:$B,'[4]DROP POINT BEKASI'!$E:$E,"-")</f>
        <v>ANDI RACHMANSYAH</v>
      </c>
      <c r="G210" s="21"/>
    </row>
    <row r="211" spans="2:7">
      <c r="B211" s="18" t="s">
        <v>210</v>
      </c>
      <c r="C211" s="16" t="s">
        <v>211</v>
      </c>
      <c r="D211" s="19" t="s">
        <v>240</v>
      </c>
      <c r="E211" s="20" t="s">
        <v>1745</v>
      </c>
      <c r="F211" s="16" t="str">
        <f>_xlfn.XLOOKUP(D211,'[4]DROP POINT BEKASI'!$B:$B,'[4]DROP POINT BEKASI'!$E:$E,"-")</f>
        <v>SARYONO</v>
      </c>
      <c r="G211" s="21"/>
    </row>
    <row r="212" spans="2:7">
      <c r="B212" s="18" t="s">
        <v>210</v>
      </c>
      <c r="C212" s="16" t="s">
        <v>211</v>
      </c>
      <c r="D212" s="19" t="s">
        <v>241</v>
      </c>
      <c r="E212" s="20" t="s">
        <v>1745</v>
      </c>
      <c r="F212" s="16" t="str">
        <f>_xlfn.XLOOKUP(D212,'[4]DROP POINT BEKASI'!$B:$B,'[4]DROP POINT BEKASI'!$E:$E,"-")</f>
        <v>ARI SABANDI</v>
      </c>
      <c r="G212" s="21"/>
    </row>
    <row r="213" spans="2:7">
      <c r="B213" s="18" t="s">
        <v>210</v>
      </c>
      <c r="C213" s="16" t="s">
        <v>211</v>
      </c>
      <c r="D213" s="19" t="s">
        <v>242</v>
      </c>
      <c r="E213" s="20" t="s">
        <v>1722</v>
      </c>
      <c r="F213" s="16" t="str">
        <f>_xlfn.XLOOKUP(D213,'[4]DROP POINT BEKASI'!$B:$B,'[4]DROP POINT BEKASI'!$E:$E,"-")</f>
        <v>FAHMI</v>
      </c>
      <c r="G213" s="21"/>
    </row>
    <row r="214" spans="2:7">
      <c r="B214" s="18" t="s">
        <v>210</v>
      </c>
      <c r="C214" s="16" t="s">
        <v>211</v>
      </c>
      <c r="D214" s="19" t="s">
        <v>243</v>
      </c>
      <c r="E214" s="20" t="s">
        <v>1722</v>
      </c>
      <c r="F214" s="16" t="str">
        <f>_xlfn.XLOOKUP(D214,'[4]DROP POINT BEKASI'!$B:$B,'[4]DROP POINT BEKASI'!$E:$E,"-")</f>
        <v>NOVA ANDRIANTO</v>
      </c>
      <c r="G214" s="21"/>
    </row>
    <row r="215" spans="2:7">
      <c r="B215" s="18" t="s">
        <v>210</v>
      </c>
      <c r="C215" s="16" t="s">
        <v>211</v>
      </c>
      <c r="D215" s="19" t="s">
        <v>244</v>
      </c>
      <c r="E215" s="20" t="s">
        <v>1722</v>
      </c>
      <c r="F215" s="16" t="str">
        <f>_xlfn.XLOOKUP(D215,'[4]DROP POINT BEKASI'!$B:$B,'[4]DROP POINT BEKASI'!$E:$E,"-")</f>
        <v>AGUNG HARTANTO</v>
      </c>
      <c r="G215" s="21"/>
    </row>
    <row r="216" spans="2:7">
      <c r="B216" s="18" t="s">
        <v>210</v>
      </c>
      <c r="C216" s="16" t="s">
        <v>211</v>
      </c>
      <c r="D216" s="19" t="s">
        <v>245</v>
      </c>
      <c r="E216" s="20" t="s">
        <v>1722</v>
      </c>
      <c r="F216" s="16" t="str">
        <f>_xlfn.XLOOKUP(D216,'[4]DROP POINT BEKASI'!$B:$B,'[4]DROP POINT BEKASI'!$E:$E,"-")</f>
        <v>SAFRIN PRIGIYANTO</v>
      </c>
      <c r="G216" s="21"/>
    </row>
    <row r="217" spans="2:7">
      <c r="B217" s="18" t="s">
        <v>210</v>
      </c>
      <c r="C217" s="16" t="s">
        <v>211</v>
      </c>
      <c r="D217" s="19" t="s">
        <v>246</v>
      </c>
      <c r="E217" s="20" t="s">
        <v>1745</v>
      </c>
      <c r="F217" s="16" t="str">
        <f>_xlfn.XLOOKUP(D217,'[4]DROP POINT BEKASI'!$B:$B,'[4]DROP POINT BEKASI'!$E:$E,"-")</f>
        <v>KHAIRUL WILDAN UMAM</v>
      </c>
      <c r="G217" s="21"/>
    </row>
    <row r="218" spans="2:7">
      <c r="B218" s="18" t="s">
        <v>210</v>
      </c>
      <c r="C218" s="16" t="s">
        <v>211</v>
      </c>
      <c r="D218" s="19" t="s">
        <v>247</v>
      </c>
      <c r="E218" s="20" t="s">
        <v>1745</v>
      </c>
      <c r="F218" s="16" t="str">
        <f>_xlfn.XLOOKUP(D218,'[4]DROP POINT BEKASI'!$B:$B,'[4]DROP POINT BEKASI'!$E:$E,"-")</f>
        <v>AEP BOIS</v>
      </c>
      <c r="G218" s="21"/>
    </row>
    <row r="219" spans="2:7">
      <c r="B219" s="18" t="s">
        <v>210</v>
      </c>
      <c r="C219" s="16" t="s">
        <v>211</v>
      </c>
      <c r="D219" s="19" t="s">
        <v>248</v>
      </c>
      <c r="E219" s="20" t="s">
        <v>1745</v>
      </c>
      <c r="F219" s="16" t="str">
        <f>_xlfn.XLOOKUP(D219,'[4]DROP POINT BEKASI'!$B:$B,'[4]DROP POINT BEKASI'!$E:$E,"-")</f>
        <v>FIRDAUS</v>
      </c>
      <c r="G219" s="21"/>
    </row>
    <row r="220" spans="2:7">
      <c r="B220" s="18" t="s">
        <v>210</v>
      </c>
      <c r="C220" s="16" t="s">
        <v>211</v>
      </c>
      <c r="D220" s="19" t="s">
        <v>249</v>
      </c>
      <c r="E220" s="20" t="s">
        <v>1745</v>
      </c>
      <c r="F220" s="16" t="str">
        <f>_xlfn.XLOOKUP(D220,'[4]DROP POINT BEKASI'!$B:$B,'[4]DROP POINT BEKASI'!$E:$E,"-")</f>
        <v>ZAKI RACHMADI NASUTION</v>
      </c>
      <c r="G220" s="21"/>
    </row>
    <row r="221" spans="2:7">
      <c r="B221" s="18" t="s">
        <v>210</v>
      </c>
      <c r="C221" s="16" t="s">
        <v>211</v>
      </c>
      <c r="D221" s="19" t="s">
        <v>250</v>
      </c>
      <c r="E221" s="20" t="s">
        <v>1722</v>
      </c>
      <c r="F221" s="16" t="str">
        <f>_xlfn.XLOOKUP(D221,'[4]DROP POINT BEKASI'!$B:$B,'[4]DROP POINT BEKASI'!$E:$E,"-")</f>
        <v>MUKHAMAD NOFANA ABDULLAH</v>
      </c>
      <c r="G221" s="21"/>
    </row>
    <row r="222" spans="2:7">
      <c r="B222" s="18" t="s">
        <v>210</v>
      </c>
      <c r="C222" s="16" t="s">
        <v>211</v>
      </c>
      <c r="D222" s="19" t="s">
        <v>251</v>
      </c>
      <c r="E222" s="20" t="s">
        <v>1745</v>
      </c>
      <c r="F222" s="16" t="str">
        <f>_xlfn.XLOOKUP(D222,'[4]DROP POINT BEKASI'!$B:$B,'[4]DROP POINT BEKASI'!$E:$E,"-")</f>
        <v>TIDAK ADA</v>
      </c>
      <c r="G222" s="21"/>
    </row>
    <row r="223" spans="2:7">
      <c r="B223" s="18" t="s">
        <v>210</v>
      </c>
      <c r="C223" s="16" t="s">
        <v>211</v>
      </c>
      <c r="D223" s="19" t="s">
        <v>252</v>
      </c>
      <c r="E223" s="20" t="s">
        <v>1745</v>
      </c>
      <c r="F223" s="16" t="str">
        <f>_xlfn.XLOOKUP(D223,'[4]DROP POINT BEKASI'!$B:$B,'[4]DROP POINT BEKASI'!$E:$E,"-")</f>
        <v>KIKIH RIJKI APNUR CAHYA</v>
      </c>
      <c r="G223" s="21"/>
    </row>
    <row r="224" spans="2:7">
      <c r="B224" s="18" t="s">
        <v>210</v>
      </c>
      <c r="C224" s="16" t="s">
        <v>211</v>
      </c>
      <c r="D224" s="19" t="s">
        <v>253</v>
      </c>
      <c r="E224" s="20" t="s">
        <v>1722</v>
      </c>
      <c r="F224" s="16" t="str">
        <f>_xlfn.XLOOKUP(D224,'[4]DROP POINT BEKASI'!$B:$B,'[4]DROP POINT BEKASI'!$E:$E,"-")</f>
        <v>HARRI SWANDI NAINGGOLAN</v>
      </c>
      <c r="G224" s="21"/>
    </row>
    <row r="225" spans="2:7">
      <c r="B225" s="18" t="s">
        <v>210</v>
      </c>
      <c r="C225" s="16" t="s">
        <v>211</v>
      </c>
      <c r="D225" s="19" t="s">
        <v>254</v>
      </c>
      <c r="E225" s="20" t="s">
        <v>1745</v>
      </c>
      <c r="F225" s="16" t="str">
        <f>_xlfn.XLOOKUP(D225,'[4]DROP POINT BEKASI'!$B:$B,'[4]DROP POINT BEKASI'!$E:$E,"-")</f>
        <v>IRFAN FAUZI</v>
      </c>
      <c r="G225" s="21"/>
    </row>
    <row r="226" spans="2:7">
      <c r="B226" s="18" t="s">
        <v>210</v>
      </c>
      <c r="C226" s="16" t="s">
        <v>211</v>
      </c>
      <c r="D226" s="19" t="s">
        <v>255</v>
      </c>
      <c r="E226" s="20" t="s">
        <v>1722</v>
      </c>
      <c r="F226" s="16" t="str">
        <f>_xlfn.XLOOKUP(D226,'[4]DROP POINT BEKASI'!$B:$B,'[4]DROP POINT BEKASI'!$E:$E,"-")</f>
        <v>M DAFIT SUHERLI</v>
      </c>
      <c r="G226" s="21"/>
    </row>
    <row r="227" spans="2:7">
      <c r="B227" s="18" t="s">
        <v>210</v>
      </c>
      <c r="C227" s="16" t="s">
        <v>211</v>
      </c>
      <c r="D227" s="19" t="s">
        <v>256</v>
      </c>
      <c r="E227" s="20" t="s">
        <v>1745</v>
      </c>
      <c r="F227" s="16" t="str">
        <f>_xlfn.XLOOKUP(D227,'[4]DROP POINT BEKASI'!$B:$B,'[4]DROP POINT BEKASI'!$E:$E,"-")</f>
        <v>DENI SETIAWAN</v>
      </c>
      <c r="G227" s="21"/>
    </row>
    <row r="228" spans="2:7">
      <c r="B228" s="18" t="s">
        <v>210</v>
      </c>
      <c r="C228" s="16" t="s">
        <v>211</v>
      </c>
      <c r="D228" s="19" t="s">
        <v>257</v>
      </c>
      <c r="E228" s="20" t="s">
        <v>1722</v>
      </c>
      <c r="F228" s="16" t="str">
        <f>_xlfn.XLOOKUP(D228,'[4]DROP POINT BEKASI'!$B:$B,'[4]DROP POINT BEKASI'!$E:$E,"-")</f>
        <v>IRZAN EFRIANSYAH</v>
      </c>
      <c r="G228" s="21"/>
    </row>
    <row r="229" spans="2:7">
      <c r="B229" s="18" t="s">
        <v>210</v>
      </c>
      <c r="C229" s="16" t="s">
        <v>211</v>
      </c>
      <c r="D229" s="19" t="s">
        <v>258</v>
      </c>
      <c r="E229" s="20" t="s">
        <v>1745</v>
      </c>
      <c r="F229" s="16" t="str">
        <f>_xlfn.XLOOKUP(D229,'[4]DROP POINT BEKASI'!$B:$B,'[4]DROP POINT BEKASI'!$E:$E,"-")</f>
        <v>FITRAH TEGAR RAMADHAN</v>
      </c>
      <c r="G229" s="21"/>
    </row>
    <row r="230" spans="2:7">
      <c r="B230" s="18" t="s">
        <v>210</v>
      </c>
      <c r="C230" s="16" t="s">
        <v>211</v>
      </c>
      <c r="D230" s="19" t="s">
        <v>259</v>
      </c>
      <c r="E230" s="20" t="s">
        <v>1745</v>
      </c>
      <c r="F230" s="16" t="str">
        <f>_xlfn.XLOOKUP(D230,'[4]DROP POINT BEKASI'!$B:$B,'[4]DROP POINT BEKASI'!$E:$E,"-")</f>
        <v>SARIFPUDIN</v>
      </c>
      <c r="G230" s="21"/>
    </row>
    <row r="231" spans="2:7">
      <c r="B231" s="18" t="s">
        <v>260</v>
      </c>
      <c r="C231" s="16" t="s">
        <v>261</v>
      </c>
      <c r="D231" s="19" t="s">
        <v>262</v>
      </c>
      <c r="E231" s="20" t="s">
        <v>1722</v>
      </c>
      <c r="F231" s="16" t="str">
        <f>_xlfn.XLOOKUP(D231,[5]Sheet1!$B:$B,[5]Sheet1!$E:$E,"-")</f>
        <v>AHMAD TOFIK YULFIKAR</v>
      </c>
      <c r="G231" s="21"/>
    </row>
    <row r="232" spans="2:7">
      <c r="B232" s="18" t="s">
        <v>260</v>
      </c>
      <c r="C232" s="16" t="s">
        <v>261</v>
      </c>
      <c r="D232" s="19" t="s">
        <v>263</v>
      </c>
      <c r="E232" s="20" t="s">
        <v>1722</v>
      </c>
      <c r="F232" s="16" t="str">
        <f>_xlfn.XLOOKUP(D232,[5]Sheet1!$B:$B,[5]Sheet1!$E:$E,"-")</f>
        <v>AHMAD TOFIK YULFIKAR</v>
      </c>
      <c r="G232" s="21"/>
    </row>
    <row r="233" spans="2:7">
      <c r="B233" s="18" t="s">
        <v>260</v>
      </c>
      <c r="C233" s="16" t="s">
        <v>261</v>
      </c>
      <c r="D233" s="19" t="s">
        <v>264</v>
      </c>
      <c r="E233" s="20" t="s">
        <v>1722</v>
      </c>
      <c r="F233" s="16" t="str">
        <f>_xlfn.XLOOKUP(D233,[5]Sheet1!$B:$B,[5]Sheet1!$E:$E,"-")</f>
        <v>AHMAD TOFIK YULFIKAR</v>
      </c>
      <c r="G233" s="21"/>
    </row>
    <row r="234" spans="2:7">
      <c r="B234" s="18" t="s">
        <v>260</v>
      </c>
      <c r="C234" s="16" t="s">
        <v>261</v>
      </c>
      <c r="D234" s="19" t="s">
        <v>265</v>
      </c>
      <c r="E234" s="20" t="s">
        <v>1722</v>
      </c>
      <c r="F234" s="16" t="str">
        <f>_xlfn.XLOOKUP(D234,[5]Sheet1!$B:$B,[5]Sheet1!$E:$E,"-")</f>
        <v>AHMAD TOFIK YULFIKAR</v>
      </c>
      <c r="G234" s="21"/>
    </row>
    <row r="235" spans="2:7">
      <c r="B235" s="18" t="s">
        <v>260</v>
      </c>
      <c r="C235" s="16" t="s">
        <v>261</v>
      </c>
      <c r="D235" s="19" t="s">
        <v>266</v>
      </c>
      <c r="E235" s="20" t="s">
        <v>1722</v>
      </c>
      <c r="F235" s="16" t="str">
        <f>_xlfn.XLOOKUP(D235,[5]Sheet1!$B:$B,[5]Sheet1!$E:$E,"-")</f>
        <v>AHMAD TOFIK YULFIKAR</v>
      </c>
      <c r="G235" s="21"/>
    </row>
    <row r="236" spans="2:7">
      <c r="B236" s="18" t="s">
        <v>260</v>
      </c>
      <c r="C236" s="16" t="s">
        <v>261</v>
      </c>
      <c r="D236" s="19" t="s">
        <v>267</v>
      </c>
      <c r="E236" s="20" t="s">
        <v>1745</v>
      </c>
      <c r="F236" s="16" t="str">
        <f>_xlfn.XLOOKUP(D236,[5]Sheet1!$B:$B,[5]Sheet1!$E:$E,"-")</f>
        <v>AHMAD TOFIK YULFIKAR</v>
      </c>
      <c r="G236" s="21"/>
    </row>
    <row r="237" spans="2:7">
      <c r="B237" s="18" t="s">
        <v>260</v>
      </c>
      <c r="C237" s="16" t="s">
        <v>261</v>
      </c>
      <c r="D237" s="19" t="s">
        <v>268</v>
      </c>
      <c r="E237" s="20" t="s">
        <v>1722</v>
      </c>
      <c r="F237" s="16" t="str">
        <f>_xlfn.XLOOKUP(D237,[5]Sheet1!$B:$B,[5]Sheet1!$E:$E,"-")</f>
        <v>AHMAD TOFIK YULFIKAR</v>
      </c>
      <c r="G237" s="21"/>
    </row>
    <row r="238" spans="2:7">
      <c r="B238" s="18" t="s">
        <v>260</v>
      </c>
      <c r="C238" s="16" t="s">
        <v>261</v>
      </c>
      <c r="D238" s="19" t="s">
        <v>269</v>
      </c>
      <c r="E238" s="20" t="s">
        <v>1722</v>
      </c>
      <c r="F238" s="16" t="str">
        <f>_xlfn.XLOOKUP(D238,[5]Sheet1!$B:$B,[5]Sheet1!$E:$E,"-")</f>
        <v>AHMAD TOFIK YULFIKAR</v>
      </c>
      <c r="G238" s="21"/>
    </row>
    <row r="239" spans="2:7">
      <c r="B239" s="18" t="s">
        <v>260</v>
      </c>
      <c r="C239" s="16" t="s">
        <v>261</v>
      </c>
      <c r="D239" s="19" t="s">
        <v>270</v>
      </c>
      <c r="E239" s="20" t="s">
        <v>1722</v>
      </c>
      <c r="F239" s="16" t="str">
        <f>_xlfn.XLOOKUP(D239,[5]Sheet1!$B:$B,[5]Sheet1!$E:$E,"-")</f>
        <v>AHMAD TOFIK YULFIKAR</v>
      </c>
      <c r="G239" s="21"/>
    </row>
    <row r="240" spans="2:7">
      <c r="B240" s="18" t="s">
        <v>260</v>
      </c>
      <c r="C240" s="16" t="s">
        <v>261</v>
      </c>
      <c r="D240" s="19" t="s">
        <v>271</v>
      </c>
      <c r="E240" s="20" t="s">
        <v>1745</v>
      </c>
      <c r="F240" s="16" t="str">
        <f>_xlfn.XLOOKUP(D240,[5]Sheet1!$B:$B,[5]Sheet1!$E:$E,"-")</f>
        <v>AHMAD TOFIK YULFIKAR</v>
      </c>
      <c r="G240" s="21"/>
    </row>
    <row r="241" spans="2:7">
      <c r="B241" s="18" t="s">
        <v>260</v>
      </c>
      <c r="C241" s="16" t="s">
        <v>261</v>
      </c>
      <c r="D241" s="19" t="s">
        <v>272</v>
      </c>
      <c r="E241" s="20" t="s">
        <v>1745</v>
      </c>
      <c r="F241" s="16" t="str">
        <f>_xlfn.XLOOKUP(D241,[5]Sheet1!$B:$B,[5]Sheet1!$E:$E,"-")</f>
        <v>AHMAD TOFIK YULFIKAR</v>
      </c>
      <c r="G241" s="21"/>
    </row>
    <row r="242" spans="2:7">
      <c r="B242" s="18" t="s">
        <v>260</v>
      </c>
      <c r="C242" s="16" t="s">
        <v>261</v>
      </c>
      <c r="D242" s="19" t="s">
        <v>273</v>
      </c>
      <c r="E242" s="20" t="s">
        <v>1745</v>
      </c>
      <c r="F242" s="16" t="str">
        <f>_xlfn.XLOOKUP(D242,[5]Sheet1!$B:$B,[5]Sheet1!$E:$E,"-")</f>
        <v>AHMAD TOFIK YULFIKAR</v>
      </c>
      <c r="G242" s="21"/>
    </row>
    <row r="243" spans="2:7">
      <c r="B243" s="18" t="s">
        <v>260</v>
      </c>
      <c r="C243" s="16" t="s">
        <v>261</v>
      </c>
      <c r="D243" s="19" t="s">
        <v>274</v>
      </c>
      <c r="E243" s="20" t="s">
        <v>1745</v>
      </c>
      <c r="F243" s="16" t="str">
        <f>_xlfn.XLOOKUP(D243,[5]Sheet1!$B:$B,[5]Sheet1!$E:$E,"-")</f>
        <v>AHMAD TOFIK YULFIKAR</v>
      </c>
      <c r="G243" s="21"/>
    </row>
    <row r="244" spans="2:7">
      <c r="B244" s="18" t="s">
        <v>260</v>
      </c>
      <c r="C244" s="16" t="s">
        <v>261</v>
      </c>
      <c r="D244" s="19" t="s">
        <v>275</v>
      </c>
      <c r="E244" s="20" t="s">
        <v>1745</v>
      </c>
      <c r="F244" s="16" t="str">
        <f>_xlfn.XLOOKUP(D244,[5]Sheet1!$B:$B,[5]Sheet1!$E:$E,"-")</f>
        <v>AHMAD TOFIK YULFIKAR</v>
      </c>
      <c r="G244" s="21"/>
    </row>
    <row r="245" spans="2:7">
      <c r="B245" s="18" t="s">
        <v>260</v>
      </c>
      <c r="C245" s="16" t="s">
        <v>261</v>
      </c>
      <c r="D245" s="19" t="s">
        <v>276</v>
      </c>
      <c r="E245" s="20" t="s">
        <v>1722</v>
      </c>
      <c r="F245" s="16" t="str">
        <f>_xlfn.XLOOKUP(D245,[5]Sheet1!$B:$B,[5]Sheet1!$E:$E,"-")</f>
        <v>FALDY FEDIANSYAH</v>
      </c>
      <c r="G245" s="21"/>
    </row>
    <row r="246" spans="2:7">
      <c r="B246" s="18" t="s">
        <v>260</v>
      </c>
      <c r="C246" s="16" t="s">
        <v>261</v>
      </c>
      <c r="D246" s="19" t="s">
        <v>277</v>
      </c>
      <c r="E246" s="20" t="s">
        <v>1722</v>
      </c>
      <c r="F246" s="16" t="str">
        <f>_xlfn.XLOOKUP(D246,[5]Sheet1!$B:$B,[5]Sheet1!$E:$E,"-")</f>
        <v>FALDY FEDIANSYAH</v>
      </c>
      <c r="G246" s="21"/>
    </row>
    <row r="247" spans="2:7">
      <c r="B247" s="18" t="s">
        <v>260</v>
      </c>
      <c r="C247" s="16" t="s">
        <v>261</v>
      </c>
      <c r="D247" s="19" t="s">
        <v>278</v>
      </c>
      <c r="E247" s="20" t="s">
        <v>1722</v>
      </c>
      <c r="F247" s="16" t="str">
        <f>_xlfn.XLOOKUP(D247,[5]Sheet1!$B:$B,[5]Sheet1!$E:$E,"-")</f>
        <v>FALDY FEDIANSYAH</v>
      </c>
      <c r="G247" s="21"/>
    </row>
    <row r="248" spans="2:7">
      <c r="B248" s="18" t="s">
        <v>260</v>
      </c>
      <c r="C248" s="16" t="s">
        <v>261</v>
      </c>
      <c r="D248" s="19" t="s">
        <v>279</v>
      </c>
      <c r="E248" s="20" t="s">
        <v>1722</v>
      </c>
      <c r="F248" s="16" t="str">
        <f>_xlfn.XLOOKUP(D248,[5]Sheet1!$B:$B,[5]Sheet1!$E:$E,"-")</f>
        <v>FALDY FEDIANSYAH</v>
      </c>
      <c r="G248" s="21"/>
    </row>
    <row r="249" spans="2:7">
      <c r="B249" s="18" t="s">
        <v>260</v>
      </c>
      <c r="C249" s="16" t="s">
        <v>261</v>
      </c>
      <c r="D249" s="19" t="s">
        <v>280</v>
      </c>
      <c r="E249" s="20" t="s">
        <v>1722</v>
      </c>
      <c r="F249" s="16" t="str">
        <f>_xlfn.XLOOKUP(D249,[5]Sheet1!$B:$B,[5]Sheet1!$E:$E,"-")</f>
        <v>FALDY FEDIANSYAH</v>
      </c>
      <c r="G249" s="21"/>
    </row>
    <row r="250" spans="2:7">
      <c r="B250" s="18" t="s">
        <v>260</v>
      </c>
      <c r="C250" s="16" t="s">
        <v>261</v>
      </c>
      <c r="D250" s="19" t="s">
        <v>281</v>
      </c>
      <c r="E250" s="20" t="s">
        <v>1745</v>
      </c>
      <c r="F250" s="16" t="str">
        <f>_xlfn.XLOOKUP(D250,[5]Sheet1!$B:$B,[5]Sheet1!$E:$E,"-")</f>
        <v>FALDY FEDIANSYAH</v>
      </c>
      <c r="G250" s="21"/>
    </row>
    <row r="251" spans="2:7">
      <c r="B251" s="18" t="s">
        <v>260</v>
      </c>
      <c r="C251" s="16" t="s">
        <v>261</v>
      </c>
      <c r="D251" s="19" t="s">
        <v>282</v>
      </c>
      <c r="E251" s="20" t="s">
        <v>1745</v>
      </c>
      <c r="F251" s="16" t="str">
        <f>_xlfn.XLOOKUP(D251,[5]Sheet1!$B:$B,[5]Sheet1!$E:$E,"-")</f>
        <v>FALDY FEDIANSYAH</v>
      </c>
      <c r="G251" s="21"/>
    </row>
    <row r="252" spans="2:7">
      <c r="B252" s="18" t="s">
        <v>260</v>
      </c>
      <c r="C252" s="16" t="s">
        <v>261</v>
      </c>
      <c r="D252" s="19" t="s">
        <v>283</v>
      </c>
      <c r="E252" s="20" t="s">
        <v>1745</v>
      </c>
      <c r="F252" s="16" t="str">
        <f>_xlfn.XLOOKUP(D252,[5]Sheet1!$B:$B,[5]Sheet1!$E:$E,"-")</f>
        <v>FALDY FEDIANSYAH</v>
      </c>
      <c r="G252" s="21"/>
    </row>
    <row r="253" spans="2:7">
      <c r="B253" s="18" t="s">
        <v>260</v>
      </c>
      <c r="C253" s="16" t="s">
        <v>261</v>
      </c>
      <c r="D253" s="19" t="s">
        <v>284</v>
      </c>
      <c r="E253" s="20" t="s">
        <v>1745</v>
      </c>
      <c r="F253" s="16" t="str">
        <f>_xlfn.XLOOKUP(D253,[5]Sheet1!$B:$B,[5]Sheet1!$E:$E,"-")</f>
        <v>FALDY FEDIANSYAH</v>
      </c>
      <c r="G253" s="21"/>
    </row>
    <row r="254" spans="2:7">
      <c r="B254" s="18" t="s">
        <v>260</v>
      </c>
      <c r="C254" s="16" t="s">
        <v>261</v>
      </c>
      <c r="D254" s="19" t="s">
        <v>285</v>
      </c>
      <c r="E254" s="20" t="s">
        <v>1745</v>
      </c>
      <c r="F254" s="16" t="str">
        <f>_xlfn.XLOOKUP(D254,[5]Sheet1!$B:$B,[5]Sheet1!$E:$E,"-")</f>
        <v>FALDY FEDIANSYAH</v>
      </c>
      <c r="G254" s="21"/>
    </row>
    <row r="255" spans="2:7">
      <c r="B255" s="18" t="s">
        <v>260</v>
      </c>
      <c r="C255" s="16" t="s">
        <v>261</v>
      </c>
      <c r="D255" s="19" t="s">
        <v>286</v>
      </c>
      <c r="E255" s="20" t="s">
        <v>1745</v>
      </c>
      <c r="F255" s="16" t="str">
        <f>_xlfn.XLOOKUP(D255,[5]Sheet1!$B:$B,[5]Sheet1!$E:$E,"-")</f>
        <v>FALDY FEDIANSYAH</v>
      </c>
      <c r="G255" s="21"/>
    </row>
    <row r="256" spans="2:7">
      <c r="B256" s="18" t="s">
        <v>260</v>
      </c>
      <c r="C256" s="16" t="s">
        <v>261</v>
      </c>
      <c r="D256" s="19" t="s">
        <v>287</v>
      </c>
      <c r="E256" s="20" t="s">
        <v>1745</v>
      </c>
      <c r="F256" s="16" t="str">
        <f>_xlfn.XLOOKUP(D256,[5]Sheet1!$B:$B,[5]Sheet1!$E:$E,"-")</f>
        <v>FALDY FEDIANSYAH</v>
      </c>
      <c r="G256" s="21"/>
    </row>
    <row r="257" spans="2:7">
      <c r="B257" s="18" t="s">
        <v>260</v>
      </c>
      <c r="C257" s="16" t="s">
        <v>261</v>
      </c>
      <c r="D257" s="19" t="s">
        <v>288</v>
      </c>
      <c r="E257" s="20" t="s">
        <v>1745</v>
      </c>
      <c r="F257" s="16" t="str">
        <f>_xlfn.XLOOKUP(D257,[5]Sheet1!$B:$B,[5]Sheet1!$E:$E,"-")</f>
        <v>FALDY FEDIANSYAH</v>
      </c>
      <c r="G257" s="21"/>
    </row>
    <row r="258" spans="2:7">
      <c r="B258" s="18" t="s">
        <v>260</v>
      </c>
      <c r="C258" s="16" t="s">
        <v>261</v>
      </c>
      <c r="D258" s="19" t="s">
        <v>289</v>
      </c>
      <c r="E258" s="20" t="s">
        <v>1745</v>
      </c>
      <c r="F258" s="16" t="str">
        <f>_xlfn.XLOOKUP(D258,[5]Sheet1!$B:$B,[5]Sheet1!$E:$E,"-")</f>
        <v>FALDY FEDIANSYAH</v>
      </c>
      <c r="G258" s="21"/>
    </row>
    <row r="259" spans="2:7">
      <c r="B259" s="18" t="s">
        <v>260</v>
      </c>
      <c r="C259" s="16" t="s">
        <v>261</v>
      </c>
      <c r="D259" s="19" t="s">
        <v>290</v>
      </c>
      <c r="E259" s="20" t="s">
        <v>1722</v>
      </c>
      <c r="F259" s="16" t="str">
        <f>_xlfn.XLOOKUP(D259,[5]Sheet1!$B:$B,[5]Sheet1!$E:$E,"-")</f>
        <v>FALDY FEDIANSYAH</v>
      </c>
      <c r="G259" s="21"/>
    </row>
    <row r="260" spans="2:7">
      <c r="B260" s="18" t="s">
        <v>260</v>
      </c>
      <c r="C260" s="16" t="s">
        <v>261</v>
      </c>
      <c r="D260" s="19" t="s">
        <v>291</v>
      </c>
      <c r="E260" s="20" t="s">
        <v>1722</v>
      </c>
      <c r="F260" s="16" t="str">
        <f>_xlfn.XLOOKUP(D260,[5]Sheet1!$B:$B,[5]Sheet1!$E:$E,"-")</f>
        <v>FALDY FEDIANSYAH</v>
      </c>
      <c r="G260" s="21"/>
    </row>
    <row r="261" spans="2:7">
      <c r="B261" s="18" t="s">
        <v>260</v>
      </c>
      <c r="C261" s="16" t="s">
        <v>261</v>
      </c>
      <c r="D261" s="19" t="s">
        <v>292</v>
      </c>
      <c r="E261" s="20" t="s">
        <v>1722</v>
      </c>
      <c r="F261" s="16" t="str">
        <f>_xlfn.XLOOKUP(D261,[5]Sheet1!$B:$B,[5]Sheet1!$E:$E,"-")</f>
        <v>FALDY FEDIANSYAH</v>
      </c>
      <c r="G261" s="21"/>
    </row>
    <row r="262" spans="2:7">
      <c r="B262" s="18" t="s">
        <v>260</v>
      </c>
      <c r="C262" s="16" t="s">
        <v>261</v>
      </c>
      <c r="D262" s="19" t="s">
        <v>293</v>
      </c>
      <c r="E262" s="20" t="s">
        <v>1745</v>
      </c>
      <c r="F262" s="16" t="str">
        <f>_xlfn.XLOOKUP(D262,[5]Sheet1!$B:$B,[5]Sheet1!$E:$E,"-")</f>
        <v>FALDY FEDIANSYAH</v>
      </c>
      <c r="G262" s="21"/>
    </row>
    <row r="263" spans="2:7">
      <c r="B263" s="18" t="s">
        <v>260</v>
      </c>
      <c r="C263" s="16" t="s">
        <v>261</v>
      </c>
      <c r="D263" s="19" t="s">
        <v>294</v>
      </c>
      <c r="E263" s="20" t="s">
        <v>1722</v>
      </c>
      <c r="F263" s="16" t="str">
        <f>_xlfn.XLOOKUP(D263,[5]Sheet1!$B:$B,[5]Sheet1!$E:$E,"-")</f>
        <v>HERI SUSANTO</v>
      </c>
      <c r="G263" s="21"/>
    </row>
    <row r="264" spans="2:7">
      <c r="B264" s="18" t="s">
        <v>260</v>
      </c>
      <c r="C264" s="16" t="s">
        <v>261</v>
      </c>
      <c r="D264" s="19" t="s">
        <v>295</v>
      </c>
      <c r="E264" s="20" t="s">
        <v>1722</v>
      </c>
      <c r="F264" s="16" t="str">
        <f>_xlfn.XLOOKUP(D264,[5]Sheet1!$B:$B,[5]Sheet1!$E:$E,"-")</f>
        <v>HERI SUSANTO</v>
      </c>
      <c r="G264" s="21"/>
    </row>
    <row r="265" spans="2:7">
      <c r="B265" s="18" t="s">
        <v>260</v>
      </c>
      <c r="C265" s="16" t="s">
        <v>261</v>
      </c>
      <c r="D265" s="19" t="s">
        <v>296</v>
      </c>
      <c r="E265" s="20" t="s">
        <v>1722</v>
      </c>
      <c r="F265" s="16" t="str">
        <f>_xlfn.XLOOKUP(D265,[5]Sheet1!$B:$B,[5]Sheet1!$E:$E,"-")</f>
        <v>HERI SUSANTO</v>
      </c>
      <c r="G265" s="21"/>
    </row>
    <row r="266" spans="2:7">
      <c r="B266" s="18" t="s">
        <v>260</v>
      </c>
      <c r="C266" s="16" t="s">
        <v>261</v>
      </c>
      <c r="D266" s="19" t="s">
        <v>297</v>
      </c>
      <c r="E266" s="20" t="s">
        <v>1722</v>
      </c>
      <c r="F266" s="16" t="str">
        <f>_xlfn.XLOOKUP(D266,[5]Sheet1!$B:$B,[5]Sheet1!$E:$E,"-")</f>
        <v>HERI SUSANTO</v>
      </c>
      <c r="G266" s="21"/>
    </row>
    <row r="267" spans="2:7">
      <c r="B267" s="18" t="s">
        <v>260</v>
      </c>
      <c r="C267" s="16" t="s">
        <v>261</v>
      </c>
      <c r="D267" s="19" t="s">
        <v>298</v>
      </c>
      <c r="E267" s="20" t="s">
        <v>1722</v>
      </c>
      <c r="F267" s="16" t="str">
        <f>_xlfn.XLOOKUP(D267,[5]Sheet1!$B:$B,[5]Sheet1!$E:$E,"-")</f>
        <v>HERI SUSANTO</v>
      </c>
      <c r="G267" s="21"/>
    </row>
    <row r="268" spans="2:7">
      <c r="B268" s="18" t="s">
        <v>260</v>
      </c>
      <c r="C268" s="16" t="s">
        <v>261</v>
      </c>
      <c r="D268" s="19" t="s">
        <v>299</v>
      </c>
      <c r="E268" s="20" t="s">
        <v>1722</v>
      </c>
      <c r="F268" s="16" t="str">
        <f>_xlfn.XLOOKUP(D268,[5]Sheet1!$B:$B,[5]Sheet1!$E:$E,"-")</f>
        <v>HERI SUSANTO</v>
      </c>
      <c r="G268" s="21"/>
    </row>
    <row r="269" spans="2:7">
      <c r="B269" s="18" t="s">
        <v>260</v>
      </c>
      <c r="C269" s="16" t="s">
        <v>261</v>
      </c>
      <c r="D269" s="19" t="s">
        <v>300</v>
      </c>
      <c r="E269" s="20" t="s">
        <v>1722</v>
      </c>
      <c r="F269" s="16" t="str">
        <f>_xlfn.XLOOKUP(D269,[5]Sheet1!$B:$B,[5]Sheet1!$E:$E,"-")</f>
        <v>HERI SUSANTO</v>
      </c>
      <c r="G269" s="21"/>
    </row>
    <row r="270" spans="2:7">
      <c r="B270" s="18" t="s">
        <v>260</v>
      </c>
      <c r="C270" s="16" t="s">
        <v>261</v>
      </c>
      <c r="D270" s="19" t="s">
        <v>301</v>
      </c>
      <c r="E270" s="20" t="s">
        <v>1722</v>
      </c>
      <c r="F270" s="16" t="str">
        <f>_xlfn.XLOOKUP(D270,[5]Sheet1!$B:$B,[5]Sheet1!$E:$E,"-")</f>
        <v>HERI SUSANTO</v>
      </c>
      <c r="G270" s="21"/>
    </row>
    <row r="271" spans="2:7">
      <c r="B271" s="18" t="s">
        <v>260</v>
      </c>
      <c r="C271" s="16" t="s">
        <v>261</v>
      </c>
      <c r="D271" s="19" t="s">
        <v>302</v>
      </c>
      <c r="E271" s="20" t="s">
        <v>1722</v>
      </c>
      <c r="F271" s="16" t="str">
        <f>_xlfn.XLOOKUP(D271,[5]Sheet1!$B:$B,[5]Sheet1!$E:$E,"-")</f>
        <v>HERI SUSANTO</v>
      </c>
      <c r="G271" s="21"/>
    </row>
    <row r="272" spans="2:7">
      <c r="B272" s="18" t="s">
        <v>260</v>
      </c>
      <c r="C272" s="16" t="s">
        <v>261</v>
      </c>
      <c r="D272" s="19" t="s">
        <v>303</v>
      </c>
      <c r="E272" s="20" t="s">
        <v>1722</v>
      </c>
      <c r="F272" s="16" t="str">
        <f>_xlfn.XLOOKUP(D272,[5]Sheet1!$B:$B,[5]Sheet1!$E:$E,"-")</f>
        <v>HERI SUSANTO</v>
      </c>
      <c r="G272" s="21"/>
    </row>
    <row r="273" spans="2:7">
      <c r="B273" s="18" t="s">
        <v>260</v>
      </c>
      <c r="C273" s="16" t="s">
        <v>261</v>
      </c>
      <c r="D273" s="19" t="s">
        <v>304</v>
      </c>
      <c r="E273" s="20" t="s">
        <v>1722</v>
      </c>
      <c r="F273" s="16" t="str">
        <f>_xlfn.XLOOKUP(D273,[5]Sheet1!$B:$B,[5]Sheet1!$E:$E,"-")</f>
        <v>HERI SUSANTO</v>
      </c>
      <c r="G273" s="21"/>
    </row>
    <row r="274" spans="2:7">
      <c r="B274" s="18" t="s">
        <v>260</v>
      </c>
      <c r="C274" s="16" t="s">
        <v>261</v>
      </c>
      <c r="D274" s="19" t="s">
        <v>305</v>
      </c>
      <c r="E274" s="20" t="s">
        <v>1745</v>
      </c>
      <c r="F274" s="16" t="str">
        <f>_xlfn.XLOOKUP(D274,[5]Sheet1!$B:$B,[5]Sheet1!$E:$E,"-")</f>
        <v>HERI SUSANTO</v>
      </c>
      <c r="G274" s="21"/>
    </row>
    <row r="275" spans="2:7">
      <c r="B275" s="18" t="s">
        <v>260</v>
      </c>
      <c r="C275" s="16" t="s">
        <v>261</v>
      </c>
      <c r="D275" s="19" t="s">
        <v>306</v>
      </c>
      <c r="E275" s="20" t="s">
        <v>1745</v>
      </c>
      <c r="F275" s="16" t="str">
        <f>_xlfn.XLOOKUP(D275,[5]Sheet1!$B:$B,[5]Sheet1!$E:$E,"-")</f>
        <v>HERI SUSANTO</v>
      </c>
      <c r="G275" s="21"/>
    </row>
    <row r="276" spans="2:7">
      <c r="B276" s="18" t="s">
        <v>260</v>
      </c>
      <c r="C276" s="16" t="s">
        <v>261</v>
      </c>
      <c r="D276" s="19" t="s">
        <v>307</v>
      </c>
      <c r="E276" s="20" t="s">
        <v>1722</v>
      </c>
      <c r="F276" s="16" t="str">
        <f>_xlfn.XLOOKUP(D276,[5]Sheet1!$B:$B,[5]Sheet1!$E:$E,"-")</f>
        <v>HERI SUSANTO</v>
      </c>
      <c r="G276" s="21"/>
    </row>
    <row r="277" spans="2:7">
      <c r="B277" s="18" t="s">
        <v>260</v>
      </c>
      <c r="C277" s="16" t="s">
        <v>261</v>
      </c>
      <c r="D277" s="19" t="s">
        <v>308</v>
      </c>
      <c r="E277" s="20" t="s">
        <v>1722</v>
      </c>
      <c r="F277" s="16" t="str">
        <f>_xlfn.XLOOKUP(D277,[5]Sheet1!$B:$B,[5]Sheet1!$E:$E,"-")</f>
        <v>NOVIAN</v>
      </c>
      <c r="G277" s="21"/>
    </row>
    <row r="278" spans="2:7">
      <c r="B278" s="18" t="s">
        <v>260</v>
      </c>
      <c r="C278" s="16" t="s">
        <v>261</v>
      </c>
      <c r="D278" s="19" t="s">
        <v>309</v>
      </c>
      <c r="E278" s="20" t="s">
        <v>1722</v>
      </c>
      <c r="F278" s="16" t="str">
        <f>_xlfn.XLOOKUP(D278,[5]Sheet1!$B:$B,[5]Sheet1!$E:$E,"-")</f>
        <v>NOVIAN</v>
      </c>
      <c r="G278" s="21"/>
    </row>
    <row r="279" spans="2:7">
      <c r="B279" s="18" t="s">
        <v>260</v>
      </c>
      <c r="C279" s="16" t="s">
        <v>261</v>
      </c>
      <c r="D279" s="19" t="s">
        <v>310</v>
      </c>
      <c r="E279" s="20" t="s">
        <v>1722</v>
      </c>
      <c r="F279" s="16" t="str">
        <f>_xlfn.XLOOKUP(D279,[5]Sheet1!$B:$B,[5]Sheet1!$E:$E,"-")</f>
        <v>NOVIAN</v>
      </c>
      <c r="G279" s="21"/>
    </row>
    <row r="280" spans="2:7">
      <c r="B280" s="18" t="s">
        <v>260</v>
      </c>
      <c r="C280" s="16" t="s">
        <v>261</v>
      </c>
      <c r="D280" s="19" t="s">
        <v>311</v>
      </c>
      <c r="E280" s="20" t="s">
        <v>1722</v>
      </c>
      <c r="F280" s="16" t="str">
        <f>_xlfn.XLOOKUP(D280,[5]Sheet1!$B:$B,[5]Sheet1!$E:$E,"-")</f>
        <v>NOVIAN</v>
      </c>
      <c r="G280" s="21"/>
    </row>
    <row r="281" spans="2:7">
      <c r="B281" s="18" t="s">
        <v>260</v>
      </c>
      <c r="C281" s="16" t="s">
        <v>261</v>
      </c>
      <c r="D281" s="19" t="s">
        <v>312</v>
      </c>
      <c r="E281" s="20" t="s">
        <v>1722</v>
      </c>
      <c r="F281" s="16" t="str">
        <f>_xlfn.XLOOKUP(D281,[5]Sheet1!$B:$B,[5]Sheet1!$E:$E,"-")</f>
        <v>NOVIAN</v>
      </c>
      <c r="G281" s="21"/>
    </row>
    <row r="282" spans="2:7">
      <c r="B282" s="18" t="s">
        <v>260</v>
      </c>
      <c r="C282" s="16" t="s">
        <v>261</v>
      </c>
      <c r="D282" s="19" t="s">
        <v>313</v>
      </c>
      <c r="E282" s="20" t="s">
        <v>1722</v>
      </c>
      <c r="F282" s="16" t="str">
        <f>_xlfn.XLOOKUP(D282,[5]Sheet1!$B:$B,[5]Sheet1!$E:$E,"-")</f>
        <v>NOVIAN</v>
      </c>
      <c r="G282" s="21"/>
    </row>
    <row r="283" spans="2:7">
      <c r="B283" s="18" t="s">
        <v>260</v>
      </c>
      <c r="C283" s="16" t="s">
        <v>261</v>
      </c>
      <c r="D283" s="19" t="s">
        <v>314</v>
      </c>
      <c r="E283" s="20" t="s">
        <v>1722</v>
      </c>
      <c r="F283" s="16" t="str">
        <f>_xlfn.XLOOKUP(D283,[5]Sheet1!$B:$B,[5]Sheet1!$E:$E,"-")</f>
        <v>NOVIAN</v>
      </c>
      <c r="G283" s="21"/>
    </row>
    <row r="284" spans="2:7">
      <c r="B284" s="18" t="s">
        <v>260</v>
      </c>
      <c r="C284" s="16" t="s">
        <v>261</v>
      </c>
      <c r="D284" s="19" t="s">
        <v>315</v>
      </c>
      <c r="E284" s="20" t="s">
        <v>1745</v>
      </c>
      <c r="F284" s="16" t="str">
        <f>_xlfn.XLOOKUP(D284,[5]Sheet1!$B:$B,[5]Sheet1!$E:$E,"-")</f>
        <v>NOVIAN</v>
      </c>
      <c r="G284" s="21"/>
    </row>
    <row r="285" spans="2:7">
      <c r="B285" s="18" t="s">
        <v>260</v>
      </c>
      <c r="C285" s="16" t="s">
        <v>261</v>
      </c>
      <c r="D285" s="19" t="s">
        <v>316</v>
      </c>
      <c r="E285" s="20" t="s">
        <v>1745</v>
      </c>
      <c r="F285" s="16" t="str">
        <f>_xlfn.XLOOKUP(D285,[5]Sheet1!$B:$B,[5]Sheet1!$E:$E,"-")</f>
        <v>NOVIAN</v>
      </c>
      <c r="G285" s="21"/>
    </row>
    <row r="286" spans="2:7">
      <c r="B286" s="18" t="s">
        <v>260</v>
      </c>
      <c r="C286" s="16" t="s">
        <v>261</v>
      </c>
      <c r="D286" s="19" t="s">
        <v>317</v>
      </c>
      <c r="E286" s="20" t="s">
        <v>1745</v>
      </c>
      <c r="F286" s="16" t="str">
        <f>_xlfn.XLOOKUP(D286,[5]Sheet1!$B:$B,[5]Sheet1!$E:$E,"-")</f>
        <v>NOVIAN</v>
      </c>
      <c r="G286" s="21"/>
    </row>
    <row r="287" spans="2:7">
      <c r="B287" s="18" t="s">
        <v>260</v>
      </c>
      <c r="C287" s="16" t="s">
        <v>261</v>
      </c>
      <c r="D287" s="19" t="s">
        <v>318</v>
      </c>
      <c r="E287" s="20" t="s">
        <v>1745</v>
      </c>
      <c r="F287" s="16" t="str">
        <f>_xlfn.XLOOKUP(D287,[5]Sheet1!$B:$B,[5]Sheet1!$E:$E,"-")</f>
        <v>NOVIAN</v>
      </c>
      <c r="G287" s="21"/>
    </row>
    <row r="288" spans="2:7">
      <c r="B288" s="18" t="s">
        <v>260</v>
      </c>
      <c r="C288" s="16" t="s">
        <v>261</v>
      </c>
      <c r="D288" s="19" t="s">
        <v>319</v>
      </c>
      <c r="E288" s="20" t="s">
        <v>1745</v>
      </c>
      <c r="F288" s="16" t="str">
        <f>_xlfn.XLOOKUP(D288,[5]Sheet1!$B:$B,[5]Sheet1!$E:$E,"-")</f>
        <v>NOVIAN</v>
      </c>
      <c r="G288" s="21"/>
    </row>
    <row r="289" spans="2:7">
      <c r="B289" s="18" t="s">
        <v>260</v>
      </c>
      <c r="C289" s="16" t="s">
        <v>261</v>
      </c>
      <c r="D289" s="19" t="s">
        <v>320</v>
      </c>
      <c r="E289" s="20" t="s">
        <v>1722</v>
      </c>
      <c r="F289" s="16" t="str">
        <f>_xlfn.XLOOKUP(D289,[5]Sheet1!$B:$B,[5]Sheet1!$E:$E,"-")</f>
        <v>NOVIAN</v>
      </c>
      <c r="G289" s="21"/>
    </row>
    <row r="290" spans="2:7">
      <c r="B290" s="18" t="s">
        <v>260</v>
      </c>
      <c r="C290" s="16" t="s">
        <v>261</v>
      </c>
      <c r="D290" s="19" t="s">
        <v>321</v>
      </c>
      <c r="E290" s="20" t="s">
        <v>1722</v>
      </c>
      <c r="F290" s="16" t="str">
        <f>_xlfn.XLOOKUP(D290,[5]Sheet1!$B:$B,[5]Sheet1!$E:$E,"-")</f>
        <v>M PAREZA NOVIK</v>
      </c>
      <c r="G290" s="21"/>
    </row>
    <row r="291" spans="2:7">
      <c r="B291" s="18" t="s">
        <v>260</v>
      </c>
      <c r="C291" s="16" t="s">
        <v>261</v>
      </c>
      <c r="D291" s="19" t="s">
        <v>322</v>
      </c>
      <c r="E291" s="20" t="s">
        <v>1722</v>
      </c>
      <c r="F291" s="16" t="str">
        <f>_xlfn.XLOOKUP(D291,[5]Sheet1!$B:$B,[5]Sheet1!$E:$E,"-")</f>
        <v>M PAREZA NOVIK</v>
      </c>
      <c r="G291" s="21"/>
    </row>
    <row r="292" spans="2:7">
      <c r="B292" s="18" t="s">
        <v>260</v>
      </c>
      <c r="C292" s="16" t="s">
        <v>261</v>
      </c>
      <c r="D292" s="19" t="s">
        <v>323</v>
      </c>
      <c r="E292" s="20" t="s">
        <v>1722</v>
      </c>
      <c r="F292" s="16" t="str">
        <f>_xlfn.XLOOKUP(D292,[5]Sheet1!$B:$B,[5]Sheet1!$E:$E,"-")</f>
        <v>M PAREZA NOVIK</v>
      </c>
      <c r="G292" s="21"/>
    </row>
    <row r="293" spans="2:7">
      <c r="B293" s="18" t="s">
        <v>260</v>
      </c>
      <c r="C293" s="16" t="s">
        <v>261</v>
      </c>
      <c r="D293" s="19" t="s">
        <v>324</v>
      </c>
      <c r="E293" s="20" t="s">
        <v>1722</v>
      </c>
      <c r="F293" s="16" t="str">
        <f>_xlfn.XLOOKUP(D293,[5]Sheet1!$B:$B,[5]Sheet1!$E:$E,"-")</f>
        <v>M PAREZA NOVIK</v>
      </c>
      <c r="G293" s="21"/>
    </row>
    <row r="294" spans="2:7">
      <c r="B294" s="18" t="s">
        <v>260</v>
      </c>
      <c r="C294" s="16" t="s">
        <v>261</v>
      </c>
      <c r="D294" s="19" t="s">
        <v>325</v>
      </c>
      <c r="E294" s="20" t="s">
        <v>1722</v>
      </c>
      <c r="F294" s="16" t="str">
        <f>_xlfn.XLOOKUP(D294,[5]Sheet1!$B:$B,[5]Sheet1!$E:$E,"-")</f>
        <v>M PAREZA NOVIK</v>
      </c>
      <c r="G294" s="21"/>
    </row>
    <row r="295" spans="2:7">
      <c r="B295" s="18" t="s">
        <v>260</v>
      </c>
      <c r="C295" s="16" t="s">
        <v>261</v>
      </c>
      <c r="D295" s="19" t="s">
        <v>326</v>
      </c>
      <c r="E295" s="20" t="s">
        <v>1745</v>
      </c>
      <c r="F295" s="16" t="str">
        <f>_xlfn.XLOOKUP(D295,[5]Sheet1!$B:$B,[5]Sheet1!$E:$E,"-")</f>
        <v>M PAREZA NOVIK</v>
      </c>
      <c r="G295" s="21"/>
    </row>
    <row r="296" spans="2:7">
      <c r="B296" s="18" t="s">
        <v>260</v>
      </c>
      <c r="C296" s="16" t="s">
        <v>261</v>
      </c>
      <c r="D296" s="19" t="s">
        <v>327</v>
      </c>
      <c r="E296" s="20" t="s">
        <v>1745</v>
      </c>
      <c r="F296" s="16" t="str">
        <f>_xlfn.XLOOKUP(D296,[5]Sheet1!$B:$B,[5]Sheet1!$E:$E,"-")</f>
        <v>M PAREZA NOVIK</v>
      </c>
      <c r="G296" s="21"/>
    </row>
    <row r="297" spans="2:7">
      <c r="B297" s="18" t="s">
        <v>260</v>
      </c>
      <c r="C297" s="16" t="s">
        <v>261</v>
      </c>
      <c r="D297" s="19" t="s">
        <v>328</v>
      </c>
      <c r="E297" s="20" t="s">
        <v>1745</v>
      </c>
      <c r="F297" s="16" t="str">
        <f>_xlfn.XLOOKUP(D297,[5]Sheet1!$B:$B,[5]Sheet1!$E:$E,"-")</f>
        <v>M PAREZA NOVIK</v>
      </c>
      <c r="G297" s="21"/>
    </row>
    <row r="298" spans="2:7">
      <c r="B298" s="18" t="s">
        <v>260</v>
      </c>
      <c r="C298" s="16" t="s">
        <v>261</v>
      </c>
      <c r="D298" s="19" t="s">
        <v>329</v>
      </c>
      <c r="E298" s="20" t="s">
        <v>1745</v>
      </c>
      <c r="F298" s="16" t="str">
        <f>_xlfn.XLOOKUP(D298,[5]Sheet1!$B:$B,[5]Sheet1!$E:$E,"-")</f>
        <v>M PAREZA NOVIK</v>
      </c>
      <c r="G298" s="21"/>
    </row>
    <row r="299" spans="2:7">
      <c r="B299" s="18" t="s">
        <v>260</v>
      </c>
      <c r="C299" s="16" t="s">
        <v>261</v>
      </c>
      <c r="D299" s="19" t="s">
        <v>330</v>
      </c>
      <c r="E299" s="20" t="s">
        <v>1745</v>
      </c>
      <c r="F299" s="16" t="str">
        <f>_xlfn.XLOOKUP(D299,[5]Sheet1!$B:$B,[5]Sheet1!$E:$E,"-")</f>
        <v>M PAREZA NOVIK</v>
      </c>
      <c r="G299" s="21"/>
    </row>
    <row r="300" spans="2:7">
      <c r="B300" s="18" t="s">
        <v>260</v>
      </c>
      <c r="C300" s="16" t="s">
        <v>261</v>
      </c>
      <c r="D300" s="19" t="s">
        <v>331</v>
      </c>
      <c r="E300" s="20" t="s">
        <v>1722</v>
      </c>
      <c r="F300" s="16" t="str">
        <f>_xlfn.XLOOKUP(D300,[5]Sheet1!$B:$B,[5]Sheet1!$E:$E,"-")</f>
        <v>M PAREZA NOVIK</v>
      </c>
      <c r="G300" s="21"/>
    </row>
    <row r="301" spans="2:7">
      <c r="B301" s="18" t="s">
        <v>260</v>
      </c>
      <c r="C301" s="16" t="s">
        <v>261</v>
      </c>
      <c r="D301" s="19" t="s">
        <v>332</v>
      </c>
      <c r="E301" s="20" t="s">
        <v>1722</v>
      </c>
      <c r="F301" s="16" t="str">
        <f>_xlfn.XLOOKUP(D301,[5]Sheet1!$B:$B,[5]Sheet1!$E:$E,"-")</f>
        <v>M PAREZA NOVIK</v>
      </c>
      <c r="G301" s="21"/>
    </row>
    <row r="302" spans="2:7">
      <c r="B302" s="18" t="s">
        <v>260</v>
      </c>
      <c r="C302" s="16" t="s">
        <v>261</v>
      </c>
      <c r="D302" s="19" t="s">
        <v>333</v>
      </c>
      <c r="E302" s="20" t="s">
        <v>1745</v>
      </c>
      <c r="F302" s="16" t="str">
        <f>_xlfn.XLOOKUP(D302,[5]Sheet1!$B:$B,[5]Sheet1!$E:$E,"-")</f>
        <v>M PAREZA NOVIK</v>
      </c>
      <c r="G302" s="21"/>
    </row>
    <row r="303" spans="2:7">
      <c r="B303" s="18" t="s">
        <v>260</v>
      </c>
      <c r="C303" s="16" t="s">
        <v>261</v>
      </c>
      <c r="D303" s="19" t="s">
        <v>334</v>
      </c>
      <c r="E303" s="20" t="s">
        <v>1722</v>
      </c>
      <c r="F303" s="16" t="str">
        <f>_xlfn.XLOOKUP(D303,[5]Sheet1!$B:$B,[5]Sheet1!$E:$E,"-")</f>
        <v>M PAREZA NOVIK</v>
      </c>
      <c r="G303" s="21"/>
    </row>
    <row r="304" spans="2:7">
      <c r="B304" s="18" t="s">
        <v>260</v>
      </c>
      <c r="C304" s="16" t="s">
        <v>261</v>
      </c>
      <c r="D304" s="19" t="s">
        <v>335</v>
      </c>
      <c r="E304" s="20" t="s">
        <v>1722</v>
      </c>
      <c r="F304" s="16" t="str">
        <f>_xlfn.XLOOKUP(D304,[5]Sheet1!$B:$B,[5]Sheet1!$E:$E,"-")</f>
        <v>WIN KARYADI H P</v>
      </c>
      <c r="G304" s="21"/>
    </row>
    <row r="305" spans="2:7">
      <c r="B305" s="18" t="s">
        <v>260</v>
      </c>
      <c r="C305" s="16" t="s">
        <v>261</v>
      </c>
      <c r="D305" s="19" t="s">
        <v>336</v>
      </c>
      <c r="E305" s="20" t="s">
        <v>1722</v>
      </c>
      <c r="F305" s="16" t="str">
        <f>_xlfn.XLOOKUP(D305,[5]Sheet1!$B:$B,[5]Sheet1!$E:$E,"-")</f>
        <v>WIN KARYADI H P</v>
      </c>
      <c r="G305" s="21"/>
    </row>
    <row r="306" spans="2:7">
      <c r="B306" s="18" t="s">
        <v>260</v>
      </c>
      <c r="C306" s="16" t="s">
        <v>261</v>
      </c>
      <c r="D306" s="19" t="s">
        <v>337</v>
      </c>
      <c r="E306" s="20" t="s">
        <v>1722</v>
      </c>
      <c r="F306" s="16" t="str">
        <f>_xlfn.XLOOKUP(D306,[5]Sheet1!$B:$B,[5]Sheet1!$E:$E,"-")</f>
        <v>WIN KARYADI H P</v>
      </c>
      <c r="G306" s="21"/>
    </row>
    <row r="307" spans="2:7">
      <c r="B307" s="18" t="s">
        <v>260</v>
      </c>
      <c r="C307" s="16" t="s">
        <v>261</v>
      </c>
      <c r="D307" s="19" t="s">
        <v>338</v>
      </c>
      <c r="E307" s="20" t="s">
        <v>1722</v>
      </c>
      <c r="F307" s="16" t="str">
        <f>_xlfn.XLOOKUP(D307,[5]Sheet1!$B:$B,[5]Sheet1!$E:$E,"-")</f>
        <v>WIN KARYADI H P</v>
      </c>
      <c r="G307" s="21"/>
    </row>
    <row r="308" spans="2:7">
      <c r="B308" s="18" t="s">
        <v>260</v>
      </c>
      <c r="C308" s="16" t="s">
        <v>261</v>
      </c>
      <c r="D308" s="19" t="s">
        <v>339</v>
      </c>
      <c r="E308" s="20" t="s">
        <v>1722</v>
      </c>
      <c r="F308" s="16" t="str">
        <f>_xlfn.XLOOKUP(D308,[5]Sheet1!$B:$B,[5]Sheet1!$E:$E,"-")</f>
        <v>WIN KARYADI H P</v>
      </c>
      <c r="G308" s="21"/>
    </row>
    <row r="309" spans="2:7">
      <c r="B309" s="18" t="s">
        <v>260</v>
      </c>
      <c r="C309" s="16" t="s">
        <v>261</v>
      </c>
      <c r="D309" s="19" t="s">
        <v>340</v>
      </c>
      <c r="E309" s="20" t="s">
        <v>1745</v>
      </c>
      <c r="F309" s="16" t="str">
        <f>_xlfn.XLOOKUP(D309,[5]Sheet1!$B:$B,[5]Sheet1!$E:$E,"-")</f>
        <v>WIN KARYADI H P</v>
      </c>
      <c r="G309" s="21"/>
    </row>
    <row r="310" spans="2:7">
      <c r="B310" s="18" t="s">
        <v>260</v>
      </c>
      <c r="C310" s="16" t="s">
        <v>261</v>
      </c>
      <c r="D310" s="19" t="s">
        <v>341</v>
      </c>
      <c r="E310" s="20" t="s">
        <v>1745</v>
      </c>
      <c r="F310" s="16" t="str">
        <f>_xlfn.XLOOKUP(D310,[5]Sheet1!$B:$B,[5]Sheet1!$E:$E,"-")</f>
        <v>WIN KARYADI H P</v>
      </c>
      <c r="G310" s="21"/>
    </row>
    <row r="311" spans="2:7">
      <c r="B311" s="18" t="s">
        <v>260</v>
      </c>
      <c r="C311" s="16" t="s">
        <v>261</v>
      </c>
      <c r="D311" s="19" t="s">
        <v>342</v>
      </c>
      <c r="E311" s="20" t="s">
        <v>1745</v>
      </c>
      <c r="F311" s="16" t="str">
        <f>_xlfn.XLOOKUP(D311,[5]Sheet1!$B:$B,[5]Sheet1!$E:$E,"-")</f>
        <v>WIN KARYADI H P</v>
      </c>
      <c r="G311" s="21"/>
    </row>
    <row r="312" spans="2:7">
      <c r="B312" s="18" t="s">
        <v>260</v>
      </c>
      <c r="C312" s="16" t="s">
        <v>261</v>
      </c>
      <c r="D312" s="19" t="s">
        <v>343</v>
      </c>
      <c r="E312" s="20" t="s">
        <v>1745</v>
      </c>
      <c r="F312" s="16" t="str">
        <f>_xlfn.XLOOKUP(D312,[5]Sheet1!$B:$B,[5]Sheet1!$E:$E,"-")</f>
        <v>WIN KARYADI H P</v>
      </c>
      <c r="G312" s="21"/>
    </row>
    <row r="313" spans="2:7">
      <c r="B313" s="18" t="s">
        <v>260</v>
      </c>
      <c r="C313" s="16" t="s">
        <v>261</v>
      </c>
      <c r="D313" s="19" t="s">
        <v>344</v>
      </c>
      <c r="E313" s="20" t="s">
        <v>1745</v>
      </c>
      <c r="F313" s="16" t="str">
        <f>_xlfn.XLOOKUP(D313,[5]Sheet1!$B:$B,[5]Sheet1!$E:$E,"-")</f>
        <v>WIN KARYADI H P</v>
      </c>
      <c r="G313" s="21"/>
    </row>
    <row r="314" spans="2:7">
      <c r="B314" s="18" t="s">
        <v>260</v>
      </c>
      <c r="C314" s="16" t="s">
        <v>261</v>
      </c>
      <c r="D314" s="19" t="s">
        <v>345</v>
      </c>
      <c r="E314" s="20" t="s">
        <v>1722</v>
      </c>
      <c r="F314" s="16" t="str">
        <f>_xlfn.XLOOKUP(D314,[5]Sheet1!$B:$B,[5]Sheet1!$E:$E,"-")</f>
        <v>WIN KARYADI H P</v>
      </c>
      <c r="G314" s="21"/>
    </row>
    <row r="315" spans="2:7">
      <c r="B315" s="18" t="s">
        <v>260</v>
      </c>
      <c r="C315" s="16" t="s">
        <v>261</v>
      </c>
      <c r="D315" s="19" t="s">
        <v>346</v>
      </c>
      <c r="E315" s="20" t="s">
        <v>1745</v>
      </c>
      <c r="F315" s="16" t="str">
        <f>_xlfn.XLOOKUP(D315,[5]Sheet1!$B:$B,[5]Sheet1!$E:$E,"-")</f>
        <v>WIN KARYADI H P</v>
      </c>
      <c r="G315" s="21"/>
    </row>
    <row r="316" spans="2:7">
      <c r="B316" s="18" t="s">
        <v>260</v>
      </c>
      <c r="C316" s="16" t="s">
        <v>261</v>
      </c>
      <c r="D316" s="19" t="s">
        <v>347</v>
      </c>
      <c r="E316" s="20" t="s">
        <v>1745</v>
      </c>
      <c r="F316" s="16" t="str">
        <f>_xlfn.XLOOKUP(D316,[5]Sheet1!$B:$B,[5]Sheet1!$E:$E,"-")</f>
        <v>WIN KARYADI H P</v>
      </c>
      <c r="G316" s="21"/>
    </row>
    <row r="317" spans="2:7">
      <c r="B317" s="18" t="s">
        <v>260</v>
      </c>
      <c r="C317" s="16" t="s">
        <v>261</v>
      </c>
      <c r="D317" s="19" t="s">
        <v>348</v>
      </c>
      <c r="E317" s="20" t="s">
        <v>1745</v>
      </c>
      <c r="F317" s="16" t="str">
        <f>_xlfn.XLOOKUP(D317,[5]Sheet1!$B:$B,[5]Sheet1!$E:$E,"-")</f>
        <v>WIN KARYADI H P</v>
      </c>
      <c r="G317" s="21"/>
    </row>
    <row r="318" spans="2:7">
      <c r="B318" s="18" t="s">
        <v>260</v>
      </c>
      <c r="C318" s="16" t="s">
        <v>261</v>
      </c>
      <c r="D318" s="19" t="s">
        <v>349</v>
      </c>
      <c r="E318" s="20" t="s">
        <v>1745</v>
      </c>
      <c r="F318" s="16" t="str">
        <f>_xlfn.XLOOKUP(D318,[5]Sheet1!$B:$B,[5]Sheet1!$E:$E,"-")</f>
        <v>WIN KARYADI H P</v>
      </c>
      <c r="G318" s="21"/>
    </row>
    <row r="319" spans="2:7">
      <c r="B319" s="18" t="s">
        <v>350</v>
      </c>
      <c r="C319" s="16" t="s">
        <v>351</v>
      </c>
      <c r="D319" s="19" t="s">
        <v>352</v>
      </c>
      <c r="E319" s="20" t="s">
        <v>1722</v>
      </c>
      <c r="F319" s="16" t="s">
        <v>1746</v>
      </c>
      <c r="G319" s="21"/>
    </row>
    <row r="320" spans="2:7">
      <c r="B320" s="18" t="s">
        <v>350</v>
      </c>
      <c r="C320" s="16" t="s">
        <v>351</v>
      </c>
      <c r="D320" s="19" t="s">
        <v>353</v>
      </c>
      <c r="E320" s="20" t="s">
        <v>1722</v>
      </c>
      <c r="F320" s="16"/>
      <c r="G320" s="21"/>
    </row>
    <row r="321" spans="2:7">
      <c r="B321" s="18" t="s">
        <v>350</v>
      </c>
      <c r="C321" s="16" t="s">
        <v>351</v>
      </c>
      <c r="D321" s="19" t="s">
        <v>354</v>
      </c>
      <c r="E321" s="20" t="s">
        <v>1722</v>
      </c>
      <c r="F321" s="16" t="s">
        <v>1747</v>
      </c>
      <c r="G321" s="21"/>
    </row>
    <row r="322" spans="2:7">
      <c r="B322" s="18" t="s">
        <v>350</v>
      </c>
      <c r="C322" s="16" t="s">
        <v>351</v>
      </c>
      <c r="D322" s="19" t="s">
        <v>355</v>
      </c>
      <c r="E322" s="20" t="s">
        <v>1722</v>
      </c>
      <c r="F322" s="16"/>
      <c r="G322" s="21"/>
    </row>
    <row r="323" spans="2:7">
      <c r="B323" s="18" t="s">
        <v>350</v>
      </c>
      <c r="C323" s="16" t="s">
        <v>351</v>
      </c>
      <c r="D323" s="19" t="s">
        <v>356</v>
      </c>
      <c r="E323" s="20" t="s">
        <v>1722</v>
      </c>
      <c r="F323" s="16" t="s">
        <v>1748</v>
      </c>
      <c r="G323" s="21"/>
    </row>
    <row r="324" spans="2:7">
      <c r="B324" s="18" t="s">
        <v>350</v>
      </c>
      <c r="C324" s="16" t="s">
        <v>351</v>
      </c>
      <c r="D324" s="19" t="s">
        <v>357</v>
      </c>
      <c r="E324" s="20" t="s">
        <v>1722</v>
      </c>
      <c r="F324" s="16" t="s">
        <v>1749</v>
      </c>
      <c r="G324" s="21"/>
    </row>
    <row r="325" spans="2:7">
      <c r="B325" s="18" t="s">
        <v>350</v>
      </c>
      <c r="C325" s="16" t="s">
        <v>351</v>
      </c>
      <c r="D325" s="19" t="s">
        <v>358</v>
      </c>
      <c r="E325" s="20" t="s">
        <v>1722</v>
      </c>
      <c r="F325" s="16" t="s">
        <v>1749</v>
      </c>
      <c r="G325" s="21"/>
    </row>
    <row r="326" spans="2:7">
      <c r="B326" s="18" t="s">
        <v>350</v>
      </c>
      <c r="C326" s="16" t="s">
        <v>351</v>
      </c>
      <c r="D326" s="19" t="s">
        <v>359</v>
      </c>
      <c r="E326" s="20" t="s">
        <v>1722</v>
      </c>
      <c r="F326" s="16" t="s">
        <v>1750</v>
      </c>
      <c r="G326" s="21"/>
    </row>
    <row r="327" spans="2:7">
      <c r="B327" s="18" t="s">
        <v>350</v>
      </c>
      <c r="C327" s="16" t="s">
        <v>351</v>
      </c>
      <c r="D327" s="19" t="s">
        <v>360</v>
      </c>
      <c r="E327" s="20" t="s">
        <v>1722</v>
      </c>
      <c r="F327" s="16" t="s">
        <v>1751</v>
      </c>
      <c r="G327" s="21"/>
    </row>
    <row r="328" spans="2:7">
      <c r="B328" s="18" t="s">
        <v>350</v>
      </c>
      <c r="C328" s="16" t="s">
        <v>351</v>
      </c>
      <c r="D328" s="19" t="s">
        <v>361</v>
      </c>
      <c r="E328" s="20" t="s">
        <v>1722</v>
      </c>
      <c r="F328" s="16" t="s">
        <v>1752</v>
      </c>
      <c r="G328" s="21"/>
    </row>
    <row r="329" spans="2:7">
      <c r="B329" s="18" t="s">
        <v>350</v>
      </c>
      <c r="C329" s="16" t="s">
        <v>351</v>
      </c>
      <c r="D329" s="19" t="s">
        <v>362</v>
      </c>
      <c r="E329" s="20" t="s">
        <v>1722</v>
      </c>
      <c r="F329" s="16" t="s">
        <v>1753</v>
      </c>
      <c r="G329" s="21"/>
    </row>
    <row r="330" spans="2:7">
      <c r="B330" s="18" t="s">
        <v>350</v>
      </c>
      <c r="C330" s="16" t="s">
        <v>351</v>
      </c>
      <c r="D330" s="19" t="s">
        <v>363</v>
      </c>
      <c r="E330" s="20" t="s">
        <v>1722</v>
      </c>
      <c r="F330" s="16" t="s">
        <v>1754</v>
      </c>
      <c r="G330" s="21"/>
    </row>
    <row r="331" spans="2:7">
      <c r="B331" s="18" t="s">
        <v>350</v>
      </c>
      <c r="C331" s="16" t="s">
        <v>351</v>
      </c>
      <c r="D331" s="19" t="s">
        <v>364</v>
      </c>
      <c r="E331" s="20" t="s">
        <v>1722</v>
      </c>
      <c r="F331" s="16" t="s">
        <v>1754</v>
      </c>
      <c r="G331" s="21"/>
    </row>
    <row r="332" spans="2:7">
      <c r="B332" s="18" t="s">
        <v>350</v>
      </c>
      <c r="C332" s="16" t="s">
        <v>351</v>
      </c>
      <c r="D332" s="19" t="s">
        <v>365</v>
      </c>
      <c r="E332" s="20" t="s">
        <v>1722</v>
      </c>
      <c r="F332" s="16" t="s">
        <v>1755</v>
      </c>
      <c r="G332" s="21"/>
    </row>
    <row r="333" spans="2:7">
      <c r="B333" s="18" t="s">
        <v>350</v>
      </c>
      <c r="C333" s="16" t="s">
        <v>351</v>
      </c>
      <c r="D333" s="19" t="s">
        <v>366</v>
      </c>
      <c r="E333" s="20" t="s">
        <v>1722</v>
      </c>
      <c r="F333" s="16" t="s">
        <v>1755</v>
      </c>
      <c r="G333" s="21"/>
    </row>
    <row r="334" spans="2:7">
      <c r="B334" s="18" t="s">
        <v>350</v>
      </c>
      <c r="C334" s="16" t="s">
        <v>351</v>
      </c>
      <c r="D334" s="19" t="s">
        <v>367</v>
      </c>
      <c r="E334" s="20" t="s">
        <v>1722</v>
      </c>
      <c r="F334" s="16" t="s">
        <v>1756</v>
      </c>
      <c r="G334" s="21"/>
    </row>
    <row r="335" spans="2:7">
      <c r="B335" s="18" t="s">
        <v>350</v>
      </c>
      <c r="C335" s="16" t="s">
        <v>351</v>
      </c>
      <c r="D335" s="19" t="s">
        <v>368</v>
      </c>
      <c r="E335" s="20" t="s">
        <v>1722</v>
      </c>
      <c r="F335" s="16" t="s">
        <v>1756</v>
      </c>
      <c r="G335" s="21"/>
    </row>
    <row r="336" spans="2:7">
      <c r="B336" s="18" t="s">
        <v>350</v>
      </c>
      <c r="C336" s="16" t="s">
        <v>351</v>
      </c>
      <c r="D336" s="19" t="s">
        <v>369</v>
      </c>
      <c r="E336" s="20" t="s">
        <v>1722</v>
      </c>
      <c r="F336" s="16" t="s">
        <v>1757</v>
      </c>
      <c r="G336" s="21"/>
    </row>
    <row r="337" spans="2:7">
      <c r="B337" s="18" t="s">
        <v>350</v>
      </c>
      <c r="C337" s="16" t="s">
        <v>351</v>
      </c>
      <c r="D337" s="19" t="s">
        <v>370</v>
      </c>
      <c r="E337" s="20" t="s">
        <v>1745</v>
      </c>
      <c r="F337" s="16" t="s">
        <v>1758</v>
      </c>
      <c r="G337" s="21"/>
    </row>
    <row r="338" spans="2:7">
      <c r="B338" s="18" t="s">
        <v>350</v>
      </c>
      <c r="C338" s="16" t="s">
        <v>351</v>
      </c>
      <c r="D338" s="19" t="s">
        <v>371</v>
      </c>
      <c r="E338" s="20" t="s">
        <v>1745</v>
      </c>
      <c r="F338" s="16" t="s">
        <v>1759</v>
      </c>
      <c r="G338" s="21"/>
    </row>
    <row r="339" spans="2:7">
      <c r="B339" s="18" t="s">
        <v>350</v>
      </c>
      <c r="C339" s="16" t="s">
        <v>351</v>
      </c>
      <c r="D339" s="19" t="s">
        <v>372</v>
      </c>
      <c r="E339" s="20" t="s">
        <v>1745</v>
      </c>
      <c r="F339" s="16" t="s">
        <v>1760</v>
      </c>
      <c r="G339" s="21"/>
    </row>
    <row r="340" spans="2:7">
      <c r="B340" s="18" t="s">
        <v>350</v>
      </c>
      <c r="C340" s="16" t="s">
        <v>351</v>
      </c>
      <c r="D340" s="19" t="s">
        <v>373</v>
      </c>
      <c r="E340" s="20" t="s">
        <v>1745</v>
      </c>
      <c r="F340" s="16" t="s">
        <v>1761</v>
      </c>
      <c r="G340" s="21"/>
    </row>
    <row r="341" spans="2:7">
      <c r="B341" s="18" t="s">
        <v>350</v>
      </c>
      <c r="C341" s="16" t="s">
        <v>351</v>
      </c>
      <c r="D341" s="19" t="s">
        <v>374</v>
      </c>
      <c r="E341" s="20" t="s">
        <v>1722</v>
      </c>
      <c r="F341" s="16" t="s">
        <v>1762</v>
      </c>
      <c r="G341" s="21"/>
    </row>
    <row r="342" spans="2:7">
      <c r="B342" s="22" t="s">
        <v>375</v>
      </c>
      <c r="C342" s="23" t="s">
        <v>376</v>
      </c>
      <c r="D342" s="24" t="s">
        <v>377</v>
      </c>
      <c r="E342" s="25" t="s">
        <v>1722</v>
      </c>
      <c r="F342" s="16" t="str">
        <f>_xlfn.XLOOKUP(D342,[6]Sheet1!$C:$C,[6]Sheet1!$F:$F,"-")</f>
        <v>Adang Suhara</v>
      </c>
      <c r="G342" s="21"/>
    </row>
    <row r="343" spans="2:7">
      <c r="B343" s="22" t="s">
        <v>375</v>
      </c>
      <c r="C343" s="23" t="s">
        <v>376</v>
      </c>
      <c r="D343" s="24" t="s">
        <v>378</v>
      </c>
      <c r="E343" s="25" t="s">
        <v>1722</v>
      </c>
      <c r="F343" s="16" t="str">
        <f>_xlfn.XLOOKUP(D343,[6]Sheet1!$C:$C,[6]Sheet1!$F:$F,"-")</f>
        <v>Aries Yudie Ahmadi, S.Kesos</v>
      </c>
      <c r="G343" s="21"/>
    </row>
    <row r="344" spans="2:7">
      <c r="B344" s="22" t="s">
        <v>375</v>
      </c>
      <c r="C344" s="23" t="s">
        <v>376</v>
      </c>
      <c r="D344" s="24" t="s">
        <v>379</v>
      </c>
      <c r="E344" s="25" t="s">
        <v>1722</v>
      </c>
      <c r="F344" s="16" t="str">
        <f>_xlfn.XLOOKUP(D344,[6]Sheet1!$C:$C,[6]Sheet1!$F:$F,"-")</f>
        <v>Budi Mulyana</v>
      </c>
      <c r="G344" s="21"/>
    </row>
    <row r="345" spans="2:7">
      <c r="B345" s="22" t="s">
        <v>375</v>
      </c>
      <c r="C345" s="23" t="s">
        <v>376</v>
      </c>
      <c r="D345" s="24" t="s">
        <v>380</v>
      </c>
      <c r="E345" s="25" t="s">
        <v>1722</v>
      </c>
      <c r="F345" s="16" t="str">
        <f>_xlfn.XLOOKUP(D345,[6]Sheet1!$C:$C,[6]Sheet1!$F:$F,"-")</f>
        <v>Deni Fathurrohman</v>
      </c>
      <c r="G345" s="21"/>
    </row>
    <row r="346" spans="2:7">
      <c r="B346" s="22" t="s">
        <v>375</v>
      </c>
      <c r="C346" s="23" t="s">
        <v>376</v>
      </c>
      <c r="D346" s="24" t="s">
        <v>381</v>
      </c>
      <c r="E346" s="25" t="s">
        <v>1722</v>
      </c>
      <c r="F346" s="16" t="str">
        <f>_xlfn.XLOOKUP(D346,[6]Sheet1!$C:$C,[6]Sheet1!$F:$F,"-")</f>
        <v>Didi Supriadi</v>
      </c>
      <c r="G346" s="21"/>
    </row>
    <row r="347" spans="2:7">
      <c r="B347" s="22" t="s">
        <v>375</v>
      </c>
      <c r="C347" s="23" t="s">
        <v>376</v>
      </c>
      <c r="D347" s="24" t="s">
        <v>382</v>
      </c>
      <c r="E347" s="25" t="s">
        <v>1722</v>
      </c>
      <c r="F347" s="16" t="str">
        <f>_xlfn.XLOOKUP(D347,[6]Sheet1!$C:$C,[6]Sheet1!$F:$F,"-")</f>
        <v>Dudin Joharudin</v>
      </c>
      <c r="G347" s="21"/>
    </row>
    <row r="348" spans="2:7">
      <c r="B348" s="22" t="s">
        <v>375</v>
      </c>
      <c r="C348" s="23" t="s">
        <v>376</v>
      </c>
      <c r="D348" s="24" t="s">
        <v>383</v>
      </c>
      <c r="E348" s="25" t="s">
        <v>1722</v>
      </c>
      <c r="F348" s="16" t="str">
        <f>_xlfn.XLOOKUP(D348,[6]Sheet1!$C:$C,[6]Sheet1!$F:$F,"-")</f>
        <v>Hikmat Maulana</v>
      </c>
      <c r="G348" s="21"/>
    </row>
    <row r="349" spans="2:7">
      <c r="B349" s="22" t="s">
        <v>375</v>
      </c>
      <c r="C349" s="23" t="s">
        <v>376</v>
      </c>
      <c r="D349" s="24" t="s">
        <v>384</v>
      </c>
      <c r="E349" s="25" t="s">
        <v>1722</v>
      </c>
      <c r="F349" s="16" t="str">
        <f>_xlfn.XLOOKUP(D349,[6]Sheet1!$C:$C,[6]Sheet1!$F:$F,"-")</f>
        <v>Iqbal Permana</v>
      </c>
      <c r="G349" s="21"/>
    </row>
    <row r="350" spans="2:7">
      <c r="B350" s="22" t="s">
        <v>375</v>
      </c>
      <c r="C350" s="23" t="s">
        <v>376</v>
      </c>
      <c r="D350" s="24" t="s">
        <v>385</v>
      </c>
      <c r="E350" s="25" t="s">
        <v>1722</v>
      </c>
      <c r="F350" s="16" t="str">
        <f>_xlfn.XLOOKUP(D350,[6]Sheet1!$C:$C,[6]Sheet1!$F:$F,"-")</f>
        <v>Nana suryana</v>
      </c>
      <c r="G350" s="21"/>
    </row>
    <row r="351" spans="2:7">
      <c r="B351" s="22" t="s">
        <v>375</v>
      </c>
      <c r="C351" s="23" t="s">
        <v>376</v>
      </c>
      <c r="D351" s="24" t="s">
        <v>386</v>
      </c>
      <c r="E351" s="25" t="s">
        <v>1722</v>
      </c>
      <c r="F351" s="16" t="str">
        <f>_xlfn.XLOOKUP(D351,[6]Sheet1!$C:$C,[6]Sheet1!$F:$F,"-")</f>
        <v>Paryono</v>
      </c>
      <c r="G351" s="21"/>
    </row>
    <row r="352" spans="2:7">
      <c r="B352" s="22" t="s">
        <v>375</v>
      </c>
      <c r="C352" s="23" t="s">
        <v>376</v>
      </c>
      <c r="D352" s="24" t="s">
        <v>387</v>
      </c>
      <c r="E352" s="25" t="s">
        <v>1722</v>
      </c>
      <c r="F352" s="16" t="str">
        <f>_xlfn.XLOOKUP(D352,[6]Sheet1!$C:$C,[6]Sheet1!$F:$F,"-")</f>
        <v>Vichi Ramadhan</v>
      </c>
      <c r="G352" s="21"/>
    </row>
    <row r="353" spans="2:7">
      <c r="B353" s="22" t="s">
        <v>375</v>
      </c>
      <c r="C353" s="23" t="s">
        <v>376</v>
      </c>
      <c r="D353" s="24" t="s">
        <v>388</v>
      </c>
      <c r="E353" s="25" t="s">
        <v>1722</v>
      </c>
      <c r="F353" s="16" t="str">
        <f>_xlfn.XLOOKUP(D353,[6]Sheet1!$C:$C,[6]Sheet1!$F:$F,"-")</f>
        <v>Yandi Cahyadi, SE</v>
      </c>
      <c r="G353" s="21"/>
    </row>
    <row r="354" spans="2:7">
      <c r="B354" s="22" t="s">
        <v>375</v>
      </c>
      <c r="C354" s="23" t="s">
        <v>376</v>
      </c>
      <c r="D354" s="24" t="s">
        <v>389</v>
      </c>
      <c r="E354" s="25" t="s">
        <v>1722</v>
      </c>
      <c r="F354" s="16" t="str">
        <f>_xlfn.XLOOKUP(D354,[6]Sheet1!$C:$C,[6]Sheet1!$F:$F,"-")</f>
        <v>-</v>
      </c>
      <c r="G354" s="21"/>
    </row>
    <row r="355" spans="2:7">
      <c r="B355" s="22" t="s">
        <v>375</v>
      </c>
      <c r="C355" s="23" t="s">
        <v>376</v>
      </c>
      <c r="D355" s="24" t="s">
        <v>390</v>
      </c>
      <c r="E355" s="25" t="s">
        <v>1745</v>
      </c>
      <c r="F355" s="16" t="str">
        <f>_xlfn.XLOOKUP(D355,[6]Sheet1!$C:$C,[6]Sheet1!$F:$F,"-")</f>
        <v>Bayu Triguna Putra</v>
      </c>
      <c r="G355" s="21"/>
    </row>
    <row r="356" spans="2:7">
      <c r="B356" s="22" t="s">
        <v>375</v>
      </c>
      <c r="C356" s="23" t="s">
        <v>376</v>
      </c>
      <c r="D356" s="24" t="s">
        <v>391</v>
      </c>
      <c r="E356" s="25" t="s">
        <v>1745</v>
      </c>
      <c r="F356" s="16" t="str">
        <f>_xlfn.XLOOKUP(D356,[6]Sheet1!$C:$C,[6]Sheet1!$F:$F,"-")</f>
        <v>Dadan Maulana</v>
      </c>
      <c r="G356" s="21"/>
    </row>
    <row r="357" spans="2:7">
      <c r="B357" s="22" t="s">
        <v>375</v>
      </c>
      <c r="C357" s="23" t="s">
        <v>376</v>
      </c>
      <c r="D357" s="24" t="s">
        <v>392</v>
      </c>
      <c r="E357" s="25" t="s">
        <v>1745</v>
      </c>
      <c r="F357" s="16" t="str">
        <f>_xlfn.XLOOKUP(D357,[6]Sheet1!$C:$C,[6]Sheet1!$F:$F,"-")</f>
        <v>Dandi Pardamean Nababan</v>
      </c>
      <c r="G357" s="21"/>
    </row>
    <row r="358" spans="2:7">
      <c r="B358" s="22" t="s">
        <v>375</v>
      </c>
      <c r="C358" s="23" t="s">
        <v>376</v>
      </c>
      <c r="D358" s="24" t="s">
        <v>393</v>
      </c>
      <c r="E358" s="25" t="s">
        <v>1745</v>
      </c>
      <c r="F358" s="16" t="str">
        <f>_xlfn.XLOOKUP(D358,[6]Sheet1!$C:$C,[6]Sheet1!$F:$F,"-")</f>
        <v>Danis</v>
      </c>
      <c r="G358" s="21"/>
    </row>
    <row r="359" spans="2:7">
      <c r="B359" s="22" t="s">
        <v>375</v>
      </c>
      <c r="C359" s="23" t="s">
        <v>376</v>
      </c>
      <c r="D359" s="24" t="s">
        <v>394</v>
      </c>
      <c r="E359" s="25" t="s">
        <v>1745</v>
      </c>
      <c r="F359" s="16" t="str">
        <f>_xlfn.XLOOKUP(D359,[6]Sheet1!$C:$C,[6]Sheet1!$F:$F,"-")</f>
        <v>Dicki Prayoga Irawan</v>
      </c>
      <c r="G359" s="21"/>
    </row>
    <row r="360" spans="2:7">
      <c r="B360" s="22" t="s">
        <v>375</v>
      </c>
      <c r="C360" s="23" t="s">
        <v>376</v>
      </c>
      <c r="D360" s="24" t="s">
        <v>395</v>
      </c>
      <c r="E360" s="25" t="s">
        <v>1745</v>
      </c>
      <c r="F360" s="16" t="str">
        <f>_xlfn.XLOOKUP(D360,[6]Sheet1!$C:$C,[6]Sheet1!$F:$F,"-")</f>
        <v>Eka Setiawan</v>
      </c>
      <c r="G360" s="21"/>
    </row>
    <row r="361" spans="2:7">
      <c r="B361" s="22" t="s">
        <v>375</v>
      </c>
      <c r="C361" s="23" t="s">
        <v>376</v>
      </c>
      <c r="D361" s="24" t="s">
        <v>396</v>
      </c>
      <c r="E361" s="25" t="s">
        <v>1745</v>
      </c>
      <c r="F361" s="16" t="str">
        <f>_xlfn.XLOOKUP(D361,[6]Sheet1!$C:$C,[6]Sheet1!$F:$F,"-")</f>
        <v>Luki Hardiyana</v>
      </c>
      <c r="G361" s="21"/>
    </row>
    <row r="362" spans="2:7">
      <c r="B362" s="22" t="s">
        <v>375</v>
      </c>
      <c r="C362" s="23" t="s">
        <v>376</v>
      </c>
      <c r="D362" s="24" t="s">
        <v>397</v>
      </c>
      <c r="E362" s="25" t="s">
        <v>1722</v>
      </c>
      <c r="F362" s="16" t="str">
        <f>_xlfn.XLOOKUP(D362,[6]Sheet1!$C:$C,[6]Sheet1!$F:$F,"-")</f>
        <v>Ade Ahmad Sail</v>
      </c>
      <c r="G362" s="21"/>
    </row>
    <row r="363" spans="2:7">
      <c r="B363" s="22" t="s">
        <v>375</v>
      </c>
      <c r="C363" s="23" t="s">
        <v>376</v>
      </c>
      <c r="D363" s="24" t="s">
        <v>398</v>
      </c>
      <c r="E363" s="25" t="s">
        <v>1722</v>
      </c>
      <c r="F363" s="16" t="str">
        <f>_xlfn.XLOOKUP(D363,[6]Sheet1!$C:$C,[6]Sheet1!$F:$F,"-")</f>
        <v>Dicki Setiawan</v>
      </c>
      <c r="G363" s="21"/>
    </row>
    <row r="364" spans="2:7">
      <c r="B364" s="22" t="s">
        <v>375</v>
      </c>
      <c r="C364" s="23" t="s">
        <v>376</v>
      </c>
      <c r="D364" s="24" t="s">
        <v>399</v>
      </c>
      <c r="E364" s="25" t="s">
        <v>1722</v>
      </c>
      <c r="F364" s="16" t="str">
        <f>_xlfn.XLOOKUP(D364,[6]Sheet1!$C:$C,[6]Sheet1!$F:$F,"-")</f>
        <v>Elvan Ihdinansyah Setiawan</v>
      </c>
      <c r="G364" s="21"/>
    </row>
    <row r="365" spans="2:7">
      <c r="B365" s="22" t="s">
        <v>375</v>
      </c>
      <c r="C365" s="23" t="s">
        <v>376</v>
      </c>
      <c r="D365" s="24" t="s">
        <v>400</v>
      </c>
      <c r="E365" s="25" t="s">
        <v>1722</v>
      </c>
      <c r="F365" s="16" t="str">
        <f>_xlfn.XLOOKUP(D365,[6]Sheet1!$C:$C,[6]Sheet1!$F:$F,"-")</f>
        <v>Febri Maulana</v>
      </c>
      <c r="G365" s="21"/>
    </row>
    <row r="366" spans="2:7">
      <c r="B366" s="22" t="s">
        <v>375</v>
      </c>
      <c r="C366" s="23" t="s">
        <v>376</v>
      </c>
      <c r="D366" s="24" t="s">
        <v>401</v>
      </c>
      <c r="E366" s="25" t="s">
        <v>1722</v>
      </c>
      <c r="F366" s="16" t="str">
        <f>_xlfn.XLOOKUP(D366,[6]Sheet1!$C:$C,[6]Sheet1!$F:$F,"-")</f>
        <v>Heri Kuswanto, S.Pd.</v>
      </c>
      <c r="G366" s="21"/>
    </row>
    <row r="367" spans="2:7">
      <c r="B367" s="22" t="s">
        <v>375</v>
      </c>
      <c r="C367" s="23" t="s">
        <v>376</v>
      </c>
      <c r="D367" s="24" t="s">
        <v>402</v>
      </c>
      <c r="E367" s="25" t="s">
        <v>1722</v>
      </c>
      <c r="F367" s="16" t="str">
        <f>_xlfn.XLOOKUP(D367,[6]Sheet1!$C:$C,[6]Sheet1!$F:$F,"-")</f>
        <v>Iqbal Aulia Rachman</v>
      </c>
      <c r="G367" s="21"/>
    </row>
    <row r="368" spans="2:7">
      <c r="B368" s="22" t="s">
        <v>375</v>
      </c>
      <c r="C368" s="23" t="s">
        <v>376</v>
      </c>
      <c r="D368" s="24" t="s">
        <v>403</v>
      </c>
      <c r="E368" s="25" t="s">
        <v>1722</v>
      </c>
      <c r="F368" s="16" t="str">
        <f>_xlfn.XLOOKUP(D368,[6]Sheet1!$C:$C,[6]Sheet1!$F:$F,"-")</f>
        <v>Muhamad Adit Nurcita</v>
      </c>
      <c r="G368" s="21"/>
    </row>
    <row r="369" spans="2:7">
      <c r="B369" s="22" t="s">
        <v>375</v>
      </c>
      <c r="C369" s="23" t="s">
        <v>376</v>
      </c>
      <c r="D369" s="24" t="s">
        <v>404</v>
      </c>
      <c r="E369" s="25" t="s">
        <v>1722</v>
      </c>
      <c r="F369" s="16" t="str">
        <f>_xlfn.XLOOKUP(D369,[6]Sheet1!$C:$C,[6]Sheet1!$F:$F,"-")</f>
        <v>Nur Fajar Abiyanto</v>
      </c>
      <c r="G369" s="21"/>
    </row>
    <row r="370" spans="2:7">
      <c r="B370" s="22" t="s">
        <v>375</v>
      </c>
      <c r="C370" s="23" t="s">
        <v>376</v>
      </c>
      <c r="D370" s="24" t="s">
        <v>405</v>
      </c>
      <c r="E370" s="25" t="s">
        <v>1722</v>
      </c>
      <c r="F370" s="16" t="str">
        <f>_xlfn.XLOOKUP(D370,[6]Sheet1!$C:$C,[6]Sheet1!$F:$F,"-")</f>
        <v>Romi Ajromi</v>
      </c>
      <c r="G370" s="21"/>
    </row>
    <row r="371" spans="2:7">
      <c r="B371" s="22" t="s">
        <v>375</v>
      </c>
      <c r="C371" s="23" t="s">
        <v>376</v>
      </c>
      <c r="D371" s="24" t="s">
        <v>406</v>
      </c>
      <c r="E371" s="25" t="s">
        <v>1722</v>
      </c>
      <c r="F371" s="16" t="str">
        <f>_xlfn.XLOOKUP(D371,[6]Sheet1!$C:$C,[6]Sheet1!$F:$F,"-")</f>
        <v>Sigit Prastio</v>
      </c>
      <c r="G371" s="21"/>
    </row>
    <row r="372" spans="2:7">
      <c r="B372" s="22" t="s">
        <v>375</v>
      </c>
      <c r="C372" s="23" t="s">
        <v>376</v>
      </c>
      <c r="D372" s="24" t="s">
        <v>407</v>
      </c>
      <c r="E372" s="25" t="s">
        <v>1722</v>
      </c>
      <c r="F372" s="16" t="str">
        <f>_xlfn.XLOOKUP(D372,[6]Sheet1!$C:$C,[6]Sheet1!$F:$F,"-")</f>
        <v>Yogi Faturahman</v>
      </c>
      <c r="G372" s="21"/>
    </row>
    <row r="373" spans="2:7">
      <c r="B373" s="22" t="s">
        <v>375</v>
      </c>
      <c r="C373" s="23" t="s">
        <v>376</v>
      </c>
      <c r="D373" s="24" t="s">
        <v>408</v>
      </c>
      <c r="E373" s="25" t="s">
        <v>1722</v>
      </c>
      <c r="F373" s="16" t="str">
        <f>_xlfn.XLOOKUP(D373,[6]Sheet1!$C:$C,[6]Sheet1!$F:$F,"-")</f>
        <v>Zaini Miftah</v>
      </c>
      <c r="G373" s="21"/>
    </row>
    <row r="374" spans="2:7">
      <c r="B374" s="22" t="s">
        <v>375</v>
      </c>
      <c r="C374" s="23" t="s">
        <v>376</v>
      </c>
      <c r="D374" s="24" t="s">
        <v>409</v>
      </c>
      <c r="E374" s="25" t="s">
        <v>1722</v>
      </c>
      <c r="F374" s="16" t="str">
        <f>_xlfn.XLOOKUP(D374,[6]Sheet1!$C:$C,[6]Sheet1!$F:$F,"-")</f>
        <v>Dian Wunandar</v>
      </c>
      <c r="G374" s="21"/>
    </row>
    <row r="375" spans="2:7">
      <c r="B375" s="22" t="s">
        <v>375</v>
      </c>
      <c r="C375" s="23" t="s">
        <v>376</v>
      </c>
      <c r="D375" s="24" t="s">
        <v>410</v>
      </c>
      <c r="E375" s="25" t="s">
        <v>1745</v>
      </c>
      <c r="F375" s="16" t="str">
        <f>_xlfn.XLOOKUP(D375,[6]Sheet1!$C:$C,[6]Sheet1!$F:$F,"-")</f>
        <v>Adam Supriatna</v>
      </c>
      <c r="G375" s="21"/>
    </row>
    <row r="376" spans="2:7">
      <c r="B376" s="22" t="s">
        <v>375</v>
      </c>
      <c r="C376" s="23" t="s">
        <v>376</v>
      </c>
      <c r="D376" s="24" t="s">
        <v>411</v>
      </c>
      <c r="E376" s="25" t="s">
        <v>1745</v>
      </c>
      <c r="F376" s="16" t="str">
        <f>_xlfn.XLOOKUP(D376,[6]Sheet1!$C:$C,[6]Sheet1!$F:$F,"-")</f>
        <v>Adi Firmansyah</v>
      </c>
      <c r="G376" s="21"/>
    </row>
    <row r="377" spans="2:7">
      <c r="B377" s="22" t="s">
        <v>375</v>
      </c>
      <c r="C377" s="23" t="s">
        <v>376</v>
      </c>
      <c r="D377" s="24" t="s">
        <v>412</v>
      </c>
      <c r="E377" s="25" t="s">
        <v>1745</v>
      </c>
      <c r="F377" s="16" t="str">
        <f>_xlfn.XLOOKUP(D377,[6]Sheet1!$C:$C,[6]Sheet1!$F:$F,"-")</f>
        <v>Adi Firmansyah</v>
      </c>
      <c r="G377" s="21"/>
    </row>
    <row r="378" spans="2:7">
      <c r="B378" s="22" t="s">
        <v>375</v>
      </c>
      <c r="C378" s="23" t="s">
        <v>376</v>
      </c>
      <c r="D378" s="24" t="s">
        <v>413</v>
      </c>
      <c r="E378" s="25" t="s">
        <v>1745</v>
      </c>
      <c r="F378" s="16" t="str">
        <f>_xlfn.XLOOKUP(D378,[6]Sheet1!$C:$C,[6]Sheet1!$F:$F,"-")</f>
        <v>Andri Henriyana</v>
      </c>
      <c r="G378" s="21"/>
    </row>
    <row r="379" spans="2:7">
      <c r="B379" s="22" t="s">
        <v>375</v>
      </c>
      <c r="C379" s="23" t="s">
        <v>376</v>
      </c>
      <c r="D379" s="24" t="s">
        <v>414</v>
      </c>
      <c r="E379" s="25" t="s">
        <v>1745</v>
      </c>
      <c r="F379" s="16" t="str">
        <f>_xlfn.XLOOKUP(D379,[6]Sheet1!$C:$C,[6]Sheet1!$F:$F,"-")</f>
        <v>Dedi Martin</v>
      </c>
      <c r="G379" s="21"/>
    </row>
    <row r="380" spans="2:7">
      <c r="B380" s="22" t="s">
        <v>375</v>
      </c>
      <c r="C380" s="23" t="s">
        <v>376</v>
      </c>
      <c r="D380" s="24" t="s">
        <v>415</v>
      </c>
      <c r="E380" s="25" t="s">
        <v>1745</v>
      </c>
      <c r="F380" s="16" t="str">
        <f>_xlfn.XLOOKUP(D380,[6]Sheet1!$C:$C,[6]Sheet1!$F:$F,"-")</f>
        <v>Deni Jaelani</v>
      </c>
      <c r="G380" s="21"/>
    </row>
    <row r="381" spans="2:7">
      <c r="B381" s="22" t="s">
        <v>375</v>
      </c>
      <c r="C381" s="23" t="s">
        <v>376</v>
      </c>
      <c r="D381" s="24" t="s">
        <v>416</v>
      </c>
      <c r="E381" s="25" t="s">
        <v>1745</v>
      </c>
      <c r="F381" s="16" t="str">
        <f>_xlfn.XLOOKUP(D381,[6]Sheet1!$C:$C,[6]Sheet1!$F:$F,"-")</f>
        <v>Edwin Iskandar</v>
      </c>
      <c r="G381" s="21"/>
    </row>
    <row r="382" spans="2:7">
      <c r="B382" s="22" t="s">
        <v>375</v>
      </c>
      <c r="C382" s="23" t="s">
        <v>376</v>
      </c>
      <c r="D382" s="24" t="s">
        <v>417</v>
      </c>
      <c r="E382" s="25" t="s">
        <v>1745</v>
      </c>
      <c r="F382" s="16" t="str">
        <f>_xlfn.XLOOKUP(D382,[6]Sheet1!$C:$C,[6]Sheet1!$F:$F,"-")</f>
        <v>Hasan Bisri</v>
      </c>
      <c r="G382" s="21"/>
    </row>
    <row r="383" spans="2:7">
      <c r="B383" s="22" t="s">
        <v>375</v>
      </c>
      <c r="C383" s="23" t="s">
        <v>376</v>
      </c>
      <c r="D383" s="24" t="s">
        <v>418</v>
      </c>
      <c r="E383" s="25" t="s">
        <v>1745</v>
      </c>
      <c r="F383" s="16" t="str">
        <f>_xlfn.XLOOKUP(D383,[6]Sheet1!$C:$C,[6]Sheet1!$F:$F,"-")</f>
        <v>Ichsan Purnama</v>
      </c>
      <c r="G383" s="21"/>
    </row>
    <row r="384" spans="2:7">
      <c r="B384" s="22" t="s">
        <v>375</v>
      </c>
      <c r="C384" s="23" t="s">
        <v>376</v>
      </c>
      <c r="D384" s="24" t="s">
        <v>419</v>
      </c>
      <c r="E384" s="25" t="s">
        <v>1745</v>
      </c>
      <c r="F384" s="16" t="str">
        <f>_xlfn.XLOOKUP(D384,[6]Sheet1!$C:$C,[6]Sheet1!$F:$F,"-")</f>
        <v>Kemal Nurjaman</v>
      </c>
      <c r="G384" s="21"/>
    </row>
    <row r="385" spans="2:7">
      <c r="B385" s="22" t="s">
        <v>375</v>
      </c>
      <c r="C385" s="23" t="s">
        <v>376</v>
      </c>
      <c r="D385" s="24" t="s">
        <v>420</v>
      </c>
      <c r="E385" s="25" t="s">
        <v>1745</v>
      </c>
      <c r="F385" s="16" t="str">
        <f>_xlfn.XLOOKUP(D385,[6]Sheet1!$C:$C,[6]Sheet1!$F:$F,"-")</f>
        <v>Lyusi Fathan Mubiena</v>
      </c>
      <c r="G385" s="21"/>
    </row>
    <row r="386" spans="2:7">
      <c r="B386" s="22" t="s">
        <v>375</v>
      </c>
      <c r="C386" s="23" t="s">
        <v>376</v>
      </c>
      <c r="D386" s="24" t="s">
        <v>421</v>
      </c>
      <c r="E386" s="25" t="s">
        <v>1745</v>
      </c>
      <c r="F386" s="16" t="str">
        <f>_xlfn.XLOOKUP(D386,[6]Sheet1!$C:$C,[6]Sheet1!$F:$F,"-")</f>
        <v>Maulana Hisbulloh</v>
      </c>
      <c r="G386" s="21"/>
    </row>
    <row r="387" spans="2:7">
      <c r="B387" s="22" t="s">
        <v>375</v>
      </c>
      <c r="C387" s="23" t="s">
        <v>376</v>
      </c>
      <c r="D387" s="24" t="s">
        <v>422</v>
      </c>
      <c r="E387" s="25" t="s">
        <v>1745</v>
      </c>
      <c r="F387" s="16" t="str">
        <f>_xlfn.XLOOKUP(D387,[6]Sheet1!$C:$C,[6]Sheet1!$F:$F,"-")</f>
        <v>Muhamad Ikhsan</v>
      </c>
      <c r="G387" s="21"/>
    </row>
    <row r="388" spans="2:7">
      <c r="B388" s="22" t="s">
        <v>375</v>
      </c>
      <c r="C388" s="23" t="s">
        <v>376</v>
      </c>
      <c r="D388" s="24" t="s">
        <v>423</v>
      </c>
      <c r="E388" s="25" t="s">
        <v>1745</v>
      </c>
      <c r="F388" s="16" t="str">
        <f>_xlfn.XLOOKUP(D388,[6]Sheet1!$C:$C,[6]Sheet1!$F:$F,"-")</f>
        <v>Neri Hidayat</v>
      </c>
      <c r="G388" s="21"/>
    </row>
    <row r="389" spans="2:7">
      <c r="B389" s="22" t="s">
        <v>375</v>
      </c>
      <c r="C389" s="23" t="s">
        <v>376</v>
      </c>
      <c r="D389" s="24" t="s">
        <v>424</v>
      </c>
      <c r="E389" s="25" t="s">
        <v>1745</v>
      </c>
      <c r="F389" s="16" t="str">
        <f>_xlfn.XLOOKUP(D389,[6]Sheet1!$C:$C,[6]Sheet1!$F:$F,"-")</f>
        <v>Regi Firmansyah</v>
      </c>
      <c r="G389" s="21"/>
    </row>
    <row r="390" spans="2:7">
      <c r="B390" s="22" t="s">
        <v>375</v>
      </c>
      <c r="C390" s="23" t="s">
        <v>376</v>
      </c>
      <c r="D390" s="24" t="s">
        <v>425</v>
      </c>
      <c r="E390" s="25" t="s">
        <v>1745</v>
      </c>
      <c r="F390" s="16" t="str">
        <f>_xlfn.XLOOKUP(D390,[6]Sheet1!$C:$C,[6]Sheet1!$F:$F,"-")</f>
        <v>Rifki Shafik Fadillah</v>
      </c>
      <c r="G390" s="21"/>
    </row>
    <row r="391" spans="2:7">
      <c r="B391" s="22" t="s">
        <v>375</v>
      </c>
      <c r="C391" s="23" t="s">
        <v>376</v>
      </c>
      <c r="D391" s="24" t="s">
        <v>426</v>
      </c>
      <c r="E391" s="25" t="s">
        <v>1745</v>
      </c>
      <c r="F391" s="16" t="str">
        <f>_xlfn.XLOOKUP(D391,[6]Sheet1!$C:$C,[6]Sheet1!$F:$F,"-")</f>
        <v>Rifki Shafik Fadillah</v>
      </c>
      <c r="G391" s="21"/>
    </row>
    <row r="392" spans="2:7">
      <c r="B392" s="22" t="s">
        <v>375</v>
      </c>
      <c r="C392" s="23" t="s">
        <v>376</v>
      </c>
      <c r="D392" s="24" t="s">
        <v>427</v>
      </c>
      <c r="E392" s="25" t="s">
        <v>1745</v>
      </c>
      <c r="F392" s="16" t="str">
        <f>_xlfn.XLOOKUP(D392,[6]Sheet1!$C:$C,[6]Sheet1!$F:$F,"-")</f>
        <v>Robi Ta'dim Nurdiansyah</v>
      </c>
      <c r="G392" s="21"/>
    </row>
    <row r="393" spans="2:7">
      <c r="B393" s="22" t="s">
        <v>375</v>
      </c>
      <c r="C393" s="23" t="s">
        <v>376</v>
      </c>
      <c r="D393" s="24" t="s">
        <v>428</v>
      </c>
      <c r="E393" s="25" t="s">
        <v>1745</v>
      </c>
      <c r="F393" s="16" t="str">
        <f>_xlfn.XLOOKUP(D393,[6]Sheet1!$C:$C,[6]Sheet1!$F:$F,"-")</f>
        <v>Rosi Riswanto</v>
      </c>
      <c r="G393" s="21"/>
    </row>
    <row r="394" spans="2:7">
      <c r="B394" s="22" t="s">
        <v>375</v>
      </c>
      <c r="C394" s="23" t="s">
        <v>376</v>
      </c>
      <c r="D394" s="24" t="s">
        <v>429</v>
      </c>
      <c r="E394" s="25" t="s">
        <v>1745</v>
      </c>
      <c r="F394" s="16" t="str">
        <f>_xlfn.XLOOKUP(D394,[6]Sheet1!$C:$C,[6]Sheet1!$F:$F,"-")</f>
        <v>Sayu Mulhasyim</v>
      </c>
      <c r="G394" s="21"/>
    </row>
    <row r="395" spans="2:7">
      <c r="B395" s="22" t="s">
        <v>375</v>
      </c>
      <c r="C395" s="23" t="s">
        <v>376</v>
      </c>
      <c r="D395" s="24" t="s">
        <v>430</v>
      </c>
      <c r="E395" s="25" t="s">
        <v>1745</v>
      </c>
      <c r="F395" s="16" t="str">
        <f>_xlfn.XLOOKUP(D395,[6]Sheet1!$C:$C,[6]Sheet1!$F:$F,"-")</f>
        <v>Syahrul Abu Bakar</v>
      </c>
      <c r="G395" s="21"/>
    </row>
    <row r="396" spans="2:7">
      <c r="B396" s="22" t="s">
        <v>375</v>
      </c>
      <c r="C396" s="23" t="s">
        <v>376</v>
      </c>
      <c r="D396" s="24" t="s">
        <v>431</v>
      </c>
      <c r="E396" s="25" t="s">
        <v>1745</v>
      </c>
      <c r="F396" s="16" t="str">
        <f>_xlfn.XLOOKUP(D396,[6]Sheet1!$C:$C,[6]Sheet1!$F:$F,"-")</f>
        <v>Undang Ramdani</v>
      </c>
      <c r="G396" s="21"/>
    </row>
    <row r="397" spans="2:7">
      <c r="B397" s="22" t="s">
        <v>375</v>
      </c>
      <c r="C397" s="23" t="s">
        <v>376</v>
      </c>
      <c r="D397" s="24" t="s">
        <v>432</v>
      </c>
      <c r="E397" s="25" t="s">
        <v>1745</v>
      </c>
      <c r="F397" s="16" t="str">
        <f>_xlfn.XLOOKUP(D397,[6]Sheet1!$C:$C,[6]Sheet1!$F:$F,"-")</f>
        <v>Undang Ramdani</v>
      </c>
      <c r="G397" s="21"/>
    </row>
    <row r="398" spans="2:7">
      <c r="B398" s="22" t="s">
        <v>375</v>
      </c>
      <c r="C398" s="23" t="s">
        <v>376</v>
      </c>
      <c r="D398" s="24" t="s">
        <v>433</v>
      </c>
      <c r="E398" s="25" t="s">
        <v>1745</v>
      </c>
      <c r="F398" s="16" t="str">
        <f>_xlfn.XLOOKUP(D398,[6]Sheet1!$C:$C,[6]Sheet1!$F:$F,"-")</f>
        <v>Usep kamaludin</v>
      </c>
      <c r="G398" s="21"/>
    </row>
    <row r="399" spans="2:7">
      <c r="B399" s="22" t="s">
        <v>375</v>
      </c>
      <c r="C399" s="23" t="s">
        <v>376</v>
      </c>
      <c r="D399" s="24" t="s">
        <v>434</v>
      </c>
      <c r="E399" s="25" t="s">
        <v>1745</v>
      </c>
      <c r="F399" s="16" t="str">
        <f>_xlfn.XLOOKUP(D399,[6]Sheet1!$C:$C,[6]Sheet1!$F:$F,"-")</f>
        <v>Ade Rahmat</v>
      </c>
      <c r="G399" s="21"/>
    </row>
    <row r="400" spans="2:7">
      <c r="B400" s="22" t="s">
        <v>375</v>
      </c>
      <c r="C400" s="23" t="s">
        <v>376</v>
      </c>
      <c r="D400" s="24" t="s">
        <v>435</v>
      </c>
      <c r="E400" s="25" t="s">
        <v>1745</v>
      </c>
      <c r="F400" s="16" t="str">
        <f>_xlfn.XLOOKUP(D400,[6]Sheet1!$C:$C,[6]Sheet1!$F:$F,"-")</f>
        <v>Anas Nazal Huda</v>
      </c>
      <c r="G400" s="21"/>
    </row>
    <row r="401" spans="2:7">
      <c r="B401" s="22" t="s">
        <v>375</v>
      </c>
      <c r="C401" s="23" t="s">
        <v>376</v>
      </c>
      <c r="D401" s="24" t="s">
        <v>436</v>
      </c>
      <c r="E401" s="25" t="s">
        <v>1745</v>
      </c>
      <c r="F401" s="16" t="str">
        <f>_xlfn.XLOOKUP(D401,[6]Sheet1!$C:$C,[6]Sheet1!$F:$F,"-")</f>
        <v>Andi Herdiansyah</v>
      </c>
      <c r="G401" s="21"/>
    </row>
    <row r="402" spans="2:7">
      <c r="B402" s="22" t="s">
        <v>375</v>
      </c>
      <c r="C402" s="23" t="s">
        <v>376</v>
      </c>
      <c r="D402" s="24" t="s">
        <v>437</v>
      </c>
      <c r="E402" s="25" t="s">
        <v>1745</v>
      </c>
      <c r="F402" s="16" t="str">
        <f>_xlfn.XLOOKUP(D402,[6]Sheet1!$C:$C,[6]Sheet1!$F:$F,"-")</f>
        <v>Andi Saeful Rahman</v>
      </c>
      <c r="G402" s="21"/>
    </row>
    <row r="403" spans="2:7">
      <c r="B403" s="22" t="s">
        <v>375</v>
      </c>
      <c r="C403" s="23" t="s">
        <v>376</v>
      </c>
      <c r="D403" s="24" t="s">
        <v>438</v>
      </c>
      <c r="E403" s="25" t="s">
        <v>1745</v>
      </c>
      <c r="F403" s="16" t="str">
        <f>_xlfn.XLOOKUP(D403,[6]Sheet1!$C:$C,[6]Sheet1!$F:$F,"-")</f>
        <v>Asep Romli</v>
      </c>
      <c r="G403" s="21"/>
    </row>
    <row r="404" spans="2:7">
      <c r="B404" s="22" t="s">
        <v>375</v>
      </c>
      <c r="C404" s="23" t="s">
        <v>376</v>
      </c>
      <c r="D404" s="24" t="s">
        <v>439</v>
      </c>
      <c r="E404" s="25" t="s">
        <v>1745</v>
      </c>
      <c r="F404" s="16" t="str">
        <f>_xlfn.XLOOKUP(D404,[6]Sheet1!$C:$C,[6]Sheet1!$F:$F,"-")</f>
        <v>Dani Alvin</v>
      </c>
      <c r="G404" s="21"/>
    </row>
    <row r="405" spans="2:7">
      <c r="B405" s="22" t="s">
        <v>375</v>
      </c>
      <c r="C405" s="23" t="s">
        <v>376</v>
      </c>
      <c r="D405" s="24" t="s">
        <v>440</v>
      </c>
      <c r="E405" s="25" t="s">
        <v>1745</v>
      </c>
      <c r="F405" s="16" t="str">
        <f>_xlfn.XLOOKUP(D405,[6]Sheet1!$C:$C,[6]Sheet1!$F:$F,"-")</f>
        <v>Denira Novalita</v>
      </c>
      <c r="G405" s="21"/>
    </row>
    <row r="406" spans="2:7">
      <c r="B406" s="22" t="s">
        <v>375</v>
      </c>
      <c r="C406" s="23" t="s">
        <v>376</v>
      </c>
      <c r="D406" s="24" t="s">
        <v>441</v>
      </c>
      <c r="E406" s="25" t="s">
        <v>1745</v>
      </c>
      <c r="F406" s="16" t="str">
        <f>_xlfn.XLOOKUP(D406,[6]Sheet1!$C:$C,[6]Sheet1!$F:$F,"-")</f>
        <v>Dionofan Kurnia Pratama</v>
      </c>
      <c r="G406" s="21"/>
    </row>
    <row r="407" spans="2:7">
      <c r="B407" s="22" t="s">
        <v>375</v>
      </c>
      <c r="C407" s="23" t="s">
        <v>376</v>
      </c>
      <c r="D407" s="24" t="s">
        <v>442</v>
      </c>
      <c r="E407" s="25" t="s">
        <v>1745</v>
      </c>
      <c r="F407" s="16" t="str">
        <f>_xlfn.XLOOKUP(D407,[6]Sheet1!$C:$C,[6]Sheet1!$F:$F,"-")</f>
        <v>Faisal Maisandi</v>
      </c>
      <c r="G407" s="21"/>
    </row>
    <row r="408" spans="2:7">
      <c r="B408" s="22" t="s">
        <v>375</v>
      </c>
      <c r="C408" s="23" t="s">
        <v>376</v>
      </c>
      <c r="D408" s="24" t="s">
        <v>443</v>
      </c>
      <c r="E408" s="25" t="s">
        <v>1745</v>
      </c>
      <c r="F408" s="16" t="str">
        <f>_xlfn.XLOOKUP(D408,[6]Sheet1!$C:$C,[6]Sheet1!$F:$F,"-")</f>
        <v>Ilham Achmad Muhadzir</v>
      </c>
      <c r="G408" s="21"/>
    </row>
    <row r="409" spans="2:7">
      <c r="B409" s="22" t="s">
        <v>375</v>
      </c>
      <c r="C409" s="23" t="s">
        <v>376</v>
      </c>
      <c r="D409" s="24" t="s">
        <v>444</v>
      </c>
      <c r="E409" s="25" t="s">
        <v>1745</v>
      </c>
      <c r="F409" s="16" t="str">
        <f>_xlfn.XLOOKUP(D409,[6]Sheet1!$C:$C,[6]Sheet1!$F:$F,"-")</f>
        <v>Mario Aditya Firmansyah</v>
      </c>
      <c r="G409" s="21"/>
    </row>
    <row r="410" spans="2:7">
      <c r="B410" s="22" t="s">
        <v>375</v>
      </c>
      <c r="C410" s="23" t="s">
        <v>376</v>
      </c>
      <c r="D410" s="24" t="s">
        <v>445</v>
      </c>
      <c r="E410" s="25" t="s">
        <v>1745</v>
      </c>
      <c r="F410" s="16" t="str">
        <f>_xlfn.XLOOKUP(D410,[6]Sheet1!$C:$C,[6]Sheet1!$F:$F,"-")</f>
        <v>Muhammad Salim Riyadul Gupron</v>
      </c>
      <c r="G410" s="21"/>
    </row>
    <row r="411" spans="2:7">
      <c r="B411" s="22" t="s">
        <v>375</v>
      </c>
      <c r="C411" s="23" t="s">
        <v>376</v>
      </c>
      <c r="D411" s="24" t="s">
        <v>446</v>
      </c>
      <c r="E411" s="25" t="s">
        <v>1745</v>
      </c>
      <c r="F411" s="16" t="str">
        <f>_xlfn.XLOOKUP(D411,[6]Sheet1!$C:$C,[6]Sheet1!$F:$F,"-")</f>
        <v>Novi Septriani</v>
      </c>
      <c r="G411" s="21"/>
    </row>
    <row r="412" spans="2:7">
      <c r="B412" s="22" t="s">
        <v>375</v>
      </c>
      <c r="C412" s="23" t="s">
        <v>376</v>
      </c>
      <c r="D412" s="24" t="s">
        <v>447</v>
      </c>
      <c r="E412" s="25" t="s">
        <v>1745</v>
      </c>
      <c r="F412" s="16" t="str">
        <f>_xlfn.XLOOKUP(D412,[6]Sheet1!$C:$C,[6]Sheet1!$F:$F,"-")</f>
        <v>Rizky Zidan Haris Muharomi</v>
      </c>
      <c r="G412" s="21"/>
    </row>
    <row r="413" spans="2:7">
      <c r="B413" s="22" t="s">
        <v>375</v>
      </c>
      <c r="C413" s="23" t="s">
        <v>376</v>
      </c>
      <c r="D413" s="24" t="s">
        <v>448</v>
      </c>
      <c r="E413" s="25" t="s">
        <v>1745</v>
      </c>
      <c r="F413" s="16" t="str">
        <f>_xlfn.XLOOKUP(D413,[6]Sheet1!$C:$C,[6]Sheet1!$F:$F,"-")</f>
        <v>Sendi Moh Rahayu</v>
      </c>
      <c r="G413" s="21"/>
    </row>
    <row r="414" spans="2:7">
      <c r="B414" s="22" t="s">
        <v>375</v>
      </c>
      <c r="C414" s="23" t="s">
        <v>376</v>
      </c>
      <c r="D414" s="24" t="s">
        <v>449</v>
      </c>
      <c r="E414" s="25" t="s">
        <v>1745</v>
      </c>
      <c r="F414" s="16" t="str">
        <f>_xlfn.XLOOKUP(D414,[6]Sheet1!$C:$C,[6]Sheet1!$F:$F,"-")</f>
        <v>Soni</v>
      </c>
      <c r="G414" s="21"/>
    </row>
    <row r="415" spans="2:7">
      <c r="B415" s="22" t="s">
        <v>375</v>
      </c>
      <c r="C415" s="23" t="s">
        <v>376</v>
      </c>
      <c r="D415" s="24" t="s">
        <v>450</v>
      </c>
      <c r="E415" s="25" t="s">
        <v>1745</v>
      </c>
      <c r="F415" s="16" t="str">
        <f>_xlfn.XLOOKUP(D415,[6]Sheet1!$C:$C,[6]Sheet1!$F:$F,"-")</f>
        <v>Soni</v>
      </c>
      <c r="G415" s="21"/>
    </row>
    <row r="416" spans="2:7">
      <c r="B416" s="22" t="s">
        <v>375</v>
      </c>
      <c r="C416" s="23" t="s">
        <v>376</v>
      </c>
      <c r="D416" s="24" t="s">
        <v>451</v>
      </c>
      <c r="E416" s="25" t="s">
        <v>1745</v>
      </c>
      <c r="F416" s="16" t="str">
        <f>_xlfn.XLOOKUP(D416,[6]Sheet1!$C:$C,[6]Sheet1!$F:$F,"-")</f>
        <v>Syifa Agustian</v>
      </c>
      <c r="G416" s="21"/>
    </row>
    <row r="417" spans="2:7">
      <c r="B417" s="22" t="s">
        <v>375</v>
      </c>
      <c r="C417" s="23" t="s">
        <v>376</v>
      </c>
      <c r="D417" s="24" t="s">
        <v>452</v>
      </c>
      <c r="E417" s="25" t="s">
        <v>1745</v>
      </c>
      <c r="F417" s="16" t="str">
        <f>_xlfn.XLOOKUP(D417,[6]Sheet1!$C:$C,[6]Sheet1!$F:$F,"-")</f>
        <v>Ansor Fauzi Fadillah</v>
      </c>
      <c r="G417" s="21"/>
    </row>
    <row r="418" spans="2:7">
      <c r="B418" s="22" t="s">
        <v>375</v>
      </c>
      <c r="C418" s="23" t="s">
        <v>376</v>
      </c>
      <c r="D418" s="24" t="s">
        <v>453</v>
      </c>
      <c r="E418" s="25" t="s">
        <v>1745</v>
      </c>
      <c r="F418" s="16" t="str">
        <f>_xlfn.XLOOKUP(D418,[6]Sheet1!$C:$C,[6]Sheet1!$F:$F,"-")</f>
        <v>Ansor Fauzi Fadillah</v>
      </c>
      <c r="G418" s="21"/>
    </row>
    <row r="419" spans="2:7">
      <c r="B419" s="22" t="s">
        <v>375</v>
      </c>
      <c r="C419" s="23" t="s">
        <v>376</v>
      </c>
      <c r="D419" s="24" t="s">
        <v>454</v>
      </c>
      <c r="E419" s="25" t="s">
        <v>1745</v>
      </c>
      <c r="F419" s="16" t="str">
        <f>_xlfn.XLOOKUP(D419,[6]Sheet1!$C:$C,[6]Sheet1!$F:$F,"-")</f>
        <v>Ari Budaeri Addawami</v>
      </c>
      <c r="G419" s="21"/>
    </row>
    <row r="420" spans="2:7">
      <c r="B420" s="22" t="s">
        <v>375</v>
      </c>
      <c r="C420" s="23" t="s">
        <v>376</v>
      </c>
      <c r="D420" s="24" t="s">
        <v>455</v>
      </c>
      <c r="E420" s="25" t="s">
        <v>1745</v>
      </c>
      <c r="F420" s="16" t="str">
        <f>_xlfn.XLOOKUP(D420,[6]Sheet1!$C:$C,[6]Sheet1!$F:$F,"-")</f>
        <v>Aril Ardiansyah</v>
      </c>
      <c r="G420" s="21"/>
    </row>
    <row r="421" spans="2:7">
      <c r="B421" s="22" t="s">
        <v>375</v>
      </c>
      <c r="C421" s="23" t="s">
        <v>376</v>
      </c>
      <c r="D421" s="24" t="s">
        <v>456</v>
      </c>
      <c r="E421" s="25" t="s">
        <v>1745</v>
      </c>
      <c r="F421" s="16" t="str">
        <f>_xlfn.XLOOKUP(D421,[6]Sheet1!$C:$C,[6]Sheet1!$F:$F,"-")</f>
        <v>Asep</v>
      </c>
      <c r="G421" s="21"/>
    </row>
    <row r="422" spans="2:7">
      <c r="B422" s="22" t="s">
        <v>375</v>
      </c>
      <c r="C422" s="23" t="s">
        <v>376</v>
      </c>
      <c r="D422" s="24" t="s">
        <v>457</v>
      </c>
      <c r="E422" s="25" t="s">
        <v>1745</v>
      </c>
      <c r="F422" s="16" t="str">
        <f>_xlfn.XLOOKUP(D422,[6]Sheet1!$C:$C,[6]Sheet1!$F:$F,"-")</f>
        <v>Dede Asikin</v>
      </c>
      <c r="G422" s="21"/>
    </row>
    <row r="423" spans="2:7">
      <c r="B423" s="22" t="s">
        <v>375</v>
      </c>
      <c r="C423" s="23" t="s">
        <v>376</v>
      </c>
      <c r="D423" s="24" t="s">
        <v>458</v>
      </c>
      <c r="E423" s="25" t="s">
        <v>1745</v>
      </c>
      <c r="F423" s="16" t="str">
        <f>_xlfn.XLOOKUP(D423,[6]Sheet1!$C:$C,[6]Sheet1!$F:$F,"-")</f>
        <v>Fauzi Alimashyar</v>
      </c>
      <c r="G423" s="21"/>
    </row>
    <row r="424" spans="2:7">
      <c r="B424" s="22" t="s">
        <v>375</v>
      </c>
      <c r="C424" s="23" t="s">
        <v>376</v>
      </c>
      <c r="D424" s="24" t="s">
        <v>459</v>
      </c>
      <c r="E424" s="25" t="s">
        <v>1745</v>
      </c>
      <c r="F424" s="16" t="str">
        <f>_xlfn.XLOOKUP(D424,[6]Sheet1!$C:$C,[6]Sheet1!$F:$F,"-")</f>
        <v>Indra Rukmana</v>
      </c>
      <c r="G424" s="21"/>
    </row>
    <row r="425" spans="2:7">
      <c r="B425" s="22" t="s">
        <v>375</v>
      </c>
      <c r="C425" s="23" t="s">
        <v>376</v>
      </c>
      <c r="D425" s="24" t="s">
        <v>460</v>
      </c>
      <c r="E425" s="25" t="s">
        <v>1745</v>
      </c>
      <c r="F425" s="16" t="str">
        <f>_xlfn.XLOOKUP(D425,[6]Sheet1!$C:$C,[6]Sheet1!$F:$F,"-")</f>
        <v>Indra Rukmana</v>
      </c>
      <c r="G425" s="21"/>
    </row>
    <row r="426" spans="2:7">
      <c r="B426" s="22" t="s">
        <v>375</v>
      </c>
      <c r="C426" s="23" t="s">
        <v>376</v>
      </c>
      <c r="D426" s="24" t="s">
        <v>461</v>
      </c>
      <c r="E426" s="25" t="s">
        <v>1745</v>
      </c>
      <c r="F426" s="16" t="str">
        <f>_xlfn.XLOOKUP(D426,[6]Sheet1!$C:$C,[6]Sheet1!$F:$F,"-")</f>
        <v>Januar Egy Panjayu</v>
      </c>
      <c r="G426" s="21"/>
    </row>
    <row r="427" spans="2:7">
      <c r="B427" s="22" t="s">
        <v>375</v>
      </c>
      <c r="C427" s="23" t="s">
        <v>376</v>
      </c>
      <c r="D427" s="24" t="s">
        <v>462</v>
      </c>
      <c r="E427" s="25" t="s">
        <v>1745</v>
      </c>
      <c r="F427" s="16" t="str">
        <f>_xlfn.XLOOKUP(D427,[6]Sheet1!$C:$C,[6]Sheet1!$F:$F,"-")</f>
        <v>Khoeruman Sunjaya</v>
      </c>
      <c r="G427" s="21"/>
    </row>
    <row r="428" spans="2:7">
      <c r="B428" s="22" t="s">
        <v>375</v>
      </c>
      <c r="C428" s="23" t="s">
        <v>376</v>
      </c>
      <c r="D428" s="24" t="s">
        <v>463</v>
      </c>
      <c r="E428" s="25" t="s">
        <v>1745</v>
      </c>
      <c r="F428" s="16" t="str">
        <f>_xlfn.XLOOKUP(D428,[6]Sheet1!$C:$C,[6]Sheet1!$F:$F,"-")</f>
        <v>Muhammad Agung Maulidia</v>
      </c>
      <c r="G428" s="21"/>
    </row>
    <row r="429" spans="2:7">
      <c r="B429" s="22" t="s">
        <v>375</v>
      </c>
      <c r="C429" s="23" t="s">
        <v>376</v>
      </c>
      <c r="D429" s="24" t="s">
        <v>464</v>
      </c>
      <c r="E429" s="25" t="s">
        <v>1745</v>
      </c>
      <c r="F429" s="16" t="str">
        <f>_xlfn.XLOOKUP(D429,[6]Sheet1!$C:$C,[6]Sheet1!$F:$F,"-")</f>
        <v>Muhammad Bagus Rifa'i</v>
      </c>
      <c r="G429" s="21"/>
    </row>
    <row r="430" spans="2:7">
      <c r="B430" s="22" t="s">
        <v>375</v>
      </c>
      <c r="C430" s="23" t="s">
        <v>376</v>
      </c>
      <c r="D430" s="24" t="s">
        <v>465</v>
      </c>
      <c r="E430" s="25" t="s">
        <v>1745</v>
      </c>
      <c r="F430" s="16" t="str">
        <f>_xlfn.XLOOKUP(D430,[6]Sheet1!$C:$C,[6]Sheet1!$F:$F,"-")</f>
        <v>Muhammad Rusdiyanto Dinata</v>
      </c>
      <c r="G430" s="21"/>
    </row>
    <row r="431" spans="2:7">
      <c r="B431" s="22" t="s">
        <v>375</v>
      </c>
      <c r="C431" s="23" t="s">
        <v>376</v>
      </c>
      <c r="D431" s="24" t="s">
        <v>466</v>
      </c>
      <c r="E431" s="25" t="s">
        <v>1745</v>
      </c>
      <c r="F431" s="16" t="str">
        <f>_xlfn.XLOOKUP(D431,[6]Sheet1!$C:$C,[6]Sheet1!$F:$F,"-")</f>
        <v>Nur Maulana Hasan</v>
      </c>
      <c r="G431" s="21"/>
    </row>
    <row r="432" spans="2:7">
      <c r="B432" s="22" t="s">
        <v>375</v>
      </c>
      <c r="C432" s="23" t="s">
        <v>376</v>
      </c>
      <c r="D432" s="24" t="s">
        <v>467</v>
      </c>
      <c r="E432" s="25" t="s">
        <v>1745</v>
      </c>
      <c r="F432" s="16" t="str">
        <f>_xlfn.XLOOKUP(D432,[6]Sheet1!$C:$C,[6]Sheet1!$F:$F,"-")</f>
        <v>Reza Zaqiyuddin</v>
      </c>
      <c r="G432" s="21"/>
    </row>
    <row r="433" spans="2:7">
      <c r="B433" s="22" t="s">
        <v>375</v>
      </c>
      <c r="C433" s="23" t="s">
        <v>376</v>
      </c>
      <c r="D433" s="24" t="s">
        <v>468</v>
      </c>
      <c r="E433" s="25" t="s">
        <v>1745</v>
      </c>
      <c r="F433" s="16" t="str">
        <f>_xlfn.XLOOKUP(D433,[6]Sheet1!$C:$C,[6]Sheet1!$F:$F,"-")</f>
        <v>Reza Zaqiyuddin</v>
      </c>
      <c r="G433" s="21"/>
    </row>
    <row r="434" spans="2:7">
      <c r="B434" s="22" t="s">
        <v>375</v>
      </c>
      <c r="C434" s="23" t="s">
        <v>376</v>
      </c>
      <c r="D434" s="24" t="s">
        <v>469</v>
      </c>
      <c r="E434" s="25" t="s">
        <v>1745</v>
      </c>
      <c r="F434" s="16" t="str">
        <f>_xlfn.XLOOKUP(D434,[6]Sheet1!$C:$C,[6]Sheet1!$F:$F,"-")</f>
        <v>Toni Anwar</v>
      </c>
      <c r="G434" s="21"/>
    </row>
    <row r="435" spans="2:7">
      <c r="B435" s="22" t="s">
        <v>375</v>
      </c>
      <c r="C435" s="23" t="s">
        <v>376</v>
      </c>
      <c r="D435" s="24" t="s">
        <v>470</v>
      </c>
      <c r="E435" s="25" t="s">
        <v>1745</v>
      </c>
      <c r="F435" s="16" t="str">
        <f>_xlfn.XLOOKUP(D435,[6]Sheet1!$C:$C,[6]Sheet1!$F:$F,"-")</f>
        <v>Yandi Sutardi</v>
      </c>
      <c r="G435" s="21"/>
    </row>
    <row r="436" spans="2:7">
      <c r="B436" s="22" t="s">
        <v>375</v>
      </c>
      <c r="C436" s="23" t="s">
        <v>376</v>
      </c>
      <c r="D436" s="24" t="s">
        <v>471</v>
      </c>
      <c r="E436" s="25" t="s">
        <v>1745</v>
      </c>
      <c r="F436" s="16" t="str">
        <f>_xlfn.XLOOKUP(D436,[6]Sheet1!$C:$C,[6]Sheet1!$F:$F,"-")</f>
        <v>Zezen Zaenul Arip</v>
      </c>
      <c r="G436" s="21"/>
    </row>
    <row r="437" spans="2:7">
      <c r="B437" s="22" t="s">
        <v>375</v>
      </c>
      <c r="C437" s="23" t="s">
        <v>376</v>
      </c>
      <c r="D437" s="24" t="s">
        <v>472</v>
      </c>
      <c r="E437" s="25" t="s">
        <v>1745</v>
      </c>
      <c r="F437" s="16" t="str">
        <f>_xlfn.XLOOKUP(D437,[6]Sheet1!$C:$C,[6]Sheet1!$F:$F,"-")</f>
        <v>Andriana Susanto</v>
      </c>
      <c r="G437" s="21"/>
    </row>
    <row r="438" spans="2:7">
      <c r="B438" s="22" t="s">
        <v>375</v>
      </c>
      <c r="C438" s="23" t="s">
        <v>376</v>
      </c>
      <c r="D438" s="24" t="s">
        <v>473</v>
      </c>
      <c r="E438" s="25" t="s">
        <v>1745</v>
      </c>
      <c r="F438" s="16" t="str">
        <f>_xlfn.XLOOKUP(D438,[6]Sheet1!$C:$C,[6]Sheet1!$F:$F,"-")</f>
        <v>Danil Sutiarso</v>
      </c>
      <c r="G438" s="21"/>
    </row>
    <row r="439" spans="2:7">
      <c r="B439" s="22" t="s">
        <v>375</v>
      </c>
      <c r="C439" s="23" t="s">
        <v>376</v>
      </c>
      <c r="D439" s="24" t="s">
        <v>474</v>
      </c>
      <c r="E439" s="25" t="s">
        <v>1745</v>
      </c>
      <c r="F439" s="16" t="str">
        <f>_xlfn.XLOOKUP(D439,[6]Sheet1!$C:$C,[6]Sheet1!$F:$F,"-")</f>
        <v>Dindin Irawan</v>
      </c>
      <c r="G439" s="21"/>
    </row>
    <row r="440" spans="2:7">
      <c r="B440" s="22" t="s">
        <v>375</v>
      </c>
      <c r="C440" s="23" t="s">
        <v>376</v>
      </c>
      <c r="D440" s="24" t="s">
        <v>475</v>
      </c>
      <c r="E440" s="25" t="s">
        <v>1745</v>
      </c>
      <c r="F440" s="16" t="str">
        <f>_xlfn.XLOOKUP(D440,[6]Sheet1!$C:$C,[6]Sheet1!$F:$F,"-")</f>
        <v>Faiz Achmad Yasin</v>
      </c>
      <c r="G440" s="21"/>
    </row>
    <row r="441" spans="2:7">
      <c r="B441" s="22" t="s">
        <v>375</v>
      </c>
      <c r="C441" s="23" t="s">
        <v>376</v>
      </c>
      <c r="D441" s="24" t="s">
        <v>476</v>
      </c>
      <c r="E441" s="25" t="s">
        <v>1745</v>
      </c>
      <c r="F441" s="16" t="str">
        <f>_xlfn.XLOOKUP(D441,[6]Sheet1!$C:$C,[6]Sheet1!$F:$F,"-")</f>
        <v>Faiz Achmad Yasin</v>
      </c>
      <c r="G441" s="21"/>
    </row>
    <row r="442" spans="2:7">
      <c r="B442" s="22" t="s">
        <v>375</v>
      </c>
      <c r="C442" s="23" t="s">
        <v>376</v>
      </c>
      <c r="D442" s="24" t="s">
        <v>477</v>
      </c>
      <c r="E442" s="25" t="s">
        <v>1745</v>
      </c>
      <c r="F442" s="16" t="str">
        <f>_xlfn.XLOOKUP(D442,[6]Sheet1!$C:$C,[6]Sheet1!$F:$F,"-")</f>
        <v>Hari Pardian</v>
      </c>
      <c r="G442" s="21"/>
    </row>
    <row r="443" spans="2:7">
      <c r="B443" s="22" t="s">
        <v>375</v>
      </c>
      <c r="C443" s="23" t="s">
        <v>376</v>
      </c>
      <c r="D443" s="24" t="s">
        <v>478</v>
      </c>
      <c r="E443" s="25" t="s">
        <v>1745</v>
      </c>
      <c r="F443" s="16" t="str">
        <f>_xlfn.XLOOKUP(D443,[6]Sheet1!$C:$C,[6]Sheet1!$F:$F,"-")</f>
        <v>Herdi Kurniawan</v>
      </c>
      <c r="G443" s="21"/>
    </row>
    <row r="444" spans="2:7">
      <c r="B444" s="22" t="s">
        <v>375</v>
      </c>
      <c r="C444" s="23" t="s">
        <v>376</v>
      </c>
      <c r="D444" s="24" t="s">
        <v>479</v>
      </c>
      <c r="E444" s="25" t="s">
        <v>1745</v>
      </c>
      <c r="F444" s="16" t="str">
        <f>_xlfn.XLOOKUP(D444,[6]Sheet1!$C:$C,[6]Sheet1!$F:$F,"-")</f>
        <v>Ipan Pathurrahman</v>
      </c>
      <c r="G444" s="21"/>
    </row>
    <row r="445" spans="2:7">
      <c r="B445" s="22" t="s">
        <v>375</v>
      </c>
      <c r="C445" s="23" t="s">
        <v>376</v>
      </c>
      <c r="D445" s="24" t="s">
        <v>480</v>
      </c>
      <c r="E445" s="25" t="s">
        <v>1745</v>
      </c>
      <c r="F445" s="16" t="str">
        <f>_xlfn.XLOOKUP(D445,[6]Sheet1!$C:$C,[6]Sheet1!$F:$F,"-")</f>
        <v>Jamjam ramdani</v>
      </c>
      <c r="G445" s="21"/>
    </row>
    <row r="446" spans="2:7">
      <c r="B446" s="22" t="s">
        <v>375</v>
      </c>
      <c r="C446" s="23" t="s">
        <v>376</v>
      </c>
      <c r="D446" s="24" t="s">
        <v>481</v>
      </c>
      <c r="E446" s="25" t="s">
        <v>1745</v>
      </c>
      <c r="F446" s="16" t="str">
        <f>_xlfn.XLOOKUP(D446,[6]Sheet1!$C:$C,[6]Sheet1!$F:$F,"-")</f>
        <v>Muhammad Abdul Rozi</v>
      </c>
      <c r="G446" s="21"/>
    </row>
    <row r="447" spans="2:7">
      <c r="B447" s="22" t="s">
        <v>375</v>
      </c>
      <c r="C447" s="23" t="s">
        <v>376</v>
      </c>
      <c r="D447" s="24" t="s">
        <v>482</v>
      </c>
      <c r="E447" s="25" t="s">
        <v>1745</v>
      </c>
      <c r="F447" s="16" t="str">
        <f>_xlfn.XLOOKUP(D447,[6]Sheet1!$C:$C,[6]Sheet1!$F:$F,"-")</f>
        <v>Muhammad Abdul Rozi</v>
      </c>
      <c r="G447" s="21"/>
    </row>
    <row r="448" spans="2:7">
      <c r="B448" s="22" t="s">
        <v>375</v>
      </c>
      <c r="C448" s="23" t="s">
        <v>376</v>
      </c>
      <c r="D448" s="24" t="s">
        <v>483</v>
      </c>
      <c r="E448" s="25" t="s">
        <v>1745</v>
      </c>
      <c r="F448" s="16" t="str">
        <f>_xlfn.XLOOKUP(D448,[6]Sheet1!$C:$C,[6]Sheet1!$F:$F,"-")</f>
        <v>Ridwan Ginanjar</v>
      </c>
      <c r="G448" s="21"/>
    </row>
    <row r="449" spans="2:7">
      <c r="B449" s="22" t="s">
        <v>375</v>
      </c>
      <c r="C449" s="23" t="s">
        <v>376</v>
      </c>
      <c r="D449" s="24" t="s">
        <v>484</v>
      </c>
      <c r="E449" s="25" t="s">
        <v>1745</v>
      </c>
      <c r="F449" s="16" t="str">
        <f>_xlfn.XLOOKUP(D449,[6]Sheet1!$C:$C,[6]Sheet1!$F:$F,"-")</f>
        <v>Sandi Mutakin</v>
      </c>
      <c r="G449" s="21"/>
    </row>
    <row r="450" spans="2:7">
      <c r="B450" s="22" t="s">
        <v>375</v>
      </c>
      <c r="C450" s="23" t="s">
        <v>376</v>
      </c>
      <c r="D450" s="24" t="s">
        <v>485</v>
      </c>
      <c r="E450" s="25" t="s">
        <v>1745</v>
      </c>
      <c r="F450" s="16" t="str">
        <f>_xlfn.XLOOKUP(D450,[6]Sheet1!$C:$C,[6]Sheet1!$F:$F,"-")</f>
        <v>Sandra Cahya Permana</v>
      </c>
      <c r="G450" s="21"/>
    </row>
    <row r="451" spans="2:7">
      <c r="B451" s="22" t="s">
        <v>375</v>
      </c>
      <c r="C451" s="23" t="s">
        <v>376</v>
      </c>
      <c r="D451" s="24" t="s">
        <v>486</v>
      </c>
      <c r="E451" s="25" t="s">
        <v>1745</v>
      </c>
      <c r="F451" s="16" t="str">
        <f>_xlfn.XLOOKUP(D451,[6]Sheet1!$C:$C,[6]Sheet1!$F:$F,"-")</f>
        <v>Tresha Oktariana</v>
      </c>
      <c r="G451" s="21"/>
    </row>
    <row r="452" spans="2:7">
      <c r="B452" s="22" t="s">
        <v>375</v>
      </c>
      <c r="C452" s="23" t="s">
        <v>376</v>
      </c>
      <c r="D452" s="24" t="s">
        <v>487</v>
      </c>
      <c r="E452" s="25" t="s">
        <v>1745</v>
      </c>
      <c r="F452" s="16" t="str">
        <f>_xlfn.XLOOKUP(D452,[6]Sheet1!$C:$C,[6]Sheet1!$F:$F,"-")</f>
        <v>Akbar Rizki Mulyana</v>
      </c>
      <c r="G452" s="21"/>
    </row>
    <row r="453" spans="2:7">
      <c r="B453" s="22" t="s">
        <v>375</v>
      </c>
      <c r="C453" s="23" t="s">
        <v>376</v>
      </c>
      <c r="D453" s="24" t="s">
        <v>488</v>
      </c>
      <c r="E453" s="25" t="s">
        <v>1745</v>
      </c>
      <c r="F453" s="16" t="str">
        <f>_xlfn.XLOOKUP(D453,[6]Sheet1!$C:$C,[6]Sheet1!$F:$F,"-")</f>
        <v>Deni Purnama</v>
      </c>
      <c r="G453" s="21"/>
    </row>
    <row r="454" spans="2:7">
      <c r="B454" s="22" t="s">
        <v>375</v>
      </c>
      <c r="C454" s="23" t="s">
        <v>376</v>
      </c>
      <c r="D454" s="24" t="s">
        <v>489</v>
      </c>
      <c r="E454" s="25" t="s">
        <v>1745</v>
      </c>
      <c r="F454" s="16" t="str">
        <f>_xlfn.XLOOKUP(D454,[6]Sheet1!$C:$C,[6]Sheet1!$F:$F,"-")</f>
        <v>Dicky Aditia</v>
      </c>
      <c r="G454" s="21"/>
    </row>
    <row r="455" spans="2:7">
      <c r="B455" s="22" t="s">
        <v>375</v>
      </c>
      <c r="C455" s="23" t="s">
        <v>376</v>
      </c>
      <c r="D455" s="24" t="s">
        <v>490</v>
      </c>
      <c r="E455" s="25" t="s">
        <v>1745</v>
      </c>
      <c r="F455" s="16" t="str">
        <f>_xlfn.XLOOKUP(D455,[6]Sheet1!$C:$C,[6]Sheet1!$F:$F,"-")</f>
        <v>Fikri Nurhidayat</v>
      </c>
      <c r="G455" s="21"/>
    </row>
    <row r="456" spans="2:7">
      <c r="B456" s="22" t="s">
        <v>375</v>
      </c>
      <c r="C456" s="23" t="s">
        <v>376</v>
      </c>
      <c r="D456" s="24" t="s">
        <v>491</v>
      </c>
      <c r="E456" s="25" t="s">
        <v>1745</v>
      </c>
      <c r="F456" s="16" t="str">
        <f>_xlfn.XLOOKUP(D456,[6]Sheet1!$C:$C,[6]Sheet1!$F:$F,"-")</f>
        <v>Irfan Abdur Rochim</v>
      </c>
      <c r="G456" s="21"/>
    </row>
    <row r="457" spans="2:7">
      <c r="B457" s="22" t="s">
        <v>375</v>
      </c>
      <c r="C457" s="23" t="s">
        <v>376</v>
      </c>
      <c r="D457" s="24" t="s">
        <v>492</v>
      </c>
      <c r="E457" s="25" t="s">
        <v>1745</v>
      </c>
      <c r="F457" s="16" t="str">
        <f>_xlfn.XLOOKUP(D457,[6]Sheet1!$C:$C,[6]Sheet1!$F:$F,"-")</f>
        <v>Irfan Abdur Rochim</v>
      </c>
      <c r="G457" s="21"/>
    </row>
    <row r="458" spans="2:7">
      <c r="B458" s="22" t="s">
        <v>375</v>
      </c>
      <c r="C458" s="23" t="s">
        <v>376</v>
      </c>
      <c r="D458" s="24" t="s">
        <v>493</v>
      </c>
      <c r="E458" s="25" t="s">
        <v>1745</v>
      </c>
      <c r="F458" s="16" t="str">
        <f>_xlfn.XLOOKUP(D458,[6]Sheet1!$C:$C,[6]Sheet1!$F:$F,"-")</f>
        <v>Iyan Diana</v>
      </c>
      <c r="G458" s="21"/>
    </row>
    <row r="459" spans="2:7">
      <c r="B459" s="22" t="s">
        <v>375</v>
      </c>
      <c r="C459" s="23" t="s">
        <v>376</v>
      </c>
      <c r="D459" s="24" t="s">
        <v>494</v>
      </c>
      <c r="E459" s="25" t="s">
        <v>1745</v>
      </c>
      <c r="F459" s="16" t="str">
        <f>_xlfn.XLOOKUP(D459,[6]Sheet1!$C:$C,[6]Sheet1!$F:$F,"-")</f>
        <v>Nunu Nugraha</v>
      </c>
      <c r="G459" s="21"/>
    </row>
    <row r="460" spans="2:7">
      <c r="B460" s="22" t="s">
        <v>375</v>
      </c>
      <c r="C460" s="23" t="s">
        <v>376</v>
      </c>
      <c r="D460" s="24" t="s">
        <v>495</v>
      </c>
      <c r="E460" s="25" t="s">
        <v>1745</v>
      </c>
      <c r="F460" s="16" t="str">
        <f>_xlfn.XLOOKUP(D460,[6]Sheet1!$C:$C,[6]Sheet1!$F:$F,"-")</f>
        <v>Nuralamsah</v>
      </c>
      <c r="G460" s="21"/>
    </row>
    <row r="461" spans="2:7">
      <c r="B461" s="22" t="s">
        <v>375</v>
      </c>
      <c r="C461" s="23" t="s">
        <v>376</v>
      </c>
      <c r="D461" s="24" t="s">
        <v>496</v>
      </c>
      <c r="E461" s="25" t="s">
        <v>1745</v>
      </c>
      <c r="F461" s="16" t="str">
        <f>_xlfn.XLOOKUP(D461,[6]Sheet1!$C:$C,[6]Sheet1!$F:$F,"-")</f>
        <v>Opie Gustriana</v>
      </c>
      <c r="G461" s="21"/>
    </row>
    <row r="462" spans="2:7">
      <c r="B462" s="22" t="s">
        <v>375</v>
      </c>
      <c r="C462" s="23" t="s">
        <v>376</v>
      </c>
      <c r="D462" s="24" t="s">
        <v>497</v>
      </c>
      <c r="E462" s="25" t="s">
        <v>1745</v>
      </c>
      <c r="F462" s="16" t="str">
        <f>_xlfn.XLOOKUP(D462,[6]Sheet1!$C:$C,[6]Sheet1!$F:$F,"-")</f>
        <v>Opie Gustriana</v>
      </c>
      <c r="G462" s="21"/>
    </row>
    <row r="463" spans="2:7">
      <c r="B463" s="22" t="s">
        <v>375</v>
      </c>
      <c r="C463" s="23" t="s">
        <v>376</v>
      </c>
      <c r="D463" s="24" t="s">
        <v>498</v>
      </c>
      <c r="E463" s="25" t="s">
        <v>1745</v>
      </c>
      <c r="F463" s="16" t="str">
        <f>_xlfn.XLOOKUP(D463,[6]Sheet1!$C:$C,[6]Sheet1!$F:$F,"-")</f>
        <v>Rachman Setyadi</v>
      </c>
      <c r="G463" s="21"/>
    </row>
    <row r="464" spans="2:7">
      <c r="B464" s="22" t="s">
        <v>375</v>
      </c>
      <c r="C464" s="23" t="s">
        <v>376</v>
      </c>
      <c r="D464" s="24" t="s">
        <v>499</v>
      </c>
      <c r="E464" s="25" t="s">
        <v>1745</v>
      </c>
      <c r="F464" s="16" t="str">
        <f>_xlfn.XLOOKUP(D464,[6]Sheet1!$C:$C,[6]Sheet1!$F:$F,"-")</f>
        <v>Redi Heriadi</v>
      </c>
      <c r="G464" s="21"/>
    </row>
    <row r="465" spans="2:7">
      <c r="B465" s="22" t="s">
        <v>375</v>
      </c>
      <c r="C465" s="23" t="s">
        <v>376</v>
      </c>
      <c r="D465" s="24" t="s">
        <v>500</v>
      </c>
      <c r="E465" s="25" t="s">
        <v>1745</v>
      </c>
      <c r="F465" s="16" t="str">
        <f>_xlfn.XLOOKUP(D465,[6]Sheet1!$C:$C,[6]Sheet1!$F:$F,"-")</f>
        <v>Rizki Kurniawan Akbar</v>
      </c>
      <c r="G465" s="21"/>
    </row>
    <row r="466" spans="2:7">
      <c r="B466" s="22" t="s">
        <v>375</v>
      </c>
      <c r="C466" s="23" t="s">
        <v>376</v>
      </c>
      <c r="D466" s="24" t="s">
        <v>501</v>
      </c>
      <c r="E466" s="25" t="s">
        <v>1745</v>
      </c>
      <c r="F466" s="16" t="str">
        <f>_xlfn.XLOOKUP(D466,[6]Sheet1!$C:$C,[6]Sheet1!$F:$F,"-")</f>
        <v>Rizki Kurniawan Akbar</v>
      </c>
      <c r="G466" s="21"/>
    </row>
    <row r="467" spans="2:7">
      <c r="B467" s="22" t="s">
        <v>375</v>
      </c>
      <c r="C467" s="23" t="s">
        <v>376</v>
      </c>
      <c r="D467" s="24" t="s">
        <v>502</v>
      </c>
      <c r="E467" s="25" t="s">
        <v>1745</v>
      </c>
      <c r="F467" s="16" t="str">
        <f>_xlfn.XLOOKUP(D467,[6]Sheet1!$C:$C,[6]Sheet1!$F:$F,"-")</f>
        <v>Septian Nuralamsyah</v>
      </c>
      <c r="G467" s="21"/>
    </row>
    <row r="468" spans="2:7">
      <c r="B468" s="22" t="s">
        <v>375</v>
      </c>
      <c r="C468" s="23" t="s">
        <v>376</v>
      </c>
      <c r="D468" s="24" t="s">
        <v>503</v>
      </c>
      <c r="E468" s="25" t="s">
        <v>1745</v>
      </c>
      <c r="F468" s="16" t="str">
        <f>_xlfn.XLOOKUP(D468,[6]Sheet1!$C:$C,[6]Sheet1!$F:$F,"-")</f>
        <v>Widodo Iqbal Baharudin</v>
      </c>
      <c r="G468" s="21"/>
    </row>
    <row r="469" spans="2:7">
      <c r="B469" s="22" t="s">
        <v>375</v>
      </c>
      <c r="C469" s="23" t="s">
        <v>376</v>
      </c>
      <c r="D469" s="24" t="s">
        <v>504</v>
      </c>
      <c r="E469" s="25" t="s">
        <v>1745</v>
      </c>
      <c r="F469" s="16" t="str">
        <f>_xlfn.XLOOKUP(D469,[6]Sheet1!$C:$C,[6]Sheet1!$F:$F,"-")</f>
        <v>Akhmad Wildan Heryanto</v>
      </c>
      <c r="G469" s="21"/>
    </row>
    <row r="470" spans="2:7">
      <c r="B470" s="22" t="s">
        <v>375</v>
      </c>
      <c r="C470" s="23" t="s">
        <v>376</v>
      </c>
      <c r="D470" s="24" t="s">
        <v>505</v>
      </c>
      <c r="E470" s="25" t="s">
        <v>1745</v>
      </c>
      <c r="F470" s="16" t="str">
        <f>_xlfn.XLOOKUP(D470,[6]Sheet1!$C:$C,[6]Sheet1!$F:$F,"-")</f>
        <v>Akhmad Wildan Heryanto</v>
      </c>
      <c r="G470" s="21"/>
    </row>
    <row r="471" spans="2:7">
      <c r="B471" s="22" t="s">
        <v>375</v>
      </c>
      <c r="C471" s="23" t="s">
        <v>376</v>
      </c>
      <c r="D471" s="24" t="s">
        <v>506</v>
      </c>
      <c r="E471" s="25" t="s">
        <v>1745</v>
      </c>
      <c r="F471" s="16" t="str">
        <f>_xlfn.XLOOKUP(D471,[6]Sheet1!$C:$C,[6]Sheet1!$F:$F,"-")</f>
        <v>Dwiyanto</v>
      </c>
      <c r="G471" s="21"/>
    </row>
    <row r="472" spans="2:7">
      <c r="B472" s="22" t="s">
        <v>375</v>
      </c>
      <c r="C472" s="23" t="s">
        <v>376</v>
      </c>
      <c r="D472" s="24" t="s">
        <v>507</v>
      </c>
      <c r="E472" s="25" t="s">
        <v>1745</v>
      </c>
      <c r="F472" s="16" t="str">
        <f>_xlfn.XLOOKUP(D472,[6]Sheet1!$C:$C,[6]Sheet1!$F:$F,"-")</f>
        <v>Endang Rudi Rohana</v>
      </c>
      <c r="G472" s="21"/>
    </row>
    <row r="473" spans="2:7">
      <c r="B473" s="22" t="s">
        <v>375</v>
      </c>
      <c r="C473" s="23" t="s">
        <v>376</v>
      </c>
      <c r="D473" s="24" t="s">
        <v>508</v>
      </c>
      <c r="E473" s="25" t="s">
        <v>1745</v>
      </c>
      <c r="F473" s="16" t="str">
        <f>_xlfn.XLOOKUP(D473,[6]Sheet1!$C:$C,[6]Sheet1!$F:$F,"-")</f>
        <v>Endang Rudi Rohana</v>
      </c>
      <c r="G473" s="21"/>
    </row>
    <row r="474" spans="2:7">
      <c r="B474" s="22" t="s">
        <v>375</v>
      </c>
      <c r="C474" s="23" t="s">
        <v>376</v>
      </c>
      <c r="D474" s="24" t="s">
        <v>509</v>
      </c>
      <c r="E474" s="25" t="s">
        <v>1745</v>
      </c>
      <c r="F474" s="16" t="str">
        <f>_xlfn.XLOOKUP(D474,[6]Sheet1!$C:$C,[6]Sheet1!$F:$F,"-")</f>
        <v>Indra Nuryanto</v>
      </c>
      <c r="G474" s="21"/>
    </row>
    <row r="475" spans="2:7">
      <c r="B475" s="22" t="s">
        <v>375</v>
      </c>
      <c r="C475" s="23" t="s">
        <v>376</v>
      </c>
      <c r="D475" s="24" t="s">
        <v>510</v>
      </c>
      <c r="E475" s="25" t="s">
        <v>1745</v>
      </c>
      <c r="F475" s="16" t="str">
        <f>_xlfn.XLOOKUP(D475,[6]Sheet1!$C:$C,[6]Sheet1!$F:$F,"-")</f>
        <v>Mochamad Taofik</v>
      </c>
      <c r="G475" s="21"/>
    </row>
    <row r="476" spans="2:7">
      <c r="B476" s="22" t="s">
        <v>375</v>
      </c>
      <c r="C476" s="23" t="s">
        <v>376</v>
      </c>
      <c r="D476" s="24" t="s">
        <v>511</v>
      </c>
      <c r="E476" s="25" t="s">
        <v>1745</v>
      </c>
      <c r="F476" s="16" t="str">
        <f>_xlfn.XLOOKUP(D476,[6]Sheet1!$C:$C,[6]Sheet1!$F:$F,"-")</f>
        <v>Muhammad Iqbal</v>
      </c>
      <c r="G476" s="21"/>
    </row>
    <row r="477" spans="2:7">
      <c r="B477" s="22" t="s">
        <v>375</v>
      </c>
      <c r="C477" s="23" t="s">
        <v>376</v>
      </c>
      <c r="D477" s="24" t="s">
        <v>512</v>
      </c>
      <c r="E477" s="25" t="s">
        <v>1745</v>
      </c>
      <c r="F477" s="16" t="str">
        <f>_xlfn.XLOOKUP(D477,[6]Sheet1!$C:$C,[6]Sheet1!$F:$F,"-")</f>
        <v>Muhammad Ramdhan</v>
      </c>
      <c r="G477" s="21"/>
    </row>
    <row r="478" spans="2:7">
      <c r="B478" s="22" t="s">
        <v>375</v>
      </c>
      <c r="C478" s="23" t="s">
        <v>376</v>
      </c>
      <c r="D478" s="24" t="s">
        <v>513</v>
      </c>
      <c r="E478" s="25" t="s">
        <v>1745</v>
      </c>
      <c r="F478" s="16" t="str">
        <f>_xlfn.XLOOKUP(D478,[6]Sheet1!$C:$C,[6]Sheet1!$F:$F,"-")</f>
        <v>Muhammad Ramdhan</v>
      </c>
      <c r="G478" s="21"/>
    </row>
    <row r="479" spans="2:7">
      <c r="B479" s="22" t="s">
        <v>375</v>
      </c>
      <c r="C479" s="23" t="s">
        <v>376</v>
      </c>
      <c r="D479" s="24" t="s">
        <v>514</v>
      </c>
      <c r="E479" s="25" t="s">
        <v>1745</v>
      </c>
      <c r="F479" s="16" t="str">
        <f>_xlfn.XLOOKUP(D479,[6]Sheet1!$C:$C,[6]Sheet1!$F:$F,"-")</f>
        <v>Rudi Hermawan</v>
      </c>
      <c r="G479" s="21"/>
    </row>
    <row r="480" spans="2:7">
      <c r="B480" s="22" t="s">
        <v>375</v>
      </c>
      <c r="C480" s="23" t="s">
        <v>376</v>
      </c>
      <c r="D480" s="24" t="s">
        <v>515</v>
      </c>
      <c r="E480" s="25" t="s">
        <v>1745</v>
      </c>
      <c r="F480" s="16" t="str">
        <f>_xlfn.XLOOKUP(D480,[6]Sheet1!$C:$C,[6]Sheet1!$F:$F,"-")</f>
        <v>Shevina Shevriyana</v>
      </c>
      <c r="G480" s="21"/>
    </row>
    <row r="481" spans="2:7">
      <c r="B481" s="22" t="s">
        <v>375</v>
      </c>
      <c r="C481" s="23" t="s">
        <v>376</v>
      </c>
      <c r="D481" s="24" t="s">
        <v>516</v>
      </c>
      <c r="E481" s="25" t="s">
        <v>1745</v>
      </c>
      <c r="F481" s="16" t="str">
        <f>_xlfn.XLOOKUP(D481,[6]Sheet1!$C:$C,[6]Sheet1!$F:$F,"-")</f>
        <v>Abdul Azid</v>
      </c>
      <c r="G481" s="21"/>
    </row>
    <row r="482" spans="2:7">
      <c r="B482" s="22" t="s">
        <v>375</v>
      </c>
      <c r="C482" s="23" t="s">
        <v>376</v>
      </c>
      <c r="D482" s="24" t="s">
        <v>517</v>
      </c>
      <c r="E482" s="25" t="s">
        <v>1745</v>
      </c>
      <c r="F482" s="16" t="str">
        <f>_xlfn.XLOOKUP(D482,[6]Sheet1!$C:$C,[6]Sheet1!$F:$F,"-")</f>
        <v>Agung Problema Huda</v>
      </c>
      <c r="G482" s="21"/>
    </row>
    <row r="483" spans="2:7">
      <c r="B483" s="22" t="s">
        <v>375</v>
      </c>
      <c r="C483" s="23" t="s">
        <v>376</v>
      </c>
      <c r="D483" s="24" t="s">
        <v>518</v>
      </c>
      <c r="E483" s="25" t="s">
        <v>1745</v>
      </c>
      <c r="F483" s="16" t="str">
        <f>_xlfn.XLOOKUP(D483,[6]Sheet1!$C:$C,[6]Sheet1!$F:$F,"-")</f>
        <v>Aris Sopiana</v>
      </c>
      <c r="G483" s="21"/>
    </row>
    <row r="484" spans="2:7">
      <c r="B484" s="22" t="s">
        <v>375</v>
      </c>
      <c r="C484" s="23" t="s">
        <v>376</v>
      </c>
      <c r="D484" s="24" t="s">
        <v>519</v>
      </c>
      <c r="E484" s="25" t="s">
        <v>1745</v>
      </c>
      <c r="F484" s="16" t="str">
        <f>_xlfn.XLOOKUP(D484,[6]Sheet1!$C:$C,[6]Sheet1!$F:$F,"-")</f>
        <v>Bambang Hermanto</v>
      </c>
      <c r="G484" s="21"/>
    </row>
    <row r="485" spans="2:7">
      <c r="B485" s="22" t="s">
        <v>375</v>
      </c>
      <c r="C485" s="23" t="s">
        <v>376</v>
      </c>
      <c r="D485" s="24" t="s">
        <v>520</v>
      </c>
      <c r="E485" s="25" t="s">
        <v>1745</v>
      </c>
      <c r="F485" s="16" t="str">
        <f>_xlfn.XLOOKUP(D485,[6]Sheet1!$C:$C,[6]Sheet1!$F:$F,"-")</f>
        <v>Dani Mardani</v>
      </c>
      <c r="G485" s="21"/>
    </row>
    <row r="486" spans="2:7">
      <c r="B486" s="22" t="s">
        <v>375</v>
      </c>
      <c r="C486" s="23" t="s">
        <v>376</v>
      </c>
      <c r="D486" s="24" t="s">
        <v>521</v>
      </c>
      <c r="E486" s="25" t="s">
        <v>1745</v>
      </c>
      <c r="F486" s="16" t="str">
        <f>_xlfn.XLOOKUP(D486,[6]Sheet1!$C:$C,[6]Sheet1!$F:$F,"-")</f>
        <v>Decky Verdian</v>
      </c>
      <c r="G486" s="21"/>
    </row>
    <row r="487" spans="2:7">
      <c r="B487" s="22" t="s">
        <v>375</v>
      </c>
      <c r="C487" s="23" t="s">
        <v>376</v>
      </c>
      <c r="D487" s="24" t="s">
        <v>522</v>
      </c>
      <c r="E487" s="25" t="s">
        <v>1745</v>
      </c>
      <c r="F487" s="16" t="str">
        <f>_xlfn.XLOOKUP(D487,[6]Sheet1!$C:$C,[6]Sheet1!$F:$F,"-")</f>
        <v>Dodi Rikiyandi</v>
      </c>
      <c r="G487" s="21"/>
    </row>
    <row r="488" spans="2:7">
      <c r="B488" s="22" t="s">
        <v>375</v>
      </c>
      <c r="C488" s="23" t="s">
        <v>376</v>
      </c>
      <c r="D488" s="24" t="s">
        <v>523</v>
      </c>
      <c r="E488" s="25" t="s">
        <v>1745</v>
      </c>
      <c r="F488" s="16" t="str">
        <f>_xlfn.XLOOKUP(D488,[6]Sheet1!$C:$C,[6]Sheet1!$F:$F,"-")</f>
        <v>Fadhlan Zazmi Hilman</v>
      </c>
      <c r="G488" s="21"/>
    </row>
    <row r="489" spans="2:7">
      <c r="B489" s="22" t="s">
        <v>375</v>
      </c>
      <c r="C489" s="23" t="s">
        <v>376</v>
      </c>
      <c r="D489" s="24" t="s">
        <v>524</v>
      </c>
      <c r="E489" s="25" t="s">
        <v>1745</v>
      </c>
      <c r="F489" s="16" t="str">
        <f>_xlfn.XLOOKUP(D489,[6]Sheet1!$C:$C,[6]Sheet1!$F:$F,"-")</f>
        <v>Fadillah Pratama Putra</v>
      </c>
      <c r="G489" s="21"/>
    </row>
    <row r="490" spans="2:7">
      <c r="B490" s="22" t="s">
        <v>375</v>
      </c>
      <c r="C490" s="23" t="s">
        <v>376</v>
      </c>
      <c r="D490" s="24" t="s">
        <v>525</v>
      </c>
      <c r="E490" s="25" t="s">
        <v>1745</v>
      </c>
      <c r="F490" s="16" t="str">
        <f>_xlfn.XLOOKUP(D490,[6]Sheet1!$C:$C,[6]Sheet1!$F:$F,"-")</f>
        <v>Herdiansyah</v>
      </c>
      <c r="G490" s="21"/>
    </row>
    <row r="491" spans="2:7">
      <c r="B491" s="22" t="s">
        <v>375</v>
      </c>
      <c r="C491" s="23" t="s">
        <v>376</v>
      </c>
      <c r="D491" s="24" t="s">
        <v>526</v>
      </c>
      <c r="E491" s="25" t="s">
        <v>1745</v>
      </c>
      <c r="F491" s="16" t="str">
        <f>_xlfn.XLOOKUP(D491,[6]Sheet1!$C:$C,[6]Sheet1!$F:$F,"-")</f>
        <v>Heriyanto</v>
      </c>
      <c r="G491" s="21"/>
    </row>
    <row r="492" spans="2:7">
      <c r="B492" s="22" t="s">
        <v>375</v>
      </c>
      <c r="C492" s="23" t="s">
        <v>376</v>
      </c>
      <c r="D492" s="24" t="s">
        <v>527</v>
      </c>
      <c r="E492" s="25" t="s">
        <v>1745</v>
      </c>
      <c r="F492" s="16" t="str">
        <f>_xlfn.XLOOKUP(D492,[6]Sheet1!$C:$C,[6]Sheet1!$F:$F,"-")</f>
        <v>Indra Gunawan</v>
      </c>
      <c r="G492" s="21"/>
    </row>
    <row r="493" spans="2:7">
      <c r="B493" s="22" t="s">
        <v>375</v>
      </c>
      <c r="C493" s="23" t="s">
        <v>376</v>
      </c>
      <c r="D493" s="24" t="s">
        <v>528</v>
      </c>
      <c r="E493" s="25" t="s">
        <v>1745</v>
      </c>
      <c r="F493" s="16" t="str">
        <f>_xlfn.XLOOKUP(D493,[6]Sheet1!$C:$C,[6]Sheet1!$F:$F,"-")</f>
        <v>Jamaludin</v>
      </c>
      <c r="G493" s="21"/>
    </row>
    <row r="494" spans="2:7">
      <c r="B494" s="22" t="s">
        <v>375</v>
      </c>
      <c r="C494" s="23" t="s">
        <v>376</v>
      </c>
      <c r="D494" s="24" t="s">
        <v>529</v>
      </c>
      <c r="E494" s="25" t="s">
        <v>1745</v>
      </c>
      <c r="F494" s="16" t="str">
        <f>_xlfn.XLOOKUP(D494,[6]Sheet1!$C:$C,[6]Sheet1!$F:$F,"-")</f>
        <v>Jamaludin</v>
      </c>
      <c r="G494" s="21"/>
    </row>
    <row r="495" spans="2:7">
      <c r="B495" s="22" t="s">
        <v>375</v>
      </c>
      <c r="C495" s="23" t="s">
        <v>376</v>
      </c>
      <c r="D495" s="24" t="s">
        <v>530</v>
      </c>
      <c r="E495" s="25" t="s">
        <v>1745</v>
      </c>
      <c r="F495" s="16" t="str">
        <f>_xlfn.XLOOKUP(D495,[6]Sheet1!$C:$C,[6]Sheet1!$F:$F,"-")</f>
        <v>Muhammad Mahfudin</v>
      </c>
      <c r="G495" s="21"/>
    </row>
    <row r="496" spans="2:7">
      <c r="B496" s="22" t="s">
        <v>375</v>
      </c>
      <c r="C496" s="23" t="s">
        <v>376</v>
      </c>
      <c r="D496" s="24" t="s">
        <v>531</v>
      </c>
      <c r="E496" s="25" t="s">
        <v>1745</v>
      </c>
      <c r="F496" s="16" t="str">
        <f>_xlfn.XLOOKUP(D496,[6]Sheet1!$C:$C,[6]Sheet1!$F:$F,"-")</f>
        <v>Nondi Rismaya</v>
      </c>
      <c r="G496" s="21"/>
    </row>
    <row r="497" spans="2:7">
      <c r="B497" s="22" t="s">
        <v>375</v>
      </c>
      <c r="C497" s="23" t="s">
        <v>376</v>
      </c>
      <c r="D497" s="24" t="s">
        <v>532</v>
      </c>
      <c r="E497" s="25" t="s">
        <v>1745</v>
      </c>
      <c r="F497" s="16" t="str">
        <f>_xlfn.XLOOKUP(D497,[6]Sheet1!$C:$C,[6]Sheet1!$F:$F,"-")</f>
        <v>Rahmat Fauzi</v>
      </c>
      <c r="G497" s="21"/>
    </row>
    <row r="498" spans="2:7">
      <c r="B498" s="22" t="s">
        <v>375</v>
      </c>
      <c r="C498" s="23" t="s">
        <v>376</v>
      </c>
      <c r="D498" s="24" t="s">
        <v>533</v>
      </c>
      <c r="E498" s="25" t="s">
        <v>1745</v>
      </c>
      <c r="F498" s="16" t="str">
        <f>_xlfn.XLOOKUP(D498,[6]Sheet1!$C:$C,[6]Sheet1!$F:$F,"-")</f>
        <v>Reja Suherlan</v>
      </c>
      <c r="G498" s="21"/>
    </row>
    <row r="499" spans="2:7">
      <c r="B499" s="22" t="s">
        <v>375</v>
      </c>
      <c r="C499" s="23" t="s">
        <v>376</v>
      </c>
      <c r="D499" s="24" t="s">
        <v>534</v>
      </c>
      <c r="E499" s="25" t="s">
        <v>1745</v>
      </c>
      <c r="F499" s="16" t="str">
        <f>_xlfn.XLOOKUP(D499,[6]Sheet1!$C:$C,[6]Sheet1!$F:$F,"-")</f>
        <v>Reja Suherlan</v>
      </c>
      <c r="G499" s="21"/>
    </row>
    <row r="500" spans="2:7">
      <c r="B500" s="22" t="s">
        <v>375</v>
      </c>
      <c r="C500" s="23" t="s">
        <v>376</v>
      </c>
      <c r="D500" s="24" t="s">
        <v>535</v>
      </c>
      <c r="E500" s="25" t="s">
        <v>1745</v>
      </c>
      <c r="F500" s="16" t="str">
        <f>_xlfn.XLOOKUP(D500,[6]Sheet1!$C:$C,[6]Sheet1!$F:$F,"-")</f>
        <v>Rendi Muhamad</v>
      </c>
      <c r="G500" s="21"/>
    </row>
    <row r="501" spans="2:7">
      <c r="B501" s="22" t="s">
        <v>375</v>
      </c>
      <c r="C501" s="23" t="s">
        <v>376</v>
      </c>
      <c r="D501" s="24" t="s">
        <v>536</v>
      </c>
      <c r="E501" s="25" t="s">
        <v>1745</v>
      </c>
      <c r="F501" s="16" t="str">
        <f>_xlfn.XLOOKUP(D501,[6]Sheet1!$C:$C,[6]Sheet1!$F:$F,"-")</f>
        <v>Restu Sanjaya</v>
      </c>
      <c r="G501" s="21"/>
    </row>
    <row r="502" spans="2:7">
      <c r="B502" s="22" t="s">
        <v>375</v>
      </c>
      <c r="C502" s="23" t="s">
        <v>376</v>
      </c>
      <c r="D502" s="24" t="s">
        <v>537</v>
      </c>
      <c r="E502" s="25" t="s">
        <v>1745</v>
      </c>
      <c r="F502" s="16" t="str">
        <f>_xlfn.XLOOKUP(D502,[6]Sheet1!$C:$C,[6]Sheet1!$F:$F,"-")</f>
        <v>Saepul Bahri</v>
      </c>
      <c r="G502" s="21"/>
    </row>
    <row r="503" spans="2:7">
      <c r="B503" s="22" t="s">
        <v>375</v>
      </c>
      <c r="C503" s="23" t="s">
        <v>376</v>
      </c>
      <c r="D503" s="24" t="s">
        <v>538</v>
      </c>
      <c r="E503" s="25" t="s">
        <v>1745</v>
      </c>
      <c r="F503" s="16" t="str">
        <f>_xlfn.XLOOKUP(D503,[6]Sheet1!$C:$C,[6]Sheet1!$F:$F,"-")</f>
        <v>Saepul Iman</v>
      </c>
      <c r="G503" s="21"/>
    </row>
    <row r="504" spans="2:7">
      <c r="B504" s="22" t="s">
        <v>375</v>
      </c>
      <c r="C504" s="23" t="s">
        <v>376</v>
      </c>
      <c r="D504" s="24" t="s">
        <v>539</v>
      </c>
      <c r="E504" s="25" t="s">
        <v>1745</v>
      </c>
      <c r="F504" s="16" t="str">
        <f>_xlfn.XLOOKUP(D504,[6]Sheet1!$C:$C,[6]Sheet1!$F:$F,"-")</f>
        <v>Sandi Purnama</v>
      </c>
      <c r="G504" s="21"/>
    </row>
    <row r="505" spans="2:7">
      <c r="B505" s="22" t="s">
        <v>375</v>
      </c>
      <c r="C505" s="23" t="s">
        <v>376</v>
      </c>
      <c r="D505" s="24" t="s">
        <v>540</v>
      </c>
      <c r="E505" s="25" t="s">
        <v>1745</v>
      </c>
      <c r="F505" s="16" t="str">
        <f>_xlfn.XLOOKUP(D505,[6]Sheet1!$C:$C,[6]Sheet1!$F:$F,"-")</f>
        <v>Yandi Ramdani</v>
      </c>
      <c r="G505" s="21"/>
    </row>
    <row r="506" spans="2:7">
      <c r="B506" s="22" t="s">
        <v>375</v>
      </c>
      <c r="C506" s="23" t="s">
        <v>376</v>
      </c>
      <c r="D506" s="24" t="s">
        <v>541</v>
      </c>
      <c r="E506" s="25" t="s">
        <v>1745</v>
      </c>
      <c r="F506" s="16" t="str">
        <f>_xlfn.XLOOKUP(D506,[6]Sheet1!$C:$C,[6]Sheet1!$F:$F,"-")</f>
        <v>Yogi Iskandar</v>
      </c>
      <c r="G506" s="21"/>
    </row>
    <row r="507" spans="2:7">
      <c r="B507" s="22" t="s">
        <v>375</v>
      </c>
      <c r="C507" s="23" t="s">
        <v>376</v>
      </c>
      <c r="D507" s="24" t="s">
        <v>542</v>
      </c>
      <c r="E507" s="25" t="s">
        <v>1745</v>
      </c>
      <c r="F507" s="16" t="str">
        <f>_xlfn.XLOOKUP(D507,[6]Sheet1!$C:$C,[6]Sheet1!$F:$F,"-")</f>
        <v>Yogi Iskandar</v>
      </c>
      <c r="G507" s="21"/>
    </row>
    <row r="508" spans="2:7">
      <c r="B508" s="22" t="s">
        <v>375</v>
      </c>
      <c r="C508" s="23" t="s">
        <v>376</v>
      </c>
      <c r="D508" s="24" t="s">
        <v>543</v>
      </c>
      <c r="E508" s="25" t="s">
        <v>1745</v>
      </c>
      <c r="F508" s="16" t="str">
        <f>_xlfn.XLOOKUP(D508,[6]Sheet1!$C:$C,[6]Sheet1!$F:$F,"-")</f>
        <v>Yunus Abdul Lyi Sadjidin</v>
      </c>
      <c r="G508" s="21"/>
    </row>
    <row r="509" spans="2:7">
      <c r="B509" s="22" t="s">
        <v>375</v>
      </c>
      <c r="C509" s="23" t="s">
        <v>376</v>
      </c>
      <c r="D509" s="24" t="s">
        <v>544</v>
      </c>
      <c r="E509" s="25" t="s">
        <v>1722</v>
      </c>
      <c r="F509" s="16" t="str">
        <f>_xlfn.XLOOKUP(D509,[6]Sheet1!$C:$C,[6]Sheet1!$F:$F,"-")</f>
        <v>Ardi Rahman Suwandi</v>
      </c>
      <c r="G509" s="21"/>
    </row>
    <row r="510" spans="2:7">
      <c r="B510" s="22" t="s">
        <v>375</v>
      </c>
      <c r="C510" s="23" t="s">
        <v>376</v>
      </c>
      <c r="D510" s="24" t="s">
        <v>545</v>
      </c>
      <c r="E510" s="25" t="s">
        <v>1722</v>
      </c>
      <c r="F510" s="16" t="str">
        <f>_xlfn.XLOOKUP(D510,[6]Sheet1!$C:$C,[6]Sheet1!$F:$F,"-")</f>
        <v>Argam Maulana</v>
      </c>
      <c r="G510" s="21"/>
    </row>
    <row r="511" spans="2:7">
      <c r="B511" s="22" t="s">
        <v>375</v>
      </c>
      <c r="C511" s="23" t="s">
        <v>376</v>
      </c>
      <c r="D511" s="24" t="s">
        <v>546</v>
      </c>
      <c r="E511" s="25" t="s">
        <v>1722</v>
      </c>
      <c r="F511" s="16" t="str">
        <f>_xlfn.XLOOKUP(D511,[6]Sheet1!$C:$C,[6]Sheet1!$F:$F,"-")</f>
        <v>Ari Apriadi</v>
      </c>
      <c r="G511" s="21"/>
    </row>
    <row r="512" spans="2:7">
      <c r="B512" s="22" t="s">
        <v>375</v>
      </c>
      <c r="C512" s="23" t="s">
        <v>376</v>
      </c>
      <c r="D512" s="24" t="s">
        <v>547</v>
      </c>
      <c r="E512" s="25" t="s">
        <v>1722</v>
      </c>
      <c r="F512" s="16" t="str">
        <f>_xlfn.XLOOKUP(D512,[6]Sheet1!$C:$C,[6]Sheet1!$F:$F,"-")</f>
        <v>Ari Apriadi</v>
      </c>
      <c r="G512" s="21"/>
    </row>
    <row r="513" spans="2:7">
      <c r="B513" s="22" t="s">
        <v>375</v>
      </c>
      <c r="C513" s="23" t="s">
        <v>376</v>
      </c>
      <c r="D513" s="24" t="s">
        <v>548</v>
      </c>
      <c r="E513" s="25" t="s">
        <v>1722</v>
      </c>
      <c r="F513" s="16" t="str">
        <f>_xlfn.XLOOKUP(D513,[6]Sheet1!$C:$C,[6]Sheet1!$F:$F,"-")</f>
        <v>Caswin Aprianto</v>
      </c>
      <c r="G513" s="21"/>
    </row>
    <row r="514" spans="2:7">
      <c r="B514" s="22" t="s">
        <v>375</v>
      </c>
      <c r="C514" s="23" t="s">
        <v>376</v>
      </c>
      <c r="D514" s="24" t="s">
        <v>549</v>
      </c>
      <c r="E514" s="25" t="s">
        <v>1722</v>
      </c>
      <c r="F514" s="16" t="str">
        <f>_xlfn.XLOOKUP(D514,[6]Sheet1!$C:$C,[6]Sheet1!$F:$F,"-")</f>
        <v>Dede Rino Mailudin</v>
      </c>
      <c r="G514" s="21"/>
    </row>
    <row r="515" spans="2:7">
      <c r="B515" s="22" t="s">
        <v>375</v>
      </c>
      <c r="C515" s="23" t="s">
        <v>376</v>
      </c>
      <c r="D515" s="24" t="s">
        <v>550</v>
      </c>
      <c r="E515" s="25" t="s">
        <v>1722</v>
      </c>
      <c r="F515" s="16" t="str">
        <f>_xlfn.XLOOKUP(D515,[6]Sheet1!$C:$C,[6]Sheet1!$F:$F,"-")</f>
        <v>Deden Maulana</v>
      </c>
      <c r="G515" s="21"/>
    </row>
    <row r="516" spans="2:7">
      <c r="B516" s="22" t="s">
        <v>375</v>
      </c>
      <c r="C516" s="23" t="s">
        <v>376</v>
      </c>
      <c r="D516" s="24" t="s">
        <v>551</v>
      </c>
      <c r="E516" s="25" t="s">
        <v>1722</v>
      </c>
      <c r="F516" s="16" t="str">
        <f>_xlfn.XLOOKUP(D516,[6]Sheet1!$C:$C,[6]Sheet1!$F:$F,"-")</f>
        <v>Deden Maulana</v>
      </c>
      <c r="G516" s="21"/>
    </row>
    <row r="517" spans="2:7">
      <c r="B517" s="22" t="s">
        <v>375</v>
      </c>
      <c r="C517" s="23" t="s">
        <v>376</v>
      </c>
      <c r="D517" s="24" t="s">
        <v>552</v>
      </c>
      <c r="E517" s="25" t="s">
        <v>1722</v>
      </c>
      <c r="F517" s="16" t="str">
        <f>_xlfn.XLOOKUP(D517,[6]Sheet1!$C:$C,[6]Sheet1!$F:$F,"-")</f>
        <v>Deni Herdian</v>
      </c>
      <c r="G517" s="21"/>
    </row>
    <row r="518" spans="2:7">
      <c r="B518" s="22" t="s">
        <v>375</v>
      </c>
      <c r="C518" s="23" t="s">
        <v>376</v>
      </c>
      <c r="D518" s="24" t="s">
        <v>553</v>
      </c>
      <c r="E518" s="25" t="s">
        <v>1722</v>
      </c>
      <c r="F518" s="16" t="str">
        <f>_xlfn.XLOOKUP(D518,[6]Sheet1!$C:$C,[6]Sheet1!$F:$F,"-")</f>
        <v>Fikri Hidayatuloh</v>
      </c>
      <c r="G518" s="21"/>
    </row>
    <row r="519" spans="2:7">
      <c r="B519" s="22" t="s">
        <v>375</v>
      </c>
      <c r="C519" s="23" t="s">
        <v>376</v>
      </c>
      <c r="D519" s="24" t="s">
        <v>554</v>
      </c>
      <c r="E519" s="25" t="s">
        <v>1722</v>
      </c>
      <c r="F519" s="16" t="str">
        <f>_xlfn.XLOOKUP(D519,[6]Sheet1!$C:$C,[6]Sheet1!$F:$F,"-")</f>
        <v>Ilyas Roya</v>
      </c>
      <c r="G519" s="21"/>
    </row>
    <row r="520" spans="2:7">
      <c r="B520" s="22" t="s">
        <v>375</v>
      </c>
      <c r="C520" s="23" t="s">
        <v>376</v>
      </c>
      <c r="D520" s="24" t="s">
        <v>555</v>
      </c>
      <c r="E520" s="25" t="s">
        <v>1722</v>
      </c>
      <c r="F520" s="16" t="str">
        <f>_xlfn.XLOOKUP(D520,[6]Sheet1!$C:$C,[6]Sheet1!$F:$F,"-")</f>
        <v>Ilyas Roya</v>
      </c>
      <c r="G520" s="21"/>
    </row>
    <row r="521" spans="2:7">
      <c r="B521" s="22" t="s">
        <v>375</v>
      </c>
      <c r="C521" s="23" t="s">
        <v>376</v>
      </c>
      <c r="D521" s="24" t="s">
        <v>556</v>
      </c>
      <c r="E521" s="25" t="s">
        <v>1722</v>
      </c>
      <c r="F521" s="16" t="str">
        <f>_xlfn.XLOOKUP(D521,[6]Sheet1!$C:$C,[6]Sheet1!$F:$F,"-")</f>
        <v>Ilyas Roya</v>
      </c>
      <c r="G521" s="21"/>
    </row>
    <row r="522" spans="2:7">
      <c r="B522" s="22" t="s">
        <v>375</v>
      </c>
      <c r="C522" s="23" t="s">
        <v>376</v>
      </c>
      <c r="D522" s="24" t="s">
        <v>557</v>
      </c>
      <c r="E522" s="25" t="s">
        <v>1722</v>
      </c>
      <c r="F522" s="16" t="str">
        <f>_xlfn.XLOOKUP(D522,[6]Sheet1!$C:$C,[6]Sheet1!$F:$F,"-")</f>
        <v>Muhamad Alimudin</v>
      </c>
      <c r="G522" s="21"/>
    </row>
    <row r="523" spans="2:7">
      <c r="B523" s="22" t="s">
        <v>375</v>
      </c>
      <c r="C523" s="23" t="s">
        <v>376</v>
      </c>
      <c r="D523" s="24" t="s">
        <v>558</v>
      </c>
      <c r="E523" s="25" t="s">
        <v>1722</v>
      </c>
      <c r="F523" s="16" t="str">
        <f>_xlfn.XLOOKUP(D523,[6]Sheet1!$C:$C,[6]Sheet1!$F:$F,"-")</f>
        <v>Regy Permana</v>
      </c>
      <c r="G523" s="21"/>
    </row>
    <row r="524" spans="2:7">
      <c r="B524" s="22" t="s">
        <v>375</v>
      </c>
      <c r="C524" s="23" t="s">
        <v>376</v>
      </c>
      <c r="D524" s="24" t="s">
        <v>559</v>
      </c>
      <c r="E524" s="25" t="s">
        <v>1722</v>
      </c>
      <c r="F524" s="16" t="str">
        <f>_xlfn.XLOOKUP(D524,[6]Sheet1!$C:$C,[6]Sheet1!$F:$F,"-")</f>
        <v>Regy Permana</v>
      </c>
      <c r="G524" s="21"/>
    </row>
    <row r="525" spans="2:7">
      <c r="B525" s="22" t="s">
        <v>375</v>
      </c>
      <c r="C525" s="23" t="s">
        <v>376</v>
      </c>
      <c r="D525" s="24" t="s">
        <v>560</v>
      </c>
      <c r="E525" s="25" t="s">
        <v>1722</v>
      </c>
      <c r="F525" s="16" t="str">
        <f>_xlfn.XLOOKUP(D525,[6]Sheet1!$C:$C,[6]Sheet1!$F:$F,"-")</f>
        <v>Rijal</v>
      </c>
      <c r="G525" s="21"/>
    </row>
    <row r="526" spans="2:7">
      <c r="B526" s="22" t="s">
        <v>375</v>
      </c>
      <c r="C526" s="23" t="s">
        <v>376</v>
      </c>
      <c r="D526" s="24" t="s">
        <v>561</v>
      </c>
      <c r="E526" s="25" t="s">
        <v>1745</v>
      </c>
      <c r="F526" s="16" t="str">
        <f>_xlfn.XLOOKUP(D526,[6]Sheet1!$C:$C,[6]Sheet1!$F:$F,"-")</f>
        <v>Agustian Sholeh</v>
      </c>
      <c r="G526" s="21"/>
    </row>
    <row r="527" spans="2:7">
      <c r="B527" s="22" t="s">
        <v>375</v>
      </c>
      <c r="C527" s="23" t="s">
        <v>376</v>
      </c>
      <c r="D527" s="24" t="s">
        <v>562</v>
      </c>
      <c r="E527" s="25" t="s">
        <v>1745</v>
      </c>
      <c r="F527" s="16" t="str">
        <f>_xlfn.XLOOKUP(D527,[6]Sheet1!$C:$C,[6]Sheet1!$F:$F,"-")</f>
        <v>Billy Jenawi</v>
      </c>
      <c r="G527" s="21"/>
    </row>
    <row r="528" spans="2:7">
      <c r="B528" s="22" t="s">
        <v>375</v>
      </c>
      <c r="C528" s="23" t="s">
        <v>376</v>
      </c>
      <c r="D528" s="24" t="s">
        <v>563</v>
      </c>
      <c r="E528" s="25" t="s">
        <v>1745</v>
      </c>
      <c r="F528" s="16" t="str">
        <f>_xlfn.XLOOKUP(D528,[6]Sheet1!$C:$C,[6]Sheet1!$F:$F,"-")</f>
        <v>Budi Sunandar</v>
      </c>
      <c r="G528" s="21"/>
    </row>
    <row r="529" spans="2:7">
      <c r="B529" s="22" t="s">
        <v>375</v>
      </c>
      <c r="C529" s="23" t="s">
        <v>376</v>
      </c>
      <c r="D529" s="24" t="s">
        <v>564</v>
      </c>
      <c r="E529" s="25" t="s">
        <v>1745</v>
      </c>
      <c r="F529" s="16" t="str">
        <f>_xlfn.XLOOKUP(D529,[6]Sheet1!$C:$C,[6]Sheet1!$F:$F,"-")</f>
        <v>Dadan Darusman</v>
      </c>
      <c r="G529" s="21"/>
    </row>
    <row r="530" spans="2:7">
      <c r="B530" s="22" t="s">
        <v>375</v>
      </c>
      <c r="C530" s="23" t="s">
        <v>376</v>
      </c>
      <c r="D530" s="24" t="s">
        <v>565</v>
      </c>
      <c r="E530" s="25" t="s">
        <v>1745</v>
      </c>
      <c r="F530" s="16" t="str">
        <f>_xlfn.XLOOKUP(D530,[6]Sheet1!$C:$C,[6]Sheet1!$F:$F,"-")</f>
        <v>Dede Kurnia</v>
      </c>
      <c r="G530" s="21"/>
    </row>
    <row r="531" spans="2:7">
      <c r="B531" s="22" t="s">
        <v>375</v>
      </c>
      <c r="C531" s="23" t="s">
        <v>376</v>
      </c>
      <c r="D531" s="24" t="s">
        <v>566</v>
      </c>
      <c r="E531" s="25" t="s">
        <v>1745</v>
      </c>
      <c r="F531" s="16" t="str">
        <f>_xlfn.XLOOKUP(D531,[6]Sheet1!$C:$C,[6]Sheet1!$F:$F,"-")</f>
        <v>Faisal Malik</v>
      </c>
      <c r="G531" s="21"/>
    </row>
    <row r="532" spans="2:7">
      <c r="B532" s="22" t="s">
        <v>375</v>
      </c>
      <c r="C532" s="23" t="s">
        <v>376</v>
      </c>
      <c r="D532" s="24" t="s">
        <v>567</v>
      </c>
      <c r="E532" s="25" t="s">
        <v>1745</v>
      </c>
      <c r="F532" s="16" t="str">
        <f>_xlfn.XLOOKUP(D532,[6]Sheet1!$C:$C,[6]Sheet1!$F:$F,"-")</f>
        <v>Gilang Maulana Yusuf</v>
      </c>
      <c r="G532" s="21"/>
    </row>
    <row r="533" spans="2:7">
      <c r="B533" s="22" t="s">
        <v>375</v>
      </c>
      <c r="C533" s="23" t="s">
        <v>376</v>
      </c>
      <c r="D533" s="24" t="s">
        <v>568</v>
      </c>
      <c r="E533" s="25" t="s">
        <v>1745</v>
      </c>
      <c r="F533" s="16" t="str">
        <f>_xlfn.XLOOKUP(D533,[6]Sheet1!$C:$C,[6]Sheet1!$F:$F,"-")</f>
        <v>Harry Satria Rachman</v>
      </c>
      <c r="G533" s="21"/>
    </row>
    <row r="534" spans="2:7">
      <c r="B534" s="22" t="s">
        <v>375</v>
      </c>
      <c r="C534" s="23" t="s">
        <v>376</v>
      </c>
      <c r="D534" s="24" t="s">
        <v>569</v>
      </c>
      <c r="E534" s="25" t="s">
        <v>1745</v>
      </c>
      <c r="F534" s="16" t="str">
        <f>_xlfn.XLOOKUP(D534,[6]Sheet1!$C:$C,[6]Sheet1!$F:$F,"-")</f>
        <v>Iman Sulaeman</v>
      </c>
      <c r="G534" s="21"/>
    </row>
    <row r="535" spans="2:7">
      <c r="B535" s="22" t="s">
        <v>375</v>
      </c>
      <c r="C535" s="23" t="s">
        <v>376</v>
      </c>
      <c r="D535" s="24" t="s">
        <v>570</v>
      </c>
      <c r="E535" s="25" t="s">
        <v>1745</v>
      </c>
      <c r="F535" s="16" t="str">
        <f>_xlfn.XLOOKUP(D535,[6]Sheet1!$C:$C,[6]Sheet1!$F:$F,"-")</f>
        <v>Jamaludin Syah</v>
      </c>
      <c r="G535" s="21"/>
    </row>
    <row r="536" spans="2:7">
      <c r="B536" s="22" t="s">
        <v>375</v>
      </c>
      <c r="C536" s="23" t="s">
        <v>376</v>
      </c>
      <c r="D536" s="24" t="s">
        <v>571</v>
      </c>
      <c r="E536" s="25" t="s">
        <v>1745</v>
      </c>
      <c r="F536" s="16" t="str">
        <f>_xlfn.XLOOKUP(D536,[6]Sheet1!$C:$C,[6]Sheet1!$F:$F,"-")</f>
        <v>Kamaludin</v>
      </c>
      <c r="G536" s="21"/>
    </row>
    <row r="537" spans="2:7">
      <c r="B537" s="22" t="s">
        <v>375</v>
      </c>
      <c r="C537" s="23" t="s">
        <v>376</v>
      </c>
      <c r="D537" s="24" t="s">
        <v>572</v>
      </c>
      <c r="E537" s="25" t="s">
        <v>1745</v>
      </c>
      <c r="F537" s="16" t="str">
        <f>_xlfn.XLOOKUP(D537,[6]Sheet1!$C:$C,[6]Sheet1!$F:$F,"-")</f>
        <v>Muhamad Hendar Ali</v>
      </c>
      <c r="G537" s="21"/>
    </row>
    <row r="538" spans="2:7">
      <c r="B538" s="22" t="s">
        <v>375</v>
      </c>
      <c r="C538" s="23" t="s">
        <v>376</v>
      </c>
      <c r="D538" s="24" t="s">
        <v>573</v>
      </c>
      <c r="E538" s="25" t="s">
        <v>1745</v>
      </c>
      <c r="F538" s="16" t="str">
        <f>_xlfn.XLOOKUP(D538,[6]Sheet1!$C:$C,[6]Sheet1!$F:$F,"-")</f>
        <v>Muhammad Nurani Kholis</v>
      </c>
      <c r="G538" s="21"/>
    </row>
    <row r="539" spans="2:7">
      <c r="B539" s="22" t="s">
        <v>375</v>
      </c>
      <c r="C539" s="23" t="s">
        <v>376</v>
      </c>
      <c r="D539" s="24" t="s">
        <v>574</v>
      </c>
      <c r="E539" s="25" t="s">
        <v>1745</v>
      </c>
      <c r="F539" s="16" t="str">
        <f>_xlfn.XLOOKUP(D539,[6]Sheet1!$C:$C,[6]Sheet1!$F:$F,"-")</f>
        <v>Rahmat Efendi</v>
      </c>
      <c r="G539" s="21"/>
    </row>
    <row r="540" spans="2:7">
      <c r="B540" s="22" t="s">
        <v>375</v>
      </c>
      <c r="C540" s="23" t="s">
        <v>376</v>
      </c>
      <c r="D540" s="24" t="s">
        <v>575</v>
      </c>
      <c r="E540" s="25" t="s">
        <v>1745</v>
      </c>
      <c r="F540" s="16" t="str">
        <f>_xlfn.XLOOKUP(D540,[6]Sheet1!$C:$C,[6]Sheet1!$F:$F,"-")</f>
        <v>Ricky Nurdiansyah</v>
      </c>
      <c r="G540" s="21"/>
    </row>
    <row r="541" spans="2:7">
      <c r="B541" s="22" t="s">
        <v>375</v>
      </c>
      <c r="C541" s="23" t="s">
        <v>376</v>
      </c>
      <c r="D541" s="24" t="s">
        <v>576</v>
      </c>
      <c r="E541" s="25" t="s">
        <v>1745</v>
      </c>
      <c r="F541" s="16" t="str">
        <f>_xlfn.XLOOKUP(D541,[6]Sheet1!$C:$C,[6]Sheet1!$F:$F,"-")</f>
        <v>Tanto Taufik</v>
      </c>
      <c r="G541" s="21"/>
    </row>
    <row r="542" spans="2:7">
      <c r="B542" s="22" t="s">
        <v>375</v>
      </c>
      <c r="C542" s="23" t="s">
        <v>376</v>
      </c>
      <c r="D542" s="24" t="s">
        <v>577</v>
      </c>
      <c r="E542" s="25" t="s">
        <v>1745</v>
      </c>
      <c r="F542" s="16" t="str">
        <f>_xlfn.XLOOKUP(D542,[6]Sheet1!$C:$C,[6]Sheet1!$F:$F,"-")</f>
        <v>Tanto Taufik</v>
      </c>
      <c r="G542" s="21"/>
    </row>
    <row r="543" spans="2:7">
      <c r="B543" s="22" t="s">
        <v>375</v>
      </c>
      <c r="C543" s="23" t="s">
        <v>376</v>
      </c>
      <c r="D543" s="24" t="s">
        <v>578</v>
      </c>
      <c r="E543" s="25" t="s">
        <v>1745</v>
      </c>
      <c r="F543" s="16" t="str">
        <f>_xlfn.XLOOKUP(D543,[6]Sheet1!$C:$C,[6]Sheet1!$F:$F,"-")</f>
        <v>Ujang Andi</v>
      </c>
      <c r="G543" s="21"/>
    </row>
    <row r="544" spans="2:7">
      <c r="B544" s="22" t="s">
        <v>375</v>
      </c>
      <c r="C544" s="23" t="s">
        <v>376</v>
      </c>
      <c r="D544" s="24" t="s">
        <v>579</v>
      </c>
      <c r="E544" s="25" t="s">
        <v>1745</v>
      </c>
      <c r="F544" s="16" t="str">
        <f>_xlfn.XLOOKUP(D544,[6]Sheet1!$C:$C,[6]Sheet1!$F:$F,"-")</f>
        <v>Zam zam Mugni fadil</v>
      </c>
      <c r="G544" s="21"/>
    </row>
    <row r="545" spans="2:7">
      <c r="B545" s="22" t="s">
        <v>375</v>
      </c>
      <c r="C545" s="23" t="s">
        <v>376</v>
      </c>
      <c r="D545" s="24" t="s">
        <v>580</v>
      </c>
      <c r="E545" s="25" t="s">
        <v>1745</v>
      </c>
      <c r="F545" s="16" t="str">
        <f>_xlfn.XLOOKUP(D545,[6]Sheet1!$C:$C,[6]Sheet1!$F:$F,"-")</f>
        <v>Andy Risqi Pratama S</v>
      </c>
      <c r="G545" s="21"/>
    </row>
    <row r="546" spans="2:7">
      <c r="B546" s="22" t="s">
        <v>375</v>
      </c>
      <c r="C546" s="23" t="s">
        <v>376</v>
      </c>
      <c r="D546" s="24" t="s">
        <v>581</v>
      </c>
      <c r="E546" s="25" t="s">
        <v>1745</v>
      </c>
      <c r="F546" s="16" t="str">
        <f>_xlfn.XLOOKUP(D546,[6]Sheet1!$C:$C,[6]Sheet1!$F:$F,"-")</f>
        <v>Darwanto</v>
      </c>
      <c r="G546" s="21"/>
    </row>
    <row r="547" spans="2:7">
      <c r="B547" s="22" t="s">
        <v>375</v>
      </c>
      <c r="C547" s="23" t="s">
        <v>376</v>
      </c>
      <c r="D547" s="24" t="s">
        <v>582</v>
      </c>
      <c r="E547" s="25" t="s">
        <v>1745</v>
      </c>
      <c r="F547" s="16" t="str">
        <f>_xlfn.XLOOKUP(D547,[6]Sheet1!$C:$C,[6]Sheet1!$F:$F,"-")</f>
        <v>Deni Sukmana</v>
      </c>
      <c r="G547" s="21"/>
    </row>
    <row r="548" spans="2:7">
      <c r="B548" s="22" t="s">
        <v>375</v>
      </c>
      <c r="C548" s="23" t="s">
        <v>376</v>
      </c>
      <c r="D548" s="24" t="s">
        <v>583</v>
      </c>
      <c r="E548" s="25" t="s">
        <v>1745</v>
      </c>
      <c r="F548" s="16" t="str">
        <f>_xlfn.XLOOKUP(D548,[6]Sheet1!$C:$C,[6]Sheet1!$F:$F,"-")</f>
        <v>Hafiz Muhammad Siddiq</v>
      </c>
      <c r="G548" s="21"/>
    </row>
    <row r="549" spans="2:7">
      <c r="B549" s="22" t="s">
        <v>375</v>
      </c>
      <c r="C549" s="23" t="s">
        <v>376</v>
      </c>
      <c r="D549" s="24" t="s">
        <v>584</v>
      </c>
      <c r="E549" s="25" t="s">
        <v>1745</v>
      </c>
      <c r="F549" s="16" t="str">
        <f>_xlfn.XLOOKUP(D549,[6]Sheet1!$C:$C,[6]Sheet1!$F:$F,"-")</f>
        <v>Haliman Apriyadi</v>
      </c>
      <c r="G549" s="21"/>
    </row>
    <row r="550" spans="2:7">
      <c r="B550" s="22" t="s">
        <v>375</v>
      </c>
      <c r="C550" s="23" t="s">
        <v>376</v>
      </c>
      <c r="D550" s="24" t="s">
        <v>585</v>
      </c>
      <c r="E550" s="25" t="s">
        <v>1745</v>
      </c>
      <c r="F550" s="16" t="str">
        <f>_xlfn.XLOOKUP(D550,[6]Sheet1!$C:$C,[6]Sheet1!$F:$F,"-")</f>
        <v>Jejen Jaenudin</v>
      </c>
      <c r="G550" s="21"/>
    </row>
    <row r="551" spans="2:7">
      <c r="B551" s="22" t="s">
        <v>375</v>
      </c>
      <c r="C551" s="23" t="s">
        <v>376</v>
      </c>
      <c r="D551" s="24" t="s">
        <v>586</v>
      </c>
      <c r="E551" s="25" t="s">
        <v>1745</v>
      </c>
      <c r="F551" s="16" t="str">
        <f>_xlfn.XLOOKUP(D551,[6]Sheet1!$C:$C,[6]Sheet1!$F:$F,"-")</f>
        <v>M. Sanusi</v>
      </c>
      <c r="G551" s="21"/>
    </row>
    <row r="552" spans="2:7">
      <c r="B552" s="22" t="s">
        <v>375</v>
      </c>
      <c r="C552" s="23" t="s">
        <v>376</v>
      </c>
      <c r="D552" s="24" t="s">
        <v>587</v>
      </c>
      <c r="E552" s="25" t="s">
        <v>1745</v>
      </c>
      <c r="F552" s="16" t="str">
        <f>_xlfn.XLOOKUP(D552,[6]Sheet1!$C:$C,[6]Sheet1!$F:$F,"-")</f>
        <v>Muhamad Ali Assegap</v>
      </c>
      <c r="G552" s="21"/>
    </row>
    <row r="553" spans="2:7">
      <c r="B553" s="22" t="s">
        <v>375</v>
      </c>
      <c r="C553" s="23" t="s">
        <v>376</v>
      </c>
      <c r="D553" s="24" t="s">
        <v>588</v>
      </c>
      <c r="E553" s="25" t="s">
        <v>1745</v>
      </c>
      <c r="F553" s="16" t="str">
        <f>_xlfn.XLOOKUP(D553,[6]Sheet1!$C:$C,[6]Sheet1!$F:$F,"-")</f>
        <v>Muhamad Basir Gusfian</v>
      </c>
      <c r="G553" s="21"/>
    </row>
    <row r="554" spans="2:7">
      <c r="B554" s="22" t="s">
        <v>375</v>
      </c>
      <c r="C554" s="23" t="s">
        <v>376</v>
      </c>
      <c r="D554" s="24" t="s">
        <v>589</v>
      </c>
      <c r="E554" s="25" t="s">
        <v>1745</v>
      </c>
      <c r="F554" s="16" t="str">
        <f>_xlfn.XLOOKUP(D554,[6]Sheet1!$C:$C,[6]Sheet1!$F:$F,"-")</f>
        <v>Nanang Kosim</v>
      </c>
      <c r="G554" s="21"/>
    </row>
    <row r="555" spans="2:7">
      <c r="B555" s="22" t="s">
        <v>375</v>
      </c>
      <c r="C555" s="23" t="s">
        <v>376</v>
      </c>
      <c r="D555" s="24" t="s">
        <v>590</v>
      </c>
      <c r="E555" s="25" t="s">
        <v>1745</v>
      </c>
      <c r="F555" s="16" t="str">
        <f>_xlfn.XLOOKUP(D555,[6]Sheet1!$C:$C,[6]Sheet1!$F:$F,"-")</f>
        <v>Rahayu Akbar Permana</v>
      </c>
      <c r="G555" s="21"/>
    </row>
    <row r="556" spans="2:7">
      <c r="B556" s="22" t="s">
        <v>375</v>
      </c>
      <c r="C556" s="23" t="s">
        <v>376</v>
      </c>
      <c r="D556" s="24" t="s">
        <v>591</v>
      </c>
      <c r="E556" s="25" t="s">
        <v>1745</v>
      </c>
      <c r="F556" s="16" t="str">
        <f>_xlfn.XLOOKUP(D556,[6]Sheet1!$C:$C,[6]Sheet1!$F:$F,"-")</f>
        <v>Reza Cahya Jamaludin</v>
      </c>
      <c r="G556" s="21"/>
    </row>
    <row r="557" spans="2:7">
      <c r="B557" s="22" t="s">
        <v>375</v>
      </c>
      <c r="C557" s="23" t="s">
        <v>376</v>
      </c>
      <c r="D557" s="24" t="s">
        <v>592</v>
      </c>
      <c r="E557" s="25" t="s">
        <v>1745</v>
      </c>
      <c r="F557" s="16" t="str">
        <f>_xlfn.XLOOKUP(D557,[6]Sheet1!$C:$C,[6]Sheet1!$F:$F,"-")</f>
        <v>Rifki Satria Nasution</v>
      </c>
      <c r="G557" s="21"/>
    </row>
    <row r="558" spans="2:7">
      <c r="B558" s="22" t="s">
        <v>375</v>
      </c>
      <c r="C558" s="23" t="s">
        <v>376</v>
      </c>
      <c r="D558" s="24" t="s">
        <v>593</v>
      </c>
      <c r="E558" s="25" t="s">
        <v>1745</v>
      </c>
      <c r="F558" s="16" t="str">
        <f>_xlfn.XLOOKUP(D558,[6]Sheet1!$C:$C,[6]Sheet1!$F:$F,"-")</f>
        <v>Sarip Nurdin</v>
      </c>
      <c r="G558" s="21"/>
    </row>
    <row r="559" spans="2:7">
      <c r="B559" s="22" t="s">
        <v>375</v>
      </c>
      <c r="C559" s="23" t="s">
        <v>376</v>
      </c>
      <c r="D559" s="24" t="s">
        <v>594</v>
      </c>
      <c r="E559" s="25" t="s">
        <v>1745</v>
      </c>
      <c r="F559" s="16" t="str">
        <f>_xlfn.XLOOKUP(D559,[6]Sheet1!$C:$C,[6]Sheet1!$F:$F,"-")</f>
        <v>Suheri</v>
      </c>
      <c r="G559" s="21"/>
    </row>
    <row r="560" spans="2:7">
      <c r="B560" s="22" t="s">
        <v>375</v>
      </c>
      <c r="C560" s="23" t="s">
        <v>376</v>
      </c>
      <c r="D560" s="24" t="s">
        <v>595</v>
      </c>
      <c r="E560" s="25" t="s">
        <v>1745</v>
      </c>
      <c r="F560" s="16" t="str">
        <f>_xlfn.XLOOKUP(D560,[6]Sheet1!$C:$C,[6]Sheet1!$F:$F,"-")</f>
        <v>Yanuar Firmansyah</v>
      </c>
      <c r="G560" s="21"/>
    </row>
    <row r="561" spans="2:7">
      <c r="B561" s="22" t="s">
        <v>375</v>
      </c>
      <c r="C561" s="23" t="s">
        <v>376</v>
      </c>
      <c r="D561" s="24" t="s">
        <v>596</v>
      </c>
      <c r="E561" s="25" t="s">
        <v>1745</v>
      </c>
      <c r="F561" s="16" t="str">
        <f>_xlfn.XLOOKUP(D561,[6]Sheet1!$C:$C,[6]Sheet1!$F:$F,"-")</f>
        <v>Deden Ahmad Saepudin</v>
      </c>
      <c r="G561" s="21"/>
    </row>
    <row r="562" spans="2:7">
      <c r="B562" s="22" t="s">
        <v>375</v>
      </c>
      <c r="C562" s="23" t="s">
        <v>376</v>
      </c>
      <c r="D562" s="24" t="s">
        <v>597</v>
      </c>
      <c r="E562" s="25" t="s">
        <v>1745</v>
      </c>
      <c r="F562" s="16" t="str">
        <f>_xlfn.XLOOKUP(D562,[6]Sheet1!$C:$C,[6]Sheet1!$F:$F,"-")</f>
        <v>Raza Alfianzy</v>
      </c>
      <c r="G562" s="21"/>
    </row>
    <row r="563" spans="2:7">
      <c r="B563" s="22" t="s">
        <v>375</v>
      </c>
      <c r="C563" s="23" t="s">
        <v>376</v>
      </c>
      <c r="D563" s="24" t="s">
        <v>598</v>
      </c>
      <c r="E563" s="25" t="s">
        <v>1745</v>
      </c>
      <c r="F563" s="16" t="str">
        <f>_xlfn.XLOOKUP(D563,[6]Sheet1!$C:$C,[6]Sheet1!$F:$F,"-")</f>
        <v>Adi Viki, S.E</v>
      </c>
      <c r="G563" s="21"/>
    </row>
    <row r="564" spans="2:7">
      <c r="B564" s="22" t="s">
        <v>375</v>
      </c>
      <c r="C564" s="23" t="s">
        <v>376</v>
      </c>
      <c r="D564" s="24" t="s">
        <v>599</v>
      </c>
      <c r="E564" s="25" t="s">
        <v>1745</v>
      </c>
      <c r="F564" s="16" t="str">
        <f>_xlfn.XLOOKUP(D564,[6]Sheet1!$C:$C,[6]Sheet1!$F:$F,"-")</f>
        <v>Agung Maulana</v>
      </c>
      <c r="G564" s="21"/>
    </row>
    <row r="565" spans="2:7">
      <c r="B565" s="22" t="s">
        <v>375</v>
      </c>
      <c r="C565" s="23" t="s">
        <v>376</v>
      </c>
      <c r="D565" s="24" t="s">
        <v>600</v>
      </c>
      <c r="E565" s="25" t="s">
        <v>1745</v>
      </c>
      <c r="F565" s="16" t="str">
        <f>_xlfn.XLOOKUP(D565,[6]Sheet1!$C:$C,[6]Sheet1!$F:$F,"-")</f>
        <v>Agung Maulana</v>
      </c>
      <c r="G565" s="21"/>
    </row>
    <row r="566" spans="2:7">
      <c r="B566" s="22" t="s">
        <v>375</v>
      </c>
      <c r="C566" s="23" t="s">
        <v>376</v>
      </c>
      <c r="D566" s="24" t="s">
        <v>601</v>
      </c>
      <c r="E566" s="25" t="s">
        <v>1722</v>
      </c>
      <c r="F566" s="16" t="str">
        <f>_xlfn.XLOOKUP(D566,[6]Sheet1!$C:$C,[6]Sheet1!$F:$F,"-")</f>
        <v>Arief Firmansyah</v>
      </c>
      <c r="G566" s="21"/>
    </row>
    <row r="567" spans="2:7">
      <c r="B567" s="22" t="s">
        <v>375</v>
      </c>
      <c r="C567" s="23" t="s">
        <v>376</v>
      </c>
      <c r="D567" s="24" t="s">
        <v>602</v>
      </c>
      <c r="E567" s="25" t="s">
        <v>1745</v>
      </c>
      <c r="F567" s="16" t="str">
        <f>_xlfn.XLOOKUP(D567,[6]Sheet1!$C:$C,[6]Sheet1!$F:$F,"-")</f>
        <v>Ervan Budi Nugraha, S.Kom</v>
      </c>
      <c r="G567" s="21"/>
    </row>
    <row r="568" spans="2:7">
      <c r="B568" s="22" t="s">
        <v>375</v>
      </c>
      <c r="C568" s="23" t="s">
        <v>376</v>
      </c>
      <c r="D568" s="24" t="s">
        <v>603</v>
      </c>
      <c r="E568" s="25" t="s">
        <v>1745</v>
      </c>
      <c r="F568" s="16" t="str">
        <f>_xlfn.XLOOKUP(D568,[6]Sheet1!$C:$C,[6]Sheet1!$F:$F,"-")</f>
        <v>Ervan Budi Nugraha, S.Kom</v>
      </c>
      <c r="G568" s="21"/>
    </row>
    <row r="569" spans="2:7">
      <c r="B569" s="22" t="s">
        <v>375</v>
      </c>
      <c r="C569" s="23" t="s">
        <v>376</v>
      </c>
      <c r="D569" s="24" t="s">
        <v>604</v>
      </c>
      <c r="E569" s="25" t="s">
        <v>1745</v>
      </c>
      <c r="F569" s="16" t="str">
        <f>_xlfn.XLOOKUP(D569,[6]Sheet1!$C:$C,[6]Sheet1!$F:$F,"-")</f>
        <v>Fahrul Rizal</v>
      </c>
      <c r="G569" s="21"/>
    </row>
    <row r="570" spans="2:7">
      <c r="B570" s="22" t="s">
        <v>375</v>
      </c>
      <c r="C570" s="23" t="s">
        <v>376</v>
      </c>
      <c r="D570" s="24" t="s">
        <v>605</v>
      </c>
      <c r="E570" s="25" t="s">
        <v>1745</v>
      </c>
      <c r="F570" s="16" t="str">
        <f>_xlfn.XLOOKUP(D570,[6]Sheet1!$C:$C,[6]Sheet1!$F:$F,"-")</f>
        <v>Haggi Hermawan, S.Pd</v>
      </c>
      <c r="G570" s="21"/>
    </row>
    <row r="571" spans="2:7">
      <c r="B571" s="22" t="s">
        <v>375</v>
      </c>
      <c r="C571" s="23" t="s">
        <v>376</v>
      </c>
      <c r="D571" s="24" t="s">
        <v>606</v>
      </c>
      <c r="E571" s="25" t="s">
        <v>1745</v>
      </c>
      <c r="F571" s="16" t="str">
        <f>_xlfn.XLOOKUP(D571,[6]Sheet1!$C:$C,[6]Sheet1!$F:$F,"-")</f>
        <v>Irfan Anwar Musyadad, S.Pd</v>
      </c>
      <c r="G571" s="21"/>
    </row>
    <row r="572" spans="2:7">
      <c r="B572" s="22" t="s">
        <v>375</v>
      </c>
      <c r="C572" s="23" t="s">
        <v>376</v>
      </c>
      <c r="D572" s="24" t="s">
        <v>607</v>
      </c>
      <c r="E572" s="25" t="s">
        <v>1745</v>
      </c>
      <c r="F572" s="16" t="str">
        <f>_xlfn.XLOOKUP(D572,[6]Sheet1!$C:$C,[6]Sheet1!$F:$F,"-")</f>
        <v>Jenal Yusuf</v>
      </c>
      <c r="G572" s="21"/>
    </row>
    <row r="573" spans="2:7">
      <c r="B573" s="22" t="s">
        <v>375</v>
      </c>
      <c r="C573" s="23" t="s">
        <v>376</v>
      </c>
      <c r="D573" s="24" t="s">
        <v>608</v>
      </c>
      <c r="E573" s="25" t="s">
        <v>1722</v>
      </c>
      <c r="F573" s="16" t="str">
        <f>_xlfn.XLOOKUP(D573,[6]Sheet1!$C:$C,[6]Sheet1!$F:$F,"-")</f>
        <v>Jujun Juandi</v>
      </c>
      <c r="G573" s="21"/>
    </row>
    <row r="574" spans="2:7">
      <c r="B574" s="22" t="s">
        <v>375</v>
      </c>
      <c r="C574" s="23" t="s">
        <v>376</v>
      </c>
      <c r="D574" s="24" t="s">
        <v>609</v>
      </c>
      <c r="E574" s="25" t="s">
        <v>1745</v>
      </c>
      <c r="F574" s="16" t="str">
        <f>_xlfn.XLOOKUP(D574,[6]Sheet1!$C:$C,[6]Sheet1!$F:$F,"-")</f>
        <v>Mahrus Ali</v>
      </c>
      <c r="G574" s="21"/>
    </row>
    <row r="575" spans="2:7">
      <c r="B575" s="22" t="s">
        <v>375</v>
      </c>
      <c r="C575" s="23" t="s">
        <v>376</v>
      </c>
      <c r="D575" s="24" t="s">
        <v>610</v>
      </c>
      <c r="E575" s="25" t="s">
        <v>1745</v>
      </c>
      <c r="F575" s="16" t="str">
        <f>_xlfn.XLOOKUP(D575,[6]Sheet1!$C:$C,[6]Sheet1!$F:$F,"-")</f>
        <v>Mochamad Alvin Viery Pratama</v>
      </c>
      <c r="G575" s="21"/>
    </row>
    <row r="576" spans="2:7">
      <c r="B576" s="22" t="s">
        <v>375</v>
      </c>
      <c r="C576" s="23" t="s">
        <v>376</v>
      </c>
      <c r="D576" s="24" t="s">
        <v>611</v>
      </c>
      <c r="E576" s="25" t="s">
        <v>1745</v>
      </c>
      <c r="F576" s="16" t="str">
        <f>_xlfn.XLOOKUP(D576,[6]Sheet1!$C:$C,[6]Sheet1!$F:$F,"-")</f>
        <v>Peri Rakasiwi, S.kom</v>
      </c>
      <c r="G576" s="21"/>
    </row>
    <row r="577" spans="2:7">
      <c r="B577" s="22" t="s">
        <v>375</v>
      </c>
      <c r="C577" s="23" t="s">
        <v>376</v>
      </c>
      <c r="D577" s="24" t="s">
        <v>612</v>
      </c>
      <c r="E577" s="25" t="s">
        <v>1745</v>
      </c>
      <c r="F577" s="16" t="str">
        <f>_xlfn.XLOOKUP(D577,[6]Sheet1!$C:$C,[6]Sheet1!$F:$F,"-")</f>
        <v>Ricki Wahyudi</v>
      </c>
      <c r="G577" s="21"/>
    </row>
    <row r="578" spans="2:7">
      <c r="B578" s="22" t="s">
        <v>375</v>
      </c>
      <c r="C578" s="23" t="s">
        <v>376</v>
      </c>
      <c r="D578" s="24" t="s">
        <v>613</v>
      </c>
      <c r="E578" s="25" t="s">
        <v>1745</v>
      </c>
      <c r="F578" s="16" t="str">
        <f>_xlfn.XLOOKUP(D578,[6]Sheet1!$C:$C,[6]Sheet1!$F:$F,"-")</f>
        <v>Ridwan Muhammad Abdul Baqi</v>
      </c>
      <c r="G578" s="21"/>
    </row>
    <row r="579" spans="2:7">
      <c r="B579" s="22" t="s">
        <v>375</v>
      </c>
      <c r="C579" s="23" t="s">
        <v>376</v>
      </c>
      <c r="D579" s="24" t="s">
        <v>614</v>
      </c>
      <c r="E579" s="25" t="s">
        <v>1745</v>
      </c>
      <c r="F579" s="16" t="str">
        <f>_xlfn.XLOOKUP(D579,[6]Sheet1!$C:$C,[6]Sheet1!$F:$F,"-")</f>
        <v>Rio Gilang Prakasa</v>
      </c>
      <c r="G579" s="21"/>
    </row>
    <row r="580" spans="2:7">
      <c r="B580" s="22" t="s">
        <v>375</v>
      </c>
      <c r="C580" s="23" t="s">
        <v>376</v>
      </c>
      <c r="D580" s="24" t="s">
        <v>615</v>
      </c>
      <c r="E580" s="25" t="s">
        <v>1745</v>
      </c>
      <c r="F580" s="16" t="str">
        <f>_xlfn.XLOOKUP(D580,[6]Sheet1!$C:$C,[6]Sheet1!$F:$F,"-")</f>
        <v>Rizki Harmawan</v>
      </c>
      <c r="G580" s="21"/>
    </row>
    <row r="581" spans="2:7">
      <c r="B581" s="22" t="s">
        <v>375</v>
      </c>
      <c r="C581" s="23" t="s">
        <v>376</v>
      </c>
      <c r="D581" s="24" t="s">
        <v>616</v>
      </c>
      <c r="E581" s="25" t="s">
        <v>1745</v>
      </c>
      <c r="F581" s="16" t="str">
        <f>_xlfn.XLOOKUP(D581,[6]Sheet1!$C:$C,[6]Sheet1!$F:$F,"-")</f>
        <v>Sansan Riswandi</v>
      </c>
      <c r="G581" s="21"/>
    </row>
    <row r="582" spans="2:7">
      <c r="B582" s="22" t="s">
        <v>375</v>
      </c>
      <c r="C582" s="23" t="s">
        <v>376</v>
      </c>
      <c r="D582" s="24" t="s">
        <v>617</v>
      </c>
      <c r="E582" s="25" t="s">
        <v>1745</v>
      </c>
      <c r="F582" s="16" t="str">
        <f>_xlfn.XLOOKUP(D582,[6]Sheet1!$C:$C,[6]Sheet1!$F:$F,"-")</f>
        <v>Soni Setiadi</v>
      </c>
      <c r="G582" s="21"/>
    </row>
    <row r="583" spans="2:7">
      <c r="B583" s="22" t="s">
        <v>375</v>
      </c>
      <c r="C583" s="23" t="s">
        <v>376</v>
      </c>
      <c r="D583" s="24" t="s">
        <v>618</v>
      </c>
      <c r="E583" s="25" t="s">
        <v>1745</v>
      </c>
      <c r="F583" s="16" t="str">
        <f>_xlfn.XLOOKUP(D583,[6]Sheet1!$C:$C,[6]Sheet1!$F:$F,"-")</f>
        <v>Soni Solehhudin</v>
      </c>
      <c r="G583" s="21"/>
    </row>
    <row r="584" spans="2:7">
      <c r="B584" s="22" t="s">
        <v>375</v>
      </c>
      <c r="C584" s="23" t="s">
        <v>376</v>
      </c>
      <c r="D584" s="24" t="s">
        <v>619</v>
      </c>
      <c r="E584" s="25" t="s">
        <v>1745</v>
      </c>
      <c r="F584" s="16" t="str">
        <f>_xlfn.XLOOKUP(D584,[6]Sheet1!$C:$C,[6]Sheet1!$F:$F,"-")</f>
        <v>Yopha Azizulindar</v>
      </c>
      <c r="G584" s="21"/>
    </row>
    <row r="585" spans="2:7">
      <c r="B585" s="22" t="s">
        <v>375</v>
      </c>
      <c r="C585" s="23" t="s">
        <v>376</v>
      </c>
      <c r="D585" s="24" t="s">
        <v>620</v>
      </c>
      <c r="E585" s="25" t="s">
        <v>1745</v>
      </c>
      <c r="F585" s="16" t="str">
        <f>_xlfn.XLOOKUP(D585,[6]Sheet1!$C:$C,[6]Sheet1!$F:$F,"-")</f>
        <v>Adam Muhammad Ramdan</v>
      </c>
      <c r="G585" s="21"/>
    </row>
    <row r="586" spans="2:7">
      <c r="B586" s="22" t="s">
        <v>375</v>
      </c>
      <c r="C586" s="23" t="s">
        <v>376</v>
      </c>
      <c r="D586" s="24" t="s">
        <v>621</v>
      </c>
      <c r="E586" s="25" t="s">
        <v>1745</v>
      </c>
      <c r="F586" s="16" t="str">
        <f>_xlfn.XLOOKUP(D586,[6]Sheet1!$C:$C,[6]Sheet1!$F:$F,"-")</f>
        <v>Adi Hapri Perdiansyah</v>
      </c>
      <c r="G586" s="21"/>
    </row>
    <row r="587" spans="2:7">
      <c r="B587" s="22" t="s">
        <v>375</v>
      </c>
      <c r="C587" s="23" t="s">
        <v>376</v>
      </c>
      <c r="D587" s="24" t="s">
        <v>622</v>
      </c>
      <c r="E587" s="25" t="s">
        <v>1745</v>
      </c>
      <c r="F587" s="16" t="str">
        <f>_xlfn.XLOOKUP(D587,[6]Sheet1!$C:$C,[6]Sheet1!$F:$F,"-")</f>
        <v>Ahmad Misik Akyas Al-Kaesy</v>
      </c>
      <c r="G587" s="21"/>
    </row>
    <row r="588" spans="2:7">
      <c r="B588" s="22" t="s">
        <v>375</v>
      </c>
      <c r="C588" s="23" t="s">
        <v>376</v>
      </c>
      <c r="D588" s="24" t="s">
        <v>623</v>
      </c>
      <c r="E588" s="25" t="s">
        <v>1722</v>
      </c>
      <c r="F588" s="16" t="str">
        <f>_xlfn.XLOOKUP(D588,[6]Sheet1!$C:$C,[6]Sheet1!$F:$F,"-")</f>
        <v>Ahmad Misik Akyas Al-Kaesy</v>
      </c>
      <c r="G588" s="21"/>
    </row>
    <row r="589" spans="2:7">
      <c r="B589" s="22" t="s">
        <v>375</v>
      </c>
      <c r="C589" s="23" t="s">
        <v>376</v>
      </c>
      <c r="D589" s="24" t="s">
        <v>624</v>
      </c>
      <c r="E589" s="25" t="s">
        <v>1745</v>
      </c>
      <c r="F589" s="16" t="str">
        <f>_xlfn.XLOOKUP(D589,[6]Sheet1!$C:$C,[6]Sheet1!$F:$F,"-")</f>
        <v>Cecep Ramadhan Heryana</v>
      </c>
      <c r="G589" s="21"/>
    </row>
    <row r="590" spans="2:7">
      <c r="B590" s="22" t="s">
        <v>375</v>
      </c>
      <c r="C590" s="23" t="s">
        <v>376</v>
      </c>
      <c r="D590" s="24" t="s">
        <v>625</v>
      </c>
      <c r="E590" s="25" t="s">
        <v>1745</v>
      </c>
      <c r="F590" s="16" t="str">
        <f>_xlfn.XLOOKUP(D590,[6]Sheet1!$C:$C,[6]Sheet1!$F:$F,"-")</f>
        <v>Cucun Iryanto</v>
      </c>
      <c r="G590" s="21"/>
    </row>
    <row r="591" spans="2:7">
      <c r="B591" s="22" t="s">
        <v>375</v>
      </c>
      <c r="C591" s="23" t="s">
        <v>376</v>
      </c>
      <c r="D591" s="24" t="s">
        <v>626</v>
      </c>
      <c r="E591" s="25" t="s">
        <v>1745</v>
      </c>
      <c r="F591" s="16" t="str">
        <f>_xlfn.XLOOKUP(D591,[6]Sheet1!$C:$C,[6]Sheet1!$F:$F,"-")</f>
        <v>J. Hilmy Malik</v>
      </c>
      <c r="G591" s="21"/>
    </row>
    <row r="592" spans="2:7">
      <c r="B592" s="22" t="s">
        <v>375</v>
      </c>
      <c r="C592" s="23" t="s">
        <v>376</v>
      </c>
      <c r="D592" s="24" t="s">
        <v>627</v>
      </c>
      <c r="E592" s="25" t="s">
        <v>1745</v>
      </c>
      <c r="F592" s="16" t="str">
        <f>_xlfn.XLOOKUP(D592,[6]Sheet1!$C:$C,[6]Sheet1!$F:$F,"-")</f>
        <v>Mochamad Wildan Fahddino</v>
      </c>
      <c r="G592" s="21"/>
    </row>
    <row r="593" spans="2:7">
      <c r="B593" s="22" t="s">
        <v>375</v>
      </c>
      <c r="C593" s="23" t="s">
        <v>376</v>
      </c>
      <c r="D593" s="24" t="s">
        <v>628</v>
      </c>
      <c r="E593" s="25" t="s">
        <v>1745</v>
      </c>
      <c r="F593" s="16" t="str">
        <f>_xlfn.XLOOKUP(D593,[6]Sheet1!$C:$C,[6]Sheet1!$F:$F,"-")</f>
        <v>Muhammad Dwi Fawzi Hakim</v>
      </c>
      <c r="G593" s="21"/>
    </row>
    <row r="594" spans="2:7">
      <c r="B594" s="22" t="s">
        <v>375</v>
      </c>
      <c r="C594" s="23" t="s">
        <v>376</v>
      </c>
      <c r="D594" s="24" t="s">
        <v>629</v>
      </c>
      <c r="E594" s="25" t="s">
        <v>1745</v>
      </c>
      <c r="F594" s="16" t="str">
        <f>_xlfn.XLOOKUP(D594,[6]Sheet1!$C:$C,[6]Sheet1!$F:$F,"-")</f>
        <v>Muhammad Dwi Fawzi Hakim</v>
      </c>
      <c r="G594" s="21"/>
    </row>
    <row r="595" spans="2:7">
      <c r="B595" s="22" t="s">
        <v>375</v>
      </c>
      <c r="C595" s="23" t="s">
        <v>376</v>
      </c>
      <c r="D595" s="24" t="s">
        <v>630</v>
      </c>
      <c r="E595" s="25" t="s">
        <v>1745</v>
      </c>
      <c r="F595" s="16" t="str">
        <f>_xlfn.XLOOKUP(D595,[6]Sheet1!$C:$C,[6]Sheet1!$F:$F,"-")</f>
        <v>Muhammad Fariz Arief Rachman</v>
      </c>
      <c r="G595" s="21"/>
    </row>
    <row r="596" spans="2:7">
      <c r="B596" s="22" t="s">
        <v>375</v>
      </c>
      <c r="C596" s="23" t="s">
        <v>376</v>
      </c>
      <c r="D596" s="24" t="s">
        <v>631</v>
      </c>
      <c r="E596" s="25" t="s">
        <v>1745</v>
      </c>
      <c r="F596" s="16" t="str">
        <f>_xlfn.XLOOKUP(D596,[6]Sheet1!$C:$C,[6]Sheet1!$F:$F,"-")</f>
        <v>Restu Fauzi</v>
      </c>
      <c r="G596" s="21"/>
    </row>
    <row r="597" spans="2:7">
      <c r="B597" s="22" t="s">
        <v>375</v>
      </c>
      <c r="C597" s="23" t="s">
        <v>376</v>
      </c>
      <c r="D597" s="24" t="s">
        <v>632</v>
      </c>
      <c r="E597" s="25" t="s">
        <v>1745</v>
      </c>
      <c r="F597" s="16" t="str">
        <f>_xlfn.XLOOKUP(D597,[6]Sheet1!$C:$C,[6]Sheet1!$F:$F,"-")</f>
        <v>Rian Anjaswara</v>
      </c>
      <c r="G597" s="21"/>
    </row>
    <row r="598" spans="2:7">
      <c r="B598" s="22" t="s">
        <v>375</v>
      </c>
      <c r="C598" s="23" t="s">
        <v>376</v>
      </c>
      <c r="D598" s="24" t="s">
        <v>633</v>
      </c>
      <c r="E598" s="25" t="s">
        <v>1745</v>
      </c>
      <c r="F598" s="16" t="str">
        <f>_xlfn.XLOOKUP(D598,[6]Sheet1!$C:$C,[6]Sheet1!$F:$F,"-")</f>
        <v>Rizki Gunawan</v>
      </c>
      <c r="G598" s="21"/>
    </row>
    <row r="599" spans="2:7">
      <c r="B599" s="22" t="s">
        <v>375</v>
      </c>
      <c r="C599" s="23" t="s">
        <v>376</v>
      </c>
      <c r="D599" s="24" t="s">
        <v>634</v>
      </c>
      <c r="E599" s="25" t="s">
        <v>1745</v>
      </c>
      <c r="F599" s="16" t="str">
        <f>_xlfn.XLOOKUP(D599,[6]Sheet1!$C:$C,[6]Sheet1!$F:$F,"-")</f>
        <v>Toni</v>
      </c>
      <c r="G599" s="21"/>
    </row>
    <row r="600" spans="2:7">
      <c r="B600" s="22" t="s">
        <v>375</v>
      </c>
      <c r="C600" s="23" t="s">
        <v>376</v>
      </c>
      <c r="D600" s="24" t="s">
        <v>635</v>
      </c>
      <c r="E600" s="25" t="s">
        <v>1745</v>
      </c>
      <c r="F600" s="16" t="str">
        <f>_xlfn.XLOOKUP(D600,[6]Sheet1!$C:$C,[6]Sheet1!$F:$F,"-")</f>
        <v>Adi Triandi</v>
      </c>
      <c r="G600" s="21"/>
    </row>
    <row r="601" spans="2:7">
      <c r="B601" s="22" t="s">
        <v>375</v>
      </c>
      <c r="C601" s="23" t="s">
        <v>376</v>
      </c>
      <c r="D601" s="24" t="s">
        <v>636</v>
      </c>
      <c r="E601" s="25" t="s">
        <v>1745</v>
      </c>
      <c r="F601" s="16" t="str">
        <f>_xlfn.XLOOKUP(D601,[6]Sheet1!$C:$C,[6]Sheet1!$F:$F,"-")</f>
        <v>Cahya Purnama</v>
      </c>
      <c r="G601" s="21"/>
    </row>
    <row r="602" spans="2:7">
      <c r="B602" s="22" t="s">
        <v>375</v>
      </c>
      <c r="C602" s="23" t="s">
        <v>376</v>
      </c>
      <c r="D602" s="24" t="s">
        <v>637</v>
      </c>
      <c r="E602" s="25" t="s">
        <v>1745</v>
      </c>
      <c r="F602" s="16" t="str">
        <f>_xlfn.XLOOKUP(D602,[6]Sheet1!$C:$C,[6]Sheet1!$F:$F,"-")</f>
        <v>Fani Grahamulya Gandamiharja</v>
      </c>
      <c r="G602" s="21"/>
    </row>
    <row r="603" spans="2:7">
      <c r="B603" s="22" t="s">
        <v>375</v>
      </c>
      <c r="C603" s="23" t="s">
        <v>376</v>
      </c>
      <c r="D603" s="24" t="s">
        <v>638</v>
      </c>
      <c r="E603" s="25" t="s">
        <v>1745</v>
      </c>
      <c r="F603" s="16" t="str">
        <f>_xlfn.XLOOKUP(D603,[6]Sheet1!$C:$C,[6]Sheet1!$F:$F,"-")</f>
        <v>Muhamad Iqbal Firdaus</v>
      </c>
      <c r="G603" s="21"/>
    </row>
    <row r="604" spans="2:7">
      <c r="B604" s="22" t="s">
        <v>375</v>
      </c>
      <c r="C604" s="23" t="s">
        <v>376</v>
      </c>
      <c r="D604" s="24" t="s">
        <v>639</v>
      </c>
      <c r="E604" s="25" t="s">
        <v>1745</v>
      </c>
      <c r="F604" s="16" t="str">
        <f>_xlfn.XLOOKUP(D604,[6]Sheet1!$C:$C,[6]Sheet1!$F:$F,"-")</f>
        <v>Muhamad Lukman Hakim</v>
      </c>
      <c r="G604" s="21"/>
    </row>
    <row r="605" spans="2:7">
      <c r="B605" s="22" t="s">
        <v>375</v>
      </c>
      <c r="C605" s="23" t="s">
        <v>376</v>
      </c>
      <c r="D605" s="24" t="s">
        <v>640</v>
      </c>
      <c r="E605" s="25" t="s">
        <v>1745</v>
      </c>
      <c r="F605" s="16" t="str">
        <f>_xlfn.XLOOKUP(D605,[6]Sheet1!$C:$C,[6]Sheet1!$F:$F,"-")</f>
        <v>Rachman Mulyawan</v>
      </c>
      <c r="G605" s="21"/>
    </row>
    <row r="606" spans="2:7">
      <c r="B606" s="22" t="s">
        <v>375</v>
      </c>
      <c r="C606" s="23" t="s">
        <v>376</v>
      </c>
      <c r="D606" s="24" t="s">
        <v>641</v>
      </c>
      <c r="E606" s="25" t="s">
        <v>1745</v>
      </c>
      <c r="F606" s="16" t="str">
        <f>_xlfn.XLOOKUP(D606,[6]Sheet1!$C:$C,[6]Sheet1!$F:$F,"-")</f>
        <v>Rizal Raetriansyah</v>
      </c>
      <c r="G606" s="21"/>
    </row>
    <row r="607" spans="2:7">
      <c r="B607" s="22" t="s">
        <v>375</v>
      </c>
      <c r="C607" s="23" t="s">
        <v>376</v>
      </c>
      <c r="D607" s="24" t="s">
        <v>642</v>
      </c>
      <c r="E607" s="25" t="s">
        <v>1745</v>
      </c>
      <c r="F607" s="16" t="str">
        <f>_xlfn.XLOOKUP(D607,[6]Sheet1!$C:$C,[6]Sheet1!$F:$F,"-")</f>
        <v>Rizki Ahmad Fauzi</v>
      </c>
      <c r="G607" s="21"/>
    </row>
    <row r="608" spans="2:7">
      <c r="B608" s="22" t="s">
        <v>375</v>
      </c>
      <c r="C608" s="23" t="s">
        <v>376</v>
      </c>
      <c r="D608" s="24" t="s">
        <v>643</v>
      </c>
      <c r="E608" s="25" t="s">
        <v>1745</v>
      </c>
      <c r="F608" s="16" t="str">
        <f>_xlfn.XLOOKUP(D608,[6]Sheet1!$C:$C,[6]Sheet1!$F:$F,"-")</f>
        <v>Aly Irsyad Robani</v>
      </c>
      <c r="G608" s="21"/>
    </row>
    <row r="609" spans="2:7">
      <c r="B609" s="22" t="s">
        <v>375</v>
      </c>
      <c r="C609" s="23" t="s">
        <v>376</v>
      </c>
      <c r="D609" s="24" t="s">
        <v>644</v>
      </c>
      <c r="E609" s="25" t="s">
        <v>1745</v>
      </c>
      <c r="F609" s="16" t="str">
        <f>_xlfn.XLOOKUP(D609,[6]Sheet1!$C:$C,[6]Sheet1!$F:$F,"-")</f>
        <v>Anggiardy Prayudha</v>
      </c>
      <c r="G609" s="21"/>
    </row>
    <row r="610" spans="2:7">
      <c r="B610" s="22" t="s">
        <v>375</v>
      </c>
      <c r="C610" s="23" t="s">
        <v>376</v>
      </c>
      <c r="D610" s="24" t="s">
        <v>645</v>
      </c>
      <c r="E610" s="25" t="s">
        <v>1745</v>
      </c>
      <c r="F610" s="16" t="str">
        <f>_xlfn.XLOOKUP(D610,[6]Sheet1!$C:$C,[6]Sheet1!$F:$F,"-")</f>
        <v>Azka Nujjiya Fauzan</v>
      </c>
      <c r="G610" s="21"/>
    </row>
    <row r="611" spans="2:7">
      <c r="B611" s="22" t="s">
        <v>375</v>
      </c>
      <c r="C611" s="23" t="s">
        <v>376</v>
      </c>
      <c r="D611" s="24" t="s">
        <v>646</v>
      </c>
      <c r="E611" s="25" t="s">
        <v>1745</v>
      </c>
      <c r="F611" s="16" t="str">
        <f>_xlfn.XLOOKUP(D611,[6]Sheet1!$C:$C,[6]Sheet1!$F:$F,"-")</f>
        <v>Dadan Firmansyah</v>
      </c>
      <c r="G611" s="21"/>
    </row>
    <row r="612" spans="2:7">
      <c r="B612" s="22" t="s">
        <v>375</v>
      </c>
      <c r="C612" s="23" t="s">
        <v>376</v>
      </c>
      <c r="D612" s="24" t="s">
        <v>647</v>
      </c>
      <c r="E612" s="25" t="s">
        <v>1745</v>
      </c>
      <c r="F612" s="16" t="str">
        <f>_xlfn.XLOOKUP(D612,[6]Sheet1!$C:$C,[6]Sheet1!$F:$F,"-")</f>
        <v>Deni Mardiana Ruswandi</v>
      </c>
      <c r="G612" s="21"/>
    </row>
    <row r="613" spans="2:7">
      <c r="B613" s="22" t="s">
        <v>375</v>
      </c>
      <c r="C613" s="23" t="s">
        <v>376</v>
      </c>
      <c r="D613" s="24" t="s">
        <v>648</v>
      </c>
      <c r="E613" s="25" t="s">
        <v>1745</v>
      </c>
      <c r="F613" s="16" t="str">
        <f>_xlfn.XLOOKUP(D613,[6]Sheet1!$C:$C,[6]Sheet1!$F:$F,"-")</f>
        <v>Kiptiah</v>
      </c>
      <c r="G613" s="21"/>
    </row>
    <row r="614" spans="2:7">
      <c r="B614" s="22" t="s">
        <v>375</v>
      </c>
      <c r="C614" s="23" t="s">
        <v>376</v>
      </c>
      <c r="D614" s="24" t="s">
        <v>649</v>
      </c>
      <c r="E614" s="25" t="s">
        <v>1745</v>
      </c>
      <c r="F614" s="16" t="str">
        <f>_xlfn.XLOOKUP(D614,[6]Sheet1!$C:$C,[6]Sheet1!$F:$F,"-")</f>
        <v>Krisna Aditya Putra</v>
      </c>
      <c r="G614" s="21"/>
    </row>
    <row r="615" spans="2:7">
      <c r="B615" s="22" t="s">
        <v>375</v>
      </c>
      <c r="C615" s="23" t="s">
        <v>376</v>
      </c>
      <c r="D615" s="24" t="s">
        <v>650</v>
      </c>
      <c r="E615" s="25" t="s">
        <v>1745</v>
      </c>
      <c r="F615" s="16" t="str">
        <f>_xlfn.XLOOKUP(D615,[6]Sheet1!$C:$C,[6]Sheet1!$F:$F,"-")</f>
        <v>Muchamad Yasir Komaeni</v>
      </c>
      <c r="G615" s="21"/>
    </row>
    <row r="616" spans="2:7">
      <c r="B616" s="22" t="s">
        <v>375</v>
      </c>
      <c r="C616" s="23" t="s">
        <v>376</v>
      </c>
      <c r="D616" s="24" t="s">
        <v>651</v>
      </c>
      <c r="E616" s="25" t="s">
        <v>1745</v>
      </c>
      <c r="F616" s="16" t="str">
        <f>_xlfn.XLOOKUP(D616,[6]Sheet1!$C:$C,[6]Sheet1!$F:$F,"-")</f>
        <v>Muhammad Farlan Dzulfikar</v>
      </c>
      <c r="G616" s="21"/>
    </row>
    <row r="617" spans="2:7">
      <c r="B617" s="22" t="s">
        <v>375</v>
      </c>
      <c r="C617" s="23" t="s">
        <v>376</v>
      </c>
      <c r="D617" s="24" t="s">
        <v>652</v>
      </c>
      <c r="E617" s="25" t="s">
        <v>1745</v>
      </c>
      <c r="F617" s="16" t="str">
        <f>_xlfn.XLOOKUP(D617,[6]Sheet1!$C:$C,[6]Sheet1!$F:$F,"-")</f>
        <v>Nezar Hikmatiar</v>
      </c>
      <c r="G617" s="21"/>
    </row>
    <row r="618" spans="2:7">
      <c r="B618" s="22" t="s">
        <v>375</v>
      </c>
      <c r="C618" s="23" t="s">
        <v>376</v>
      </c>
      <c r="D618" s="24" t="s">
        <v>653</v>
      </c>
      <c r="E618" s="25" t="s">
        <v>1745</v>
      </c>
      <c r="F618" s="16" t="str">
        <f>_xlfn.XLOOKUP(D618,[6]Sheet1!$C:$C,[6]Sheet1!$F:$F,"-")</f>
        <v>Ade Setiawan</v>
      </c>
      <c r="G618" s="21"/>
    </row>
    <row r="619" spans="2:7">
      <c r="B619" s="22" t="s">
        <v>375</v>
      </c>
      <c r="C619" s="23" t="s">
        <v>376</v>
      </c>
      <c r="D619" s="24" t="s">
        <v>654</v>
      </c>
      <c r="E619" s="25" t="s">
        <v>1745</v>
      </c>
      <c r="F619" s="16" t="str">
        <f>_xlfn.XLOOKUP(D619,[6]Sheet1!$C:$C,[6]Sheet1!$F:$F,"-")</f>
        <v>Adi Riyana</v>
      </c>
      <c r="G619" s="21"/>
    </row>
    <row r="620" spans="2:7">
      <c r="B620" s="22" t="s">
        <v>375</v>
      </c>
      <c r="C620" s="23" t="s">
        <v>376</v>
      </c>
      <c r="D620" s="24" t="s">
        <v>655</v>
      </c>
      <c r="E620" s="25" t="s">
        <v>1745</v>
      </c>
      <c r="F620" s="16" t="str">
        <f>_xlfn.XLOOKUP(D620,[6]Sheet1!$C:$C,[6]Sheet1!$F:$F,"-")</f>
        <v>Dadan Ramdan</v>
      </c>
      <c r="G620" s="21"/>
    </row>
    <row r="621" spans="2:7">
      <c r="B621" s="22" t="s">
        <v>375</v>
      </c>
      <c r="C621" s="23" t="s">
        <v>376</v>
      </c>
      <c r="D621" s="24" t="s">
        <v>656</v>
      </c>
      <c r="E621" s="25" t="s">
        <v>1745</v>
      </c>
      <c r="F621" s="16" t="str">
        <f>_xlfn.XLOOKUP(D621,[6]Sheet1!$C:$C,[6]Sheet1!$F:$F,"-")</f>
        <v>Dany Kurniawan</v>
      </c>
      <c r="G621" s="21"/>
    </row>
    <row r="622" spans="2:7">
      <c r="B622" s="22" t="s">
        <v>375</v>
      </c>
      <c r="C622" s="23" t="s">
        <v>376</v>
      </c>
      <c r="D622" s="24" t="s">
        <v>657</v>
      </c>
      <c r="E622" s="25" t="s">
        <v>1745</v>
      </c>
      <c r="F622" s="16" t="str">
        <f>_xlfn.XLOOKUP(D622,[6]Sheet1!$C:$C,[6]Sheet1!$F:$F,"-")</f>
        <v>Kiki Nugraha</v>
      </c>
      <c r="G622" s="21"/>
    </row>
    <row r="623" spans="2:7">
      <c r="B623" s="22" t="s">
        <v>375</v>
      </c>
      <c r="C623" s="23" t="s">
        <v>376</v>
      </c>
      <c r="D623" s="24" t="s">
        <v>658</v>
      </c>
      <c r="E623" s="25" t="s">
        <v>1745</v>
      </c>
      <c r="F623" s="16" t="str">
        <f>_xlfn.XLOOKUP(D623,[6]Sheet1!$C:$C,[6]Sheet1!$F:$F,"-")</f>
        <v>Kuswanto Hendriyana</v>
      </c>
      <c r="G623" s="21"/>
    </row>
    <row r="624" spans="2:7">
      <c r="B624" s="22" t="s">
        <v>375</v>
      </c>
      <c r="C624" s="23" t="s">
        <v>376</v>
      </c>
      <c r="D624" s="24" t="s">
        <v>659</v>
      </c>
      <c r="E624" s="25" t="s">
        <v>1745</v>
      </c>
      <c r="F624" s="16" t="str">
        <f>_xlfn.XLOOKUP(D624,[6]Sheet1!$C:$C,[6]Sheet1!$F:$F,"-")</f>
        <v>Muhammad Akbar Cokro Pamungkas</v>
      </c>
      <c r="G624" s="21"/>
    </row>
    <row r="625" spans="2:7">
      <c r="B625" s="22" t="s">
        <v>375</v>
      </c>
      <c r="C625" s="23" t="s">
        <v>376</v>
      </c>
      <c r="D625" s="24" t="s">
        <v>660</v>
      </c>
      <c r="E625" s="25" t="s">
        <v>1745</v>
      </c>
      <c r="F625" s="16" t="str">
        <f>_xlfn.XLOOKUP(D625,[6]Sheet1!$C:$C,[6]Sheet1!$F:$F,"-")</f>
        <v>Muhammad Rafi Febryawan</v>
      </c>
      <c r="G625" s="21"/>
    </row>
    <row r="626" spans="2:7">
      <c r="B626" s="22" t="s">
        <v>375</v>
      </c>
      <c r="C626" s="23" t="s">
        <v>376</v>
      </c>
      <c r="D626" s="24" t="s">
        <v>661</v>
      </c>
      <c r="E626" s="25" t="s">
        <v>1745</v>
      </c>
      <c r="F626" s="16" t="str">
        <f>_xlfn.XLOOKUP(D626,[6]Sheet1!$C:$C,[6]Sheet1!$F:$F,"-")</f>
        <v>Muhandani Gifari Razoni</v>
      </c>
      <c r="G626" s="21"/>
    </row>
    <row r="627" spans="2:7">
      <c r="B627" s="22" t="s">
        <v>375</v>
      </c>
      <c r="C627" s="23" t="s">
        <v>376</v>
      </c>
      <c r="D627" s="24" t="s">
        <v>662</v>
      </c>
      <c r="E627" s="25" t="s">
        <v>1745</v>
      </c>
      <c r="F627" s="16" t="str">
        <f>_xlfn.XLOOKUP(D627,[6]Sheet1!$C:$C,[6]Sheet1!$F:$F,"-")</f>
        <v>Nasruloh Abdul Zalil</v>
      </c>
      <c r="G627" s="21"/>
    </row>
    <row r="628" spans="2:7">
      <c r="B628" s="22" t="s">
        <v>375</v>
      </c>
      <c r="C628" s="23" t="s">
        <v>376</v>
      </c>
      <c r="D628" s="24" t="s">
        <v>663</v>
      </c>
      <c r="E628" s="25" t="s">
        <v>1745</v>
      </c>
      <c r="F628" s="16" t="str">
        <f>_xlfn.XLOOKUP(D628,[6]Sheet1!$C:$C,[6]Sheet1!$F:$F,"-")</f>
        <v>Rama Dicky Montana</v>
      </c>
      <c r="G628" s="21"/>
    </row>
    <row r="629" spans="2:7">
      <c r="B629" s="22" t="s">
        <v>375</v>
      </c>
      <c r="C629" s="23" t="s">
        <v>376</v>
      </c>
      <c r="D629" s="24" t="s">
        <v>664</v>
      </c>
      <c r="E629" s="25" t="s">
        <v>1745</v>
      </c>
      <c r="F629" s="16" t="str">
        <f>_xlfn.XLOOKUP(D629,[6]Sheet1!$C:$C,[6]Sheet1!$F:$F,"-")</f>
        <v>Rama Dicky Montana</v>
      </c>
      <c r="G629" s="21"/>
    </row>
    <row r="630" spans="2:7">
      <c r="B630" s="22" t="s">
        <v>375</v>
      </c>
      <c r="C630" s="23" t="s">
        <v>376</v>
      </c>
      <c r="D630" s="24" t="s">
        <v>665</v>
      </c>
      <c r="E630" s="25" t="s">
        <v>1745</v>
      </c>
      <c r="F630" s="16" t="str">
        <f>_xlfn.XLOOKUP(D630,[6]Sheet1!$C:$C,[6]Sheet1!$F:$F,"-")</f>
        <v>Riduan</v>
      </c>
      <c r="G630" s="21"/>
    </row>
    <row r="631" spans="2:7">
      <c r="B631" s="22" t="s">
        <v>375</v>
      </c>
      <c r="C631" s="23" t="s">
        <v>376</v>
      </c>
      <c r="D631" s="24" t="s">
        <v>666</v>
      </c>
      <c r="E631" s="25" t="s">
        <v>1745</v>
      </c>
      <c r="F631" s="16" t="str">
        <f>_xlfn.XLOOKUP(D631,[6]Sheet1!$C:$C,[6]Sheet1!$F:$F,"-")</f>
        <v>Rizal Adilla</v>
      </c>
      <c r="G631" s="21"/>
    </row>
    <row r="632" spans="2:7">
      <c r="B632" s="22" t="s">
        <v>375</v>
      </c>
      <c r="C632" s="23" t="s">
        <v>376</v>
      </c>
      <c r="D632" s="24" t="s">
        <v>667</v>
      </c>
      <c r="E632" s="25" t="s">
        <v>1745</v>
      </c>
      <c r="F632" s="16" t="str">
        <f>_xlfn.XLOOKUP(D632,[6]Sheet1!$C:$C,[6]Sheet1!$F:$F,"-")</f>
        <v>Sugianto</v>
      </c>
      <c r="G632" s="21"/>
    </row>
    <row r="633" spans="2:7">
      <c r="B633" s="22" t="s">
        <v>668</v>
      </c>
      <c r="C633" s="23" t="s">
        <v>669</v>
      </c>
      <c r="D633" s="24" t="s">
        <v>670</v>
      </c>
      <c r="E633" s="25" t="s">
        <v>1722</v>
      </c>
      <c r="F633" s="16" t="str">
        <f>_xlfn.XLOOKUP(D633,'[7]Database DP'!$C:$C,'[7]Database DP'!$F:$F,"Tidak Ditemukan")</f>
        <v>AGUS</v>
      </c>
      <c r="G633" s="21"/>
    </row>
    <row r="634" spans="2:7">
      <c r="B634" s="22" t="s">
        <v>668</v>
      </c>
      <c r="C634" s="23" t="s">
        <v>669</v>
      </c>
      <c r="D634" s="24" t="s">
        <v>671</v>
      </c>
      <c r="E634" s="25" t="s">
        <v>1722</v>
      </c>
      <c r="F634" s="16" t="str">
        <f>_xlfn.XLOOKUP(D634,'[7]Database DP'!$C:$C,'[7]Database DP'!$F:$F,"Tidak Ditemukan")</f>
        <v>AGUS</v>
      </c>
      <c r="G634" s="21"/>
    </row>
    <row r="635" spans="2:7">
      <c r="B635" s="22" t="s">
        <v>668</v>
      </c>
      <c r="C635" s="23" t="s">
        <v>669</v>
      </c>
      <c r="D635" s="24" t="s">
        <v>672</v>
      </c>
      <c r="E635" s="25" t="s">
        <v>1722</v>
      </c>
      <c r="F635" s="16" t="str">
        <f>_xlfn.XLOOKUP(D635,'[7]Database DP'!$C:$C,'[7]Database DP'!$F:$F,"Tidak Ditemukan")</f>
        <v>AGUS</v>
      </c>
      <c r="G635" s="21"/>
    </row>
    <row r="636" spans="2:7">
      <c r="B636" s="22" t="s">
        <v>668</v>
      </c>
      <c r="C636" s="23" t="s">
        <v>669</v>
      </c>
      <c r="D636" s="24" t="s">
        <v>673</v>
      </c>
      <c r="E636" s="25" t="s">
        <v>1722</v>
      </c>
      <c r="F636" s="16" t="str">
        <f>_xlfn.XLOOKUP(D636,'[7]Database DP'!$C:$C,'[7]Database DP'!$F:$F,"Tidak Ditemukan")</f>
        <v>AGUS</v>
      </c>
      <c r="G636" s="21"/>
    </row>
    <row r="637" spans="2:7">
      <c r="B637" s="22" t="s">
        <v>668</v>
      </c>
      <c r="C637" s="23" t="s">
        <v>669</v>
      </c>
      <c r="D637" s="24" t="s">
        <v>674</v>
      </c>
      <c r="E637" s="25" t="s">
        <v>1722</v>
      </c>
      <c r="F637" s="16" t="str">
        <f>_xlfn.XLOOKUP(D637,'[7]Database DP'!$C:$C,'[7]Database DP'!$F:$F,"Tidak Ditemukan")</f>
        <v>AGUS</v>
      </c>
      <c r="G637" s="21"/>
    </row>
    <row r="638" spans="2:7">
      <c r="B638" s="22" t="s">
        <v>668</v>
      </c>
      <c r="C638" s="23" t="s">
        <v>669</v>
      </c>
      <c r="D638" s="24" t="s">
        <v>675</v>
      </c>
      <c r="E638" s="25" t="s">
        <v>1722</v>
      </c>
      <c r="F638" s="16" t="str">
        <f>_xlfn.XLOOKUP(D638,'[7]Database DP'!$C:$C,'[7]Database DP'!$F:$F,"Tidak Ditemukan")</f>
        <v>AGUS</v>
      </c>
      <c r="G638" s="21"/>
    </row>
    <row r="639" spans="2:7">
      <c r="B639" s="22" t="s">
        <v>668</v>
      </c>
      <c r="C639" s="23" t="s">
        <v>669</v>
      </c>
      <c r="D639" s="24" t="s">
        <v>676</v>
      </c>
      <c r="E639" s="25" t="s">
        <v>1722</v>
      </c>
      <c r="F639" s="16" t="str">
        <f>_xlfn.XLOOKUP(D639,'[7]Database DP'!$C:$C,'[7]Database DP'!$F:$F,"Tidak Ditemukan")</f>
        <v>AGUS</v>
      </c>
      <c r="G639" s="21"/>
    </row>
    <row r="640" spans="2:7">
      <c r="B640" s="22" t="s">
        <v>668</v>
      </c>
      <c r="C640" s="23" t="s">
        <v>669</v>
      </c>
      <c r="D640" s="24" t="s">
        <v>677</v>
      </c>
      <c r="E640" s="25" t="s">
        <v>1722</v>
      </c>
      <c r="F640" s="16" t="str">
        <f>_xlfn.XLOOKUP(D640,'[7]Database DP'!$C:$C,'[7]Database DP'!$F:$F,"Tidak Ditemukan")</f>
        <v>AGUS</v>
      </c>
      <c r="G640" s="21"/>
    </row>
    <row r="641" spans="2:7">
      <c r="B641" s="22" t="s">
        <v>668</v>
      </c>
      <c r="C641" s="23" t="s">
        <v>669</v>
      </c>
      <c r="D641" s="24" t="s">
        <v>678</v>
      </c>
      <c r="E641" s="25" t="s">
        <v>1722</v>
      </c>
      <c r="F641" s="16" t="str">
        <f>_xlfn.XLOOKUP(D641,'[7]Database DP'!$C:$C,'[7]Database DP'!$F:$F,"Tidak Ditemukan")</f>
        <v>AGUS</v>
      </c>
      <c r="G641" s="21"/>
    </row>
    <row r="642" spans="2:7">
      <c r="B642" s="22" t="s">
        <v>668</v>
      </c>
      <c r="C642" s="23" t="s">
        <v>669</v>
      </c>
      <c r="D642" s="24" t="s">
        <v>679</v>
      </c>
      <c r="E642" s="25" t="s">
        <v>1722</v>
      </c>
      <c r="F642" s="16" t="str">
        <f>_xlfn.XLOOKUP(D642,'[7]Database DP'!$C:$C,'[7]Database DP'!$F:$F,"Tidak Ditemukan")</f>
        <v>AI RIFIAN</v>
      </c>
      <c r="G642" s="21"/>
    </row>
    <row r="643" spans="2:7">
      <c r="B643" s="22" t="s">
        <v>668</v>
      </c>
      <c r="C643" s="23" t="s">
        <v>669</v>
      </c>
      <c r="D643" s="24" t="s">
        <v>680</v>
      </c>
      <c r="E643" s="25" t="s">
        <v>1722</v>
      </c>
      <c r="F643" s="16" t="str">
        <f>_xlfn.XLOOKUP(D643,'[7]Database DP'!$C:$C,'[7]Database DP'!$F:$F,"Tidak Ditemukan")</f>
        <v>AI RIFIAN</v>
      </c>
      <c r="G643" s="21"/>
    </row>
    <row r="644" spans="2:7">
      <c r="B644" s="22" t="s">
        <v>668</v>
      </c>
      <c r="C644" s="23" t="s">
        <v>669</v>
      </c>
      <c r="D644" s="24" t="s">
        <v>681</v>
      </c>
      <c r="E644" s="25" t="s">
        <v>1722</v>
      </c>
      <c r="F644" s="16" t="str">
        <f>_xlfn.XLOOKUP(D644,'[7]Database DP'!$C:$C,'[7]Database DP'!$F:$F,"Tidak Ditemukan")</f>
        <v>AI RIFIAN</v>
      </c>
      <c r="G644" s="21"/>
    </row>
    <row r="645" spans="2:7">
      <c r="B645" s="22" t="s">
        <v>668</v>
      </c>
      <c r="C645" s="23" t="s">
        <v>669</v>
      </c>
      <c r="D645" s="24" t="s">
        <v>682</v>
      </c>
      <c r="E645" s="25" t="s">
        <v>1722</v>
      </c>
      <c r="F645" s="16" t="str">
        <f>_xlfn.XLOOKUP(D645,'[7]Database DP'!$C:$C,'[7]Database DP'!$F:$F,"Tidak Ditemukan")</f>
        <v>AI RIFIAN</v>
      </c>
      <c r="G645" s="21"/>
    </row>
    <row r="646" spans="2:7">
      <c r="B646" s="22" t="s">
        <v>668</v>
      </c>
      <c r="C646" s="23" t="s">
        <v>669</v>
      </c>
      <c r="D646" s="24" t="s">
        <v>683</v>
      </c>
      <c r="E646" s="25" t="s">
        <v>1722</v>
      </c>
      <c r="F646" s="16" t="str">
        <f>_xlfn.XLOOKUP(D646,'[7]Database DP'!$C:$C,'[7]Database DP'!$F:$F,"Tidak Ditemukan")</f>
        <v>AI RIFIAN</v>
      </c>
      <c r="G646" s="21"/>
    </row>
    <row r="647" spans="2:7">
      <c r="B647" s="22" t="s">
        <v>668</v>
      </c>
      <c r="C647" s="23" t="s">
        <v>669</v>
      </c>
      <c r="D647" s="24" t="s">
        <v>684</v>
      </c>
      <c r="E647" s="25" t="s">
        <v>1722</v>
      </c>
      <c r="F647" s="16" t="str">
        <f>_xlfn.XLOOKUP(D647,'[7]Database DP'!$C:$C,'[7]Database DP'!$F:$F,"Tidak Ditemukan")</f>
        <v>AI RIFIAN</v>
      </c>
      <c r="G647" s="21"/>
    </row>
    <row r="648" spans="2:7">
      <c r="B648" s="22" t="s">
        <v>668</v>
      </c>
      <c r="C648" s="23" t="s">
        <v>669</v>
      </c>
      <c r="D648" s="24" t="s">
        <v>685</v>
      </c>
      <c r="E648" s="25" t="s">
        <v>1722</v>
      </c>
      <c r="F648" s="16" t="str">
        <f>_xlfn.XLOOKUP(D648,'[7]Database DP'!$C:$C,'[7]Database DP'!$F:$F,"Tidak Ditemukan")</f>
        <v>AI RIFIAN</v>
      </c>
      <c r="G648" s="21"/>
    </row>
    <row r="649" spans="2:7">
      <c r="B649" s="22" t="s">
        <v>668</v>
      </c>
      <c r="C649" s="23" t="s">
        <v>669</v>
      </c>
      <c r="D649" s="24" t="s">
        <v>686</v>
      </c>
      <c r="E649" s="25" t="s">
        <v>1722</v>
      </c>
      <c r="F649" s="16" t="str">
        <f>_xlfn.XLOOKUP(D649,'[7]Database DP'!$C:$C,'[7]Database DP'!$F:$F,"Tidak Ditemukan")</f>
        <v>AI RIFIAN</v>
      </c>
      <c r="G649" s="21"/>
    </row>
    <row r="650" spans="2:7">
      <c r="B650" s="22" t="s">
        <v>668</v>
      </c>
      <c r="C650" s="23" t="s">
        <v>669</v>
      </c>
      <c r="D650" s="24" t="s">
        <v>687</v>
      </c>
      <c r="E650" s="25" t="s">
        <v>1722</v>
      </c>
      <c r="F650" s="16" t="str">
        <f>_xlfn.XLOOKUP(D650,'[7]Database DP'!$C:$C,'[7]Database DP'!$F:$F,"Tidak Ditemukan")</f>
        <v>AI RIFIAN</v>
      </c>
      <c r="G650" s="21"/>
    </row>
    <row r="651" spans="2:7">
      <c r="B651" s="22" t="s">
        <v>668</v>
      </c>
      <c r="C651" s="23" t="s">
        <v>669</v>
      </c>
      <c r="D651" s="24" t="s">
        <v>688</v>
      </c>
      <c r="E651" s="25" t="s">
        <v>1722</v>
      </c>
      <c r="F651" s="16" t="str">
        <f>_xlfn.XLOOKUP(D651,'[7]Database DP'!$C:$C,'[7]Database DP'!$F:$F,"Tidak Ditemukan")</f>
        <v>AI RIFIAN</v>
      </c>
      <c r="G651" s="21"/>
    </row>
    <row r="652" spans="2:7">
      <c r="B652" s="22" t="s">
        <v>668</v>
      </c>
      <c r="C652" s="23" t="s">
        <v>669</v>
      </c>
      <c r="D652" s="24" t="s">
        <v>689</v>
      </c>
      <c r="E652" s="25" t="s">
        <v>1745</v>
      </c>
      <c r="F652" s="16" t="str">
        <f>_xlfn.XLOOKUP(D652,'[7]Database DP'!$C:$C,'[7]Database DP'!$F:$F,"Tidak Ditemukan")</f>
        <v>BOWO</v>
      </c>
      <c r="G652" s="21"/>
    </row>
    <row r="653" spans="2:7">
      <c r="B653" s="22" t="s">
        <v>668</v>
      </c>
      <c r="C653" s="23" t="s">
        <v>669</v>
      </c>
      <c r="D653" s="24" t="s">
        <v>690</v>
      </c>
      <c r="E653" s="25" t="s">
        <v>1745</v>
      </c>
      <c r="F653" s="16" t="str">
        <f>_xlfn.XLOOKUP(D653,'[7]Database DP'!$C:$C,'[7]Database DP'!$F:$F,"Tidak Ditemukan")</f>
        <v>BOWO</v>
      </c>
      <c r="G653" s="21"/>
    </row>
    <row r="654" spans="2:7">
      <c r="B654" s="22" t="s">
        <v>668</v>
      </c>
      <c r="C654" s="23" t="s">
        <v>669</v>
      </c>
      <c r="D654" s="24" t="s">
        <v>691</v>
      </c>
      <c r="E654" s="25" t="s">
        <v>1745</v>
      </c>
      <c r="F654" s="16" t="str">
        <f>_xlfn.XLOOKUP(D654,'[7]Database DP'!$C:$C,'[7]Database DP'!$F:$F,"Tidak Ditemukan")</f>
        <v>BOWO</v>
      </c>
      <c r="G654" s="21"/>
    </row>
    <row r="655" spans="2:7">
      <c r="B655" s="22" t="s">
        <v>668</v>
      </c>
      <c r="C655" s="23" t="s">
        <v>669</v>
      </c>
      <c r="D655" s="24" t="s">
        <v>692</v>
      </c>
      <c r="E655" s="25" t="s">
        <v>1722</v>
      </c>
      <c r="F655" s="16" t="str">
        <f>_xlfn.XLOOKUP(D655,'[7]Database DP'!$C:$C,'[7]Database DP'!$F:$F,"Tidak Ditemukan")</f>
        <v>BOWO</v>
      </c>
      <c r="G655" s="21"/>
    </row>
    <row r="656" spans="2:7">
      <c r="B656" s="22" t="s">
        <v>668</v>
      </c>
      <c r="C656" s="23" t="s">
        <v>669</v>
      </c>
      <c r="D656" s="24" t="s">
        <v>693</v>
      </c>
      <c r="E656" s="25" t="s">
        <v>1722</v>
      </c>
      <c r="F656" s="16" t="str">
        <f>_xlfn.XLOOKUP(D656,'[7]Database DP'!$C:$C,'[7]Database DP'!$F:$F,"Tidak Ditemukan")</f>
        <v>BOWO</v>
      </c>
      <c r="G656" s="21"/>
    </row>
    <row r="657" spans="2:7">
      <c r="B657" s="22" t="s">
        <v>668</v>
      </c>
      <c r="C657" s="23" t="s">
        <v>669</v>
      </c>
      <c r="D657" s="24" t="s">
        <v>694</v>
      </c>
      <c r="E657" s="25" t="s">
        <v>1722</v>
      </c>
      <c r="F657" s="16" t="str">
        <f>_xlfn.XLOOKUP(D657,'[7]Database DP'!$C:$C,'[7]Database DP'!$F:$F,"Tidak Ditemukan")</f>
        <v>BOWO</v>
      </c>
      <c r="G657" s="21"/>
    </row>
    <row r="658" spans="2:7">
      <c r="B658" s="22" t="s">
        <v>668</v>
      </c>
      <c r="C658" s="23" t="s">
        <v>669</v>
      </c>
      <c r="D658" s="24" t="s">
        <v>695</v>
      </c>
      <c r="E658" s="25" t="s">
        <v>1722</v>
      </c>
      <c r="F658" s="16" t="str">
        <f>_xlfn.XLOOKUP(D658,'[7]Database DP'!$C:$C,'[7]Database DP'!$F:$F,"Tidak Ditemukan")</f>
        <v>BOWO</v>
      </c>
      <c r="G658" s="21"/>
    </row>
    <row r="659" spans="2:7">
      <c r="B659" s="22" t="s">
        <v>668</v>
      </c>
      <c r="C659" s="23" t="s">
        <v>669</v>
      </c>
      <c r="D659" s="24" t="s">
        <v>696</v>
      </c>
      <c r="E659" s="25" t="s">
        <v>1722</v>
      </c>
      <c r="F659" s="16" t="str">
        <f>_xlfn.XLOOKUP(D659,'[7]Database DP'!$C:$C,'[7]Database DP'!$F:$F,"Tidak Ditemukan")</f>
        <v>BOWO</v>
      </c>
      <c r="G659" s="21"/>
    </row>
    <row r="660" spans="2:7">
      <c r="B660" s="22" t="s">
        <v>668</v>
      </c>
      <c r="C660" s="23" t="s">
        <v>669</v>
      </c>
      <c r="D660" s="24" t="s">
        <v>697</v>
      </c>
      <c r="E660" s="25" t="s">
        <v>1722</v>
      </c>
      <c r="F660" s="16" t="str">
        <f>_xlfn.XLOOKUP(D660,'[7]Database DP'!$C:$C,'[7]Database DP'!$F:$F,"Tidak Ditemukan")</f>
        <v>DADANG</v>
      </c>
      <c r="G660" s="21"/>
    </row>
    <row r="661" spans="2:7">
      <c r="B661" s="22" t="s">
        <v>668</v>
      </c>
      <c r="C661" s="23" t="s">
        <v>669</v>
      </c>
      <c r="D661" s="24" t="s">
        <v>698</v>
      </c>
      <c r="E661" s="25" t="s">
        <v>1722</v>
      </c>
      <c r="F661" s="16" t="str">
        <f>_xlfn.XLOOKUP(D661,'[7]Database DP'!$C:$C,'[7]Database DP'!$F:$F,"Tidak Ditemukan")</f>
        <v>DADANG</v>
      </c>
      <c r="G661" s="21"/>
    </row>
    <row r="662" spans="2:7">
      <c r="B662" s="22" t="s">
        <v>668</v>
      </c>
      <c r="C662" s="23" t="s">
        <v>669</v>
      </c>
      <c r="D662" s="24" t="s">
        <v>699</v>
      </c>
      <c r="E662" s="25" t="s">
        <v>1722</v>
      </c>
      <c r="F662" s="16" t="str">
        <f>_xlfn.XLOOKUP(D662,'[7]Database DP'!$C:$C,'[7]Database DP'!$F:$F,"Tidak Ditemukan")</f>
        <v>DADANG</v>
      </c>
      <c r="G662" s="21"/>
    </row>
    <row r="663" spans="2:7">
      <c r="B663" s="22" t="s">
        <v>668</v>
      </c>
      <c r="C663" s="23" t="s">
        <v>669</v>
      </c>
      <c r="D663" s="24" t="s">
        <v>700</v>
      </c>
      <c r="E663" s="25" t="s">
        <v>1722</v>
      </c>
      <c r="F663" s="16" t="str">
        <f>_xlfn.XLOOKUP(D663,'[7]Database DP'!$C:$C,'[7]Database DP'!$F:$F,"Tidak Ditemukan")</f>
        <v>DADANG</v>
      </c>
      <c r="G663" s="21"/>
    </row>
    <row r="664" spans="2:7">
      <c r="B664" s="22" t="s">
        <v>668</v>
      </c>
      <c r="C664" s="23" t="s">
        <v>669</v>
      </c>
      <c r="D664" s="24" t="s">
        <v>701</v>
      </c>
      <c r="E664" s="25" t="s">
        <v>1722</v>
      </c>
      <c r="F664" s="16" t="str">
        <f>_xlfn.XLOOKUP(D664,'[7]Database DP'!$C:$C,'[7]Database DP'!$F:$F,"Tidak Ditemukan")</f>
        <v>DADANG</v>
      </c>
      <c r="G664" s="21"/>
    </row>
    <row r="665" spans="2:7">
      <c r="B665" s="22" t="s">
        <v>668</v>
      </c>
      <c r="C665" s="23" t="s">
        <v>669</v>
      </c>
      <c r="D665" s="24" t="s">
        <v>702</v>
      </c>
      <c r="E665" s="25" t="s">
        <v>1722</v>
      </c>
      <c r="F665" s="16" t="str">
        <f>_xlfn.XLOOKUP(D665,'[7]Database DP'!$C:$C,'[7]Database DP'!$F:$F,"Tidak Ditemukan")</f>
        <v>DADANG</v>
      </c>
      <c r="G665" s="21"/>
    </row>
    <row r="666" spans="2:7">
      <c r="B666" s="22" t="s">
        <v>668</v>
      </c>
      <c r="C666" s="23" t="s">
        <v>669</v>
      </c>
      <c r="D666" s="24" t="s">
        <v>703</v>
      </c>
      <c r="E666" s="25" t="s">
        <v>1722</v>
      </c>
      <c r="F666" s="16" t="str">
        <f>_xlfn.XLOOKUP(D666,'[7]Database DP'!$C:$C,'[7]Database DP'!$F:$F,"Tidak Ditemukan")</f>
        <v>DADANG</v>
      </c>
      <c r="G666" s="21"/>
    </row>
    <row r="667" spans="2:7">
      <c r="B667" s="22" t="s">
        <v>668</v>
      </c>
      <c r="C667" s="23" t="s">
        <v>669</v>
      </c>
      <c r="D667" s="24" t="s">
        <v>704</v>
      </c>
      <c r="E667" s="25" t="s">
        <v>1722</v>
      </c>
      <c r="F667" s="16" t="str">
        <f>_xlfn.XLOOKUP(D667,'[7]Database DP'!$C:$C,'[7]Database DP'!$F:$F,"Tidak Ditemukan")</f>
        <v>DADANG</v>
      </c>
      <c r="G667" s="21"/>
    </row>
    <row r="668" spans="2:7">
      <c r="B668" s="22" t="s">
        <v>668</v>
      </c>
      <c r="C668" s="23" t="s">
        <v>669</v>
      </c>
      <c r="D668" s="24" t="s">
        <v>705</v>
      </c>
      <c r="E668" s="25" t="s">
        <v>1722</v>
      </c>
      <c r="F668" s="16" t="str">
        <f>_xlfn.XLOOKUP(D668,'[7]Database DP'!$C:$C,'[7]Database DP'!$F:$F,"Tidak Ditemukan")</f>
        <v>DADANG</v>
      </c>
      <c r="G668" s="21"/>
    </row>
    <row r="669" spans="2:7">
      <c r="B669" s="22" t="s">
        <v>668</v>
      </c>
      <c r="C669" s="23" t="s">
        <v>669</v>
      </c>
      <c r="D669" s="24" t="s">
        <v>706</v>
      </c>
      <c r="E669" s="25" t="s">
        <v>1722</v>
      </c>
      <c r="F669" s="16" t="str">
        <f>_xlfn.XLOOKUP(D669,'[7]Database DP'!$C:$C,'[7]Database DP'!$F:$F,"Tidak Ditemukan")</f>
        <v>DADANG</v>
      </c>
      <c r="G669" s="21"/>
    </row>
    <row r="670" spans="2:7">
      <c r="B670" s="22" t="s">
        <v>668</v>
      </c>
      <c r="C670" s="23" t="s">
        <v>669</v>
      </c>
      <c r="D670" s="24" t="s">
        <v>707</v>
      </c>
      <c r="E670" s="25" t="s">
        <v>1722</v>
      </c>
      <c r="F670" s="16" t="str">
        <f>_xlfn.XLOOKUP(D670,'[7]Database DP'!$C:$C,'[7]Database DP'!$F:$F,"Tidak Ditemukan")</f>
        <v>DANIEL</v>
      </c>
      <c r="G670" s="21"/>
    </row>
    <row r="671" spans="2:7">
      <c r="B671" s="22" t="s">
        <v>668</v>
      </c>
      <c r="C671" s="23" t="s">
        <v>669</v>
      </c>
      <c r="D671" s="24" t="s">
        <v>708</v>
      </c>
      <c r="E671" s="25" t="s">
        <v>1722</v>
      </c>
      <c r="F671" s="16" t="str">
        <f>_xlfn.XLOOKUP(D671,'[7]Database DP'!$C:$C,'[7]Database DP'!$F:$F,"Tidak Ditemukan")</f>
        <v>DANIEL</v>
      </c>
      <c r="G671" s="21"/>
    </row>
    <row r="672" spans="2:7">
      <c r="B672" s="22" t="s">
        <v>668</v>
      </c>
      <c r="C672" s="23" t="s">
        <v>669</v>
      </c>
      <c r="D672" s="24" t="s">
        <v>709</v>
      </c>
      <c r="E672" s="25" t="s">
        <v>1722</v>
      </c>
      <c r="F672" s="16" t="str">
        <f>_xlfn.XLOOKUP(D672,'[7]Database DP'!$C:$C,'[7]Database DP'!$F:$F,"Tidak Ditemukan")</f>
        <v>DANIEL</v>
      </c>
      <c r="G672" s="21"/>
    </row>
    <row r="673" spans="2:7">
      <c r="B673" s="22" t="s">
        <v>668</v>
      </c>
      <c r="C673" s="23" t="s">
        <v>669</v>
      </c>
      <c r="D673" s="24" t="s">
        <v>710</v>
      </c>
      <c r="E673" s="25" t="s">
        <v>1722</v>
      </c>
      <c r="F673" s="16" t="str">
        <f>_xlfn.XLOOKUP(D673,'[7]Database DP'!$C:$C,'[7]Database DP'!$F:$F,"Tidak Ditemukan")</f>
        <v>DANIEL</v>
      </c>
      <c r="G673" s="21"/>
    </row>
    <row r="674" spans="2:7">
      <c r="B674" s="22" t="s">
        <v>668</v>
      </c>
      <c r="C674" s="23" t="s">
        <v>669</v>
      </c>
      <c r="D674" s="24" t="s">
        <v>711</v>
      </c>
      <c r="E674" s="25" t="s">
        <v>1722</v>
      </c>
      <c r="F674" s="16" t="str">
        <f>_xlfn.XLOOKUP(D674,'[7]Database DP'!$C:$C,'[7]Database DP'!$F:$F,"Tidak Ditemukan")</f>
        <v>DANIEL</v>
      </c>
      <c r="G674" s="21"/>
    </row>
    <row r="675" spans="2:7">
      <c r="B675" s="22" t="s">
        <v>668</v>
      </c>
      <c r="C675" s="23" t="s">
        <v>669</v>
      </c>
      <c r="D675" s="24" t="s">
        <v>712</v>
      </c>
      <c r="E675" s="25" t="s">
        <v>1722</v>
      </c>
      <c r="F675" s="16" t="str">
        <f>_xlfn.XLOOKUP(D675,'[7]Database DP'!$C:$C,'[7]Database DP'!$F:$F,"Tidak Ditemukan")</f>
        <v>DANIEL</v>
      </c>
      <c r="G675" s="21"/>
    </row>
    <row r="676" spans="2:7">
      <c r="B676" s="22" t="s">
        <v>668</v>
      </c>
      <c r="C676" s="23" t="s">
        <v>669</v>
      </c>
      <c r="D676" s="24" t="s">
        <v>713</v>
      </c>
      <c r="E676" s="25" t="s">
        <v>1722</v>
      </c>
      <c r="F676" s="16" t="str">
        <f>_xlfn.XLOOKUP(D676,'[7]Database DP'!$C:$C,'[7]Database DP'!$F:$F,"Tidak Ditemukan")</f>
        <v>DANIEL</v>
      </c>
      <c r="G676" s="21"/>
    </row>
    <row r="677" spans="2:7">
      <c r="B677" s="22" t="s">
        <v>668</v>
      </c>
      <c r="C677" s="23" t="s">
        <v>669</v>
      </c>
      <c r="D677" s="24" t="s">
        <v>714</v>
      </c>
      <c r="E677" s="25" t="s">
        <v>1722</v>
      </c>
      <c r="F677" s="16" t="str">
        <f>_xlfn.XLOOKUP(D677,'[7]Database DP'!$C:$C,'[7]Database DP'!$F:$F,"Tidak Ditemukan")</f>
        <v>DANIEL</v>
      </c>
      <c r="G677" s="21"/>
    </row>
    <row r="678" spans="2:7">
      <c r="B678" s="22" t="s">
        <v>668</v>
      </c>
      <c r="C678" s="23" t="s">
        <v>669</v>
      </c>
      <c r="D678" s="24" t="s">
        <v>715</v>
      </c>
      <c r="E678" s="25" t="s">
        <v>1722</v>
      </c>
      <c r="F678" s="16" t="str">
        <f>_xlfn.XLOOKUP(D678,'[7]Database DP'!$C:$C,'[7]Database DP'!$F:$F,"Tidak Ditemukan")</f>
        <v>GERRY</v>
      </c>
      <c r="G678" s="21"/>
    </row>
    <row r="679" spans="2:7">
      <c r="B679" s="22" t="s">
        <v>668</v>
      </c>
      <c r="C679" s="23" t="s">
        <v>669</v>
      </c>
      <c r="D679" s="24" t="s">
        <v>716</v>
      </c>
      <c r="E679" s="25" t="s">
        <v>1722</v>
      </c>
      <c r="F679" s="16" t="str">
        <f>_xlfn.XLOOKUP(D679,'[7]Database DP'!$C:$C,'[7]Database DP'!$F:$F,"Tidak Ditemukan")</f>
        <v>GERRY</v>
      </c>
      <c r="G679" s="21"/>
    </row>
    <row r="680" spans="2:7">
      <c r="B680" s="22" t="s">
        <v>668</v>
      </c>
      <c r="C680" s="23" t="s">
        <v>669</v>
      </c>
      <c r="D680" s="24" t="s">
        <v>717</v>
      </c>
      <c r="E680" s="25" t="s">
        <v>1722</v>
      </c>
      <c r="F680" s="16" t="str">
        <f>_xlfn.XLOOKUP(D680,'[7]Database DP'!$C:$C,'[7]Database DP'!$F:$F,"Tidak Ditemukan")</f>
        <v>GERRY</v>
      </c>
      <c r="G680" s="21"/>
    </row>
    <row r="681" spans="2:7">
      <c r="B681" s="22" t="s">
        <v>668</v>
      </c>
      <c r="C681" s="23" t="s">
        <v>669</v>
      </c>
      <c r="D681" s="24" t="s">
        <v>718</v>
      </c>
      <c r="E681" s="25" t="s">
        <v>1722</v>
      </c>
      <c r="F681" s="16" t="str">
        <f>_xlfn.XLOOKUP(D681,'[7]Database DP'!$C:$C,'[7]Database DP'!$F:$F,"Tidak Ditemukan")</f>
        <v>GERRY</v>
      </c>
      <c r="G681" s="21"/>
    </row>
    <row r="682" spans="2:7">
      <c r="B682" s="22" t="s">
        <v>668</v>
      </c>
      <c r="C682" s="23" t="s">
        <v>669</v>
      </c>
      <c r="D682" s="24" t="s">
        <v>719</v>
      </c>
      <c r="E682" s="25" t="s">
        <v>1722</v>
      </c>
      <c r="F682" s="16" t="str">
        <f>_xlfn.XLOOKUP(D682,'[7]Database DP'!$C:$C,'[7]Database DP'!$F:$F,"Tidak Ditemukan")</f>
        <v>GERRY</v>
      </c>
      <c r="G682" s="21"/>
    </row>
    <row r="683" spans="2:7">
      <c r="B683" s="22" t="s">
        <v>668</v>
      </c>
      <c r="C683" s="23" t="s">
        <v>669</v>
      </c>
      <c r="D683" s="24" t="s">
        <v>720</v>
      </c>
      <c r="E683" s="25" t="s">
        <v>1722</v>
      </c>
      <c r="F683" s="16" t="str">
        <f>_xlfn.XLOOKUP(D683,'[7]Database DP'!$C:$C,'[7]Database DP'!$F:$F,"Tidak Ditemukan")</f>
        <v>HERI</v>
      </c>
      <c r="G683" s="21"/>
    </row>
    <row r="684" spans="2:7">
      <c r="B684" s="22" t="s">
        <v>668</v>
      </c>
      <c r="C684" s="23" t="s">
        <v>669</v>
      </c>
      <c r="D684" s="24" t="s">
        <v>721</v>
      </c>
      <c r="E684" s="25" t="s">
        <v>1722</v>
      </c>
      <c r="F684" s="16" t="str">
        <f>_xlfn.XLOOKUP(D684,'[7]Database DP'!$C:$C,'[7]Database DP'!$F:$F,"Tidak Ditemukan")</f>
        <v>HERI</v>
      </c>
      <c r="G684" s="21"/>
    </row>
    <row r="685" spans="2:7">
      <c r="B685" s="22" t="s">
        <v>668</v>
      </c>
      <c r="C685" s="23" t="s">
        <v>669</v>
      </c>
      <c r="D685" s="24" t="s">
        <v>722</v>
      </c>
      <c r="E685" s="25" t="s">
        <v>1722</v>
      </c>
      <c r="F685" s="16" t="str">
        <f>_xlfn.XLOOKUP(D685,'[7]Database DP'!$C:$C,'[7]Database DP'!$F:$F,"Tidak Ditemukan")</f>
        <v>HERI</v>
      </c>
      <c r="G685" s="21"/>
    </row>
    <row r="686" spans="2:7">
      <c r="B686" s="22" t="s">
        <v>668</v>
      </c>
      <c r="C686" s="23" t="s">
        <v>669</v>
      </c>
      <c r="D686" s="24" t="s">
        <v>723</v>
      </c>
      <c r="E686" s="25" t="s">
        <v>1722</v>
      </c>
      <c r="F686" s="16" t="str">
        <f>_xlfn.XLOOKUP(D686,'[7]Database DP'!$C:$C,'[7]Database DP'!$F:$F,"Tidak Ditemukan")</f>
        <v>HERI</v>
      </c>
      <c r="G686" s="21"/>
    </row>
    <row r="687" spans="2:7">
      <c r="B687" s="22" t="s">
        <v>668</v>
      </c>
      <c r="C687" s="23" t="s">
        <v>669</v>
      </c>
      <c r="D687" s="24" t="s">
        <v>724</v>
      </c>
      <c r="E687" s="25" t="s">
        <v>1722</v>
      </c>
      <c r="F687" s="16" t="str">
        <f>_xlfn.XLOOKUP(D687,'[7]Database DP'!$C:$C,'[7]Database DP'!$F:$F,"Tidak Ditemukan")</f>
        <v>HERI</v>
      </c>
      <c r="G687" s="21"/>
    </row>
    <row r="688" spans="2:7">
      <c r="B688" s="22" t="s">
        <v>668</v>
      </c>
      <c r="C688" s="23" t="s">
        <v>669</v>
      </c>
      <c r="D688" s="24" t="s">
        <v>725</v>
      </c>
      <c r="E688" s="25" t="s">
        <v>1722</v>
      </c>
      <c r="F688" s="16" t="str">
        <f>_xlfn.XLOOKUP(D688,'[7]Database DP'!$C:$C,'[7]Database DP'!$F:$F,"Tidak Ditemukan")</f>
        <v>HERI</v>
      </c>
      <c r="G688" s="21"/>
    </row>
    <row r="689" spans="2:7">
      <c r="B689" s="22" t="s">
        <v>668</v>
      </c>
      <c r="C689" s="23" t="s">
        <v>669</v>
      </c>
      <c r="D689" s="24" t="s">
        <v>726</v>
      </c>
      <c r="E689" s="25" t="s">
        <v>1722</v>
      </c>
      <c r="F689" s="16" t="str">
        <f>_xlfn.XLOOKUP(D689,'[7]Database DP'!$C:$C,'[7]Database DP'!$F:$F,"Tidak Ditemukan")</f>
        <v>HERI</v>
      </c>
      <c r="G689" s="21"/>
    </row>
    <row r="690" spans="2:7">
      <c r="B690" s="22" t="s">
        <v>668</v>
      </c>
      <c r="C690" s="23" t="s">
        <v>669</v>
      </c>
      <c r="D690" s="24" t="s">
        <v>727</v>
      </c>
      <c r="E690" s="25" t="s">
        <v>1722</v>
      </c>
      <c r="F690" s="16" t="str">
        <f>_xlfn.XLOOKUP(D690,'[7]Database DP'!$C:$C,'[7]Database DP'!$F:$F,"Tidak Ditemukan")</f>
        <v>HERI</v>
      </c>
      <c r="G690" s="21"/>
    </row>
    <row r="691" spans="2:7">
      <c r="B691" s="22" t="s">
        <v>668</v>
      </c>
      <c r="C691" s="23" t="s">
        <v>669</v>
      </c>
      <c r="D691" s="24" t="s">
        <v>728</v>
      </c>
      <c r="E691" s="25" t="s">
        <v>1722</v>
      </c>
      <c r="F691" s="16" t="str">
        <f>_xlfn.XLOOKUP(D691,'[7]Database DP'!$C:$C,'[7]Database DP'!$F:$F,"Tidak Ditemukan")</f>
        <v>HERI</v>
      </c>
      <c r="G691" s="21"/>
    </row>
    <row r="692" spans="2:7">
      <c r="B692" s="22" t="s">
        <v>668</v>
      </c>
      <c r="C692" s="23" t="s">
        <v>669</v>
      </c>
      <c r="D692" s="24" t="s">
        <v>729</v>
      </c>
      <c r="E692" s="25" t="s">
        <v>1722</v>
      </c>
      <c r="F692" s="16" t="str">
        <f>_xlfn.XLOOKUP(D692,'[7]Database DP'!$C:$C,'[7]Database DP'!$F:$F,"Tidak Ditemukan")</f>
        <v>HERI</v>
      </c>
      <c r="G692" s="21"/>
    </row>
    <row r="693" spans="2:7">
      <c r="B693" s="22" t="s">
        <v>668</v>
      </c>
      <c r="C693" s="23" t="s">
        <v>669</v>
      </c>
      <c r="D693" s="24" t="s">
        <v>730</v>
      </c>
      <c r="E693" s="25" t="s">
        <v>1722</v>
      </c>
      <c r="F693" s="16" t="str">
        <f>_xlfn.XLOOKUP(D693,'[7]Database DP'!$C:$C,'[7]Database DP'!$F:$F,"Tidak Ditemukan")</f>
        <v>HERI</v>
      </c>
      <c r="G693" s="21"/>
    </row>
    <row r="694" spans="2:7">
      <c r="B694" s="22" t="s">
        <v>668</v>
      </c>
      <c r="C694" s="23" t="s">
        <v>669</v>
      </c>
      <c r="D694" s="24" t="s">
        <v>731</v>
      </c>
      <c r="E694" s="25" t="s">
        <v>1722</v>
      </c>
      <c r="F694" s="16" t="str">
        <f>_xlfn.XLOOKUP(D694,'[7]Database DP'!$C:$C,'[7]Database DP'!$F:$F,"Tidak Ditemukan")</f>
        <v>HERI</v>
      </c>
      <c r="G694" s="21"/>
    </row>
    <row r="695" spans="2:7">
      <c r="B695" s="22" t="s">
        <v>668</v>
      </c>
      <c r="C695" s="23" t="s">
        <v>669</v>
      </c>
      <c r="D695" s="24" t="s">
        <v>732</v>
      </c>
      <c r="E695" s="25" t="s">
        <v>1722</v>
      </c>
      <c r="F695" s="16" t="str">
        <f>_xlfn.XLOOKUP(D695,'[7]Database DP'!$C:$C,'[7]Database DP'!$F:$F,"Tidak Ditemukan")</f>
        <v>HERI</v>
      </c>
      <c r="G695" s="21"/>
    </row>
    <row r="696" spans="2:7">
      <c r="B696" s="22" t="s">
        <v>668</v>
      </c>
      <c r="C696" s="23" t="s">
        <v>669</v>
      </c>
      <c r="D696" s="24" t="s">
        <v>733</v>
      </c>
      <c r="E696" s="25" t="s">
        <v>1722</v>
      </c>
      <c r="F696" s="16" t="str">
        <f>_xlfn.XLOOKUP(D696,'[7]Database DP'!$C:$C,'[7]Database DP'!$F:$F,"Tidak Ditemukan")</f>
        <v>HERI</v>
      </c>
      <c r="G696" s="21"/>
    </row>
    <row r="697" spans="2:7">
      <c r="B697" s="22" t="s">
        <v>668</v>
      </c>
      <c r="C697" s="23" t="s">
        <v>669</v>
      </c>
      <c r="D697" s="24" t="s">
        <v>734</v>
      </c>
      <c r="E697" s="25" t="s">
        <v>1722</v>
      </c>
      <c r="F697" s="16" t="str">
        <f>_xlfn.XLOOKUP(D697,'[7]Database DP'!$C:$C,'[7]Database DP'!$F:$F,"Tidak Ditemukan")</f>
        <v>RISWANTO</v>
      </c>
      <c r="G697" s="21"/>
    </row>
    <row r="698" spans="2:7">
      <c r="B698" s="22" t="s">
        <v>668</v>
      </c>
      <c r="C698" s="23" t="s">
        <v>669</v>
      </c>
      <c r="D698" s="24" t="s">
        <v>735</v>
      </c>
      <c r="E698" s="25" t="s">
        <v>1722</v>
      </c>
      <c r="F698" s="16" t="str">
        <f>_xlfn.XLOOKUP(D698,'[7]Database DP'!$C:$C,'[7]Database DP'!$F:$F,"Tidak Ditemukan")</f>
        <v>RISWANTO</v>
      </c>
      <c r="G698" s="21"/>
    </row>
    <row r="699" spans="2:7">
      <c r="B699" s="22" t="s">
        <v>668</v>
      </c>
      <c r="C699" s="23" t="s">
        <v>669</v>
      </c>
      <c r="D699" s="24" t="s">
        <v>736</v>
      </c>
      <c r="E699" s="25" t="s">
        <v>1722</v>
      </c>
      <c r="F699" s="16" t="str">
        <f>_xlfn.XLOOKUP(D699,'[7]Database DP'!$C:$C,'[7]Database DP'!$F:$F,"Tidak Ditemukan")</f>
        <v>RISWANTO</v>
      </c>
      <c r="G699" s="21"/>
    </row>
    <row r="700" spans="2:7">
      <c r="B700" s="22" t="s">
        <v>668</v>
      </c>
      <c r="C700" s="23" t="s">
        <v>669</v>
      </c>
      <c r="D700" s="24" t="s">
        <v>737</v>
      </c>
      <c r="E700" s="25" t="s">
        <v>1722</v>
      </c>
      <c r="F700" s="16" t="str">
        <f>_xlfn.XLOOKUP(D700,'[7]Database DP'!$C:$C,'[7]Database DP'!$F:$F,"Tidak Ditemukan")</f>
        <v>RISWANTO</v>
      </c>
      <c r="G700" s="21"/>
    </row>
    <row r="701" spans="2:7">
      <c r="B701" s="22" t="s">
        <v>668</v>
      </c>
      <c r="C701" s="23" t="s">
        <v>669</v>
      </c>
      <c r="D701" s="24" t="s">
        <v>738</v>
      </c>
      <c r="E701" s="25" t="s">
        <v>1722</v>
      </c>
      <c r="F701" s="16" t="str">
        <f>_xlfn.XLOOKUP(D701,'[7]Database DP'!$C:$C,'[7]Database DP'!$F:$F,"Tidak Ditemukan")</f>
        <v>RISWANTO</v>
      </c>
      <c r="G701" s="21"/>
    </row>
    <row r="702" spans="2:7">
      <c r="B702" s="22" t="s">
        <v>668</v>
      </c>
      <c r="C702" s="23" t="s">
        <v>669</v>
      </c>
      <c r="D702" s="24" t="s">
        <v>739</v>
      </c>
      <c r="E702" s="25" t="s">
        <v>1722</v>
      </c>
      <c r="F702" s="16" t="str">
        <f>_xlfn.XLOOKUP(D702,'[7]Database DP'!$C:$C,'[7]Database DP'!$F:$F,"Tidak Ditemukan")</f>
        <v>RISWANTO</v>
      </c>
      <c r="G702" s="21"/>
    </row>
    <row r="703" spans="2:7">
      <c r="B703" s="22" t="s">
        <v>668</v>
      </c>
      <c r="C703" s="23" t="s">
        <v>669</v>
      </c>
      <c r="D703" s="24" t="s">
        <v>740</v>
      </c>
      <c r="E703" s="25" t="s">
        <v>1722</v>
      </c>
      <c r="F703" s="16" t="str">
        <f>_xlfn.XLOOKUP(D703,'[7]Database DP'!$C:$C,'[7]Database DP'!$F:$F,"Tidak Ditemukan")</f>
        <v>RISWANTO</v>
      </c>
      <c r="G703" s="21"/>
    </row>
    <row r="704" spans="2:7">
      <c r="B704" s="22" t="s">
        <v>668</v>
      </c>
      <c r="C704" s="23" t="s">
        <v>669</v>
      </c>
      <c r="D704" s="24" t="s">
        <v>741</v>
      </c>
      <c r="E704" s="25" t="s">
        <v>1722</v>
      </c>
      <c r="F704" s="16" t="str">
        <f>_xlfn.XLOOKUP(D704,'[7]Database DP'!$C:$C,'[7]Database DP'!$F:$F,"Tidak Ditemukan")</f>
        <v>RISWANTO</v>
      </c>
      <c r="G704" s="21"/>
    </row>
    <row r="705" spans="2:7">
      <c r="B705" s="22" t="s">
        <v>668</v>
      </c>
      <c r="C705" s="23" t="s">
        <v>669</v>
      </c>
      <c r="D705" s="24" t="s">
        <v>742</v>
      </c>
      <c r="E705" s="25" t="s">
        <v>1722</v>
      </c>
      <c r="F705" s="16" t="str">
        <f>_xlfn.XLOOKUP(D705,'[7]Database DP'!$C:$C,'[7]Database DP'!$F:$F,"Tidak Ditemukan")</f>
        <v>RISWANTO</v>
      </c>
      <c r="G705" s="21"/>
    </row>
    <row r="706" spans="2:7">
      <c r="B706" s="22" t="s">
        <v>668</v>
      </c>
      <c r="C706" s="23" t="s">
        <v>669</v>
      </c>
      <c r="D706" s="24" t="s">
        <v>743</v>
      </c>
      <c r="E706" s="25" t="s">
        <v>1722</v>
      </c>
      <c r="F706" s="16" t="str">
        <f>_xlfn.XLOOKUP(D706,'[7]Database DP'!$C:$C,'[7]Database DP'!$F:$F,"Tidak Ditemukan")</f>
        <v>RISWANTO</v>
      </c>
      <c r="G706" s="21"/>
    </row>
    <row r="707" spans="2:7">
      <c r="B707" s="22" t="s">
        <v>668</v>
      </c>
      <c r="C707" s="23" t="s">
        <v>669</v>
      </c>
      <c r="D707" s="24" t="s">
        <v>744</v>
      </c>
      <c r="E707" s="25" t="s">
        <v>1722</v>
      </c>
      <c r="F707" s="16" t="str">
        <f>_xlfn.XLOOKUP(D707,'[7]Database DP'!$C:$C,'[7]Database DP'!$F:$F,"Tidak Ditemukan")</f>
        <v>RISWANTO</v>
      </c>
      <c r="G707" s="21"/>
    </row>
    <row r="708" spans="2:7">
      <c r="B708" s="22" t="s">
        <v>668</v>
      </c>
      <c r="C708" s="23" t="s">
        <v>669</v>
      </c>
      <c r="D708" s="24" t="s">
        <v>745</v>
      </c>
      <c r="E708" s="25" t="s">
        <v>1722</v>
      </c>
      <c r="F708" s="16" t="str">
        <f>_xlfn.XLOOKUP(D708,'[7]Database DP'!$C:$C,'[7]Database DP'!$F:$F,"Tidak Ditemukan")</f>
        <v>RISWANTO</v>
      </c>
      <c r="G708" s="21"/>
    </row>
    <row r="709" spans="2:7">
      <c r="B709" s="22" t="s">
        <v>668</v>
      </c>
      <c r="C709" s="23" t="s">
        <v>669</v>
      </c>
      <c r="D709" s="24" t="s">
        <v>746</v>
      </c>
      <c r="E709" s="25" t="s">
        <v>1722</v>
      </c>
      <c r="F709" s="16" t="str">
        <f>_xlfn.XLOOKUP(D709,'[7]Database DP'!$C:$C,'[7]Database DP'!$F:$F,"Tidak Ditemukan")</f>
        <v>KHABIB</v>
      </c>
      <c r="G709" s="21"/>
    </row>
    <row r="710" spans="2:7">
      <c r="B710" s="22" t="s">
        <v>668</v>
      </c>
      <c r="C710" s="23" t="s">
        <v>669</v>
      </c>
      <c r="D710" s="24" t="s">
        <v>747</v>
      </c>
      <c r="E710" s="25" t="s">
        <v>1722</v>
      </c>
      <c r="F710" s="16" t="str">
        <f>_xlfn.XLOOKUP(D710,'[7]Database DP'!$C:$C,'[7]Database DP'!$F:$F,"Tidak Ditemukan")</f>
        <v>KHABIB</v>
      </c>
      <c r="G710" s="21"/>
    </row>
    <row r="711" spans="2:7">
      <c r="B711" s="22" t="s">
        <v>668</v>
      </c>
      <c r="C711" s="23" t="s">
        <v>669</v>
      </c>
      <c r="D711" s="24" t="s">
        <v>748</v>
      </c>
      <c r="E711" s="25" t="s">
        <v>1722</v>
      </c>
      <c r="F711" s="16" t="str">
        <f>_xlfn.XLOOKUP(D711,'[7]Database DP'!$C:$C,'[7]Database DP'!$F:$F,"Tidak Ditemukan")</f>
        <v>KHABIB</v>
      </c>
      <c r="G711" s="21"/>
    </row>
    <row r="712" spans="2:7">
      <c r="B712" s="22" t="s">
        <v>668</v>
      </c>
      <c r="C712" s="23" t="s">
        <v>669</v>
      </c>
      <c r="D712" s="24" t="s">
        <v>749</v>
      </c>
      <c r="E712" s="25" t="s">
        <v>1722</v>
      </c>
      <c r="F712" s="16" t="str">
        <f>_xlfn.XLOOKUP(D712,'[7]Database DP'!$C:$C,'[7]Database DP'!$F:$F,"Tidak Ditemukan")</f>
        <v>KHABIB</v>
      </c>
      <c r="G712" s="21"/>
    </row>
    <row r="713" spans="2:7">
      <c r="B713" s="22" t="s">
        <v>668</v>
      </c>
      <c r="C713" s="23" t="s">
        <v>669</v>
      </c>
      <c r="D713" s="24" t="s">
        <v>750</v>
      </c>
      <c r="E713" s="25" t="s">
        <v>1722</v>
      </c>
      <c r="F713" s="16" t="str">
        <f>_xlfn.XLOOKUP(D713,'[7]Database DP'!$C:$C,'[7]Database DP'!$F:$F,"Tidak Ditemukan")</f>
        <v>KHABIB</v>
      </c>
      <c r="G713" s="21"/>
    </row>
    <row r="714" spans="2:7">
      <c r="B714" s="22" t="s">
        <v>668</v>
      </c>
      <c r="C714" s="23" t="s">
        <v>669</v>
      </c>
      <c r="D714" s="24" t="s">
        <v>751</v>
      </c>
      <c r="E714" s="25" t="s">
        <v>1722</v>
      </c>
      <c r="F714" s="16" t="str">
        <f>_xlfn.XLOOKUP(D714,'[7]Database DP'!$C:$C,'[7]Database DP'!$F:$F,"Tidak Ditemukan")</f>
        <v>KHABIB</v>
      </c>
      <c r="G714" s="21"/>
    </row>
    <row r="715" spans="2:7">
      <c r="B715" s="22" t="s">
        <v>668</v>
      </c>
      <c r="C715" s="23" t="s">
        <v>669</v>
      </c>
      <c r="D715" s="24" t="s">
        <v>752</v>
      </c>
      <c r="E715" s="25" t="s">
        <v>1722</v>
      </c>
      <c r="F715" s="16" t="str">
        <f>_xlfn.XLOOKUP(D715,'[7]Database DP'!$C:$C,'[7]Database DP'!$F:$F,"Tidak Ditemukan")</f>
        <v>KHABIB</v>
      </c>
      <c r="G715" s="21"/>
    </row>
    <row r="716" spans="2:7">
      <c r="B716" s="22" t="s">
        <v>668</v>
      </c>
      <c r="C716" s="23" t="s">
        <v>669</v>
      </c>
      <c r="D716" s="24" t="s">
        <v>753</v>
      </c>
      <c r="E716" s="25" t="s">
        <v>1722</v>
      </c>
      <c r="F716" s="16" t="str">
        <f>_xlfn.XLOOKUP(D716,'[7]Database DP'!$C:$C,'[7]Database DP'!$F:$F,"Tidak Ditemukan")</f>
        <v>KHABIB</v>
      </c>
      <c r="G716" s="21"/>
    </row>
    <row r="717" spans="2:7">
      <c r="B717" s="22" t="s">
        <v>668</v>
      </c>
      <c r="C717" s="23" t="s">
        <v>669</v>
      </c>
      <c r="D717" s="24" t="s">
        <v>754</v>
      </c>
      <c r="E717" s="25" t="s">
        <v>1722</v>
      </c>
      <c r="F717" s="16" t="str">
        <f>_xlfn.XLOOKUP(D717,'[7]Database DP'!$C:$C,'[7]Database DP'!$F:$F,"Tidak Ditemukan")</f>
        <v>KHABIB</v>
      </c>
      <c r="G717" s="21"/>
    </row>
    <row r="718" spans="2:7">
      <c r="B718" s="22" t="s">
        <v>668</v>
      </c>
      <c r="C718" s="23" t="s">
        <v>669</v>
      </c>
      <c r="D718" s="24" t="s">
        <v>755</v>
      </c>
      <c r="E718" s="25" t="s">
        <v>1722</v>
      </c>
      <c r="F718" s="16" t="str">
        <f>_xlfn.XLOOKUP(D718,'[7]Database DP'!$C:$C,'[7]Database DP'!$F:$F,"Tidak Ditemukan")</f>
        <v>KHOLIK</v>
      </c>
      <c r="G718" s="21"/>
    </row>
    <row r="719" spans="2:7">
      <c r="B719" s="22" t="s">
        <v>668</v>
      </c>
      <c r="C719" s="23" t="s">
        <v>669</v>
      </c>
      <c r="D719" s="24" t="s">
        <v>756</v>
      </c>
      <c r="E719" s="25" t="s">
        <v>1722</v>
      </c>
      <c r="F719" s="16" t="str">
        <f>_xlfn.XLOOKUP(D719,'[7]Database DP'!$C:$C,'[7]Database DP'!$F:$F,"Tidak Ditemukan")</f>
        <v>KHOLIK</v>
      </c>
      <c r="G719" s="21"/>
    </row>
    <row r="720" spans="2:7">
      <c r="B720" s="22" t="s">
        <v>668</v>
      </c>
      <c r="C720" s="23" t="s">
        <v>669</v>
      </c>
      <c r="D720" s="24" t="s">
        <v>757</v>
      </c>
      <c r="E720" s="25" t="s">
        <v>1722</v>
      </c>
      <c r="F720" s="16" t="str">
        <f>_xlfn.XLOOKUP(D720,'[7]Database DP'!$C:$C,'[7]Database DP'!$F:$F,"Tidak Ditemukan")</f>
        <v>KHOLIK</v>
      </c>
      <c r="G720" s="21"/>
    </row>
    <row r="721" spans="2:7">
      <c r="B721" s="22" t="s">
        <v>668</v>
      </c>
      <c r="C721" s="23" t="s">
        <v>669</v>
      </c>
      <c r="D721" s="24" t="s">
        <v>758</v>
      </c>
      <c r="E721" s="25" t="s">
        <v>1722</v>
      </c>
      <c r="F721" s="16" t="str">
        <f>_xlfn.XLOOKUP(D721,'[7]Database DP'!$C:$C,'[7]Database DP'!$F:$F,"Tidak Ditemukan")</f>
        <v>KHOLIK</v>
      </c>
      <c r="G721" s="21"/>
    </row>
    <row r="722" spans="2:7">
      <c r="B722" s="22" t="s">
        <v>668</v>
      </c>
      <c r="C722" s="23" t="s">
        <v>669</v>
      </c>
      <c r="D722" s="24" t="s">
        <v>759</v>
      </c>
      <c r="E722" s="25" t="s">
        <v>1722</v>
      </c>
      <c r="F722" s="16" t="str">
        <f>_xlfn.XLOOKUP(D722,'[7]Database DP'!$C:$C,'[7]Database DP'!$F:$F,"Tidak Ditemukan")</f>
        <v>KHOLIK</v>
      </c>
      <c r="G722" s="21"/>
    </row>
    <row r="723" spans="2:7">
      <c r="B723" s="22" t="s">
        <v>668</v>
      </c>
      <c r="C723" s="23" t="s">
        <v>669</v>
      </c>
      <c r="D723" s="24" t="s">
        <v>760</v>
      </c>
      <c r="E723" s="25" t="s">
        <v>1722</v>
      </c>
      <c r="F723" s="16" t="str">
        <f>_xlfn.XLOOKUP(D723,'[7]Database DP'!$C:$C,'[7]Database DP'!$F:$F,"Tidak Ditemukan")</f>
        <v>KHOLIK</v>
      </c>
      <c r="G723" s="21"/>
    </row>
    <row r="724" spans="2:7">
      <c r="B724" s="22" t="s">
        <v>668</v>
      </c>
      <c r="C724" s="23" t="s">
        <v>669</v>
      </c>
      <c r="D724" s="24" t="s">
        <v>761</v>
      </c>
      <c r="E724" s="25" t="s">
        <v>1722</v>
      </c>
      <c r="F724" s="16" t="str">
        <f>_xlfn.XLOOKUP(D724,'[7]Database DP'!$C:$C,'[7]Database DP'!$F:$F,"Tidak Ditemukan")</f>
        <v>KHOLIK</v>
      </c>
      <c r="G724" s="21"/>
    </row>
    <row r="725" spans="2:7">
      <c r="B725" s="22" t="s">
        <v>668</v>
      </c>
      <c r="C725" s="23" t="s">
        <v>669</v>
      </c>
      <c r="D725" s="24" t="s">
        <v>762</v>
      </c>
      <c r="E725" s="25" t="s">
        <v>1722</v>
      </c>
      <c r="F725" s="16" t="str">
        <f>_xlfn.XLOOKUP(D725,'[7]Database DP'!$C:$C,'[7]Database DP'!$F:$F,"Tidak Ditemukan")</f>
        <v>KHOLIK</v>
      </c>
      <c r="G725" s="21"/>
    </row>
    <row r="726" spans="2:7">
      <c r="B726" s="22" t="s">
        <v>668</v>
      </c>
      <c r="C726" s="23" t="s">
        <v>669</v>
      </c>
      <c r="D726" s="24" t="s">
        <v>763</v>
      </c>
      <c r="E726" s="25" t="s">
        <v>1722</v>
      </c>
      <c r="F726" s="16" t="str">
        <f>_xlfn.XLOOKUP(D726,'[7]Database DP'!$C:$C,'[7]Database DP'!$F:$F,"Tidak Ditemukan")</f>
        <v>KHOLIK</v>
      </c>
      <c r="G726" s="21"/>
    </row>
    <row r="727" spans="2:7">
      <c r="B727" s="22" t="s">
        <v>668</v>
      </c>
      <c r="C727" s="23" t="s">
        <v>669</v>
      </c>
      <c r="D727" s="24" t="s">
        <v>764</v>
      </c>
      <c r="E727" s="25" t="s">
        <v>1722</v>
      </c>
      <c r="F727" s="16" t="str">
        <f>_xlfn.XLOOKUP(D727,'[7]Database DP'!$C:$C,'[7]Database DP'!$F:$F,"Tidak Ditemukan")</f>
        <v>KHOLIL</v>
      </c>
      <c r="G727" s="21"/>
    </row>
    <row r="728" spans="2:7">
      <c r="B728" s="22" t="s">
        <v>668</v>
      </c>
      <c r="C728" s="23" t="s">
        <v>669</v>
      </c>
      <c r="D728" s="24" t="s">
        <v>765</v>
      </c>
      <c r="E728" s="25" t="s">
        <v>1722</v>
      </c>
      <c r="F728" s="16" t="str">
        <f>_xlfn.XLOOKUP(D728,'[7]Database DP'!$C:$C,'[7]Database DP'!$F:$F,"Tidak Ditemukan")</f>
        <v>KHOLIL</v>
      </c>
      <c r="G728" s="21"/>
    </row>
    <row r="729" spans="2:7">
      <c r="B729" s="22" t="s">
        <v>668</v>
      </c>
      <c r="C729" s="23" t="s">
        <v>669</v>
      </c>
      <c r="D729" s="24" t="s">
        <v>766</v>
      </c>
      <c r="E729" s="25" t="s">
        <v>1722</v>
      </c>
      <c r="F729" s="16" t="str">
        <f>_xlfn.XLOOKUP(D729,'[7]Database DP'!$C:$C,'[7]Database DP'!$F:$F,"Tidak Ditemukan")</f>
        <v>KHOLIL</v>
      </c>
      <c r="G729" s="21"/>
    </row>
    <row r="730" spans="2:7">
      <c r="B730" s="22" t="s">
        <v>668</v>
      </c>
      <c r="C730" s="23" t="s">
        <v>669</v>
      </c>
      <c r="D730" s="24" t="s">
        <v>767</v>
      </c>
      <c r="E730" s="25" t="s">
        <v>1722</v>
      </c>
      <c r="F730" s="16" t="str">
        <f>_xlfn.XLOOKUP(D730,'[7]Database DP'!$C:$C,'[7]Database DP'!$F:$F,"Tidak Ditemukan")</f>
        <v>KHOLIL</v>
      </c>
      <c r="G730" s="21"/>
    </row>
    <row r="731" spans="2:7">
      <c r="B731" s="22" t="s">
        <v>668</v>
      </c>
      <c r="C731" s="23" t="s">
        <v>669</v>
      </c>
      <c r="D731" s="24" t="s">
        <v>768</v>
      </c>
      <c r="E731" s="25" t="s">
        <v>1722</v>
      </c>
      <c r="F731" s="16" t="str">
        <f>_xlfn.XLOOKUP(D731,'[7]Database DP'!$C:$C,'[7]Database DP'!$F:$F,"Tidak Ditemukan")</f>
        <v>KHOLIL</v>
      </c>
      <c r="G731" s="21"/>
    </row>
    <row r="732" spans="2:7">
      <c r="B732" s="22" t="s">
        <v>668</v>
      </c>
      <c r="C732" s="23" t="s">
        <v>669</v>
      </c>
      <c r="D732" s="24" t="s">
        <v>769</v>
      </c>
      <c r="E732" s="25" t="s">
        <v>1722</v>
      </c>
      <c r="F732" s="16" t="str">
        <f>_xlfn.XLOOKUP(D732,'[7]Database DP'!$C:$C,'[7]Database DP'!$F:$F,"Tidak Ditemukan")</f>
        <v>KHOLIL</v>
      </c>
      <c r="G732" s="21"/>
    </row>
    <row r="733" spans="2:7">
      <c r="B733" s="22" t="s">
        <v>668</v>
      </c>
      <c r="C733" s="23" t="s">
        <v>669</v>
      </c>
      <c r="D733" s="24" t="s">
        <v>770</v>
      </c>
      <c r="E733" s="25" t="s">
        <v>1722</v>
      </c>
      <c r="F733" s="16" t="str">
        <f>_xlfn.XLOOKUP(D733,'[7]Database DP'!$C:$C,'[7]Database DP'!$F:$F,"Tidak Ditemukan")</f>
        <v>KHOLIL</v>
      </c>
      <c r="G733" s="21"/>
    </row>
    <row r="734" spans="2:7">
      <c r="B734" s="22" t="s">
        <v>668</v>
      </c>
      <c r="C734" s="23" t="s">
        <v>669</v>
      </c>
      <c r="D734" s="24" t="s">
        <v>771</v>
      </c>
      <c r="E734" s="25" t="s">
        <v>1722</v>
      </c>
      <c r="F734" s="16" t="str">
        <f>_xlfn.XLOOKUP(D734,'[7]Database DP'!$C:$C,'[7]Database DP'!$F:$F,"Tidak Ditemukan")</f>
        <v>KHOLIL</v>
      </c>
      <c r="G734" s="21"/>
    </row>
    <row r="735" spans="2:7">
      <c r="B735" s="22" t="s">
        <v>668</v>
      </c>
      <c r="C735" s="23" t="s">
        <v>669</v>
      </c>
      <c r="D735" s="24" t="s">
        <v>772</v>
      </c>
      <c r="E735" s="25" t="s">
        <v>1722</v>
      </c>
      <c r="F735" s="16" t="str">
        <f>_xlfn.XLOOKUP(D735,'[7]Database DP'!$C:$C,'[7]Database DP'!$F:$F,"Tidak Ditemukan")</f>
        <v>KHOLIL</v>
      </c>
      <c r="G735" s="21"/>
    </row>
    <row r="736" spans="2:7">
      <c r="B736" s="22" t="s">
        <v>668</v>
      </c>
      <c r="C736" s="23" t="s">
        <v>669</v>
      </c>
      <c r="D736" s="24" t="s">
        <v>773</v>
      </c>
      <c r="E736" s="25" t="s">
        <v>1722</v>
      </c>
      <c r="F736" s="16" t="str">
        <f>_xlfn.XLOOKUP(D736,'[7]Database DP'!$C:$C,'[7]Database DP'!$F:$F,"Tidak Ditemukan")</f>
        <v>KHOLIL</v>
      </c>
      <c r="G736" s="21"/>
    </row>
    <row r="737" spans="2:7">
      <c r="B737" s="22" t="s">
        <v>668</v>
      </c>
      <c r="C737" s="23" t="s">
        <v>669</v>
      </c>
      <c r="D737" s="24" t="s">
        <v>774</v>
      </c>
      <c r="E737" s="25" t="s">
        <v>1722</v>
      </c>
      <c r="F737" s="16" t="str">
        <f>_xlfn.XLOOKUP(D737,'[7]Database DP'!$C:$C,'[7]Database DP'!$F:$F,"Tidak Ditemukan")</f>
        <v>KHOLIL</v>
      </c>
      <c r="G737" s="21"/>
    </row>
    <row r="738" spans="2:7">
      <c r="B738" s="22" t="s">
        <v>668</v>
      </c>
      <c r="C738" s="23" t="s">
        <v>669</v>
      </c>
      <c r="D738" s="24" t="s">
        <v>775</v>
      </c>
      <c r="E738" s="25" t="s">
        <v>1722</v>
      </c>
      <c r="F738" s="16" t="str">
        <f>_xlfn.XLOOKUP(D738,'[7]Database DP'!$C:$C,'[7]Database DP'!$F:$F,"Tidak Ditemukan")</f>
        <v>KHOLIL</v>
      </c>
      <c r="G738" s="21"/>
    </row>
    <row r="739" spans="2:7">
      <c r="B739" s="22" t="s">
        <v>668</v>
      </c>
      <c r="C739" s="23" t="s">
        <v>669</v>
      </c>
      <c r="D739" s="24" t="s">
        <v>776</v>
      </c>
      <c r="E739" s="25" t="s">
        <v>1722</v>
      </c>
      <c r="F739" s="16" t="str">
        <f>_xlfn.XLOOKUP(D739,'[7]Database DP'!$C:$C,'[7]Database DP'!$F:$F,"Tidak Ditemukan")</f>
        <v>SUPRIYADI</v>
      </c>
      <c r="G739" s="21"/>
    </row>
    <row r="740" spans="2:7">
      <c r="B740" s="22" t="s">
        <v>668</v>
      </c>
      <c r="C740" s="23" t="s">
        <v>669</v>
      </c>
      <c r="D740" s="24" t="s">
        <v>777</v>
      </c>
      <c r="E740" s="25" t="s">
        <v>1722</v>
      </c>
      <c r="F740" s="16" t="str">
        <f>_xlfn.XLOOKUP(D740,'[7]Database DP'!$C:$C,'[7]Database DP'!$F:$F,"Tidak Ditemukan")</f>
        <v>SUPRIYADI</v>
      </c>
      <c r="G740" s="21"/>
    </row>
    <row r="741" spans="2:7">
      <c r="B741" s="22" t="s">
        <v>668</v>
      </c>
      <c r="C741" s="23" t="s">
        <v>669</v>
      </c>
      <c r="D741" s="24" t="s">
        <v>778</v>
      </c>
      <c r="E741" s="25" t="s">
        <v>1722</v>
      </c>
      <c r="F741" s="16" t="str">
        <f>_xlfn.XLOOKUP(D741,'[7]Database DP'!$C:$C,'[7]Database DP'!$F:$F,"Tidak Ditemukan")</f>
        <v>SUPRIYADI</v>
      </c>
      <c r="G741" s="21"/>
    </row>
    <row r="742" spans="2:7">
      <c r="B742" s="22" t="s">
        <v>668</v>
      </c>
      <c r="C742" s="23" t="s">
        <v>669</v>
      </c>
      <c r="D742" s="24" t="s">
        <v>779</v>
      </c>
      <c r="E742" s="25" t="s">
        <v>1722</v>
      </c>
      <c r="F742" s="16" t="str">
        <f>_xlfn.XLOOKUP(D742,'[7]Database DP'!$C:$C,'[7]Database DP'!$F:$F,"Tidak Ditemukan")</f>
        <v>SUPRIYADI</v>
      </c>
      <c r="G742" s="21"/>
    </row>
    <row r="743" spans="2:7">
      <c r="B743" s="22" t="s">
        <v>668</v>
      </c>
      <c r="C743" s="23" t="s">
        <v>669</v>
      </c>
      <c r="D743" s="24" t="s">
        <v>780</v>
      </c>
      <c r="E743" s="25" t="s">
        <v>1722</v>
      </c>
      <c r="F743" s="16" t="str">
        <f>_xlfn.XLOOKUP(D743,'[7]Database DP'!$C:$C,'[7]Database DP'!$F:$F,"Tidak Ditemukan")</f>
        <v>SUPRIYADI</v>
      </c>
      <c r="G743" s="21"/>
    </row>
    <row r="744" spans="2:7">
      <c r="B744" s="22" t="s">
        <v>668</v>
      </c>
      <c r="C744" s="23" t="s">
        <v>669</v>
      </c>
      <c r="D744" s="24" t="s">
        <v>781</v>
      </c>
      <c r="E744" s="25" t="s">
        <v>1722</v>
      </c>
      <c r="F744" s="16" t="str">
        <f>_xlfn.XLOOKUP(D744,'[7]Database DP'!$C:$C,'[7]Database DP'!$F:$F,"Tidak Ditemukan")</f>
        <v>SUPRIYADI</v>
      </c>
      <c r="G744" s="21"/>
    </row>
    <row r="745" spans="2:7">
      <c r="B745" s="22" t="s">
        <v>668</v>
      </c>
      <c r="C745" s="23" t="s">
        <v>669</v>
      </c>
      <c r="D745" s="24" t="s">
        <v>782</v>
      </c>
      <c r="E745" s="25" t="s">
        <v>1722</v>
      </c>
      <c r="F745" s="16" t="str">
        <f>_xlfn.XLOOKUP(D745,'[7]Database DP'!$C:$C,'[7]Database DP'!$F:$F,"Tidak Ditemukan")</f>
        <v>SUPRIYADI</v>
      </c>
      <c r="G745" s="21"/>
    </row>
    <row r="746" spans="2:7">
      <c r="B746" s="22" t="s">
        <v>668</v>
      </c>
      <c r="C746" s="23" t="s">
        <v>669</v>
      </c>
      <c r="D746" s="24" t="s">
        <v>783</v>
      </c>
      <c r="E746" s="25" t="s">
        <v>1722</v>
      </c>
      <c r="F746" s="16" t="str">
        <f>_xlfn.XLOOKUP(D746,'[7]Database DP'!$C:$C,'[7]Database DP'!$F:$F,"Tidak Ditemukan")</f>
        <v>SUPRIYADI</v>
      </c>
      <c r="G746" s="21"/>
    </row>
    <row r="747" spans="2:7">
      <c r="B747" s="22" t="s">
        <v>668</v>
      </c>
      <c r="C747" s="23" t="s">
        <v>669</v>
      </c>
      <c r="D747" s="24" t="s">
        <v>784</v>
      </c>
      <c r="E747" s="25" t="s">
        <v>1722</v>
      </c>
      <c r="F747" s="16" t="str">
        <f>_xlfn.XLOOKUP(D747,'[7]Database DP'!$C:$C,'[7]Database DP'!$F:$F,"Tidak Ditemukan")</f>
        <v>SUPRIYADI</v>
      </c>
      <c r="G747" s="21"/>
    </row>
    <row r="748" spans="2:7">
      <c r="B748" s="22" t="s">
        <v>668</v>
      </c>
      <c r="C748" s="23" t="s">
        <v>669</v>
      </c>
      <c r="D748" s="24" t="s">
        <v>785</v>
      </c>
      <c r="E748" s="25" t="s">
        <v>1722</v>
      </c>
      <c r="F748" s="16" t="str">
        <f>_xlfn.XLOOKUP(D748,'[7]Database DP'!$C:$C,'[7]Database DP'!$F:$F,"Tidak Ditemukan")</f>
        <v>SUPRIYADI</v>
      </c>
      <c r="G748" s="21"/>
    </row>
    <row r="749" spans="2:7">
      <c r="B749" s="22" t="s">
        <v>668</v>
      </c>
      <c r="C749" s="23" t="s">
        <v>669</v>
      </c>
      <c r="D749" s="24" t="s">
        <v>786</v>
      </c>
      <c r="E749" s="25" t="s">
        <v>1722</v>
      </c>
      <c r="F749" s="16" t="str">
        <f>_xlfn.XLOOKUP(D749,'[7]Database DP'!$C:$C,'[7]Database DP'!$F:$F,"Tidak Ditemukan")</f>
        <v>SUPRIYADI</v>
      </c>
      <c r="G749" s="21"/>
    </row>
    <row r="750" spans="2:7">
      <c r="B750" s="22" t="s">
        <v>668</v>
      </c>
      <c r="C750" s="23" t="s">
        <v>669</v>
      </c>
      <c r="D750" s="24" t="s">
        <v>787</v>
      </c>
      <c r="E750" s="25" t="s">
        <v>1722</v>
      </c>
      <c r="F750" s="16" t="str">
        <f>_xlfn.XLOOKUP(D750,'[7]Database DP'!$C:$C,'[7]Database DP'!$F:$F,"Tidak Ditemukan")</f>
        <v>OKI</v>
      </c>
      <c r="G750" s="21"/>
    </row>
    <row r="751" spans="2:7">
      <c r="B751" s="22" t="s">
        <v>668</v>
      </c>
      <c r="C751" s="23" t="s">
        <v>669</v>
      </c>
      <c r="D751" s="24" t="s">
        <v>788</v>
      </c>
      <c r="E751" s="25" t="s">
        <v>1722</v>
      </c>
      <c r="F751" s="16" t="str">
        <f>_xlfn.XLOOKUP(D751,'[7]Database DP'!$C:$C,'[7]Database DP'!$F:$F,"Tidak Ditemukan")</f>
        <v>OKI</v>
      </c>
      <c r="G751" s="21"/>
    </row>
    <row r="752" spans="2:7">
      <c r="B752" s="22" t="s">
        <v>668</v>
      </c>
      <c r="C752" s="23" t="s">
        <v>669</v>
      </c>
      <c r="D752" s="24" t="s">
        <v>789</v>
      </c>
      <c r="E752" s="25" t="s">
        <v>1722</v>
      </c>
      <c r="F752" s="16" t="str">
        <f>_xlfn.XLOOKUP(D752,'[7]Database DP'!$C:$C,'[7]Database DP'!$F:$F,"Tidak Ditemukan")</f>
        <v>OKI</v>
      </c>
      <c r="G752" s="21"/>
    </row>
    <row r="753" spans="2:7">
      <c r="B753" s="22" t="s">
        <v>668</v>
      </c>
      <c r="C753" s="23" t="s">
        <v>669</v>
      </c>
      <c r="D753" s="24" t="s">
        <v>790</v>
      </c>
      <c r="E753" s="25" t="s">
        <v>1722</v>
      </c>
      <c r="F753" s="16" t="str">
        <f>_xlfn.XLOOKUP(D753,'[7]Database DP'!$C:$C,'[7]Database DP'!$F:$F,"Tidak Ditemukan")</f>
        <v>OKI</v>
      </c>
      <c r="G753" s="21"/>
    </row>
    <row r="754" spans="2:7">
      <c r="B754" s="22" t="s">
        <v>668</v>
      </c>
      <c r="C754" s="23" t="s">
        <v>669</v>
      </c>
      <c r="D754" s="24" t="s">
        <v>791</v>
      </c>
      <c r="E754" s="25" t="s">
        <v>1722</v>
      </c>
      <c r="F754" s="16" t="str">
        <f>_xlfn.XLOOKUP(D754,'[7]Database DP'!$C:$C,'[7]Database DP'!$F:$F,"Tidak Ditemukan")</f>
        <v>OKI</v>
      </c>
      <c r="G754" s="21"/>
    </row>
    <row r="755" spans="2:7">
      <c r="B755" s="22" t="s">
        <v>668</v>
      </c>
      <c r="C755" s="23" t="s">
        <v>669</v>
      </c>
      <c r="D755" s="24" t="s">
        <v>792</v>
      </c>
      <c r="E755" s="25" t="s">
        <v>1722</v>
      </c>
      <c r="F755" s="16" t="str">
        <f>_xlfn.XLOOKUP(D755,'[7]Database DP'!$C:$C,'[7]Database DP'!$F:$F,"Tidak Ditemukan")</f>
        <v>OKI</v>
      </c>
      <c r="G755" s="21"/>
    </row>
    <row r="756" spans="2:7">
      <c r="B756" s="22" t="s">
        <v>668</v>
      </c>
      <c r="C756" s="23" t="s">
        <v>669</v>
      </c>
      <c r="D756" s="24" t="s">
        <v>793</v>
      </c>
      <c r="E756" s="25" t="s">
        <v>1722</v>
      </c>
      <c r="F756" s="16" t="str">
        <f>_xlfn.XLOOKUP(D756,'[7]Database DP'!$C:$C,'[7]Database DP'!$F:$F,"Tidak Ditemukan")</f>
        <v>OKI</v>
      </c>
      <c r="G756" s="21"/>
    </row>
    <row r="757" spans="2:7">
      <c r="B757" s="22" t="s">
        <v>668</v>
      </c>
      <c r="C757" s="23" t="s">
        <v>669</v>
      </c>
      <c r="D757" s="24" t="s">
        <v>794</v>
      </c>
      <c r="E757" s="25" t="s">
        <v>1722</v>
      </c>
      <c r="F757" s="16" t="str">
        <f>_xlfn.XLOOKUP(D757,'[7]Database DP'!$C:$C,'[7]Database DP'!$F:$F,"Tidak Ditemukan")</f>
        <v>OKI</v>
      </c>
      <c r="G757" s="21"/>
    </row>
    <row r="758" spans="2:7">
      <c r="B758" s="22" t="s">
        <v>668</v>
      </c>
      <c r="C758" s="23" t="s">
        <v>669</v>
      </c>
      <c r="D758" s="24" t="s">
        <v>795</v>
      </c>
      <c r="E758" s="25" t="s">
        <v>1722</v>
      </c>
      <c r="F758" s="16" t="str">
        <f>_xlfn.XLOOKUP(D758,'[7]Database DP'!$C:$C,'[7]Database DP'!$F:$F,"Tidak Ditemukan")</f>
        <v>OKI</v>
      </c>
      <c r="G758" s="21"/>
    </row>
    <row r="759" spans="2:7">
      <c r="B759" s="22" t="s">
        <v>668</v>
      </c>
      <c r="C759" s="23" t="s">
        <v>669</v>
      </c>
      <c r="D759" s="24" t="s">
        <v>796</v>
      </c>
      <c r="E759" s="25" t="s">
        <v>1722</v>
      </c>
      <c r="F759" s="16" t="str">
        <f>_xlfn.XLOOKUP(D759,'[7]Database DP'!$C:$C,'[7]Database DP'!$F:$F,"Tidak Ditemukan")</f>
        <v>RAGIL</v>
      </c>
      <c r="G759" s="21"/>
    </row>
    <row r="760" spans="2:7">
      <c r="B760" s="22" t="s">
        <v>668</v>
      </c>
      <c r="C760" s="23" t="s">
        <v>669</v>
      </c>
      <c r="D760" s="24" t="s">
        <v>797</v>
      </c>
      <c r="E760" s="25" t="s">
        <v>1722</v>
      </c>
      <c r="F760" s="16" t="str">
        <f>_xlfn.XLOOKUP(D760,'[7]Database DP'!$C:$C,'[7]Database DP'!$F:$F,"Tidak Ditemukan")</f>
        <v>RAGIL</v>
      </c>
      <c r="G760" s="21"/>
    </row>
    <row r="761" spans="2:7">
      <c r="B761" s="22" t="s">
        <v>668</v>
      </c>
      <c r="C761" s="23" t="s">
        <v>669</v>
      </c>
      <c r="D761" s="24" t="s">
        <v>798</v>
      </c>
      <c r="E761" s="25" t="s">
        <v>1722</v>
      </c>
      <c r="F761" s="16" t="str">
        <f>_xlfn.XLOOKUP(D761,'[7]Database DP'!$C:$C,'[7]Database DP'!$F:$F,"Tidak Ditemukan")</f>
        <v>RAGIL</v>
      </c>
      <c r="G761" s="21"/>
    </row>
    <row r="762" spans="2:7">
      <c r="B762" s="22" t="s">
        <v>668</v>
      </c>
      <c r="C762" s="23" t="s">
        <v>669</v>
      </c>
      <c r="D762" s="24" t="s">
        <v>799</v>
      </c>
      <c r="E762" s="25" t="s">
        <v>1722</v>
      </c>
      <c r="F762" s="16" t="str">
        <f>_xlfn.XLOOKUP(D762,'[7]Database DP'!$C:$C,'[7]Database DP'!$F:$F,"Tidak Ditemukan")</f>
        <v>RAGIL</v>
      </c>
      <c r="G762" s="21"/>
    </row>
    <row r="763" spans="2:7">
      <c r="B763" s="22" t="s">
        <v>668</v>
      </c>
      <c r="C763" s="23" t="s">
        <v>669</v>
      </c>
      <c r="D763" s="24" t="s">
        <v>800</v>
      </c>
      <c r="E763" s="25" t="s">
        <v>1722</v>
      </c>
      <c r="F763" s="16" t="str">
        <f>_xlfn.XLOOKUP(D763,'[7]Database DP'!$C:$C,'[7]Database DP'!$F:$F,"Tidak Ditemukan")</f>
        <v>RAGIL</v>
      </c>
      <c r="G763" s="21"/>
    </row>
    <row r="764" spans="2:7">
      <c r="B764" s="22" t="s">
        <v>668</v>
      </c>
      <c r="C764" s="23" t="s">
        <v>669</v>
      </c>
      <c r="D764" s="24" t="s">
        <v>801</v>
      </c>
      <c r="E764" s="25" t="s">
        <v>1722</v>
      </c>
      <c r="F764" s="16" t="str">
        <f>_xlfn.XLOOKUP(D764,'[7]Database DP'!$C:$C,'[7]Database DP'!$F:$F,"Tidak Ditemukan")</f>
        <v>RAGIL</v>
      </c>
      <c r="G764" s="21"/>
    </row>
    <row r="765" spans="2:7">
      <c r="B765" s="22" t="s">
        <v>668</v>
      </c>
      <c r="C765" s="23" t="s">
        <v>669</v>
      </c>
      <c r="D765" s="24" t="s">
        <v>802</v>
      </c>
      <c r="E765" s="25" t="s">
        <v>1722</v>
      </c>
      <c r="F765" s="16" t="str">
        <f>_xlfn.XLOOKUP(D765,'[7]Database DP'!$C:$C,'[7]Database DP'!$F:$F,"Tidak Ditemukan")</f>
        <v>RAGIL</v>
      </c>
      <c r="G765" s="21"/>
    </row>
    <row r="766" spans="2:7">
      <c r="B766" s="22" t="s">
        <v>668</v>
      </c>
      <c r="C766" s="23" t="s">
        <v>669</v>
      </c>
      <c r="D766" s="24" t="s">
        <v>803</v>
      </c>
      <c r="E766" s="25" t="s">
        <v>1722</v>
      </c>
      <c r="F766" s="16" t="str">
        <f>_xlfn.XLOOKUP(D766,'[7]Database DP'!$C:$C,'[7]Database DP'!$F:$F,"Tidak Ditemukan")</f>
        <v>RAGIL</v>
      </c>
      <c r="G766" s="21"/>
    </row>
    <row r="767" spans="2:7">
      <c r="B767" s="22" t="s">
        <v>668</v>
      </c>
      <c r="C767" s="23" t="s">
        <v>669</v>
      </c>
      <c r="D767" s="24" t="s">
        <v>804</v>
      </c>
      <c r="E767" s="25" t="s">
        <v>1722</v>
      </c>
      <c r="F767" s="16" t="str">
        <f>_xlfn.XLOOKUP(D767,'[7]Database DP'!$C:$C,'[7]Database DP'!$F:$F,"Tidak Ditemukan")</f>
        <v>RAGIL</v>
      </c>
      <c r="G767" s="21"/>
    </row>
    <row r="768" spans="2:7">
      <c r="B768" s="22" t="s">
        <v>668</v>
      </c>
      <c r="C768" s="23" t="s">
        <v>669</v>
      </c>
      <c r="D768" s="24" t="s">
        <v>805</v>
      </c>
      <c r="E768" s="25" t="s">
        <v>1722</v>
      </c>
      <c r="F768" s="16" t="str">
        <f>_xlfn.XLOOKUP(D768,'[7]Database DP'!$C:$C,'[7]Database DP'!$F:$F,"Tidak Ditemukan")</f>
        <v>RAGIL</v>
      </c>
      <c r="G768" s="21"/>
    </row>
    <row r="769" spans="2:7">
      <c r="B769" s="22" t="s">
        <v>668</v>
      </c>
      <c r="C769" s="23" t="s">
        <v>669</v>
      </c>
      <c r="D769" s="24" t="s">
        <v>806</v>
      </c>
      <c r="E769" s="25" t="s">
        <v>1722</v>
      </c>
      <c r="F769" s="16" t="str">
        <f>_xlfn.XLOOKUP(D769,'[7]Database DP'!$C:$C,'[7]Database DP'!$F:$F,"Tidak Ditemukan")</f>
        <v>RAGIL</v>
      </c>
      <c r="G769" s="21"/>
    </row>
    <row r="770" spans="2:7">
      <c r="B770" s="22" t="s">
        <v>668</v>
      </c>
      <c r="C770" s="23" t="s">
        <v>669</v>
      </c>
      <c r="D770" s="24" t="s">
        <v>807</v>
      </c>
      <c r="E770" s="25" t="s">
        <v>1722</v>
      </c>
      <c r="F770" s="16" t="str">
        <f>_xlfn.XLOOKUP(D770,'[7]Database DP'!$C:$C,'[7]Database DP'!$F:$F,"Tidak Ditemukan")</f>
        <v>RAGIL</v>
      </c>
      <c r="G770" s="21"/>
    </row>
    <row r="771" spans="2:7">
      <c r="B771" s="22" t="s">
        <v>668</v>
      </c>
      <c r="C771" s="23" t="s">
        <v>669</v>
      </c>
      <c r="D771" s="24" t="s">
        <v>808</v>
      </c>
      <c r="E771" s="25" t="s">
        <v>1722</v>
      </c>
      <c r="F771" s="16" t="str">
        <f>_xlfn.XLOOKUP(D771,'[7]Database DP'!$C:$C,'[7]Database DP'!$F:$F,"Tidak Ditemukan")</f>
        <v>RENDRA</v>
      </c>
      <c r="G771" s="21"/>
    </row>
    <row r="772" spans="2:7">
      <c r="B772" s="22" t="s">
        <v>668</v>
      </c>
      <c r="C772" s="23" t="s">
        <v>669</v>
      </c>
      <c r="D772" s="24" t="s">
        <v>809</v>
      </c>
      <c r="E772" s="25" t="s">
        <v>1722</v>
      </c>
      <c r="F772" s="16" t="str">
        <f>_xlfn.XLOOKUP(D772,'[7]Database DP'!$C:$C,'[7]Database DP'!$F:$F,"Tidak Ditemukan")</f>
        <v>RENDRA</v>
      </c>
      <c r="G772" s="21"/>
    </row>
    <row r="773" spans="2:7">
      <c r="B773" s="22" t="s">
        <v>668</v>
      </c>
      <c r="C773" s="23" t="s">
        <v>669</v>
      </c>
      <c r="D773" s="24" t="s">
        <v>810</v>
      </c>
      <c r="E773" s="25" t="s">
        <v>1722</v>
      </c>
      <c r="F773" s="16" t="str">
        <f>_xlfn.XLOOKUP(D773,'[7]Database DP'!$C:$C,'[7]Database DP'!$F:$F,"Tidak Ditemukan")</f>
        <v>RENDRA</v>
      </c>
      <c r="G773" s="21"/>
    </row>
    <row r="774" spans="2:7">
      <c r="B774" s="22" t="s">
        <v>668</v>
      </c>
      <c r="C774" s="23" t="s">
        <v>669</v>
      </c>
      <c r="D774" s="24" t="s">
        <v>811</v>
      </c>
      <c r="E774" s="25" t="s">
        <v>1722</v>
      </c>
      <c r="F774" s="16" t="str">
        <f>_xlfn.XLOOKUP(D774,'[7]Database DP'!$C:$C,'[7]Database DP'!$F:$F,"Tidak Ditemukan")</f>
        <v>RENDRA</v>
      </c>
      <c r="G774" s="21"/>
    </row>
    <row r="775" spans="2:7">
      <c r="B775" s="22" t="s">
        <v>668</v>
      </c>
      <c r="C775" s="23" t="s">
        <v>669</v>
      </c>
      <c r="D775" s="24" t="s">
        <v>812</v>
      </c>
      <c r="E775" s="25" t="s">
        <v>1722</v>
      </c>
      <c r="F775" s="16" t="str">
        <f>_xlfn.XLOOKUP(D775,'[7]Database DP'!$C:$C,'[7]Database DP'!$F:$F,"Tidak Ditemukan")</f>
        <v>RENDRA</v>
      </c>
      <c r="G775" s="21"/>
    </row>
    <row r="776" spans="2:7">
      <c r="B776" s="22" t="s">
        <v>668</v>
      </c>
      <c r="C776" s="23" t="s">
        <v>669</v>
      </c>
      <c r="D776" s="24" t="s">
        <v>813</v>
      </c>
      <c r="E776" s="25" t="s">
        <v>1722</v>
      </c>
      <c r="F776" s="16" t="str">
        <f>_xlfn.XLOOKUP(D776,'[7]Database DP'!$C:$C,'[7]Database DP'!$F:$F,"Tidak Ditemukan")</f>
        <v>RENDRA</v>
      </c>
      <c r="G776" s="21"/>
    </row>
    <row r="777" spans="2:7">
      <c r="B777" s="22" t="s">
        <v>668</v>
      </c>
      <c r="C777" s="23" t="s">
        <v>669</v>
      </c>
      <c r="D777" s="24" t="s">
        <v>814</v>
      </c>
      <c r="E777" s="25" t="s">
        <v>1722</v>
      </c>
      <c r="F777" s="16" t="str">
        <f>_xlfn.XLOOKUP(D777,'[7]Database DP'!$C:$C,'[7]Database DP'!$F:$F,"Tidak Ditemukan")</f>
        <v>RENDRA</v>
      </c>
      <c r="G777" s="21"/>
    </row>
    <row r="778" spans="2:7">
      <c r="B778" s="22" t="s">
        <v>668</v>
      </c>
      <c r="C778" s="23" t="s">
        <v>669</v>
      </c>
      <c r="D778" s="24" t="s">
        <v>815</v>
      </c>
      <c r="E778" s="25" t="s">
        <v>1722</v>
      </c>
      <c r="F778" s="16" t="str">
        <f>_xlfn.XLOOKUP(D778,'[7]Database DP'!$C:$C,'[7]Database DP'!$F:$F,"Tidak Ditemukan")</f>
        <v>RENDRA</v>
      </c>
      <c r="G778" s="21"/>
    </row>
    <row r="779" spans="2:7">
      <c r="B779" s="22" t="s">
        <v>668</v>
      </c>
      <c r="C779" s="23" t="s">
        <v>669</v>
      </c>
      <c r="D779" s="24" t="s">
        <v>816</v>
      </c>
      <c r="E779" s="25" t="s">
        <v>1722</v>
      </c>
      <c r="F779" s="16" t="str">
        <f>_xlfn.XLOOKUP(D779,'[7]Database DP'!$C:$C,'[7]Database DP'!$F:$F,"Tidak Ditemukan")</f>
        <v>RENDRA</v>
      </c>
      <c r="G779" s="21"/>
    </row>
    <row r="780" spans="2:7">
      <c r="B780" s="22" t="s">
        <v>668</v>
      </c>
      <c r="C780" s="23" t="s">
        <v>669</v>
      </c>
      <c r="D780" s="24" t="s">
        <v>817</v>
      </c>
      <c r="E780" s="25" t="s">
        <v>1722</v>
      </c>
      <c r="F780" s="16" t="str">
        <f>_xlfn.XLOOKUP(D780,'[7]Database DP'!$C:$C,'[7]Database DP'!$F:$F,"Tidak Ditemukan")</f>
        <v>RENDRA</v>
      </c>
      <c r="G780" s="21"/>
    </row>
    <row r="781" spans="2:7">
      <c r="B781" s="22" t="s">
        <v>668</v>
      </c>
      <c r="C781" s="23" t="s">
        <v>669</v>
      </c>
      <c r="D781" s="24" t="s">
        <v>818</v>
      </c>
      <c r="E781" s="25" t="s">
        <v>1722</v>
      </c>
      <c r="F781" s="16" t="str">
        <f>_xlfn.XLOOKUP(D781,'[7]Database DP'!$C:$C,'[7]Database DP'!$F:$F,"Tidak Ditemukan")</f>
        <v>RENDRA</v>
      </c>
      <c r="G781" s="21"/>
    </row>
    <row r="782" spans="2:7">
      <c r="B782" s="22" t="s">
        <v>668</v>
      </c>
      <c r="C782" s="23" t="s">
        <v>669</v>
      </c>
      <c r="D782" s="24" t="s">
        <v>819</v>
      </c>
      <c r="E782" s="25" t="s">
        <v>1722</v>
      </c>
      <c r="F782" s="16" t="str">
        <f>_xlfn.XLOOKUP(D782,'[7]Database DP'!$C:$C,'[7]Database DP'!$F:$F,"Tidak Ditemukan")</f>
        <v>RENDRA</v>
      </c>
      <c r="G782" s="21"/>
    </row>
    <row r="783" spans="2:7">
      <c r="B783" s="22" t="s">
        <v>668</v>
      </c>
      <c r="C783" s="23" t="s">
        <v>669</v>
      </c>
      <c r="D783" s="24" t="s">
        <v>820</v>
      </c>
      <c r="E783" s="25" t="s">
        <v>1722</v>
      </c>
      <c r="F783" s="16" t="str">
        <f>_xlfn.XLOOKUP(D783,'[7]Database DP'!$C:$C,'[7]Database DP'!$F:$F,"Tidak Ditemukan")</f>
        <v>RENDRA</v>
      </c>
      <c r="G783" s="21"/>
    </row>
    <row r="784" spans="2:7">
      <c r="B784" s="22" t="s">
        <v>668</v>
      </c>
      <c r="C784" s="23" t="s">
        <v>669</v>
      </c>
      <c r="D784" s="24" t="s">
        <v>821</v>
      </c>
      <c r="E784" s="25" t="s">
        <v>1722</v>
      </c>
      <c r="F784" s="16" t="str">
        <f>_xlfn.XLOOKUP(D784,'[7]Database DP'!$C:$C,'[7]Database DP'!$F:$F,"Tidak Ditemukan")</f>
        <v>RENDRA</v>
      </c>
      <c r="G784" s="21"/>
    </row>
    <row r="785" spans="2:7">
      <c r="B785" s="22" t="s">
        <v>668</v>
      </c>
      <c r="C785" s="23" t="s">
        <v>669</v>
      </c>
      <c r="D785" s="24" t="s">
        <v>822</v>
      </c>
      <c r="E785" s="25" t="s">
        <v>1722</v>
      </c>
      <c r="F785" s="16" t="str">
        <f>_xlfn.XLOOKUP(D785,'[7]Database DP'!$C:$C,'[7]Database DP'!$F:$F,"Tidak Ditemukan")</f>
        <v>RENDRA</v>
      </c>
      <c r="G785" s="21"/>
    </row>
    <row r="786" spans="2:7">
      <c r="B786" s="22" t="s">
        <v>668</v>
      </c>
      <c r="C786" s="23" t="s">
        <v>669</v>
      </c>
      <c r="D786" s="24" t="s">
        <v>823</v>
      </c>
      <c r="E786" s="25" t="s">
        <v>1722</v>
      </c>
      <c r="F786" s="16" t="str">
        <f>_xlfn.XLOOKUP(D786,'[7]Database DP'!$C:$C,'[7]Database DP'!$F:$F,"Tidak Ditemukan")</f>
        <v>RENDRA</v>
      </c>
      <c r="G786" s="21"/>
    </row>
    <row r="787" spans="2:7">
      <c r="B787" s="22" t="s">
        <v>668</v>
      </c>
      <c r="C787" s="23" t="s">
        <v>669</v>
      </c>
      <c r="D787" s="24" t="s">
        <v>824</v>
      </c>
      <c r="E787" s="25" t="s">
        <v>1722</v>
      </c>
      <c r="F787" s="16" t="str">
        <f>_xlfn.XLOOKUP(D787,'[7]Database DP'!$C:$C,'[7]Database DP'!$F:$F,"Tidak Ditemukan")</f>
        <v>RENDRA</v>
      </c>
      <c r="G787" s="21"/>
    </row>
    <row r="788" spans="2:7">
      <c r="B788" s="22" t="s">
        <v>668</v>
      </c>
      <c r="C788" s="23" t="s">
        <v>669</v>
      </c>
      <c r="D788" s="24" t="s">
        <v>825</v>
      </c>
      <c r="E788" s="25" t="s">
        <v>1722</v>
      </c>
      <c r="F788" s="16" t="str">
        <f>_xlfn.XLOOKUP(D788,'[7]Database DP'!$C:$C,'[7]Database DP'!$F:$F,"Tidak Ditemukan")</f>
        <v>RENDRA</v>
      </c>
      <c r="G788" s="21"/>
    </row>
    <row r="789" spans="2:7">
      <c r="B789" s="22" t="s">
        <v>668</v>
      </c>
      <c r="C789" s="23" t="s">
        <v>669</v>
      </c>
      <c r="D789" s="24" t="s">
        <v>826</v>
      </c>
      <c r="E789" s="25" t="s">
        <v>1722</v>
      </c>
      <c r="F789" s="16" t="str">
        <f>_xlfn.XLOOKUP(D789,'[7]Database DP'!$C:$C,'[7]Database DP'!$F:$F,"Tidak Ditemukan")</f>
        <v>ARIF WIBOWO</v>
      </c>
      <c r="G789" s="21"/>
    </row>
    <row r="790" spans="2:7">
      <c r="B790" s="22" t="s">
        <v>668</v>
      </c>
      <c r="C790" s="23" t="s">
        <v>669</v>
      </c>
      <c r="D790" s="24" t="s">
        <v>827</v>
      </c>
      <c r="E790" s="25" t="s">
        <v>1722</v>
      </c>
      <c r="F790" s="16" t="str">
        <f>_xlfn.XLOOKUP(D790,'[7]Database DP'!$C:$C,'[7]Database DP'!$F:$F,"Tidak Ditemukan")</f>
        <v>ARIF WIBOWO</v>
      </c>
      <c r="G790" s="21"/>
    </row>
    <row r="791" spans="2:7">
      <c r="B791" s="22" t="s">
        <v>668</v>
      </c>
      <c r="C791" s="23" t="s">
        <v>669</v>
      </c>
      <c r="D791" s="24" t="s">
        <v>828</v>
      </c>
      <c r="E791" s="25" t="s">
        <v>1722</v>
      </c>
      <c r="F791" s="16" t="str">
        <f>_xlfn.XLOOKUP(D791,'[7]Database DP'!$C:$C,'[7]Database DP'!$F:$F,"Tidak Ditemukan")</f>
        <v>ARIF WIBOWO</v>
      </c>
      <c r="G791" s="21"/>
    </row>
    <row r="792" spans="2:7">
      <c r="B792" s="22" t="s">
        <v>668</v>
      </c>
      <c r="C792" s="23" t="s">
        <v>669</v>
      </c>
      <c r="D792" s="24" t="s">
        <v>829</v>
      </c>
      <c r="E792" s="25" t="s">
        <v>1722</v>
      </c>
      <c r="F792" s="16" t="str">
        <f>_xlfn.XLOOKUP(D792,'[7]Database DP'!$C:$C,'[7]Database DP'!$F:$F,"Tidak Ditemukan")</f>
        <v>ARIF WIBOWO</v>
      </c>
      <c r="G792" s="21"/>
    </row>
    <row r="793" spans="2:7">
      <c r="B793" s="22" t="s">
        <v>668</v>
      </c>
      <c r="C793" s="23" t="s">
        <v>669</v>
      </c>
      <c r="D793" s="24" t="s">
        <v>830</v>
      </c>
      <c r="E793" s="25" t="s">
        <v>1722</v>
      </c>
      <c r="F793" s="16" t="str">
        <f>_xlfn.XLOOKUP(D793,'[7]Database DP'!$C:$C,'[7]Database DP'!$F:$F,"Tidak Ditemukan")</f>
        <v>ARIF WIBOWO</v>
      </c>
      <c r="G793" s="21"/>
    </row>
    <row r="794" spans="2:7">
      <c r="B794" s="22" t="s">
        <v>668</v>
      </c>
      <c r="C794" s="23" t="s">
        <v>669</v>
      </c>
      <c r="D794" s="24" t="s">
        <v>831</v>
      </c>
      <c r="E794" s="25" t="s">
        <v>1722</v>
      </c>
      <c r="F794" s="16" t="str">
        <f>_xlfn.XLOOKUP(D794,'[7]Database DP'!$C:$C,'[7]Database DP'!$F:$F,"Tidak Ditemukan")</f>
        <v>ARIF WIBOWO</v>
      </c>
      <c r="G794" s="21"/>
    </row>
    <row r="795" spans="2:7">
      <c r="B795" s="22" t="s">
        <v>668</v>
      </c>
      <c r="C795" s="23" t="s">
        <v>669</v>
      </c>
      <c r="D795" s="24" t="s">
        <v>832</v>
      </c>
      <c r="E795" s="25" t="s">
        <v>1722</v>
      </c>
      <c r="F795" s="16" t="str">
        <f>_xlfn.XLOOKUP(D795,'[7]Database DP'!$C:$C,'[7]Database DP'!$F:$F,"Tidak Ditemukan")</f>
        <v>ARIF WIBOWO</v>
      </c>
      <c r="G795" s="21"/>
    </row>
    <row r="796" spans="2:7">
      <c r="B796" s="22" t="s">
        <v>668</v>
      </c>
      <c r="C796" s="23" t="s">
        <v>669</v>
      </c>
      <c r="D796" s="24" t="s">
        <v>833</v>
      </c>
      <c r="E796" s="25" t="s">
        <v>1722</v>
      </c>
      <c r="F796" s="16" t="str">
        <f>_xlfn.XLOOKUP(D796,'[7]Database DP'!$C:$C,'[7]Database DP'!$F:$F,"Tidak Ditemukan")</f>
        <v>ARIF WIBOWO</v>
      </c>
      <c r="G796" s="21"/>
    </row>
    <row r="797" spans="2:7">
      <c r="B797" s="22" t="s">
        <v>668</v>
      </c>
      <c r="C797" s="23" t="s">
        <v>669</v>
      </c>
      <c r="D797" s="24" t="s">
        <v>834</v>
      </c>
      <c r="E797" s="25" t="s">
        <v>1722</v>
      </c>
      <c r="F797" s="16" t="str">
        <f>_xlfn.XLOOKUP(D797,'[7]Database DP'!$C:$C,'[7]Database DP'!$F:$F,"Tidak Ditemukan")</f>
        <v>ARIF WIBOWO</v>
      </c>
      <c r="G797" s="21"/>
    </row>
    <row r="798" spans="2:7">
      <c r="B798" s="22" t="s">
        <v>668</v>
      </c>
      <c r="C798" s="23" t="s">
        <v>669</v>
      </c>
      <c r="D798" s="24" t="s">
        <v>835</v>
      </c>
      <c r="E798" s="25" t="s">
        <v>1722</v>
      </c>
      <c r="F798" s="16" t="str">
        <f>_xlfn.XLOOKUP(D798,'[7]Database DP'!$C:$C,'[7]Database DP'!$F:$F,"Tidak Ditemukan")</f>
        <v>RONY</v>
      </c>
      <c r="G798" s="21"/>
    </row>
    <row r="799" spans="2:7">
      <c r="B799" s="22" t="s">
        <v>668</v>
      </c>
      <c r="C799" s="23" t="s">
        <v>669</v>
      </c>
      <c r="D799" s="24" t="s">
        <v>836</v>
      </c>
      <c r="E799" s="25" t="s">
        <v>1722</v>
      </c>
      <c r="F799" s="16" t="str">
        <f>_xlfn.XLOOKUP(D799,'[7]Database DP'!$C:$C,'[7]Database DP'!$F:$F,"Tidak Ditemukan")</f>
        <v>RONY</v>
      </c>
      <c r="G799" s="21"/>
    </row>
    <row r="800" spans="2:7">
      <c r="B800" s="22" t="s">
        <v>668</v>
      </c>
      <c r="C800" s="23" t="s">
        <v>669</v>
      </c>
      <c r="D800" s="24" t="s">
        <v>837</v>
      </c>
      <c r="E800" s="25" t="s">
        <v>1722</v>
      </c>
      <c r="F800" s="16" t="str">
        <f>_xlfn.XLOOKUP(D800,'[7]Database DP'!$C:$C,'[7]Database DP'!$F:$F,"Tidak Ditemukan")</f>
        <v>RONY</v>
      </c>
      <c r="G800" s="21"/>
    </row>
    <row r="801" spans="2:7">
      <c r="B801" s="22" t="s">
        <v>668</v>
      </c>
      <c r="C801" s="23" t="s">
        <v>669</v>
      </c>
      <c r="D801" s="24" t="s">
        <v>838</v>
      </c>
      <c r="E801" s="25" t="s">
        <v>1722</v>
      </c>
      <c r="F801" s="16" t="str">
        <f>_xlfn.XLOOKUP(D801,'[7]Database DP'!$C:$C,'[7]Database DP'!$F:$F,"Tidak Ditemukan")</f>
        <v>RONY</v>
      </c>
      <c r="G801" s="21"/>
    </row>
    <row r="802" spans="2:7">
      <c r="B802" s="22" t="s">
        <v>668</v>
      </c>
      <c r="C802" s="23" t="s">
        <v>669</v>
      </c>
      <c r="D802" s="24" t="s">
        <v>839</v>
      </c>
      <c r="E802" s="25" t="s">
        <v>1722</v>
      </c>
      <c r="F802" s="16" t="str">
        <f>_xlfn.XLOOKUP(D802,'[7]Database DP'!$C:$C,'[7]Database DP'!$F:$F,"Tidak Ditemukan")</f>
        <v>RONY</v>
      </c>
      <c r="G802" s="21"/>
    </row>
    <row r="803" spans="2:7">
      <c r="B803" s="22" t="s">
        <v>668</v>
      </c>
      <c r="C803" s="23" t="s">
        <v>669</v>
      </c>
      <c r="D803" s="24" t="s">
        <v>840</v>
      </c>
      <c r="E803" s="25" t="s">
        <v>1745</v>
      </c>
      <c r="F803" s="16" t="str">
        <f>_xlfn.XLOOKUP(D803,'[7]Database DP'!$C:$C,'[7]Database DP'!$F:$F,"Tidak Ditemukan")</f>
        <v>RONY</v>
      </c>
      <c r="G803" s="21"/>
    </row>
    <row r="804" spans="2:7">
      <c r="B804" s="22" t="s">
        <v>668</v>
      </c>
      <c r="C804" s="23" t="s">
        <v>669</v>
      </c>
      <c r="D804" s="24" t="s">
        <v>841</v>
      </c>
      <c r="E804" s="25" t="s">
        <v>1745</v>
      </c>
      <c r="F804" s="16" t="str">
        <f>_xlfn.XLOOKUP(D804,'[7]Database DP'!$C:$C,'[7]Database DP'!$F:$F,"Tidak Ditemukan")</f>
        <v>RONY</v>
      </c>
      <c r="G804" s="21"/>
    </row>
    <row r="805" spans="2:7">
      <c r="B805" s="22" t="s">
        <v>668</v>
      </c>
      <c r="C805" s="23" t="s">
        <v>669</v>
      </c>
      <c r="D805" s="24" t="s">
        <v>842</v>
      </c>
      <c r="E805" s="25" t="s">
        <v>1745</v>
      </c>
      <c r="F805" s="16" t="str">
        <f>_xlfn.XLOOKUP(D805,'[7]Database DP'!$C:$C,'[7]Database DP'!$F:$F,"Tidak Ditemukan")</f>
        <v>RONY</v>
      </c>
      <c r="G805" s="21"/>
    </row>
    <row r="806" spans="2:7">
      <c r="B806" s="22" t="s">
        <v>668</v>
      </c>
      <c r="C806" s="23" t="s">
        <v>669</v>
      </c>
      <c r="D806" s="24" t="s">
        <v>843</v>
      </c>
      <c r="E806" s="25" t="s">
        <v>1722</v>
      </c>
      <c r="F806" s="16" t="str">
        <f>_xlfn.XLOOKUP(D806,'[7]Database DP'!$C:$C,'[7]Database DP'!$F:$F,"Tidak Ditemukan")</f>
        <v>RONY</v>
      </c>
      <c r="G806" s="21"/>
    </row>
    <row r="807" spans="2:7">
      <c r="B807" s="22" t="s">
        <v>668</v>
      </c>
      <c r="C807" s="23" t="s">
        <v>669</v>
      </c>
      <c r="D807" s="24" t="s">
        <v>844</v>
      </c>
      <c r="E807" s="25" t="s">
        <v>1722</v>
      </c>
      <c r="F807" s="16" t="str">
        <f>_xlfn.XLOOKUP(D807,'[7]Database DP'!$C:$C,'[7]Database DP'!$F:$F,"Tidak Ditemukan")</f>
        <v>RONY</v>
      </c>
      <c r="G807" s="21"/>
    </row>
    <row r="808" spans="2:7">
      <c r="B808" s="22" t="s">
        <v>668</v>
      </c>
      <c r="C808" s="23" t="s">
        <v>669</v>
      </c>
      <c r="D808" s="24" t="s">
        <v>845</v>
      </c>
      <c r="E808" s="25" t="s">
        <v>1722</v>
      </c>
      <c r="F808" s="16" t="str">
        <f>_xlfn.XLOOKUP(D808,'[7]Database DP'!$C:$C,'[7]Database DP'!$F:$F,"Tidak Ditemukan")</f>
        <v>SULIS</v>
      </c>
      <c r="G808" s="21"/>
    </row>
    <row r="809" spans="2:7">
      <c r="B809" s="22" t="s">
        <v>668</v>
      </c>
      <c r="C809" s="23" t="s">
        <v>669</v>
      </c>
      <c r="D809" s="24" t="s">
        <v>846</v>
      </c>
      <c r="E809" s="25" t="s">
        <v>1722</v>
      </c>
      <c r="F809" s="16" t="str">
        <f>_xlfn.XLOOKUP(D809,'[7]Database DP'!$C:$C,'[7]Database DP'!$F:$F,"Tidak Ditemukan")</f>
        <v>SULIS</v>
      </c>
      <c r="G809" s="21"/>
    </row>
    <row r="810" spans="2:7">
      <c r="B810" s="22" t="s">
        <v>668</v>
      </c>
      <c r="C810" s="23" t="s">
        <v>669</v>
      </c>
      <c r="D810" s="24" t="s">
        <v>847</v>
      </c>
      <c r="E810" s="25" t="s">
        <v>1722</v>
      </c>
      <c r="F810" s="16" t="str">
        <f>_xlfn.XLOOKUP(D810,'[7]Database DP'!$C:$C,'[7]Database DP'!$F:$F,"Tidak Ditemukan")</f>
        <v>SULIS</v>
      </c>
      <c r="G810" s="21"/>
    </row>
    <row r="811" spans="2:7">
      <c r="B811" s="22" t="s">
        <v>668</v>
      </c>
      <c r="C811" s="23" t="s">
        <v>669</v>
      </c>
      <c r="D811" s="24" t="s">
        <v>848</v>
      </c>
      <c r="E811" s="25" t="s">
        <v>1722</v>
      </c>
      <c r="F811" s="16" t="str">
        <f>_xlfn.XLOOKUP(D811,'[7]Database DP'!$C:$C,'[7]Database DP'!$F:$F,"Tidak Ditemukan")</f>
        <v>SULIS</v>
      </c>
      <c r="G811" s="21"/>
    </row>
    <row r="812" spans="2:7">
      <c r="B812" s="22" t="s">
        <v>668</v>
      </c>
      <c r="C812" s="23" t="s">
        <v>669</v>
      </c>
      <c r="D812" s="24" t="s">
        <v>849</v>
      </c>
      <c r="E812" s="25" t="s">
        <v>1722</v>
      </c>
      <c r="F812" s="16" t="str">
        <f>_xlfn.XLOOKUP(D812,'[7]Database DP'!$C:$C,'[7]Database DP'!$F:$F,"Tidak Ditemukan")</f>
        <v>SULIS</v>
      </c>
      <c r="G812" s="21"/>
    </row>
    <row r="813" spans="2:7">
      <c r="B813" s="22" t="s">
        <v>668</v>
      </c>
      <c r="C813" s="23" t="s">
        <v>669</v>
      </c>
      <c r="D813" s="24" t="s">
        <v>850</v>
      </c>
      <c r="E813" s="25" t="s">
        <v>1722</v>
      </c>
      <c r="F813" s="16" t="str">
        <f>_xlfn.XLOOKUP(D813,'[7]Database DP'!$C:$C,'[7]Database DP'!$F:$F,"Tidak Ditemukan")</f>
        <v>SULIS</v>
      </c>
      <c r="G813" s="21"/>
    </row>
    <row r="814" spans="2:7">
      <c r="B814" s="22" t="s">
        <v>668</v>
      </c>
      <c r="C814" s="23" t="s">
        <v>669</v>
      </c>
      <c r="D814" s="24" t="s">
        <v>851</v>
      </c>
      <c r="E814" s="25" t="s">
        <v>1722</v>
      </c>
      <c r="F814" s="16" t="str">
        <f>_xlfn.XLOOKUP(D814,'[7]Database DP'!$C:$C,'[7]Database DP'!$F:$F,"Tidak Ditemukan")</f>
        <v>SULIS</v>
      </c>
      <c r="G814" s="21"/>
    </row>
    <row r="815" spans="2:7">
      <c r="B815" s="22" t="s">
        <v>668</v>
      </c>
      <c r="C815" s="23" t="s">
        <v>669</v>
      </c>
      <c r="D815" s="24" t="s">
        <v>852</v>
      </c>
      <c r="E815" s="25" t="s">
        <v>1722</v>
      </c>
      <c r="F815" s="16" t="str">
        <f>_xlfn.XLOOKUP(D815,'[7]Database DP'!$C:$C,'[7]Database DP'!$F:$F,"Tidak Ditemukan")</f>
        <v>SULIS</v>
      </c>
      <c r="G815" s="21"/>
    </row>
    <row r="816" spans="2:7">
      <c r="B816" s="22" t="s">
        <v>668</v>
      </c>
      <c r="C816" s="23" t="s">
        <v>669</v>
      </c>
      <c r="D816" s="24" t="s">
        <v>853</v>
      </c>
      <c r="E816" s="25" t="s">
        <v>1722</v>
      </c>
      <c r="F816" s="16" t="str">
        <f>_xlfn.XLOOKUP(D816,'[7]Database DP'!$C:$C,'[7]Database DP'!$F:$F,"Tidak Ditemukan")</f>
        <v>RIZKY</v>
      </c>
      <c r="G816" s="21"/>
    </row>
    <row r="817" spans="2:7">
      <c r="B817" s="22" t="s">
        <v>668</v>
      </c>
      <c r="C817" s="23" t="s">
        <v>669</v>
      </c>
      <c r="D817" s="24" t="s">
        <v>854</v>
      </c>
      <c r="E817" s="25" t="s">
        <v>1722</v>
      </c>
      <c r="F817" s="16" t="str">
        <f>_xlfn.XLOOKUP(D817,'[7]Database DP'!$C:$C,'[7]Database DP'!$F:$F,"Tidak Ditemukan")</f>
        <v>RIZKY</v>
      </c>
      <c r="G817" s="21"/>
    </row>
    <row r="818" spans="2:7">
      <c r="B818" s="22" t="s">
        <v>668</v>
      </c>
      <c r="C818" s="23" t="s">
        <v>669</v>
      </c>
      <c r="D818" s="24" t="s">
        <v>855</v>
      </c>
      <c r="E818" s="25" t="s">
        <v>1722</v>
      </c>
      <c r="F818" s="16" t="str">
        <f>_xlfn.XLOOKUP(D818,'[7]Database DP'!$C:$C,'[7]Database DP'!$F:$F,"Tidak Ditemukan")</f>
        <v>RIZKY</v>
      </c>
      <c r="G818" s="21"/>
    </row>
    <row r="819" spans="2:7">
      <c r="B819" s="22" t="s">
        <v>668</v>
      </c>
      <c r="C819" s="23" t="s">
        <v>669</v>
      </c>
      <c r="D819" s="24" t="s">
        <v>856</v>
      </c>
      <c r="E819" s="25" t="s">
        <v>1722</v>
      </c>
      <c r="F819" s="16" t="str">
        <f>_xlfn.XLOOKUP(D819,'[7]Database DP'!$C:$C,'[7]Database DP'!$F:$F,"Tidak Ditemukan")</f>
        <v>RIZKY</v>
      </c>
      <c r="G819" s="21"/>
    </row>
    <row r="820" spans="2:7">
      <c r="B820" s="22" t="s">
        <v>668</v>
      </c>
      <c r="C820" s="23" t="s">
        <v>669</v>
      </c>
      <c r="D820" s="24" t="s">
        <v>857</v>
      </c>
      <c r="E820" s="25" t="s">
        <v>1722</v>
      </c>
      <c r="F820" s="16" t="str">
        <f>_xlfn.XLOOKUP(D820,'[7]Database DP'!$C:$C,'[7]Database DP'!$F:$F,"Tidak Ditemukan")</f>
        <v>RIZKY</v>
      </c>
      <c r="G820" s="21"/>
    </row>
    <row r="821" spans="2:7">
      <c r="B821" s="22" t="s">
        <v>668</v>
      </c>
      <c r="C821" s="23" t="s">
        <v>669</v>
      </c>
      <c r="D821" s="24" t="s">
        <v>858</v>
      </c>
      <c r="E821" s="25" t="s">
        <v>1722</v>
      </c>
      <c r="F821" s="16" t="str">
        <f>_xlfn.XLOOKUP(D821,'[7]Database DP'!$C:$C,'[7]Database DP'!$F:$F,"Tidak Ditemukan")</f>
        <v>RIZKY</v>
      </c>
      <c r="G821" s="21"/>
    </row>
    <row r="822" spans="2:7">
      <c r="B822" s="22" t="s">
        <v>668</v>
      </c>
      <c r="C822" s="23" t="s">
        <v>669</v>
      </c>
      <c r="D822" s="24" t="s">
        <v>859</v>
      </c>
      <c r="E822" s="25" t="s">
        <v>1722</v>
      </c>
      <c r="F822" s="16" t="str">
        <f>_xlfn.XLOOKUP(D822,'[7]Database DP'!$C:$C,'[7]Database DP'!$F:$F,"Tidak Ditemukan")</f>
        <v>RIZKY</v>
      </c>
      <c r="G822" s="21"/>
    </row>
    <row r="823" spans="2:7">
      <c r="B823" s="22" t="s">
        <v>668</v>
      </c>
      <c r="C823" s="23" t="s">
        <v>669</v>
      </c>
      <c r="D823" s="24" t="s">
        <v>860</v>
      </c>
      <c r="E823" s="25" t="s">
        <v>1722</v>
      </c>
      <c r="F823" s="16" t="str">
        <f>_xlfn.XLOOKUP(D823,'[7]Database DP'!$C:$C,'[7]Database DP'!$F:$F,"Tidak Ditemukan")</f>
        <v>WAWAN</v>
      </c>
      <c r="G823" s="21"/>
    </row>
    <row r="824" spans="2:7">
      <c r="B824" s="22" t="s">
        <v>668</v>
      </c>
      <c r="C824" s="23" t="s">
        <v>669</v>
      </c>
      <c r="D824" s="24" t="s">
        <v>861</v>
      </c>
      <c r="E824" s="25" t="s">
        <v>1722</v>
      </c>
      <c r="F824" s="16" t="str">
        <f>_xlfn.XLOOKUP(D824,'[7]Database DP'!$C:$C,'[7]Database DP'!$F:$F,"Tidak Ditemukan")</f>
        <v>WAWAN</v>
      </c>
      <c r="G824" s="21"/>
    </row>
    <row r="825" spans="2:7">
      <c r="B825" s="22" t="s">
        <v>668</v>
      </c>
      <c r="C825" s="23" t="s">
        <v>669</v>
      </c>
      <c r="D825" s="24" t="s">
        <v>862</v>
      </c>
      <c r="E825" s="25" t="s">
        <v>1722</v>
      </c>
      <c r="F825" s="16" t="str">
        <f>_xlfn.XLOOKUP(D825,'[7]Database DP'!$C:$C,'[7]Database DP'!$F:$F,"Tidak Ditemukan")</f>
        <v>WAWAN</v>
      </c>
      <c r="G825" s="21"/>
    </row>
    <row r="826" spans="2:7">
      <c r="B826" s="22" t="s">
        <v>668</v>
      </c>
      <c r="C826" s="23" t="s">
        <v>669</v>
      </c>
      <c r="D826" s="24" t="s">
        <v>863</v>
      </c>
      <c r="E826" s="25" t="s">
        <v>1722</v>
      </c>
      <c r="F826" s="16" t="str">
        <f>_xlfn.XLOOKUP(D826,'[7]Database DP'!$C:$C,'[7]Database DP'!$F:$F,"Tidak Ditemukan")</f>
        <v>WAWAN</v>
      </c>
      <c r="G826" s="21"/>
    </row>
    <row r="827" spans="2:7">
      <c r="B827" s="22" t="s">
        <v>668</v>
      </c>
      <c r="C827" s="23" t="s">
        <v>669</v>
      </c>
      <c r="D827" s="24" t="s">
        <v>864</v>
      </c>
      <c r="E827" s="25" t="s">
        <v>1722</v>
      </c>
      <c r="F827" s="16" t="str">
        <f>_xlfn.XLOOKUP(D827,'[7]Database DP'!$C:$C,'[7]Database DP'!$F:$F,"Tidak Ditemukan")</f>
        <v>WAWAN</v>
      </c>
      <c r="G827" s="21"/>
    </row>
    <row r="828" spans="2:7">
      <c r="B828" s="22" t="s">
        <v>668</v>
      </c>
      <c r="C828" s="23" t="s">
        <v>669</v>
      </c>
      <c r="D828" s="24" t="s">
        <v>865</v>
      </c>
      <c r="E828" s="25" t="s">
        <v>1722</v>
      </c>
      <c r="F828" s="16" t="str">
        <f>_xlfn.XLOOKUP(D828,'[7]Database DP'!$C:$C,'[7]Database DP'!$F:$F,"Tidak Ditemukan")</f>
        <v>WAWAN</v>
      </c>
      <c r="G828" s="21"/>
    </row>
    <row r="829" spans="2:7">
      <c r="B829" s="22" t="s">
        <v>668</v>
      </c>
      <c r="C829" s="23" t="s">
        <v>669</v>
      </c>
      <c r="D829" s="24" t="s">
        <v>866</v>
      </c>
      <c r="E829" s="25" t="s">
        <v>1722</v>
      </c>
      <c r="F829" s="16" t="str">
        <f>_xlfn.XLOOKUP(D829,'[7]Database DP'!$C:$C,'[7]Database DP'!$F:$F,"Tidak Ditemukan")</f>
        <v>WAWAN</v>
      </c>
      <c r="G829" s="21"/>
    </row>
    <row r="830" spans="2:7">
      <c r="B830" s="22" t="s">
        <v>668</v>
      </c>
      <c r="C830" s="23" t="s">
        <v>669</v>
      </c>
      <c r="D830" s="24" t="s">
        <v>867</v>
      </c>
      <c r="E830" s="25" t="s">
        <v>1722</v>
      </c>
      <c r="F830" s="16" t="str">
        <f>_xlfn.XLOOKUP(D830,'[7]Database DP'!$C:$C,'[7]Database DP'!$F:$F,"Tidak Ditemukan")</f>
        <v>WAWAN</v>
      </c>
      <c r="G830" s="21"/>
    </row>
    <row r="831" spans="2:7">
      <c r="B831" s="22" t="s">
        <v>668</v>
      </c>
      <c r="C831" s="23" t="s">
        <v>669</v>
      </c>
      <c r="D831" s="24" t="s">
        <v>868</v>
      </c>
      <c r="E831" s="25" t="s">
        <v>1722</v>
      </c>
      <c r="F831" s="16" t="str">
        <f>_xlfn.XLOOKUP(D831,'[7]Database DP'!$C:$C,'[7]Database DP'!$F:$F,"Tidak Ditemukan")</f>
        <v>WAWAN</v>
      </c>
      <c r="G831" s="21"/>
    </row>
    <row r="832" spans="2:7">
      <c r="B832" s="22" t="s">
        <v>668</v>
      </c>
      <c r="C832" s="23" t="s">
        <v>669</v>
      </c>
      <c r="D832" s="24" t="s">
        <v>869</v>
      </c>
      <c r="E832" s="25" t="s">
        <v>1722</v>
      </c>
      <c r="F832" s="16" t="str">
        <f>_xlfn.XLOOKUP(D832,'[7]Database DP'!$C:$C,'[7]Database DP'!$F:$F,"Tidak Ditemukan")</f>
        <v>WAWAN</v>
      </c>
      <c r="G832" s="21"/>
    </row>
    <row r="833" spans="2:7">
      <c r="B833" s="22" t="s">
        <v>668</v>
      </c>
      <c r="C833" s="23" t="s">
        <v>669</v>
      </c>
      <c r="D833" s="24" t="s">
        <v>870</v>
      </c>
      <c r="E833" s="25" t="s">
        <v>1722</v>
      </c>
      <c r="F833" s="16" t="str">
        <f>_xlfn.XLOOKUP(D833,'[7]Database DP'!$C:$C,'[7]Database DP'!$F:$F,"Tidak Ditemukan")</f>
        <v>WAWAN</v>
      </c>
      <c r="G833" s="21"/>
    </row>
    <row r="834" spans="2:7">
      <c r="B834" s="22" t="s">
        <v>668</v>
      </c>
      <c r="C834" s="23" t="s">
        <v>669</v>
      </c>
      <c r="D834" s="24" t="s">
        <v>871</v>
      </c>
      <c r="E834" s="25" t="s">
        <v>1722</v>
      </c>
      <c r="F834" s="16" t="str">
        <f>_xlfn.XLOOKUP(D834,'[7]Database DP'!$C:$C,'[7]Database DP'!$F:$F,"Tidak Ditemukan")</f>
        <v>WAWAN</v>
      </c>
      <c r="G834" s="21"/>
    </row>
    <row r="835" spans="2:7">
      <c r="B835" s="22" t="s">
        <v>668</v>
      </c>
      <c r="C835" s="23" t="s">
        <v>669</v>
      </c>
      <c r="D835" s="24" t="s">
        <v>872</v>
      </c>
      <c r="E835" s="25" t="s">
        <v>1722</v>
      </c>
      <c r="F835" s="16" t="str">
        <f>_xlfn.XLOOKUP(D835,'[7]Database DP'!$C:$C,'[7]Database DP'!$F:$F,"Tidak Ditemukan")</f>
        <v>YANUAR</v>
      </c>
      <c r="G835" s="21"/>
    </row>
    <row r="836" spans="2:7">
      <c r="B836" s="22" t="s">
        <v>668</v>
      </c>
      <c r="C836" s="23" t="s">
        <v>669</v>
      </c>
      <c r="D836" s="24" t="s">
        <v>873</v>
      </c>
      <c r="E836" s="25" t="s">
        <v>1722</v>
      </c>
      <c r="F836" s="16" t="str">
        <f>_xlfn.XLOOKUP(D836,'[7]Database DP'!$C:$C,'[7]Database DP'!$F:$F,"Tidak Ditemukan")</f>
        <v>YANUAR</v>
      </c>
      <c r="G836" s="21"/>
    </row>
    <row r="837" spans="2:7">
      <c r="B837" s="22" t="s">
        <v>668</v>
      </c>
      <c r="C837" s="23" t="s">
        <v>669</v>
      </c>
      <c r="D837" s="24" t="s">
        <v>874</v>
      </c>
      <c r="E837" s="25" t="s">
        <v>1722</v>
      </c>
      <c r="F837" s="16" t="str">
        <f>_xlfn.XLOOKUP(D837,'[7]Database DP'!$C:$C,'[7]Database DP'!$F:$F,"Tidak Ditemukan")</f>
        <v>YANUAR</v>
      </c>
      <c r="G837" s="21"/>
    </row>
    <row r="838" spans="2:7">
      <c r="B838" s="22" t="s">
        <v>668</v>
      </c>
      <c r="C838" s="23" t="s">
        <v>669</v>
      </c>
      <c r="D838" s="24" t="s">
        <v>875</v>
      </c>
      <c r="E838" s="25" t="s">
        <v>1722</v>
      </c>
      <c r="F838" s="16" t="str">
        <f>_xlfn.XLOOKUP(D838,'[7]Database DP'!$C:$C,'[7]Database DP'!$F:$F,"Tidak Ditemukan")</f>
        <v>YANUAR</v>
      </c>
      <c r="G838" s="21"/>
    </row>
    <row r="839" spans="2:7">
      <c r="B839" s="22" t="s">
        <v>668</v>
      </c>
      <c r="C839" s="23" t="s">
        <v>669</v>
      </c>
      <c r="D839" s="24" t="s">
        <v>876</v>
      </c>
      <c r="E839" s="25" t="s">
        <v>1722</v>
      </c>
      <c r="F839" s="16" t="str">
        <f>_xlfn.XLOOKUP(D839,'[7]Database DP'!$C:$C,'[7]Database DP'!$F:$F,"Tidak Ditemukan")</f>
        <v>YANUAR</v>
      </c>
      <c r="G839" s="21"/>
    </row>
    <row r="840" spans="2:7">
      <c r="B840" s="22" t="s">
        <v>668</v>
      </c>
      <c r="C840" s="23" t="s">
        <v>669</v>
      </c>
      <c r="D840" s="24" t="s">
        <v>877</v>
      </c>
      <c r="E840" s="25" t="s">
        <v>1722</v>
      </c>
      <c r="F840" s="16" t="str">
        <f>_xlfn.XLOOKUP(D840,'[7]Database DP'!$C:$C,'[7]Database DP'!$F:$F,"Tidak Ditemukan")</f>
        <v>YANUAR</v>
      </c>
      <c r="G840" s="21"/>
    </row>
    <row r="841" spans="2:7">
      <c r="B841" s="22" t="s">
        <v>668</v>
      </c>
      <c r="C841" s="23" t="s">
        <v>669</v>
      </c>
      <c r="D841" s="24" t="s">
        <v>878</v>
      </c>
      <c r="E841" s="25" t="s">
        <v>1722</v>
      </c>
      <c r="F841" s="16" t="str">
        <f>_xlfn.XLOOKUP(D841,'[7]Database DP'!$C:$C,'[7]Database DP'!$F:$F,"Tidak Ditemukan")</f>
        <v>YANUAR</v>
      </c>
      <c r="G841" s="21"/>
    </row>
    <row r="842" spans="2:7">
      <c r="B842" s="22" t="s">
        <v>668</v>
      </c>
      <c r="C842" s="23" t="s">
        <v>669</v>
      </c>
      <c r="D842" s="24" t="s">
        <v>879</v>
      </c>
      <c r="E842" s="25" t="s">
        <v>1722</v>
      </c>
      <c r="F842" s="16" t="str">
        <f>_xlfn.XLOOKUP(D842,'[7]Database DP'!$C:$C,'[7]Database DP'!$F:$F,"Tidak Ditemukan")</f>
        <v>YANUAR</v>
      </c>
      <c r="G842" s="21"/>
    </row>
    <row r="843" spans="2:7">
      <c r="B843" s="22" t="s">
        <v>668</v>
      </c>
      <c r="C843" s="23" t="s">
        <v>669</v>
      </c>
      <c r="D843" s="24" t="s">
        <v>880</v>
      </c>
      <c r="E843" s="25" t="s">
        <v>1722</v>
      </c>
      <c r="F843" s="16" t="str">
        <f>_xlfn.XLOOKUP(D843,'[7]Database DP'!$C:$C,'[7]Database DP'!$F:$F,"Tidak Ditemukan")</f>
        <v>YANUAR</v>
      </c>
      <c r="G843" s="21"/>
    </row>
    <row r="844" spans="2:7">
      <c r="B844" s="22" t="s">
        <v>668</v>
      </c>
      <c r="C844" s="23" t="s">
        <v>669</v>
      </c>
      <c r="D844" s="24" t="s">
        <v>881</v>
      </c>
      <c r="E844" s="25" t="s">
        <v>1722</v>
      </c>
      <c r="F844" s="16" t="str">
        <f>_xlfn.XLOOKUP(D844,'[7]Database DP'!$C:$C,'[7]Database DP'!$F:$F,"Tidak Ditemukan")</f>
        <v>YANUAR</v>
      </c>
      <c r="G844" s="21"/>
    </row>
    <row r="845" spans="2:7">
      <c r="B845" s="22" t="s">
        <v>668</v>
      </c>
      <c r="C845" s="23" t="s">
        <v>669</v>
      </c>
      <c r="D845" s="24" t="s">
        <v>882</v>
      </c>
      <c r="E845" s="25" t="s">
        <v>1722</v>
      </c>
      <c r="F845" s="16" t="str">
        <f>_xlfn.XLOOKUP(D845,'[7]Database DP'!$C:$C,'[7]Database DP'!$F:$F,"Tidak Ditemukan")</f>
        <v>YANUAR</v>
      </c>
      <c r="G845" s="21"/>
    </row>
    <row r="846" spans="2:7">
      <c r="B846" s="22" t="s">
        <v>668</v>
      </c>
      <c r="C846" s="23" t="s">
        <v>669</v>
      </c>
      <c r="D846" s="24" t="s">
        <v>883</v>
      </c>
      <c r="E846" s="25" t="s">
        <v>1722</v>
      </c>
      <c r="F846" s="16" t="str">
        <f>_xlfn.XLOOKUP(D846,'[7]Database DP'!$C:$C,'[7]Database DP'!$F:$F,"Tidak Ditemukan")</f>
        <v>YUDHA BRB</v>
      </c>
      <c r="G846" s="21"/>
    </row>
    <row r="847" spans="2:7">
      <c r="B847" s="22" t="s">
        <v>668</v>
      </c>
      <c r="C847" s="23" t="s">
        <v>669</v>
      </c>
      <c r="D847" s="24" t="s">
        <v>884</v>
      </c>
      <c r="E847" s="25" t="s">
        <v>1722</v>
      </c>
      <c r="F847" s="16" t="str">
        <f>_xlfn.XLOOKUP(D847,'[7]Database DP'!$C:$C,'[7]Database DP'!$F:$F,"Tidak Ditemukan")</f>
        <v>YUDHA BRB</v>
      </c>
      <c r="G847" s="21"/>
    </row>
    <row r="848" spans="2:7">
      <c r="B848" s="22" t="s">
        <v>668</v>
      </c>
      <c r="C848" s="23" t="s">
        <v>669</v>
      </c>
      <c r="D848" s="24" t="s">
        <v>885</v>
      </c>
      <c r="E848" s="25" t="s">
        <v>1722</v>
      </c>
      <c r="F848" s="16" t="str">
        <f>_xlfn.XLOOKUP(D848,'[7]Database DP'!$C:$C,'[7]Database DP'!$F:$F,"Tidak Ditemukan")</f>
        <v>YUDHA BRB</v>
      </c>
      <c r="G848" s="21"/>
    </row>
    <row r="849" spans="2:7">
      <c r="B849" s="22" t="s">
        <v>668</v>
      </c>
      <c r="C849" s="23" t="s">
        <v>669</v>
      </c>
      <c r="D849" s="24" t="s">
        <v>886</v>
      </c>
      <c r="E849" s="25" t="s">
        <v>1722</v>
      </c>
      <c r="F849" s="16" t="str">
        <f>_xlfn.XLOOKUP(D849,'[7]Database DP'!$C:$C,'[7]Database DP'!$F:$F,"Tidak Ditemukan")</f>
        <v>YUDHA BRB</v>
      </c>
      <c r="G849" s="21"/>
    </row>
    <row r="850" spans="2:7">
      <c r="B850" s="22" t="s">
        <v>668</v>
      </c>
      <c r="C850" s="23" t="s">
        <v>669</v>
      </c>
      <c r="D850" s="24" t="s">
        <v>887</v>
      </c>
      <c r="E850" s="25" t="s">
        <v>1722</v>
      </c>
      <c r="F850" s="16" t="str">
        <f>_xlfn.XLOOKUP(D850,'[7]Database DP'!$C:$C,'[7]Database DP'!$F:$F,"Tidak Ditemukan")</f>
        <v>YUDHA BRB</v>
      </c>
      <c r="G850" s="21"/>
    </row>
    <row r="851" spans="2:7">
      <c r="B851" s="22" t="s">
        <v>668</v>
      </c>
      <c r="C851" s="23" t="s">
        <v>669</v>
      </c>
      <c r="D851" s="24" t="s">
        <v>888</v>
      </c>
      <c r="E851" s="25" t="s">
        <v>1722</v>
      </c>
      <c r="F851" s="16" t="str">
        <f>_xlfn.XLOOKUP(D851,'[7]Database DP'!$C:$C,'[7]Database DP'!$F:$F,"Tidak Ditemukan")</f>
        <v>YUDHA BRB</v>
      </c>
      <c r="G851" s="21"/>
    </row>
    <row r="852" spans="2:7">
      <c r="B852" s="22" t="s">
        <v>668</v>
      </c>
      <c r="C852" s="23" t="s">
        <v>669</v>
      </c>
      <c r="D852" s="24" t="s">
        <v>889</v>
      </c>
      <c r="E852" s="25" t="s">
        <v>1722</v>
      </c>
      <c r="F852" s="16" t="str">
        <f>_xlfn.XLOOKUP(D852,'[7]Database DP'!$C:$C,'[7]Database DP'!$F:$F,"Tidak Ditemukan")</f>
        <v>YUDHA BRB</v>
      </c>
      <c r="G852" s="21"/>
    </row>
    <row r="853" spans="2:7">
      <c r="B853" s="22" t="s">
        <v>668</v>
      </c>
      <c r="C853" s="23" t="s">
        <v>669</v>
      </c>
      <c r="D853" s="24" t="s">
        <v>890</v>
      </c>
      <c r="E853" s="25" t="s">
        <v>1722</v>
      </c>
      <c r="F853" s="16" t="str">
        <f>_xlfn.XLOOKUP(D853,'[7]Database DP'!$C:$C,'[7]Database DP'!$F:$F,"Tidak Ditemukan")</f>
        <v>YUDHA BRB</v>
      </c>
      <c r="G853" s="21"/>
    </row>
    <row r="854" spans="2:7">
      <c r="B854" s="22" t="s">
        <v>668</v>
      </c>
      <c r="C854" s="23" t="s">
        <v>669</v>
      </c>
      <c r="D854" s="24" t="s">
        <v>891</v>
      </c>
      <c r="E854" s="25" t="s">
        <v>1722</v>
      </c>
      <c r="F854" s="16" t="str">
        <f>_xlfn.XLOOKUP(D854,'[7]Database DP'!$C:$C,'[7]Database DP'!$F:$F,"Tidak Ditemukan")</f>
        <v>YUDHA BRB</v>
      </c>
      <c r="G854" s="21"/>
    </row>
    <row r="855" spans="2:7">
      <c r="B855" s="22" t="s">
        <v>668</v>
      </c>
      <c r="C855" s="23" t="s">
        <v>669</v>
      </c>
      <c r="D855" s="24" t="s">
        <v>892</v>
      </c>
      <c r="E855" s="25" t="s">
        <v>1722</v>
      </c>
      <c r="F855" s="16" t="str">
        <f>_xlfn.XLOOKUP(D855,'[7]Database DP'!$C:$C,'[7]Database DP'!$F:$F,"Tidak Ditemukan")</f>
        <v>YUDHA BRB</v>
      </c>
      <c r="G855" s="21"/>
    </row>
    <row r="856" spans="2:7">
      <c r="B856" s="22" t="s">
        <v>668</v>
      </c>
      <c r="C856" s="23" t="s">
        <v>669</v>
      </c>
      <c r="D856" s="24" t="s">
        <v>893</v>
      </c>
      <c r="E856" s="25" t="s">
        <v>1722</v>
      </c>
      <c r="F856" s="16" t="str">
        <f>_xlfn.XLOOKUP(D856,'[7]Database DP'!$C:$C,'[7]Database DP'!$F:$F,"Tidak Ditemukan")</f>
        <v>YUDHA BRB</v>
      </c>
      <c r="G856" s="21"/>
    </row>
    <row r="857" spans="2:7">
      <c r="B857" s="22" t="s">
        <v>668</v>
      </c>
      <c r="C857" s="23" t="s">
        <v>669</v>
      </c>
      <c r="D857" s="24" t="s">
        <v>894</v>
      </c>
      <c r="E857" s="25" t="s">
        <v>1722</v>
      </c>
      <c r="F857" s="16" t="str">
        <f>_xlfn.XLOOKUP(D857,'[7]Database DP'!$C:$C,'[7]Database DP'!$F:$F,"Tidak Ditemukan")</f>
        <v>YUDHA BRB</v>
      </c>
      <c r="G857" s="21"/>
    </row>
    <row r="858" spans="2:7">
      <c r="B858" s="22" t="s">
        <v>668</v>
      </c>
      <c r="C858" s="23" t="s">
        <v>669</v>
      </c>
      <c r="D858" s="24" t="s">
        <v>895</v>
      </c>
      <c r="E858" s="25" t="s">
        <v>1722</v>
      </c>
      <c r="F858" s="16" t="str">
        <f>_xlfn.XLOOKUP(D858,'[7]Database DP'!$C:$C,'[7]Database DP'!$F:$F,"Tidak Ditemukan")</f>
        <v>YUDHA BRB</v>
      </c>
      <c r="G858" s="21"/>
    </row>
    <row r="859" spans="2:7">
      <c r="B859" s="22" t="s">
        <v>668</v>
      </c>
      <c r="C859" s="23" t="s">
        <v>669</v>
      </c>
      <c r="D859" s="24" t="s">
        <v>896</v>
      </c>
      <c r="E859" s="25" t="s">
        <v>1722</v>
      </c>
      <c r="F859" s="16" t="str">
        <f>_xlfn.XLOOKUP(D859,'[7]Database DP'!$C:$C,'[7]Database DP'!$F:$F,"Tidak Ditemukan")</f>
        <v>YUDHA BRB</v>
      </c>
      <c r="G859" s="21"/>
    </row>
    <row r="860" spans="2:7">
      <c r="B860" s="22" t="s">
        <v>668</v>
      </c>
      <c r="C860" s="23" t="s">
        <v>669</v>
      </c>
      <c r="D860" s="24" t="s">
        <v>897</v>
      </c>
      <c r="E860" s="25" t="s">
        <v>1722</v>
      </c>
      <c r="F860" s="16" t="str">
        <f>_xlfn.XLOOKUP(D860,'[7]Database DP'!$C:$C,'[7]Database DP'!$F:$F,"Tidak Ditemukan")</f>
        <v>YUDHA BRB</v>
      </c>
      <c r="G860" s="21"/>
    </row>
    <row r="861" spans="2:7">
      <c r="B861" s="22" t="s">
        <v>668</v>
      </c>
      <c r="C861" s="23" t="s">
        <v>669</v>
      </c>
      <c r="D861" s="24" t="s">
        <v>898</v>
      </c>
      <c r="E861" s="25" t="s">
        <v>1722</v>
      </c>
      <c r="F861" s="16" t="str">
        <f>_xlfn.XLOOKUP(D861,'[7]Database DP'!$C:$C,'[7]Database DP'!$F:$F,"Tidak Ditemukan")</f>
        <v>ZAENAL</v>
      </c>
      <c r="G861" s="21"/>
    </row>
    <row r="862" spans="2:7">
      <c r="B862" s="22" t="s">
        <v>668</v>
      </c>
      <c r="C862" s="23" t="s">
        <v>669</v>
      </c>
      <c r="D862" s="24" t="s">
        <v>899</v>
      </c>
      <c r="E862" s="25" t="s">
        <v>1722</v>
      </c>
      <c r="F862" s="16" t="str">
        <f>_xlfn.XLOOKUP(D862,'[7]Database DP'!$C:$C,'[7]Database DP'!$F:$F,"Tidak Ditemukan")</f>
        <v>ZAENAL</v>
      </c>
      <c r="G862" s="21"/>
    </row>
    <row r="863" spans="2:7">
      <c r="B863" s="22" t="s">
        <v>668</v>
      </c>
      <c r="C863" s="23" t="s">
        <v>669</v>
      </c>
      <c r="D863" s="24" t="s">
        <v>900</v>
      </c>
      <c r="E863" s="25" t="s">
        <v>1722</v>
      </c>
      <c r="F863" s="16" t="str">
        <f>_xlfn.XLOOKUP(D863,'[7]Database DP'!$C:$C,'[7]Database DP'!$F:$F,"Tidak Ditemukan")</f>
        <v>ZAENAL</v>
      </c>
      <c r="G863" s="21"/>
    </row>
    <row r="864" spans="2:7">
      <c r="B864" s="22" t="s">
        <v>668</v>
      </c>
      <c r="C864" s="23" t="s">
        <v>669</v>
      </c>
      <c r="D864" s="24" t="s">
        <v>901</v>
      </c>
      <c r="E864" s="25" t="s">
        <v>1722</v>
      </c>
      <c r="F864" s="16" t="str">
        <f>_xlfn.XLOOKUP(D864,'[7]Database DP'!$C:$C,'[7]Database DP'!$F:$F,"Tidak Ditemukan")</f>
        <v>ZAENAL</v>
      </c>
      <c r="G864" s="21"/>
    </row>
    <row r="865" spans="2:7">
      <c r="B865" s="22" t="s">
        <v>668</v>
      </c>
      <c r="C865" s="23" t="s">
        <v>669</v>
      </c>
      <c r="D865" s="24" t="s">
        <v>902</v>
      </c>
      <c r="E865" s="25" t="s">
        <v>1722</v>
      </c>
      <c r="F865" s="16" t="str">
        <f>_xlfn.XLOOKUP(D865,'[7]Database DP'!$C:$C,'[7]Database DP'!$F:$F,"Tidak Ditemukan")</f>
        <v>ZAENAL</v>
      </c>
      <c r="G865" s="21"/>
    </row>
    <row r="866" spans="2:7">
      <c r="B866" s="22" t="s">
        <v>668</v>
      </c>
      <c r="C866" s="23" t="s">
        <v>669</v>
      </c>
      <c r="D866" s="24" t="s">
        <v>903</v>
      </c>
      <c r="E866" s="25" t="s">
        <v>1722</v>
      </c>
      <c r="F866" s="16" t="str">
        <f>_xlfn.XLOOKUP(D866,'[7]Database DP'!$C:$C,'[7]Database DP'!$F:$F,"Tidak Ditemukan")</f>
        <v>ZAENAL</v>
      </c>
      <c r="G866" s="21"/>
    </row>
    <row r="867" spans="2:7">
      <c r="B867" s="22" t="s">
        <v>668</v>
      </c>
      <c r="C867" s="23" t="s">
        <v>669</v>
      </c>
      <c r="D867" s="24" t="s">
        <v>904</v>
      </c>
      <c r="E867" s="25" t="s">
        <v>1722</v>
      </c>
      <c r="F867" s="16" t="str">
        <f>_xlfn.XLOOKUP(D867,'[7]Database DP'!$C:$C,'[7]Database DP'!$F:$F,"Tidak Ditemukan")</f>
        <v>ZAENAL</v>
      </c>
      <c r="G867" s="21"/>
    </row>
    <row r="868" spans="2:7">
      <c r="B868" s="22" t="s">
        <v>668</v>
      </c>
      <c r="C868" s="23" t="s">
        <v>669</v>
      </c>
      <c r="D868" s="24" t="s">
        <v>905</v>
      </c>
      <c r="E868" s="25" t="s">
        <v>1722</v>
      </c>
      <c r="F868" s="16" t="str">
        <f>_xlfn.XLOOKUP(D868,'[7]Database DP'!$C:$C,'[7]Database DP'!$F:$F,"Tidak Ditemukan")</f>
        <v>ZAENAL</v>
      </c>
      <c r="G868" s="21"/>
    </row>
    <row r="869" spans="2:7">
      <c r="B869" s="22" t="s">
        <v>668</v>
      </c>
      <c r="C869" s="23" t="s">
        <v>669</v>
      </c>
      <c r="D869" s="24" t="s">
        <v>906</v>
      </c>
      <c r="E869" s="25" t="s">
        <v>1722</v>
      </c>
      <c r="F869" s="16" t="str">
        <f>_xlfn.XLOOKUP(D869,'[7]Database DP'!$C:$C,'[7]Database DP'!$F:$F,"Tidak Ditemukan")</f>
        <v>ZAENAL</v>
      </c>
      <c r="G869" s="21"/>
    </row>
    <row r="870" spans="2:7">
      <c r="B870" s="22" t="s">
        <v>668</v>
      </c>
      <c r="C870" s="23" t="s">
        <v>669</v>
      </c>
      <c r="D870" s="24" t="s">
        <v>907</v>
      </c>
      <c r="E870" s="25" t="s">
        <v>1722</v>
      </c>
      <c r="F870" s="16" t="str">
        <f>_xlfn.XLOOKUP(D870,'[7]Database DP'!$C:$C,'[7]Database DP'!$F:$F,"Tidak Ditemukan")</f>
        <v>ZAENAL</v>
      </c>
      <c r="G870" s="21"/>
    </row>
    <row r="871" spans="2:7">
      <c r="B871" s="22" t="s">
        <v>668</v>
      </c>
      <c r="C871" s="23" t="s">
        <v>669</v>
      </c>
      <c r="D871" s="24" t="s">
        <v>908</v>
      </c>
      <c r="E871" s="25" t="s">
        <v>1722</v>
      </c>
      <c r="F871" s="16" t="str">
        <f>_xlfn.XLOOKUP(D871,'[7]Database DP'!$C:$C,'[7]Database DP'!$F:$F,"Tidak Ditemukan")</f>
        <v>ZAENAL</v>
      </c>
      <c r="G871" s="21"/>
    </row>
    <row r="872" spans="2:7">
      <c r="B872" s="22" t="s">
        <v>668</v>
      </c>
      <c r="C872" s="23" t="s">
        <v>669</v>
      </c>
      <c r="D872" s="24" t="s">
        <v>909</v>
      </c>
      <c r="E872" s="25" t="s">
        <v>1722</v>
      </c>
      <c r="F872" s="16" t="str">
        <f>_xlfn.XLOOKUP(D872,'[7]Database DP'!$C:$C,'[7]Database DP'!$F:$F,"Tidak Ditemukan")</f>
        <v>ZAENAL</v>
      </c>
      <c r="G872" s="21"/>
    </row>
    <row r="873" spans="2:7">
      <c r="B873" s="22" t="s">
        <v>668</v>
      </c>
      <c r="C873" s="23" t="s">
        <v>669</v>
      </c>
      <c r="D873" s="24" t="s">
        <v>910</v>
      </c>
      <c r="E873" s="25" t="s">
        <v>1722</v>
      </c>
      <c r="F873" s="16" t="str">
        <f>_xlfn.XLOOKUP(D873,'[7]Database DP'!$C:$C,'[7]Database DP'!$F:$F,"Tidak Ditemukan")</f>
        <v>DIAZ</v>
      </c>
      <c r="G873" s="21"/>
    </row>
    <row r="874" spans="2:7">
      <c r="B874" s="22" t="s">
        <v>668</v>
      </c>
      <c r="C874" s="23" t="s">
        <v>669</v>
      </c>
      <c r="D874" s="24" t="s">
        <v>911</v>
      </c>
      <c r="E874" s="25" t="s">
        <v>1722</v>
      </c>
      <c r="F874" s="16" t="str">
        <f>_xlfn.XLOOKUP(D874,'[7]Database DP'!$C:$C,'[7]Database DP'!$F:$F,"Tidak Ditemukan")</f>
        <v>DIAZ</v>
      </c>
      <c r="G874" s="21"/>
    </row>
    <row r="875" spans="2:7">
      <c r="B875" s="22" t="s">
        <v>668</v>
      </c>
      <c r="C875" s="23" t="s">
        <v>669</v>
      </c>
      <c r="D875" s="24" t="s">
        <v>912</v>
      </c>
      <c r="E875" s="25" t="s">
        <v>1722</v>
      </c>
      <c r="F875" s="16" t="str">
        <f>_xlfn.XLOOKUP(D875,'[7]Database DP'!$C:$C,'[7]Database DP'!$F:$F,"Tidak Ditemukan")</f>
        <v>DIAZ</v>
      </c>
      <c r="G875" s="21"/>
    </row>
    <row r="876" spans="2:7">
      <c r="B876" s="22" t="s">
        <v>668</v>
      </c>
      <c r="C876" s="23" t="s">
        <v>669</v>
      </c>
      <c r="D876" s="24" t="s">
        <v>913</v>
      </c>
      <c r="E876" s="25" t="s">
        <v>1722</v>
      </c>
      <c r="F876" s="16" t="str">
        <f>_xlfn.XLOOKUP(D876,'[7]Database DP'!$C:$C,'[7]Database DP'!$F:$F,"Tidak Ditemukan")</f>
        <v>DIAZ</v>
      </c>
      <c r="G876" s="21"/>
    </row>
    <row r="877" spans="2:7">
      <c r="B877" s="22" t="s">
        <v>668</v>
      </c>
      <c r="C877" s="23" t="s">
        <v>669</v>
      </c>
      <c r="D877" s="24" t="s">
        <v>914</v>
      </c>
      <c r="E877" s="25" t="s">
        <v>1722</v>
      </c>
      <c r="F877" s="16" t="str">
        <f>_xlfn.XLOOKUP(D877,'[7]Database DP'!$C:$C,'[7]Database DP'!$F:$F,"Tidak Ditemukan")</f>
        <v>HERI</v>
      </c>
      <c r="G877" s="21"/>
    </row>
    <row r="878" spans="2:7">
      <c r="B878" s="22" t="s">
        <v>668</v>
      </c>
      <c r="C878" s="23" t="s">
        <v>669</v>
      </c>
      <c r="D878" s="24" t="s">
        <v>915</v>
      </c>
      <c r="E878" s="25" t="s">
        <v>1722</v>
      </c>
      <c r="F878" s="16" t="str">
        <f>_xlfn.XLOOKUP(D878,'[7]Database DP'!$C:$C,'[7]Database DP'!$F:$F,"Tidak Ditemukan")</f>
        <v>HERI</v>
      </c>
      <c r="G878" s="21"/>
    </row>
    <row r="879" spans="2:7">
      <c r="B879" s="22" t="s">
        <v>668</v>
      </c>
      <c r="C879" s="23" t="s">
        <v>669</v>
      </c>
      <c r="D879" s="24" t="s">
        <v>916</v>
      </c>
      <c r="E879" s="25" t="s">
        <v>1722</v>
      </c>
      <c r="F879" s="16" t="str">
        <f>_xlfn.XLOOKUP(D879,'[7]Database DP'!$C:$C,'[7]Database DP'!$F:$F,"Tidak Ditemukan")</f>
        <v>IRWAN</v>
      </c>
      <c r="G879" s="21"/>
    </row>
    <row r="880" spans="2:7">
      <c r="B880" s="22" t="s">
        <v>668</v>
      </c>
      <c r="C880" s="23" t="s">
        <v>669</v>
      </c>
      <c r="D880" s="24" t="s">
        <v>917</v>
      </c>
      <c r="E880" s="25" t="s">
        <v>1722</v>
      </c>
      <c r="F880" s="16" t="str">
        <f>_xlfn.XLOOKUP(D880,'[7]Database DP'!$C:$C,'[7]Database DP'!$F:$F,"Tidak Ditemukan")</f>
        <v>KHABIB</v>
      </c>
      <c r="G880" s="21"/>
    </row>
    <row r="881" spans="2:7">
      <c r="B881" s="22" t="s">
        <v>668</v>
      </c>
      <c r="C881" s="23" t="s">
        <v>669</v>
      </c>
      <c r="D881" s="24" t="s">
        <v>918</v>
      </c>
      <c r="E881" s="25" t="s">
        <v>1722</v>
      </c>
      <c r="F881" s="16" t="str">
        <f>_xlfn.XLOOKUP(D881,'[7]Database DP'!$C:$C,'[7]Database DP'!$F:$F,"Tidak Ditemukan")</f>
        <v>RAGIL</v>
      </c>
      <c r="G881" s="21"/>
    </row>
    <row r="882" spans="2:7">
      <c r="B882" s="22" t="s">
        <v>668</v>
      </c>
      <c r="C882" s="23" t="s">
        <v>669</v>
      </c>
      <c r="D882" s="24" t="s">
        <v>919</v>
      </c>
      <c r="E882" s="25" t="s">
        <v>1722</v>
      </c>
      <c r="F882" s="16" t="str">
        <f>_xlfn.XLOOKUP(D882,'[7]Database DP'!$C:$C,'[7]Database DP'!$F:$F,"Tidak Ditemukan")</f>
        <v>RAGIL</v>
      </c>
      <c r="G882" s="21"/>
    </row>
    <row r="883" spans="2:7">
      <c r="B883" s="22" t="s">
        <v>668</v>
      </c>
      <c r="C883" s="23" t="s">
        <v>669</v>
      </c>
      <c r="D883" s="24" t="s">
        <v>920</v>
      </c>
      <c r="E883" s="25" t="s">
        <v>1722</v>
      </c>
      <c r="F883" s="16" t="str">
        <f>_xlfn.XLOOKUP(D883,'[7]Database DP'!$C:$C,'[7]Database DP'!$F:$F,"Tidak Ditemukan")</f>
        <v>RAGIL</v>
      </c>
      <c r="G883" s="21"/>
    </row>
    <row r="884" spans="2:7">
      <c r="B884" s="22" t="s">
        <v>668</v>
      </c>
      <c r="C884" s="23" t="s">
        <v>669</v>
      </c>
      <c r="D884" s="24" t="s">
        <v>921</v>
      </c>
      <c r="E884" s="25" t="s">
        <v>1722</v>
      </c>
      <c r="F884" s="16" t="str">
        <f>_xlfn.XLOOKUP(D884,'[7]Database DP'!$C:$C,'[7]Database DP'!$F:$F,"Tidak Ditemukan")</f>
        <v>RAGIL</v>
      </c>
      <c r="G884" s="21"/>
    </row>
    <row r="885" spans="2:7">
      <c r="B885" s="22" t="s">
        <v>668</v>
      </c>
      <c r="C885" s="23" t="s">
        <v>669</v>
      </c>
      <c r="D885" s="24" t="s">
        <v>923</v>
      </c>
      <c r="E885" s="25" t="s">
        <v>1722</v>
      </c>
      <c r="F885" s="16" t="str">
        <f>_xlfn.XLOOKUP(D885,'[7]Database DP'!$C:$C,'[7]Database DP'!$F:$F,"Tidak Ditemukan")</f>
        <v>RONY</v>
      </c>
      <c r="G885" s="21"/>
    </row>
    <row r="886" spans="2:7">
      <c r="B886" s="22" t="s">
        <v>668</v>
      </c>
      <c r="C886" s="23" t="s">
        <v>669</v>
      </c>
      <c r="D886" s="24" t="s">
        <v>924</v>
      </c>
      <c r="E886" s="25" t="s">
        <v>1722</v>
      </c>
      <c r="F886" s="16" t="str">
        <f>_xlfn.XLOOKUP(D886,'[7]Database DP'!$C:$C,'[7]Database DP'!$F:$F,"Tidak Ditemukan")</f>
        <v>RONY</v>
      </c>
      <c r="G886" s="21"/>
    </row>
    <row r="887" spans="2:7">
      <c r="B887" s="22" t="s">
        <v>668</v>
      </c>
      <c r="C887" s="23" t="s">
        <v>669</v>
      </c>
      <c r="D887" s="24" t="s">
        <v>925</v>
      </c>
      <c r="E887" s="25" t="s">
        <v>1722</v>
      </c>
      <c r="F887" s="16" t="str">
        <f>_xlfn.XLOOKUP(D887,'[7]Database DP'!$C:$C,'[7]Database DP'!$F:$F,"Tidak Ditemukan")</f>
        <v>RONY</v>
      </c>
      <c r="G887" s="21"/>
    </row>
    <row r="888" spans="2:7">
      <c r="B888" s="22" t="s">
        <v>668</v>
      </c>
      <c r="C888" s="23" t="s">
        <v>669</v>
      </c>
      <c r="D888" s="24" t="s">
        <v>926</v>
      </c>
      <c r="E888" s="25" t="s">
        <v>1722</v>
      </c>
      <c r="F888" s="16" t="str">
        <f>_xlfn.XLOOKUP(D888,'[7]Database DP'!$C:$C,'[7]Database DP'!$F:$F,"Tidak Ditemukan")</f>
        <v>DIAZ</v>
      </c>
      <c r="G888" s="21"/>
    </row>
    <row r="889" spans="2:7">
      <c r="B889" s="22" t="s">
        <v>927</v>
      </c>
      <c r="C889" s="23" t="s">
        <v>928</v>
      </c>
      <c r="D889" s="24" t="s">
        <v>929</v>
      </c>
      <c r="E889" s="25" t="s">
        <v>1722</v>
      </c>
      <c r="F889" s="16" t="str">
        <f>_xlfn.XLOOKUP(D889,'[8]AGUSTUS 2026'!$B:$B,'[8]AGUSTUS 2026'!$I:$I,"Tidak Ditemukan")</f>
        <v>BIMO WALGITO</v>
      </c>
      <c r="G889" s="21"/>
    </row>
    <row r="890" spans="2:7">
      <c r="B890" s="22" t="s">
        <v>927</v>
      </c>
      <c r="C890" s="23" t="s">
        <v>928</v>
      </c>
      <c r="D890" s="24" t="s">
        <v>930</v>
      </c>
      <c r="E890" s="25" t="s">
        <v>1722</v>
      </c>
      <c r="F890" s="16" t="str">
        <f>_xlfn.XLOOKUP(D890,'[8]AGUSTUS 2026'!$B:$B,'[8]AGUSTUS 2026'!$I:$I,"Tidak Ditemukan")</f>
        <v>BIMO WALGITO</v>
      </c>
      <c r="G890" s="21"/>
    </row>
    <row r="891" spans="2:7">
      <c r="B891" s="22" t="s">
        <v>927</v>
      </c>
      <c r="C891" s="23" t="s">
        <v>928</v>
      </c>
      <c r="D891" s="24" t="s">
        <v>931</v>
      </c>
      <c r="E891" s="25" t="s">
        <v>1722</v>
      </c>
      <c r="F891" s="16" t="str">
        <f>_xlfn.XLOOKUP(D891,'[8]AGUSTUS 2026'!$B:$B,'[8]AGUSTUS 2026'!$I:$I,"Tidak Ditemukan")</f>
        <v>BIMO WALGITO</v>
      </c>
      <c r="G891" s="21"/>
    </row>
    <row r="892" spans="2:7">
      <c r="B892" s="22" t="s">
        <v>927</v>
      </c>
      <c r="C892" s="23" t="s">
        <v>928</v>
      </c>
      <c r="D892" s="24" t="s">
        <v>932</v>
      </c>
      <c r="E892" s="25" t="s">
        <v>1722</v>
      </c>
      <c r="F892" s="16" t="str">
        <f>_xlfn.XLOOKUP(D892,'[8]AGUSTUS 2026'!$B:$B,'[8]AGUSTUS 2026'!$I:$I,"Tidak Ditemukan")</f>
        <v>BIMO WALGITO</v>
      </c>
      <c r="G892" s="21"/>
    </row>
    <row r="893" spans="2:7">
      <c r="B893" s="22" t="s">
        <v>927</v>
      </c>
      <c r="C893" s="23" t="s">
        <v>928</v>
      </c>
      <c r="D893" s="24" t="s">
        <v>933</v>
      </c>
      <c r="E893" s="25" t="s">
        <v>1722</v>
      </c>
      <c r="F893" s="16" t="str">
        <f>_xlfn.XLOOKUP(D893,'[8]AGUSTUS 2026'!$B:$B,'[8]AGUSTUS 2026'!$I:$I,"Tidak Ditemukan")</f>
        <v>BIMO WALGITO</v>
      </c>
      <c r="G893" s="21"/>
    </row>
    <row r="894" spans="2:7">
      <c r="B894" s="22" t="s">
        <v>927</v>
      </c>
      <c r="C894" s="23" t="s">
        <v>928</v>
      </c>
      <c r="D894" s="24" t="s">
        <v>934</v>
      </c>
      <c r="E894" s="25" t="s">
        <v>1722</v>
      </c>
      <c r="F894" s="16" t="str">
        <f>_xlfn.XLOOKUP(D894,'[8]AGUSTUS 2026'!$B:$B,'[8]AGUSTUS 2026'!$I:$I,"Tidak Ditemukan")</f>
        <v>BIMO WALGITO</v>
      </c>
      <c r="G894" s="21"/>
    </row>
    <row r="895" spans="2:7">
      <c r="B895" s="22" t="s">
        <v>927</v>
      </c>
      <c r="C895" s="23" t="s">
        <v>928</v>
      </c>
      <c r="D895" s="24" t="s">
        <v>935</v>
      </c>
      <c r="E895" s="25" t="s">
        <v>1722</v>
      </c>
      <c r="F895" s="16" t="str">
        <f>_xlfn.XLOOKUP(D895,'[8]AGUSTUS 2026'!$B:$B,'[8]AGUSTUS 2026'!$I:$I,"Tidak Ditemukan")</f>
        <v>BIMO WALGITO</v>
      </c>
      <c r="G895" s="21"/>
    </row>
    <row r="896" spans="2:7">
      <c r="B896" s="22" t="s">
        <v>927</v>
      </c>
      <c r="C896" s="23" t="s">
        <v>928</v>
      </c>
      <c r="D896" s="24" t="s">
        <v>936</v>
      </c>
      <c r="E896" s="25" t="s">
        <v>1722</v>
      </c>
      <c r="F896" s="16" t="str">
        <f>_xlfn.XLOOKUP(D896,'[8]AGUSTUS 2026'!$B:$B,'[8]AGUSTUS 2026'!$I:$I,"Tidak Ditemukan")</f>
        <v>BIMO WALGITO</v>
      </c>
      <c r="G896" s="21"/>
    </row>
    <row r="897" spans="2:7">
      <c r="B897" s="22" t="s">
        <v>927</v>
      </c>
      <c r="C897" s="23" t="s">
        <v>928</v>
      </c>
      <c r="D897" s="24" t="s">
        <v>937</v>
      </c>
      <c r="E897" s="25" t="s">
        <v>1722</v>
      </c>
      <c r="F897" s="16" t="str">
        <f>_xlfn.XLOOKUP(D897,'[8]AGUSTUS 2026'!$B:$B,'[8]AGUSTUS 2026'!$I:$I,"Tidak Ditemukan")</f>
        <v>BIMO WALGITO</v>
      </c>
      <c r="G897" s="21"/>
    </row>
    <row r="898" spans="2:7">
      <c r="B898" s="22" t="s">
        <v>927</v>
      </c>
      <c r="C898" s="23" t="s">
        <v>928</v>
      </c>
      <c r="D898" s="24" t="s">
        <v>938</v>
      </c>
      <c r="E898" s="25" t="s">
        <v>1722</v>
      </c>
      <c r="F898" s="16" t="str">
        <f>_xlfn.XLOOKUP(D898,'[8]AGUSTUS 2026'!$B:$B,'[8]AGUSTUS 2026'!$I:$I,"Tidak Ditemukan")</f>
        <v>RIZKI NOFRIA WAHYUDI</v>
      </c>
      <c r="G898" s="21"/>
    </row>
    <row r="899" spans="2:7">
      <c r="B899" s="22" t="s">
        <v>927</v>
      </c>
      <c r="C899" s="23" t="s">
        <v>928</v>
      </c>
      <c r="D899" s="24" t="s">
        <v>939</v>
      </c>
      <c r="E899" s="25" t="s">
        <v>1722</v>
      </c>
      <c r="F899" s="16" t="str">
        <f>_xlfn.XLOOKUP(D899,'[8]AGUSTUS 2026'!$B:$B,'[8]AGUSTUS 2026'!$I:$I,"Tidak Ditemukan")</f>
        <v>RIZKI NOFRIA WAHYUDI</v>
      </c>
      <c r="G899" s="21"/>
    </row>
    <row r="900" spans="2:7">
      <c r="B900" s="22" t="s">
        <v>927</v>
      </c>
      <c r="C900" s="23" t="s">
        <v>928</v>
      </c>
      <c r="D900" s="24" t="s">
        <v>940</v>
      </c>
      <c r="E900" s="25" t="s">
        <v>1722</v>
      </c>
      <c r="F900" s="16" t="str">
        <f>_xlfn.XLOOKUP(D900,'[8]AGUSTUS 2026'!$B:$B,'[8]AGUSTUS 2026'!$I:$I,"Tidak Ditemukan")</f>
        <v>RIZKI NOFRIA WAHYUDI</v>
      </c>
      <c r="G900" s="21"/>
    </row>
    <row r="901" spans="2:7">
      <c r="B901" s="22" t="s">
        <v>927</v>
      </c>
      <c r="C901" s="23" t="s">
        <v>928</v>
      </c>
      <c r="D901" s="24" t="s">
        <v>941</v>
      </c>
      <c r="E901" s="25" t="s">
        <v>1722</v>
      </c>
      <c r="F901" s="16" t="str">
        <f>_xlfn.XLOOKUP(D901,'[8]AGUSTUS 2026'!$B:$B,'[8]AGUSTUS 2026'!$I:$I,"Tidak Ditemukan")</f>
        <v>RIZKI NOFRIA WAHYUDI</v>
      </c>
      <c r="G901" s="21"/>
    </row>
    <row r="902" spans="2:7">
      <c r="B902" s="22" t="s">
        <v>927</v>
      </c>
      <c r="C902" s="23" t="s">
        <v>928</v>
      </c>
      <c r="D902" s="24" t="s">
        <v>942</v>
      </c>
      <c r="E902" s="25" t="s">
        <v>1722</v>
      </c>
      <c r="F902" s="16" t="str">
        <f>_xlfn.XLOOKUP(D902,'[8]AGUSTUS 2026'!$B:$B,'[8]AGUSTUS 2026'!$I:$I,"Tidak Ditemukan")</f>
        <v>RIZKI NOFRIA WAHYUDI</v>
      </c>
      <c r="G902" s="21"/>
    </row>
    <row r="903" spans="2:7">
      <c r="B903" s="22" t="s">
        <v>927</v>
      </c>
      <c r="C903" s="23" t="s">
        <v>928</v>
      </c>
      <c r="D903" s="24" t="s">
        <v>943</v>
      </c>
      <c r="E903" s="25" t="s">
        <v>1722</v>
      </c>
      <c r="F903" s="16" t="str">
        <f>_xlfn.XLOOKUP(D903,'[8]AGUSTUS 2026'!$B:$B,'[8]AGUSTUS 2026'!$I:$I,"Tidak Ditemukan")</f>
        <v>RIZKI NOFRIA WAHYUDI</v>
      </c>
      <c r="G903" s="21"/>
    </row>
    <row r="904" spans="2:7">
      <c r="B904" s="22" t="s">
        <v>927</v>
      </c>
      <c r="C904" s="23" t="s">
        <v>928</v>
      </c>
      <c r="D904" s="24" t="s">
        <v>944</v>
      </c>
      <c r="E904" s="25" t="s">
        <v>1722</v>
      </c>
      <c r="F904" s="16" t="str">
        <f>_xlfn.XLOOKUP(D904,'[8]AGUSTUS 2026'!$B:$B,'[8]AGUSTUS 2026'!$I:$I,"Tidak Ditemukan")</f>
        <v>RIZKI NOFRIA WAHYUDI</v>
      </c>
      <c r="G904" s="21"/>
    </row>
    <row r="905" spans="2:7">
      <c r="B905" s="22" t="s">
        <v>927</v>
      </c>
      <c r="C905" s="23" t="s">
        <v>928</v>
      </c>
      <c r="D905" s="24" t="s">
        <v>945</v>
      </c>
      <c r="E905" s="25" t="s">
        <v>1722</v>
      </c>
      <c r="F905" s="16" t="str">
        <f>_xlfn.XLOOKUP(D905,'[8]AGUSTUS 2026'!$B:$B,'[8]AGUSTUS 2026'!$I:$I,"Tidak Ditemukan")</f>
        <v>RIZKI NOFRIA WAHYUDI</v>
      </c>
      <c r="G905" s="21"/>
    </row>
    <row r="906" spans="2:7">
      <c r="B906" s="22" t="s">
        <v>927</v>
      </c>
      <c r="C906" s="23" t="s">
        <v>928</v>
      </c>
      <c r="D906" s="24" t="s">
        <v>946</v>
      </c>
      <c r="E906" s="25" t="s">
        <v>1722</v>
      </c>
      <c r="F906" s="16" t="str">
        <f>_xlfn.XLOOKUP(D906,'[8]AGUSTUS 2026'!$B:$B,'[8]AGUSTUS 2026'!$I:$I,"Tidak Ditemukan")</f>
        <v>RIZKI NOFRIA WAHYUDI</v>
      </c>
      <c r="G906" s="21"/>
    </row>
    <row r="907" spans="2:7">
      <c r="B907" s="22" t="s">
        <v>927</v>
      </c>
      <c r="C907" s="23" t="s">
        <v>928</v>
      </c>
      <c r="D907" s="24" t="s">
        <v>947</v>
      </c>
      <c r="E907" s="25" t="s">
        <v>1722</v>
      </c>
      <c r="F907" s="16" t="str">
        <f>_xlfn.XLOOKUP(D907,'[8]AGUSTUS 2026'!$B:$B,'[8]AGUSTUS 2026'!$I:$I,"Tidak Ditemukan")</f>
        <v>RIZKI NOFRIA WAHYUDI</v>
      </c>
      <c r="G907" s="21"/>
    </row>
    <row r="908" spans="2:7">
      <c r="B908" s="22" t="s">
        <v>927</v>
      </c>
      <c r="C908" s="23" t="s">
        <v>928</v>
      </c>
      <c r="D908" s="24" t="s">
        <v>948</v>
      </c>
      <c r="E908" s="25" t="s">
        <v>1722</v>
      </c>
      <c r="F908" s="16" t="str">
        <f>_xlfn.XLOOKUP(D908,'[8]AGUSTUS 2026'!$B:$B,'[8]AGUSTUS 2026'!$I:$I,"Tidak Ditemukan")</f>
        <v>RIZKI NOFRIA WAHYUDI</v>
      </c>
      <c r="G908" s="21"/>
    </row>
    <row r="909" spans="2:7">
      <c r="B909" s="22" t="s">
        <v>927</v>
      </c>
      <c r="C909" s="23" t="s">
        <v>928</v>
      </c>
      <c r="D909" s="24" t="s">
        <v>949</v>
      </c>
      <c r="E909" s="25" t="s">
        <v>1722</v>
      </c>
      <c r="F909" s="16" t="str">
        <f>_xlfn.XLOOKUP(D909,'[8]AGUSTUS 2026'!$B:$B,'[8]AGUSTUS 2026'!$I:$I,"Tidak Ditemukan")</f>
        <v>RIZKI NOFRIA WAHYUDI</v>
      </c>
      <c r="G909" s="21"/>
    </row>
    <row r="910" spans="2:7">
      <c r="B910" s="22" t="s">
        <v>927</v>
      </c>
      <c r="C910" s="23" t="s">
        <v>928</v>
      </c>
      <c r="D910" s="24" t="s">
        <v>950</v>
      </c>
      <c r="E910" s="25" t="s">
        <v>1722</v>
      </c>
      <c r="F910" s="16" t="str">
        <f>_xlfn.XLOOKUP(D910,'[8]AGUSTUS 2026'!$B:$B,'[8]AGUSTUS 2026'!$I:$I,"Tidak Ditemukan")</f>
        <v>DIMAS DANU SOHIBAN</v>
      </c>
      <c r="G910" s="21"/>
    </row>
    <row r="911" spans="2:7">
      <c r="B911" s="22" t="s">
        <v>927</v>
      </c>
      <c r="C911" s="23" t="s">
        <v>928</v>
      </c>
      <c r="D911" s="24" t="s">
        <v>951</v>
      </c>
      <c r="E911" s="25" t="s">
        <v>1722</v>
      </c>
      <c r="F911" s="16" t="str">
        <f>_xlfn.XLOOKUP(D911,'[8]AGUSTUS 2026'!$B:$B,'[8]AGUSTUS 2026'!$I:$I,"Tidak Ditemukan")</f>
        <v>IFAN SUTIONO</v>
      </c>
      <c r="G911" s="21"/>
    </row>
    <row r="912" spans="2:7">
      <c r="B912" s="22" t="s">
        <v>927</v>
      </c>
      <c r="C912" s="23" t="s">
        <v>928</v>
      </c>
      <c r="D912" s="24" t="s">
        <v>952</v>
      </c>
      <c r="E912" s="25" t="s">
        <v>1722</v>
      </c>
      <c r="F912" s="16" t="str">
        <f>_xlfn.XLOOKUP(D912,'[8]AGUSTUS 2026'!$B:$B,'[8]AGUSTUS 2026'!$I:$I,"Tidak Ditemukan")</f>
        <v>DIMAS DANU SOHIBAN</v>
      </c>
      <c r="G912" s="21"/>
    </row>
    <row r="913" spans="2:7">
      <c r="B913" s="22" t="s">
        <v>927</v>
      </c>
      <c r="C913" s="23" t="s">
        <v>928</v>
      </c>
      <c r="D913" s="24" t="s">
        <v>953</v>
      </c>
      <c r="E913" s="25" t="s">
        <v>1722</v>
      </c>
      <c r="F913" s="16" t="str">
        <f>_xlfn.XLOOKUP(D913,'[8]AGUSTUS 2026'!$B:$B,'[8]AGUSTUS 2026'!$I:$I,"Tidak Ditemukan")</f>
        <v>DIMAS DANU SOHIBAN</v>
      </c>
      <c r="G913" s="21"/>
    </row>
    <row r="914" spans="2:7">
      <c r="B914" s="22" t="s">
        <v>927</v>
      </c>
      <c r="C914" s="23" t="s">
        <v>928</v>
      </c>
      <c r="D914" s="24" t="s">
        <v>954</v>
      </c>
      <c r="E914" s="25" t="s">
        <v>1722</v>
      </c>
      <c r="F914" s="16" t="str">
        <f>_xlfn.XLOOKUP(D914,'[8]AGUSTUS 2026'!$B:$B,'[8]AGUSTUS 2026'!$I:$I,"Tidak Ditemukan")</f>
        <v>IFAN SUTIONO</v>
      </c>
      <c r="G914" s="21"/>
    </row>
    <row r="915" spans="2:7">
      <c r="B915" s="22" t="s">
        <v>927</v>
      </c>
      <c r="C915" s="23" t="s">
        <v>928</v>
      </c>
      <c r="D915" s="24" t="s">
        <v>955</v>
      </c>
      <c r="E915" s="25" t="s">
        <v>1722</v>
      </c>
      <c r="F915" s="16" t="str">
        <f>_xlfn.XLOOKUP(D915,'[8]AGUSTUS 2026'!$B:$B,'[8]AGUSTUS 2026'!$I:$I,"Tidak Ditemukan")</f>
        <v>DIMAS DANU SOHIBAN</v>
      </c>
      <c r="G915" s="21"/>
    </row>
    <row r="916" spans="2:7">
      <c r="B916" s="22" t="s">
        <v>927</v>
      </c>
      <c r="C916" s="23" t="s">
        <v>928</v>
      </c>
      <c r="D916" s="24" t="s">
        <v>956</v>
      </c>
      <c r="E916" s="25" t="s">
        <v>1722</v>
      </c>
      <c r="F916" s="16" t="str">
        <f>_xlfn.XLOOKUP(D916,'[8]AGUSTUS 2026'!$B:$B,'[8]AGUSTUS 2026'!$I:$I,"Tidak Ditemukan")</f>
        <v>IFAN SUTIONO</v>
      </c>
      <c r="G916" s="21"/>
    </row>
    <row r="917" spans="2:7">
      <c r="B917" s="22" t="s">
        <v>927</v>
      </c>
      <c r="C917" s="23" t="s">
        <v>928</v>
      </c>
      <c r="D917" s="24" t="s">
        <v>957</v>
      </c>
      <c r="E917" s="25" t="s">
        <v>1722</v>
      </c>
      <c r="F917" s="16" t="str">
        <f>_xlfn.XLOOKUP(D917,'[8]AGUSTUS 2026'!$B:$B,'[8]AGUSTUS 2026'!$I:$I,"Tidak Ditemukan")</f>
        <v>IFAN SUTIONO</v>
      </c>
      <c r="G917" s="21"/>
    </row>
    <row r="918" spans="2:7">
      <c r="B918" s="22" t="s">
        <v>927</v>
      </c>
      <c r="C918" s="23" t="s">
        <v>928</v>
      </c>
      <c r="D918" s="24" t="s">
        <v>958</v>
      </c>
      <c r="E918" s="25" t="s">
        <v>1722</v>
      </c>
      <c r="F918" s="16" t="str">
        <f>_xlfn.XLOOKUP(D918,'[8]AGUSTUS 2026'!$B:$B,'[8]AGUSTUS 2026'!$I:$I,"Tidak Ditemukan")</f>
        <v>DIMAS DANU SOHIBAN</v>
      </c>
      <c r="G918" s="21"/>
    </row>
    <row r="919" spans="2:7">
      <c r="B919" s="22" t="s">
        <v>927</v>
      </c>
      <c r="C919" s="23" t="s">
        <v>928</v>
      </c>
      <c r="D919" s="24" t="s">
        <v>959</v>
      </c>
      <c r="E919" s="25" t="s">
        <v>1722</v>
      </c>
      <c r="F919" s="16" t="str">
        <f>_xlfn.XLOOKUP(D919,'[8]AGUSTUS 2026'!$B:$B,'[8]AGUSTUS 2026'!$I:$I,"Tidak Ditemukan")</f>
        <v>DIMAS DANU SOHIBAN</v>
      </c>
      <c r="G919" s="21"/>
    </row>
    <row r="920" spans="2:7">
      <c r="B920" s="22" t="s">
        <v>927</v>
      </c>
      <c r="C920" s="23" t="s">
        <v>928</v>
      </c>
      <c r="D920" s="24" t="s">
        <v>960</v>
      </c>
      <c r="E920" s="25" t="s">
        <v>1722</v>
      </c>
      <c r="F920" s="16" t="str">
        <f>_xlfn.XLOOKUP(D920,'[8]AGUSTUS 2026'!$B:$B,'[8]AGUSTUS 2026'!$I:$I,"Tidak Ditemukan")</f>
        <v>DIMAS DANU SOHIBAN</v>
      </c>
      <c r="G920" s="21"/>
    </row>
    <row r="921" spans="2:7">
      <c r="B921" s="22" t="s">
        <v>927</v>
      </c>
      <c r="C921" s="23" t="s">
        <v>928</v>
      </c>
      <c r="D921" s="24" t="s">
        <v>961</v>
      </c>
      <c r="E921" s="25" t="s">
        <v>1722</v>
      </c>
      <c r="F921" s="16" t="str">
        <f>_xlfn.XLOOKUP(D921,'[8]AGUSTUS 2026'!$B:$B,'[8]AGUSTUS 2026'!$I:$I,"Tidak Ditemukan")</f>
        <v>IFAN SUTIONO</v>
      </c>
      <c r="G921" s="21"/>
    </row>
    <row r="922" spans="2:7">
      <c r="B922" s="22" t="s">
        <v>927</v>
      </c>
      <c r="C922" s="23" t="s">
        <v>928</v>
      </c>
      <c r="D922" s="24" t="s">
        <v>962</v>
      </c>
      <c r="E922" s="25" t="s">
        <v>1722</v>
      </c>
      <c r="F922" s="16" t="str">
        <f>_xlfn.XLOOKUP(D922,'[8]AGUSTUS 2026'!$B:$B,'[8]AGUSTUS 2026'!$I:$I,"Tidak Ditemukan")</f>
        <v>IFAN SUTIONO</v>
      </c>
      <c r="G922" s="21"/>
    </row>
    <row r="923" spans="2:7">
      <c r="B923" s="22" t="s">
        <v>927</v>
      </c>
      <c r="C923" s="23" t="s">
        <v>928</v>
      </c>
      <c r="D923" s="24" t="s">
        <v>963</v>
      </c>
      <c r="E923" s="25" t="s">
        <v>1722</v>
      </c>
      <c r="F923" s="16" t="str">
        <f>_xlfn.XLOOKUP(D923,'[8]AGUSTUS 2026'!$B:$B,'[8]AGUSTUS 2026'!$I:$I,"Tidak Ditemukan")</f>
        <v>SURYA DWI J</v>
      </c>
      <c r="G923" s="21"/>
    </row>
    <row r="924" spans="2:7">
      <c r="B924" s="22" t="s">
        <v>927</v>
      </c>
      <c r="C924" s="23" t="s">
        <v>928</v>
      </c>
      <c r="D924" s="24" t="s">
        <v>964</v>
      </c>
      <c r="E924" s="25" t="s">
        <v>1722</v>
      </c>
      <c r="F924" s="16" t="str">
        <f>_xlfn.XLOOKUP(D924,'[8]AGUSTUS 2026'!$B:$B,'[8]AGUSTUS 2026'!$I:$I,"Tidak Ditemukan")</f>
        <v>SURYA DWI J</v>
      </c>
      <c r="G924" s="21"/>
    </row>
    <row r="925" spans="2:7">
      <c r="B925" s="22" t="s">
        <v>927</v>
      </c>
      <c r="C925" s="23" t="s">
        <v>928</v>
      </c>
      <c r="D925" s="24" t="s">
        <v>965</v>
      </c>
      <c r="E925" s="25" t="s">
        <v>1722</v>
      </c>
      <c r="F925" s="16" t="str">
        <f>_xlfn.XLOOKUP(D925,'[8]AGUSTUS 2026'!$B:$B,'[8]AGUSTUS 2026'!$I:$I,"Tidak Ditemukan")</f>
        <v>SURYA DWI J</v>
      </c>
      <c r="G925" s="21"/>
    </row>
    <row r="926" spans="2:7">
      <c r="B926" s="22" t="s">
        <v>927</v>
      </c>
      <c r="C926" s="23" t="s">
        <v>928</v>
      </c>
      <c r="D926" s="24" t="s">
        <v>966</v>
      </c>
      <c r="E926" s="25" t="s">
        <v>1722</v>
      </c>
      <c r="F926" s="16" t="str">
        <f>_xlfn.XLOOKUP(D926,'[8]AGUSTUS 2026'!$B:$B,'[8]AGUSTUS 2026'!$I:$I,"Tidak Ditemukan")</f>
        <v>SURYA DWI J</v>
      </c>
      <c r="G926" s="21"/>
    </row>
    <row r="927" spans="2:7">
      <c r="B927" s="22" t="s">
        <v>927</v>
      </c>
      <c r="C927" s="23" t="s">
        <v>928</v>
      </c>
      <c r="D927" s="24" t="s">
        <v>967</v>
      </c>
      <c r="E927" s="25" t="s">
        <v>1722</v>
      </c>
      <c r="F927" s="16" t="str">
        <f>_xlfn.XLOOKUP(D927,'[8]AGUSTUS 2026'!$B:$B,'[8]AGUSTUS 2026'!$I:$I,"Tidak Ditemukan")</f>
        <v>SURYA DWI J</v>
      </c>
      <c r="G927" s="21"/>
    </row>
    <row r="928" spans="2:7">
      <c r="B928" s="22" t="s">
        <v>927</v>
      </c>
      <c r="C928" s="23" t="s">
        <v>928</v>
      </c>
      <c r="D928" s="24" t="s">
        <v>968</v>
      </c>
      <c r="E928" s="25" t="s">
        <v>1722</v>
      </c>
      <c r="F928" s="16" t="str">
        <f>_xlfn.XLOOKUP(D928,'[8]AGUSTUS 2026'!$B:$B,'[8]AGUSTUS 2026'!$I:$I,"Tidak Ditemukan")</f>
        <v>SURYA DWI J</v>
      </c>
      <c r="G928" s="21"/>
    </row>
    <row r="929" spans="2:7">
      <c r="B929" s="22" t="s">
        <v>927</v>
      </c>
      <c r="C929" s="23" t="s">
        <v>928</v>
      </c>
      <c r="D929" s="24" t="s">
        <v>969</v>
      </c>
      <c r="E929" s="25" t="s">
        <v>1722</v>
      </c>
      <c r="F929" s="16" t="str">
        <f>_xlfn.XLOOKUP(D929,'[8]AGUSTUS 2026'!$B:$B,'[8]AGUSTUS 2026'!$I:$I,"Tidak Ditemukan")</f>
        <v>OKI WILLYANTO</v>
      </c>
      <c r="G929" s="21"/>
    </row>
    <row r="930" spans="2:7">
      <c r="B930" s="22" t="s">
        <v>927</v>
      </c>
      <c r="C930" s="23" t="s">
        <v>928</v>
      </c>
      <c r="D930" s="24" t="s">
        <v>970</v>
      </c>
      <c r="E930" s="25" t="s">
        <v>1722</v>
      </c>
      <c r="F930" s="16" t="str">
        <f>_xlfn.XLOOKUP(D930,'[8]AGUSTUS 2026'!$B:$B,'[8]AGUSTUS 2026'!$I:$I,"Tidak Ditemukan")</f>
        <v>FATAH MUSTOFA B</v>
      </c>
      <c r="G930" s="21"/>
    </row>
    <row r="931" spans="2:7">
      <c r="B931" s="22" t="s">
        <v>927</v>
      </c>
      <c r="C931" s="23" t="s">
        <v>928</v>
      </c>
      <c r="D931" s="24" t="s">
        <v>971</v>
      </c>
      <c r="E931" s="25" t="s">
        <v>1722</v>
      </c>
      <c r="F931" s="16" t="str">
        <f>_xlfn.XLOOKUP(D931,'[8]AGUSTUS 2026'!$B:$B,'[8]AGUSTUS 2026'!$I:$I,"Tidak Ditemukan")</f>
        <v>FATAH MUSTOFA B</v>
      </c>
      <c r="G931" s="21"/>
    </row>
    <row r="932" spans="2:7">
      <c r="B932" s="22" t="s">
        <v>927</v>
      </c>
      <c r="C932" s="23" t="s">
        <v>928</v>
      </c>
      <c r="D932" s="24" t="s">
        <v>972</v>
      </c>
      <c r="E932" s="25" t="s">
        <v>1722</v>
      </c>
      <c r="F932" s="16" t="str">
        <f>_xlfn.XLOOKUP(D932,'[8]AGUSTUS 2026'!$B:$B,'[8]AGUSTUS 2026'!$I:$I,"Tidak Ditemukan")</f>
        <v>FATAH MUSTOFA B</v>
      </c>
      <c r="G932" s="21"/>
    </row>
    <row r="933" spans="2:7">
      <c r="B933" s="22" t="s">
        <v>927</v>
      </c>
      <c r="C933" s="23" t="s">
        <v>928</v>
      </c>
      <c r="D933" s="24" t="s">
        <v>973</v>
      </c>
      <c r="E933" s="25" t="s">
        <v>1722</v>
      </c>
      <c r="F933" s="16" t="str">
        <f>_xlfn.XLOOKUP(D933,'[8]AGUSTUS 2026'!$B:$B,'[8]AGUSTUS 2026'!$I:$I,"Tidak Ditemukan")</f>
        <v>FATAH MUSTOFA B</v>
      </c>
      <c r="G933" s="21"/>
    </row>
    <row r="934" spans="2:7">
      <c r="B934" s="22" t="s">
        <v>927</v>
      </c>
      <c r="C934" s="23" t="s">
        <v>928</v>
      </c>
      <c r="D934" s="24" t="s">
        <v>974</v>
      </c>
      <c r="E934" s="25" t="s">
        <v>1722</v>
      </c>
      <c r="F934" s="16" t="str">
        <f>_xlfn.XLOOKUP(D934,'[8]AGUSTUS 2026'!$B:$B,'[8]AGUSTUS 2026'!$I:$I,"Tidak Ditemukan")</f>
        <v>FATAH MUSTOFA B</v>
      </c>
      <c r="G934" s="21"/>
    </row>
    <row r="935" spans="2:7">
      <c r="B935" s="22" t="s">
        <v>927</v>
      </c>
      <c r="C935" s="23" t="s">
        <v>928</v>
      </c>
      <c r="D935" s="24" t="s">
        <v>975</v>
      </c>
      <c r="E935" s="25" t="s">
        <v>1722</v>
      </c>
      <c r="F935" s="16" t="str">
        <f>_xlfn.XLOOKUP(D935,'[8]AGUSTUS 2026'!$B:$B,'[8]AGUSTUS 2026'!$I:$I,"Tidak Ditemukan")</f>
        <v>FATAH MUSTOFA B</v>
      </c>
      <c r="G935" s="21"/>
    </row>
    <row r="936" spans="2:7">
      <c r="B936" s="22" t="s">
        <v>927</v>
      </c>
      <c r="C936" s="23" t="s">
        <v>928</v>
      </c>
      <c r="D936" s="24" t="s">
        <v>976</v>
      </c>
      <c r="E936" s="25" t="s">
        <v>1722</v>
      </c>
      <c r="F936" s="16" t="str">
        <f>_xlfn.XLOOKUP(D936,'[8]AGUSTUS 2026'!$B:$B,'[8]AGUSTUS 2026'!$I:$I,"Tidak Ditemukan")</f>
        <v>FATAH MUSTOFA B</v>
      </c>
      <c r="G936" s="21"/>
    </row>
    <row r="937" spans="2:7">
      <c r="B937" s="22" t="s">
        <v>927</v>
      </c>
      <c r="C937" s="23" t="s">
        <v>928</v>
      </c>
      <c r="D937" s="24" t="s">
        <v>977</v>
      </c>
      <c r="E937" s="25" t="s">
        <v>1722</v>
      </c>
      <c r="F937" s="16" t="str">
        <f>_xlfn.XLOOKUP(D937,'[8]AGUSTUS 2026'!$B:$B,'[8]AGUSTUS 2026'!$I:$I,"Tidak Ditemukan")</f>
        <v>OKI WILLYANTO</v>
      </c>
      <c r="G937" s="21"/>
    </row>
    <row r="938" spans="2:7">
      <c r="B938" s="22" t="s">
        <v>927</v>
      </c>
      <c r="C938" s="23" t="s">
        <v>928</v>
      </c>
      <c r="D938" s="24" t="s">
        <v>978</v>
      </c>
      <c r="E938" s="25" t="s">
        <v>1722</v>
      </c>
      <c r="F938" s="16" t="str">
        <f>_xlfn.XLOOKUP(D938,'[8]AGUSTUS 2026'!$B:$B,'[8]AGUSTUS 2026'!$I:$I,"Tidak Ditemukan")</f>
        <v>FATAH MUSTOFA B</v>
      </c>
      <c r="G938" s="21"/>
    </row>
    <row r="939" spans="2:7">
      <c r="B939" s="22" t="s">
        <v>927</v>
      </c>
      <c r="C939" s="23" t="s">
        <v>928</v>
      </c>
      <c r="D939" s="24" t="s">
        <v>979</v>
      </c>
      <c r="E939" s="25" t="s">
        <v>1722</v>
      </c>
      <c r="F939" s="16" t="str">
        <f>_xlfn.XLOOKUP(D939,'[8]AGUSTUS 2026'!$B:$B,'[8]AGUSTUS 2026'!$I:$I,"Tidak Ditemukan")</f>
        <v>FATAH MUSTOFA B</v>
      </c>
      <c r="G939" s="21"/>
    </row>
    <row r="940" spans="2:7">
      <c r="B940" s="22" t="s">
        <v>927</v>
      </c>
      <c r="C940" s="23" t="s">
        <v>928</v>
      </c>
      <c r="D940" s="24" t="s">
        <v>980</v>
      </c>
      <c r="E940" s="25" t="s">
        <v>1722</v>
      </c>
      <c r="F940" s="16" t="str">
        <f>_xlfn.XLOOKUP(D940,'[8]AGUSTUS 2026'!$B:$B,'[8]AGUSTUS 2026'!$I:$I,"Tidak Ditemukan")</f>
        <v>LUTFI HARIYANTO</v>
      </c>
      <c r="G940" s="21"/>
    </row>
    <row r="941" spans="2:7">
      <c r="B941" s="22" t="s">
        <v>927</v>
      </c>
      <c r="C941" s="23" t="s">
        <v>928</v>
      </c>
      <c r="D941" s="24" t="s">
        <v>981</v>
      </c>
      <c r="E941" s="25" t="s">
        <v>1722</v>
      </c>
      <c r="F941" s="16" t="str">
        <f>_xlfn.XLOOKUP(D941,'[8]AGUSTUS 2026'!$B:$B,'[8]AGUSTUS 2026'!$I:$I,"Tidak Ditemukan")</f>
        <v>LUTFI HARIYANTO</v>
      </c>
      <c r="G941" s="21"/>
    </row>
    <row r="942" spans="2:7">
      <c r="B942" s="22" t="s">
        <v>927</v>
      </c>
      <c r="C942" s="23" t="s">
        <v>928</v>
      </c>
      <c r="D942" s="24" t="s">
        <v>982</v>
      </c>
      <c r="E942" s="25" t="s">
        <v>1722</v>
      </c>
      <c r="F942" s="16" t="str">
        <f>_xlfn.XLOOKUP(D942,'[8]AGUSTUS 2026'!$B:$B,'[8]AGUSTUS 2026'!$I:$I,"Tidak Ditemukan")</f>
        <v>LUTFI HARIYANTO</v>
      </c>
      <c r="G942" s="21"/>
    </row>
    <row r="943" spans="2:7">
      <c r="B943" s="22" t="s">
        <v>927</v>
      </c>
      <c r="C943" s="23" t="s">
        <v>928</v>
      </c>
      <c r="D943" s="24" t="s">
        <v>983</v>
      </c>
      <c r="E943" s="25" t="s">
        <v>1722</v>
      </c>
      <c r="F943" s="16" t="str">
        <f>_xlfn.XLOOKUP(D943,'[8]AGUSTUS 2026'!$B:$B,'[8]AGUSTUS 2026'!$I:$I,"Tidak Ditemukan")</f>
        <v>LUTFI HARIYANTO</v>
      </c>
      <c r="G943" s="21"/>
    </row>
    <row r="944" spans="2:7">
      <c r="B944" s="22" t="s">
        <v>927</v>
      </c>
      <c r="C944" s="23" t="s">
        <v>928</v>
      </c>
      <c r="D944" s="24" t="s">
        <v>984</v>
      </c>
      <c r="E944" s="25" t="s">
        <v>1722</v>
      </c>
      <c r="F944" s="16" t="str">
        <f>_xlfn.XLOOKUP(D944,'[8]AGUSTUS 2026'!$B:$B,'[8]AGUSTUS 2026'!$I:$I,"Tidak Ditemukan")</f>
        <v>LUTFI HARIYANTO</v>
      </c>
      <c r="G944" s="21"/>
    </row>
    <row r="945" spans="2:7">
      <c r="B945" s="22" t="s">
        <v>927</v>
      </c>
      <c r="C945" s="23" t="s">
        <v>928</v>
      </c>
      <c r="D945" s="24" t="s">
        <v>985</v>
      </c>
      <c r="E945" s="25" t="s">
        <v>1722</v>
      </c>
      <c r="F945" s="16" t="str">
        <f>_xlfn.XLOOKUP(D945,'[8]AGUSTUS 2026'!$B:$B,'[8]AGUSTUS 2026'!$I:$I,"Tidak Ditemukan")</f>
        <v>LUTFI HARIYANTO</v>
      </c>
      <c r="G945" s="21"/>
    </row>
    <row r="946" spans="2:7">
      <c r="B946" s="22" t="s">
        <v>927</v>
      </c>
      <c r="C946" s="23" t="s">
        <v>928</v>
      </c>
      <c r="D946" s="24" t="s">
        <v>986</v>
      </c>
      <c r="E946" s="25" t="s">
        <v>1722</v>
      </c>
      <c r="F946" s="16" t="str">
        <f>_xlfn.XLOOKUP(D946,'[8]AGUSTUS 2026'!$B:$B,'[8]AGUSTUS 2026'!$I:$I,"Tidak Ditemukan")</f>
        <v>LUTFI HARIYANTO</v>
      </c>
      <c r="G946" s="21"/>
    </row>
    <row r="947" spans="2:7">
      <c r="B947" s="22" t="s">
        <v>927</v>
      </c>
      <c r="C947" s="23" t="s">
        <v>928</v>
      </c>
      <c r="D947" s="24" t="s">
        <v>987</v>
      </c>
      <c r="E947" s="25" t="s">
        <v>1722</v>
      </c>
      <c r="F947" s="16" t="str">
        <f>_xlfn.XLOOKUP(D947,'[8]AGUSTUS 2026'!$B:$B,'[8]AGUSTUS 2026'!$I:$I,"Tidak Ditemukan")</f>
        <v>LUTFI HARIYANTO</v>
      </c>
      <c r="G947" s="21"/>
    </row>
    <row r="948" spans="2:7">
      <c r="B948" s="22" t="s">
        <v>927</v>
      </c>
      <c r="C948" s="23" t="s">
        <v>928</v>
      </c>
      <c r="D948" s="24" t="s">
        <v>988</v>
      </c>
      <c r="E948" s="25" t="s">
        <v>1722</v>
      </c>
      <c r="F948" s="16" t="str">
        <f>_xlfn.XLOOKUP(D948,'[8]AGUSTUS 2026'!$B:$B,'[8]AGUSTUS 2026'!$I:$I,"Tidak Ditemukan")</f>
        <v>LUTFI HARIYANTO</v>
      </c>
      <c r="G948" s="21"/>
    </row>
    <row r="949" spans="2:7">
      <c r="B949" s="22" t="s">
        <v>927</v>
      </c>
      <c r="C949" s="23" t="s">
        <v>928</v>
      </c>
      <c r="D949" s="24" t="s">
        <v>989</v>
      </c>
      <c r="E949" s="25" t="s">
        <v>1722</v>
      </c>
      <c r="F949" s="16" t="str">
        <f>_xlfn.XLOOKUP(D949,'[8]AGUSTUS 2026'!$B:$B,'[8]AGUSTUS 2026'!$I:$I,"Tidak Ditemukan")</f>
        <v>RASTO ZANU MUBIARTO</v>
      </c>
      <c r="G949" s="21"/>
    </row>
    <row r="950" spans="2:7">
      <c r="B950" s="22" t="s">
        <v>927</v>
      </c>
      <c r="C950" s="23" t="s">
        <v>928</v>
      </c>
      <c r="D950" s="24" t="s">
        <v>990</v>
      </c>
      <c r="E950" s="25" t="s">
        <v>1722</v>
      </c>
      <c r="F950" s="16" t="str">
        <f>_xlfn.XLOOKUP(D950,'[8]AGUSTUS 2026'!$B:$B,'[8]AGUSTUS 2026'!$I:$I,"Tidak Ditemukan")</f>
        <v>RASTO ZANU MUBIARTO</v>
      </c>
      <c r="G950" s="21"/>
    </row>
    <row r="951" spans="2:7">
      <c r="B951" s="22" t="s">
        <v>927</v>
      </c>
      <c r="C951" s="23" t="s">
        <v>928</v>
      </c>
      <c r="D951" s="24" t="s">
        <v>991</v>
      </c>
      <c r="E951" s="25" t="s">
        <v>1722</v>
      </c>
      <c r="F951" s="16" t="str">
        <f>_xlfn.XLOOKUP(D951,'[8]AGUSTUS 2026'!$B:$B,'[8]AGUSTUS 2026'!$I:$I,"Tidak Ditemukan")</f>
        <v>RASTO ZANU MUBIARTO</v>
      </c>
      <c r="G951" s="21"/>
    </row>
    <row r="952" spans="2:7">
      <c r="B952" s="22" t="s">
        <v>927</v>
      </c>
      <c r="C952" s="23" t="s">
        <v>928</v>
      </c>
      <c r="D952" s="24" t="s">
        <v>992</v>
      </c>
      <c r="E952" s="25" t="s">
        <v>1722</v>
      </c>
      <c r="F952" s="16" t="str">
        <f>_xlfn.XLOOKUP(D952,'[8]AGUSTUS 2026'!$B:$B,'[8]AGUSTUS 2026'!$I:$I,"Tidak Ditemukan")</f>
        <v>RASTO ZANU MUBIARTO</v>
      </c>
      <c r="G952" s="21"/>
    </row>
    <row r="953" spans="2:7">
      <c r="B953" s="22" t="s">
        <v>927</v>
      </c>
      <c r="C953" s="23" t="s">
        <v>928</v>
      </c>
      <c r="D953" s="24" t="s">
        <v>993</v>
      </c>
      <c r="E953" s="25" t="s">
        <v>1722</v>
      </c>
      <c r="F953" s="16" t="str">
        <f>_xlfn.XLOOKUP(D953,'[8]AGUSTUS 2026'!$B:$B,'[8]AGUSTUS 2026'!$I:$I,"Tidak Ditemukan")</f>
        <v>ADIMAS BAYU RADITYO</v>
      </c>
      <c r="G953" s="21"/>
    </row>
    <row r="954" spans="2:7">
      <c r="B954" s="22" t="s">
        <v>927</v>
      </c>
      <c r="C954" s="23" t="s">
        <v>928</v>
      </c>
      <c r="D954" s="24" t="s">
        <v>994</v>
      </c>
      <c r="E954" s="25" t="s">
        <v>1722</v>
      </c>
      <c r="F954" s="16" t="str">
        <f>_xlfn.XLOOKUP(D954,'[8]AGUSTUS 2026'!$B:$B,'[8]AGUSTUS 2026'!$I:$I,"Tidak Ditemukan")</f>
        <v>ADIMAS BAYU RADITYO</v>
      </c>
      <c r="G954" s="21"/>
    </row>
    <row r="955" spans="2:7">
      <c r="B955" s="22" t="s">
        <v>927</v>
      </c>
      <c r="C955" s="23" t="s">
        <v>928</v>
      </c>
      <c r="D955" s="24" t="s">
        <v>995</v>
      </c>
      <c r="E955" s="25" t="s">
        <v>1722</v>
      </c>
      <c r="F955" s="16" t="str">
        <f>_xlfn.XLOOKUP(D955,'[8]AGUSTUS 2026'!$B:$B,'[8]AGUSTUS 2026'!$I:$I,"Tidak Ditemukan")</f>
        <v>ADIMAS BAYU RADITYO</v>
      </c>
      <c r="G955" s="21"/>
    </row>
    <row r="956" spans="2:7">
      <c r="B956" s="22" t="s">
        <v>927</v>
      </c>
      <c r="C956" s="23" t="s">
        <v>928</v>
      </c>
      <c r="D956" s="24" t="s">
        <v>996</v>
      </c>
      <c r="E956" s="25" t="s">
        <v>1722</v>
      </c>
      <c r="F956" s="16" t="str">
        <f>_xlfn.XLOOKUP(D956,'[8]AGUSTUS 2026'!$B:$B,'[8]AGUSTUS 2026'!$I:$I,"Tidak Ditemukan")</f>
        <v>ADIMAS BAYU RADITYO</v>
      </c>
      <c r="G956" s="21"/>
    </row>
    <row r="957" spans="2:7">
      <c r="B957" s="22" t="s">
        <v>927</v>
      </c>
      <c r="C957" s="23" t="s">
        <v>928</v>
      </c>
      <c r="D957" s="24" t="s">
        <v>997</v>
      </c>
      <c r="E957" s="25" t="s">
        <v>1722</v>
      </c>
      <c r="F957" s="16" t="str">
        <f>_xlfn.XLOOKUP(D957,'[8]AGUSTUS 2026'!$B:$B,'[8]AGUSTUS 2026'!$I:$I,"Tidak Ditemukan")</f>
        <v>ADIMAS BAYU RADITYO</v>
      </c>
      <c r="G957" s="21"/>
    </row>
    <row r="958" spans="2:7">
      <c r="B958" s="22" t="s">
        <v>927</v>
      </c>
      <c r="C958" s="23" t="s">
        <v>928</v>
      </c>
      <c r="D958" s="24" t="s">
        <v>998</v>
      </c>
      <c r="E958" s="25" t="s">
        <v>1722</v>
      </c>
      <c r="F958" s="16" t="str">
        <f>_xlfn.XLOOKUP(D958,'[8]AGUSTUS 2026'!$B:$B,'[8]AGUSTUS 2026'!$I:$I,"Tidak Ditemukan")</f>
        <v>ADIMAS BAYU RADITYO</v>
      </c>
      <c r="G958" s="21"/>
    </row>
    <row r="959" spans="2:7">
      <c r="B959" s="22" t="s">
        <v>927</v>
      </c>
      <c r="C959" s="23" t="s">
        <v>928</v>
      </c>
      <c r="D959" s="24" t="s">
        <v>999</v>
      </c>
      <c r="E959" s="25" t="s">
        <v>1722</v>
      </c>
      <c r="F959" s="16" t="str">
        <f>_xlfn.XLOOKUP(D959,'[8]AGUSTUS 2026'!$B:$B,'[8]AGUSTUS 2026'!$I:$I,"Tidak Ditemukan")</f>
        <v>ADIMAS BAYU RADITYO</v>
      </c>
      <c r="G959" s="21"/>
    </row>
    <row r="960" spans="2:7">
      <c r="B960" s="22" t="s">
        <v>927</v>
      </c>
      <c r="C960" s="23" t="s">
        <v>928</v>
      </c>
      <c r="D960" s="24" t="s">
        <v>1000</v>
      </c>
      <c r="E960" s="25" t="s">
        <v>1722</v>
      </c>
      <c r="F960" s="16" t="str">
        <f>_xlfn.XLOOKUP(D960,'[8]AGUSTUS 2026'!$B:$B,'[8]AGUSTUS 2026'!$I:$I,"Tidak Ditemukan")</f>
        <v>ADIMAS BAYU RADITYO</v>
      </c>
      <c r="G960" s="21"/>
    </row>
    <row r="961" spans="2:7">
      <c r="B961" s="22" t="s">
        <v>927</v>
      </c>
      <c r="C961" s="23" t="s">
        <v>928</v>
      </c>
      <c r="D961" s="24" t="s">
        <v>1001</v>
      </c>
      <c r="E961" s="25" t="s">
        <v>1722</v>
      </c>
      <c r="F961" s="16" t="str">
        <f>_xlfn.XLOOKUP(D961,'[8]AGUSTUS 2026'!$B:$B,'[8]AGUSTUS 2026'!$I:$I,"Tidak Ditemukan")</f>
        <v>ADIMAS BAYU RADITYO</v>
      </c>
      <c r="G961" s="21"/>
    </row>
    <row r="962" spans="2:7">
      <c r="B962" s="22" t="s">
        <v>927</v>
      </c>
      <c r="C962" s="23" t="s">
        <v>928</v>
      </c>
      <c r="D962" s="24" t="s">
        <v>1002</v>
      </c>
      <c r="E962" s="25" t="s">
        <v>1722</v>
      </c>
      <c r="F962" s="16" t="str">
        <f>_xlfn.XLOOKUP(D962,'[8]AGUSTUS 2026'!$B:$B,'[8]AGUSTUS 2026'!$I:$I,"Tidak Ditemukan")</f>
        <v>ADIMAS BAYU RADITYO</v>
      </c>
      <c r="G962" s="21"/>
    </row>
    <row r="963" spans="2:7">
      <c r="B963" s="22" t="s">
        <v>927</v>
      </c>
      <c r="C963" s="23" t="s">
        <v>928</v>
      </c>
      <c r="D963" s="24" t="s">
        <v>1003</v>
      </c>
      <c r="E963" s="25" t="s">
        <v>1722</v>
      </c>
      <c r="F963" s="16" t="str">
        <f>_xlfn.XLOOKUP(D963,'[8]AGUSTUS 2026'!$B:$B,'[8]AGUSTUS 2026'!$I:$I,"Tidak Ditemukan")</f>
        <v>ADIMAS BAYU RADITYO</v>
      </c>
      <c r="G963" s="21"/>
    </row>
    <row r="964" spans="2:7">
      <c r="B964" s="22" t="s">
        <v>927</v>
      </c>
      <c r="C964" s="23" t="s">
        <v>928</v>
      </c>
      <c r="D964" s="24" t="s">
        <v>1004</v>
      </c>
      <c r="E964" s="25" t="s">
        <v>1722</v>
      </c>
      <c r="F964" s="16" t="str">
        <f>_xlfn.XLOOKUP(D964,'[8]AGUSTUS 2026'!$B:$B,'[8]AGUSTUS 2026'!$I:$I,"Tidak Ditemukan")</f>
        <v>ADIMAS BAYU RADITYO</v>
      </c>
      <c r="G964" s="21"/>
    </row>
    <row r="965" spans="2:7">
      <c r="B965" s="22" t="s">
        <v>927</v>
      </c>
      <c r="C965" s="23" t="s">
        <v>928</v>
      </c>
      <c r="D965" s="24" t="s">
        <v>1005</v>
      </c>
      <c r="E965" s="25" t="s">
        <v>1722</v>
      </c>
      <c r="F965" s="16" t="str">
        <f>_xlfn.XLOOKUP(D965,'[8]AGUSTUS 2026'!$B:$B,'[8]AGUSTUS 2026'!$I:$I,"Tidak Ditemukan")</f>
        <v>MUHAMMAD DENI HENDRO SUSILO</v>
      </c>
      <c r="G965" s="21"/>
    </row>
    <row r="966" spans="2:7">
      <c r="B966" s="22" t="s">
        <v>927</v>
      </c>
      <c r="C966" s="23" t="s">
        <v>928</v>
      </c>
      <c r="D966" s="24" t="s">
        <v>1006</v>
      </c>
      <c r="E966" s="25" t="s">
        <v>1722</v>
      </c>
      <c r="F966" s="16" t="str">
        <f>_xlfn.XLOOKUP(D966,'[8]AGUSTUS 2026'!$B:$B,'[8]AGUSTUS 2026'!$I:$I,"Tidak Ditemukan")</f>
        <v>MUHAMMAD DENI HENDRO SUSILO</v>
      </c>
      <c r="G966" s="21"/>
    </row>
    <row r="967" spans="2:7">
      <c r="B967" s="22" t="s">
        <v>927</v>
      </c>
      <c r="C967" s="23" t="s">
        <v>928</v>
      </c>
      <c r="D967" s="24" t="s">
        <v>1007</v>
      </c>
      <c r="E967" s="25" t="s">
        <v>1722</v>
      </c>
      <c r="F967" s="16" t="str">
        <f>_xlfn.XLOOKUP(D967,'[8]AGUSTUS 2026'!$B:$B,'[8]AGUSTUS 2026'!$I:$I,"Tidak Ditemukan")</f>
        <v>MUHAMMAD DENI HENDRO SUSILO</v>
      </c>
      <c r="G967" s="21"/>
    </row>
    <row r="968" spans="2:7">
      <c r="B968" s="22" t="s">
        <v>927</v>
      </c>
      <c r="C968" s="23" t="s">
        <v>928</v>
      </c>
      <c r="D968" s="24" t="s">
        <v>1008</v>
      </c>
      <c r="E968" s="25" t="s">
        <v>1722</v>
      </c>
      <c r="F968" s="16" t="str">
        <f>_xlfn.XLOOKUP(D968,'[8]AGUSTUS 2026'!$B:$B,'[8]AGUSTUS 2026'!$I:$I,"Tidak Ditemukan")</f>
        <v>MUHAMMAD DENI HENDRO SUSILO</v>
      </c>
      <c r="G968" s="21"/>
    </row>
    <row r="969" spans="2:7">
      <c r="B969" s="22" t="s">
        <v>927</v>
      </c>
      <c r="C969" s="23" t="s">
        <v>928</v>
      </c>
      <c r="D969" s="24" t="s">
        <v>1009</v>
      </c>
      <c r="E969" s="25" t="s">
        <v>1722</v>
      </c>
      <c r="F969" s="16" t="str">
        <f>_xlfn.XLOOKUP(D969,'[8]AGUSTUS 2026'!$B:$B,'[8]AGUSTUS 2026'!$I:$I,"Tidak Ditemukan")</f>
        <v>MUHAMMAD DENI HENDRO SUSILO</v>
      </c>
      <c r="G969" s="21"/>
    </row>
    <row r="970" spans="2:7">
      <c r="B970" s="22" t="s">
        <v>927</v>
      </c>
      <c r="C970" s="23" t="s">
        <v>928</v>
      </c>
      <c r="D970" s="24" t="s">
        <v>1010</v>
      </c>
      <c r="E970" s="25" t="s">
        <v>1722</v>
      </c>
      <c r="F970" s="16" t="str">
        <f>_xlfn.XLOOKUP(D970,'[8]AGUSTUS 2026'!$B:$B,'[8]AGUSTUS 2026'!$I:$I,"Tidak Ditemukan")</f>
        <v>MUHAMMAD DENI HENDRO SUSILO</v>
      </c>
      <c r="G970" s="21"/>
    </row>
    <row r="971" spans="2:7">
      <c r="B971" s="22" t="s">
        <v>927</v>
      </c>
      <c r="C971" s="23" t="s">
        <v>928</v>
      </c>
      <c r="D971" s="24" t="s">
        <v>1011</v>
      </c>
      <c r="E971" s="25" t="s">
        <v>1722</v>
      </c>
      <c r="F971" s="16" t="str">
        <f>_xlfn.XLOOKUP(D971,'[8]AGUSTUS 2026'!$B:$B,'[8]AGUSTUS 2026'!$I:$I,"Tidak Ditemukan")</f>
        <v>MUHAMMAD DENI HENDRO SUSILO</v>
      </c>
      <c r="G971" s="21"/>
    </row>
    <row r="972" spans="2:7">
      <c r="B972" s="22" t="s">
        <v>927</v>
      </c>
      <c r="C972" s="23" t="s">
        <v>928</v>
      </c>
      <c r="D972" s="24" t="s">
        <v>1012</v>
      </c>
      <c r="E972" s="25" t="s">
        <v>1722</v>
      </c>
      <c r="F972" s="16" t="str">
        <f>_xlfn.XLOOKUP(D972,'[8]AGUSTUS 2026'!$B:$B,'[8]AGUSTUS 2026'!$I:$I,"Tidak Ditemukan")</f>
        <v>MUHAMMAD DENI HENDRO SUSILO</v>
      </c>
      <c r="G972" s="21"/>
    </row>
    <row r="973" spans="2:7">
      <c r="B973" s="22" t="s">
        <v>927</v>
      </c>
      <c r="C973" s="23" t="s">
        <v>928</v>
      </c>
      <c r="D973" s="24" t="s">
        <v>1013</v>
      </c>
      <c r="E973" s="25" t="s">
        <v>1722</v>
      </c>
      <c r="F973" s="16" t="str">
        <f>_xlfn.XLOOKUP(D973,'[8]AGUSTUS 2026'!$B:$B,'[8]AGUSTUS 2026'!$I:$I,"Tidak Ditemukan")</f>
        <v>MUHAMMAD DENI HENDRO SUSILO</v>
      </c>
      <c r="G973" s="21"/>
    </row>
    <row r="974" spans="2:7">
      <c r="B974" s="22" t="s">
        <v>927</v>
      </c>
      <c r="C974" s="23" t="s">
        <v>928</v>
      </c>
      <c r="D974" s="24" t="s">
        <v>1014</v>
      </c>
      <c r="E974" s="25" t="s">
        <v>1722</v>
      </c>
      <c r="F974" s="16" t="str">
        <f>_xlfn.XLOOKUP(D974,'[8]AGUSTUS 2026'!$B:$B,'[8]AGUSTUS 2026'!$I:$I,"Tidak Ditemukan")</f>
        <v>MUHAMMAD DENI HENDRO SUSILO</v>
      </c>
      <c r="G974" s="21"/>
    </row>
    <row r="975" spans="2:7">
      <c r="B975" s="22" t="s">
        <v>927</v>
      </c>
      <c r="C975" s="23" t="s">
        <v>928</v>
      </c>
      <c r="D975" s="24" t="s">
        <v>1015</v>
      </c>
      <c r="E975" s="25" t="s">
        <v>1722</v>
      </c>
      <c r="F975" s="16" t="str">
        <f>_xlfn.XLOOKUP(D975,'[8]AGUSTUS 2026'!$B:$B,'[8]AGUSTUS 2026'!$I:$I,"Tidak Ditemukan")</f>
        <v>MUHAMMAD DENI HENDRO SUSILO</v>
      </c>
      <c r="G975" s="21"/>
    </row>
    <row r="976" spans="2:7">
      <c r="B976" s="22" t="s">
        <v>927</v>
      </c>
      <c r="C976" s="23" t="s">
        <v>928</v>
      </c>
      <c r="D976" s="24" t="s">
        <v>1016</v>
      </c>
      <c r="E976" s="25" t="s">
        <v>1722</v>
      </c>
      <c r="F976" s="16" t="str">
        <f>_xlfn.XLOOKUP(D976,'[8]AGUSTUS 2026'!$B:$B,'[8]AGUSTUS 2026'!$I:$I,"Tidak Ditemukan")</f>
        <v>PAIMUN</v>
      </c>
      <c r="G976" s="21"/>
    </row>
    <row r="977" spans="2:7">
      <c r="B977" s="22" t="s">
        <v>927</v>
      </c>
      <c r="C977" s="23" t="s">
        <v>928</v>
      </c>
      <c r="D977" s="24" t="s">
        <v>1017</v>
      </c>
      <c r="E977" s="25" t="s">
        <v>1722</v>
      </c>
      <c r="F977" s="16" t="str">
        <f>_xlfn.XLOOKUP(D977,'[8]AGUSTUS 2026'!$B:$B,'[8]AGUSTUS 2026'!$I:$I,"Tidak Ditemukan")</f>
        <v>PAIMUN</v>
      </c>
      <c r="G977" s="21"/>
    </row>
    <row r="978" spans="2:7">
      <c r="B978" s="22" t="s">
        <v>927</v>
      </c>
      <c r="C978" s="23" t="s">
        <v>928</v>
      </c>
      <c r="D978" s="24" t="s">
        <v>1018</v>
      </c>
      <c r="E978" s="25" t="s">
        <v>1722</v>
      </c>
      <c r="F978" s="16" t="str">
        <f>_xlfn.XLOOKUP(D978,'[8]AGUSTUS 2026'!$B:$B,'[8]AGUSTUS 2026'!$I:$I,"Tidak Ditemukan")</f>
        <v>PAIMUN</v>
      </c>
      <c r="G978" s="21"/>
    </row>
    <row r="979" spans="2:7">
      <c r="B979" s="22" t="s">
        <v>927</v>
      </c>
      <c r="C979" s="23" t="s">
        <v>928</v>
      </c>
      <c r="D979" s="24" t="s">
        <v>1019</v>
      </c>
      <c r="E979" s="25" t="s">
        <v>1722</v>
      </c>
      <c r="F979" s="16" t="str">
        <f>_xlfn.XLOOKUP(D979,'[8]AGUSTUS 2026'!$B:$B,'[8]AGUSTUS 2026'!$I:$I,"Tidak Ditemukan")</f>
        <v>PAIMUN</v>
      </c>
      <c r="G979" s="21"/>
    </row>
    <row r="980" spans="2:7">
      <c r="B980" s="22" t="s">
        <v>927</v>
      </c>
      <c r="C980" s="23" t="s">
        <v>928</v>
      </c>
      <c r="D980" s="24" t="s">
        <v>1020</v>
      </c>
      <c r="E980" s="25" t="s">
        <v>1722</v>
      </c>
      <c r="F980" s="16" t="str">
        <f>_xlfn.XLOOKUP(D980,'[8]AGUSTUS 2026'!$B:$B,'[8]AGUSTUS 2026'!$I:$I,"Tidak Ditemukan")</f>
        <v>PAIMUN</v>
      </c>
      <c r="G980" s="21"/>
    </row>
    <row r="981" spans="2:7">
      <c r="B981" s="22" t="s">
        <v>927</v>
      </c>
      <c r="C981" s="23" t="s">
        <v>928</v>
      </c>
      <c r="D981" s="24" t="s">
        <v>1021</v>
      </c>
      <c r="E981" s="25" t="s">
        <v>1722</v>
      </c>
      <c r="F981" s="16" t="str">
        <f>_xlfn.XLOOKUP(D981,'[8]AGUSTUS 2026'!$B:$B,'[8]AGUSTUS 2026'!$I:$I,"Tidak Ditemukan")</f>
        <v>PAIMUN</v>
      </c>
      <c r="G981" s="21"/>
    </row>
    <row r="982" spans="2:7">
      <c r="B982" s="22" t="s">
        <v>927</v>
      </c>
      <c r="C982" s="23" t="s">
        <v>928</v>
      </c>
      <c r="D982" s="24" t="s">
        <v>1022</v>
      </c>
      <c r="E982" s="25" t="s">
        <v>1722</v>
      </c>
      <c r="F982" s="16" t="str">
        <f>_xlfn.XLOOKUP(D982,'[8]AGUSTUS 2026'!$B:$B,'[8]AGUSTUS 2026'!$I:$I,"Tidak Ditemukan")</f>
        <v>FARIS JAGAD SANTOSA</v>
      </c>
      <c r="G982" s="21"/>
    </row>
    <row r="983" spans="2:7">
      <c r="B983" s="22" t="s">
        <v>927</v>
      </c>
      <c r="C983" s="23" t="s">
        <v>928</v>
      </c>
      <c r="D983" s="24" t="s">
        <v>1023</v>
      </c>
      <c r="E983" s="25" t="s">
        <v>1722</v>
      </c>
      <c r="F983" s="16" t="str">
        <f>_xlfn.XLOOKUP(D983,'[8]AGUSTUS 2026'!$B:$B,'[8]AGUSTUS 2026'!$I:$I,"Tidak Ditemukan")</f>
        <v>RASTO ZANU MUBIARTO</v>
      </c>
      <c r="G983" s="21"/>
    </row>
    <row r="984" spans="2:7">
      <c r="B984" s="22" t="s">
        <v>927</v>
      </c>
      <c r="C984" s="23" t="s">
        <v>928</v>
      </c>
      <c r="D984" s="24" t="s">
        <v>1024</v>
      </c>
      <c r="E984" s="25" t="s">
        <v>1722</v>
      </c>
      <c r="F984" s="16" t="str">
        <f>_xlfn.XLOOKUP(D984,'[8]AGUSTUS 2026'!$B:$B,'[8]AGUSTUS 2026'!$I:$I,"Tidak Ditemukan")</f>
        <v>FARIS JAGAD SANTOSA</v>
      </c>
      <c r="G984" s="21"/>
    </row>
    <row r="985" spans="2:7">
      <c r="B985" s="22" t="s">
        <v>927</v>
      </c>
      <c r="C985" s="23" t="s">
        <v>928</v>
      </c>
      <c r="D985" s="24" t="s">
        <v>1025</v>
      </c>
      <c r="E985" s="25" t="s">
        <v>1722</v>
      </c>
      <c r="F985" s="16" t="str">
        <f>_xlfn.XLOOKUP(D985,'[8]AGUSTUS 2026'!$B:$B,'[8]AGUSTUS 2026'!$I:$I,"Tidak Ditemukan")</f>
        <v>RASTO ZANU MUBIARTO</v>
      </c>
      <c r="G985" s="21"/>
    </row>
    <row r="986" spans="2:7">
      <c r="B986" s="22" t="s">
        <v>927</v>
      </c>
      <c r="C986" s="23" t="s">
        <v>928</v>
      </c>
      <c r="D986" s="24" t="s">
        <v>1026</v>
      </c>
      <c r="E986" s="25" t="s">
        <v>1722</v>
      </c>
      <c r="F986" s="16" t="str">
        <f>_xlfn.XLOOKUP(D986,'[8]AGUSTUS 2026'!$B:$B,'[8]AGUSTUS 2026'!$I:$I,"Tidak Ditemukan")</f>
        <v>RASTO ZANU MUBIARTO</v>
      </c>
      <c r="G986" s="21"/>
    </row>
    <row r="987" spans="2:7">
      <c r="B987" s="22" t="s">
        <v>927</v>
      </c>
      <c r="C987" s="23" t="s">
        <v>928</v>
      </c>
      <c r="D987" s="24" t="s">
        <v>1027</v>
      </c>
      <c r="E987" s="25" t="s">
        <v>1722</v>
      </c>
      <c r="F987" s="16" t="str">
        <f>_xlfn.XLOOKUP(D987,'[8]AGUSTUS 2026'!$B:$B,'[8]AGUSTUS 2026'!$I:$I,"Tidak Ditemukan")</f>
        <v>FARIS JAGAD SANTOSA</v>
      </c>
      <c r="G987" s="21"/>
    </row>
    <row r="988" spans="2:7">
      <c r="B988" s="22" t="s">
        <v>927</v>
      </c>
      <c r="C988" s="23" t="s">
        <v>928</v>
      </c>
      <c r="D988" s="24" t="s">
        <v>1028</v>
      </c>
      <c r="E988" s="25" t="s">
        <v>1722</v>
      </c>
      <c r="F988" s="16" t="str">
        <f>_xlfn.XLOOKUP(D988,'[8]AGUSTUS 2026'!$B:$B,'[8]AGUSTUS 2026'!$I:$I,"Tidak Ditemukan")</f>
        <v>FARIS JAGAD SANTOSA</v>
      </c>
      <c r="G988" s="21"/>
    </row>
    <row r="989" spans="2:7">
      <c r="B989" s="22" t="s">
        <v>927</v>
      </c>
      <c r="C989" s="23" t="s">
        <v>928</v>
      </c>
      <c r="D989" s="24" t="s">
        <v>1029</v>
      </c>
      <c r="E989" s="25" t="s">
        <v>1722</v>
      </c>
      <c r="F989" s="16" t="str">
        <f>_xlfn.XLOOKUP(D989,'[8]AGUSTUS 2026'!$B:$B,'[8]AGUSTUS 2026'!$I:$I,"Tidak Ditemukan")</f>
        <v>FARIS JAGAD SANTOSA</v>
      </c>
      <c r="G989" s="21"/>
    </row>
    <row r="990" spans="2:7">
      <c r="B990" s="22" t="s">
        <v>927</v>
      </c>
      <c r="C990" s="23" t="s">
        <v>928</v>
      </c>
      <c r="D990" s="24" t="s">
        <v>1030</v>
      </c>
      <c r="E990" s="25" t="s">
        <v>1722</v>
      </c>
      <c r="F990" s="16" t="str">
        <f>_xlfn.XLOOKUP(D990,'[8]AGUSTUS 2026'!$B:$B,'[8]AGUSTUS 2026'!$I:$I,"Tidak Ditemukan")</f>
        <v>FARIS JAGAD SANTOSA</v>
      </c>
      <c r="G990" s="21"/>
    </row>
    <row r="991" spans="2:7">
      <c r="B991" s="22" t="s">
        <v>927</v>
      </c>
      <c r="C991" s="23" t="s">
        <v>928</v>
      </c>
      <c r="D991" s="24" t="s">
        <v>1031</v>
      </c>
      <c r="E991" s="25" t="s">
        <v>1722</v>
      </c>
      <c r="F991" s="16" t="str">
        <f>_xlfn.XLOOKUP(D991,'[8]AGUSTUS 2026'!$B:$B,'[8]AGUSTUS 2026'!$I:$I,"Tidak Ditemukan")</f>
        <v>RASTO ZANU MUBIARTO</v>
      </c>
      <c r="G991" s="21"/>
    </row>
    <row r="992" spans="2:7">
      <c r="B992" s="22" t="s">
        <v>927</v>
      </c>
      <c r="C992" s="23" t="s">
        <v>928</v>
      </c>
      <c r="D992" s="24" t="s">
        <v>1032</v>
      </c>
      <c r="E992" s="25" t="s">
        <v>1722</v>
      </c>
      <c r="F992" s="16" t="str">
        <f>_xlfn.XLOOKUP(D992,'[8]AGUSTUS 2026'!$B:$B,'[8]AGUSTUS 2026'!$I:$I,"Tidak Ditemukan")</f>
        <v>RASTO ZANU MUBIARTO</v>
      </c>
      <c r="G992" s="21"/>
    </row>
    <row r="993" spans="2:7">
      <c r="B993" s="22" t="s">
        <v>927</v>
      </c>
      <c r="C993" s="23" t="s">
        <v>928</v>
      </c>
      <c r="D993" s="24" t="s">
        <v>1033</v>
      </c>
      <c r="E993" s="25" t="s">
        <v>1722</v>
      </c>
      <c r="F993" s="16" t="str">
        <f>_xlfn.XLOOKUP(D993,'[8]AGUSTUS 2026'!$B:$B,'[8]AGUSTUS 2026'!$I:$I,"Tidak Ditemukan")</f>
        <v>FARIS JAGAD SANTOSA</v>
      </c>
      <c r="G993" s="21"/>
    </row>
    <row r="994" spans="2:7">
      <c r="B994" s="22" t="s">
        <v>927</v>
      </c>
      <c r="C994" s="23" t="s">
        <v>928</v>
      </c>
      <c r="D994" s="24" t="s">
        <v>1034</v>
      </c>
      <c r="E994" s="25" t="s">
        <v>1722</v>
      </c>
      <c r="F994" s="16" t="str">
        <f>_xlfn.XLOOKUP(D994,'[8]AGUSTUS 2026'!$B:$B,'[8]AGUSTUS 2026'!$I:$I,"Tidak Ditemukan")</f>
        <v>FARIS JAGAD SANTOSA</v>
      </c>
      <c r="G994" s="21"/>
    </row>
    <row r="995" spans="2:7">
      <c r="B995" s="22" t="s">
        <v>927</v>
      </c>
      <c r="C995" s="23" t="s">
        <v>928</v>
      </c>
      <c r="D995" s="24" t="s">
        <v>1035</v>
      </c>
      <c r="E995" s="25" t="s">
        <v>1722</v>
      </c>
      <c r="F995" s="16" t="str">
        <f>_xlfn.XLOOKUP(D995,'[8]AGUSTUS 2026'!$B:$B,'[8]AGUSTUS 2026'!$I:$I,"Tidak Ditemukan")</f>
        <v>FARIS JAGAD SANTOSA</v>
      </c>
      <c r="G995" s="21"/>
    </row>
    <row r="996" spans="2:7">
      <c r="B996" s="22" t="s">
        <v>927</v>
      </c>
      <c r="C996" s="23" t="s">
        <v>928</v>
      </c>
      <c r="D996" s="24" t="s">
        <v>1036</v>
      </c>
      <c r="E996" s="25" t="s">
        <v>1722</v>
      </c>
      <c r="F996" s="16" t="str">
        <f>_xlfn.XLOOKUP(D996,'[8]AGUSTUS 2026'!$B:$B,'[8]AGUSTUS 2026'!$I:$I,"Tidak Ditemukan")</f>
        <v>RASTO ZANU MUBIARTO</v>
      </c>
      <c r="G996" s="21"/>
    </row>
    <row r="997" spans="2:7">
      <c r="B997" s="22" t="s">
        <v>927</v>
      </c>
      <c r="C997" s="23" t="s">
        <v>928</v>
      </c>
      <c r="D997" s="24" t="s">
        <v>1037</v>
      </c>
      <c r="E997" s="25" t="s">
        <v>1722</v>
      </c>
      <c r="F997" s="16" t="str">
        <f>_xlfn.XLOOKUP(D997,'[8]AGUSTUS 2026'!$B:$B,'[8]AGUSTUS 2026'!$I:$I,"Tidak Ditemukan")</f>
        <v>RASTO ZANU MUBIARTO</v>
      </c>
      <c r="G997" s="21"/>
    </row>
    <row r="998" spans="2:7">
      <c r="B998" s="22" t="s">
        <v>927</v>
      </c>
      <c r="C998" s="23" t="s">
        <v>928</v>
      </c>
      <c r="D998" s="24" t="s">
        <v>1038</v>
      </c>
      <c r="E998" s="25" t="s">
        <v>1722</v>
      </c>
      <c r="F998" s="16" t="str">
        <f>_xlfn.XLOOKUP(D998,'[8]AGUSTUS 2026'!$B:$B,'[8]AGUSTUS 2026'!$I:$I,"Tidak Ditemukan")</f>
        <v>RASTO ZANU MUBIARTO</v>
      </c>
      <c r="G998" s="21"/>
    </row>
    <row r="999" spans="2:7">
      <c r="B999" s="22" t="s">
        <v>927</v>
      </c>
      <c r="C999" s="23" t="s">
        <v>928</v>
      </c>
      <c r="D999" s="24" t="s">
        <v>1039</v>
      </c>
      <c r="E999" s="25" t="s">
        <v>1722</v>
      </c>
      <c r="F999" s="16" t="str">
        <f>_xlfn.XLOOKUP(D999,'[8]AGUSTUS 2026'!$B:$B,'[8]AGUSTUS 2026'!$I:$I,"Tidak Ditemukan")</f>
        <v>FARIS JAGAD SANTOSA</v>
      </c>
      <c r="G999" s="21"/>
    </row>
    <row r="1000" spans="2:7">
      <c r="B1000" s="22" t="s">
        <v>927</v>
      </c>
      <c r="C1000" s="23" t="s">
        <v>928</v>
      </c>
      <c r="D1000" s="24" t="s">
        <v>1040</v>
      </c>
      <c r="E1000" s="25" t="s">
        <v>1722</v>
      </c>
      <c r="F1000" s="16" t="str">
        <f>_xlfn.XLOOKUP(D1000,'[8]AGUSTUS 2026'!$B:$B,'[8]AGUSTUS 2026'!$I:$I,"Tidak Ditemukan")</f>
        <v>OKI WILLYANTO</v>
      </c>
      <c r="G1000" s="21"/>
    </row>
    <row r="1001" spans="2:7">
      <c r="B1001" s="22" t="s">
        <v>927</v>
      </c>
      <c r="C1001" s="23" t="s">
        <v>928</v>
      </c>
      <c r="D1001" s="24" t="s">
        <v>1041</v>
      </c>
      <c r="E1001" s="25" t="s">
        <v>1722</v>
      </c>
      <c r="F1001" s="16" t="str">
        <f>_xlfn.XLOOKUP(D1001,'[8]AGUSTUS 2026'!$B:$B,'[8]AGUSTUS 2026'!$I:$I,"Tidak Ditemukan")</f>
        <v>MUHAMMAD CHAIRIL ANAM</v>
      </c>
      <c r="G1001" s="21"/>
    </row>
    <row r="1002" spans="2:7">
      <c r="B1002" s="22" t="s">
        <v>927</v>
      </c>
      <c r="C1002" s="23" t="s">
        <v>928</v>
      </c>
      <c r="D1002" s="24" t="s">
        <v>1042</v>
      </c>
      <c r="E1002" s="25" t="s">
        <v>1722</v>
      </c>
      <c r="F1002" s="16" t="str">
        <f>_xlfn.XLOOKUP(D1002,'[8]AGUSTUS 2026'!$B:$B,'[8]AGUSTUS 2026'!$I:$I,"Tidak Ditemukan")</f>
        <v>FAJAR MAFAZAKI</v>
      </c>
      <c r="G1002" s="21"/>
    </row>
    <row r="1003" spans="2:7">
      <c r="B1003" s="22" t="s">
        <v>927</v>
      </c>
      <c r="C1003" s="23" t="s">
        <v>928</v>
      </c>
      <c r="D1003" s="24" t="s">
        <v>1043</v>
      </c>
      <c r="E1003" s="25" t="s">
        <v>1722</v>
      </c>
      <c r="F1003" s="16" t="str">
        <f>_xlfn.XLOOKUP(D1003,'[8]AGUSTUS 2026'!$B:$B,'[8]AGUSTUS 2026'!$I:$I,"Tidak Ditemukan")</f>
        <v>FAJAR MAFAZAKI</v>
      </c>
      <c r="G1003" s="21"/>
    </row>
    <row r="1004" spans="2:7">
      <c r="B1004" s="22" t="s">
        <v>927</v>
      </c>
      <c r="C1004" s="23" t="s">
        <v>928</v>
      </c>
      <c r="D1004" s="24" t="s">
        <v>1044</v>
      </c>
      <c r="E1004" s="25" t="s">
        <v>1722</v>
      </c>
      <c r="F1004" s="16" t="str">
        <f>_xlfn.XLOOKUP(D1004,'[8]AGUSTUS 2026'!$B:$B,'[8]AGUSTUS 2026'!$I:$I,"Tidak Ditemukan")</f>
        <v>OKI WILLYANTO</v>
      </c>
      <c r="G1004" s="21"/>
    </row>
    <row r="1005" spans="2:7">
      <c r="B1005" s="22" t="s">
        <v>927</v>
      </c>
      <c r="C1005" s="23" t="s">
        <v>928</v>
      </c>
      <c r="D1005" s="24" t="s">
        <v>1045</v>
      </c>
      <c r="E1005" s="25" t="s">
        <v>1722</v>
      </c>
      <c r="F1005" s="16" t="str">
        <f>_xlfn.XLOOKUP(D1005,'[8]AGUSTUS 2026'!$B:$B,'[8]AGUSTUS 2026'!$I:$I,"Tidak Ditemukan")</f>
        <v>FAJAR MAFAZAKI</v>
      </c>
      <c r="G1005" s="21"/>
    </row>
    <row r="1006" spans="2:7">
      <c r="B1006" s="22" t="s">
        <v>927</v>
      </c>
      <c r="C1006" s="23" t="s">
        <v>928</v>
      </c>
      <c r="D1006" s="24" t="s">
        <v>1046</v>
      </c>
      <c r="E1006" s="25" t="s">
        <v>1722</v>
      </c>
      <c r="F1006" s="16" t="str">
        <f>_xlfn.XLOOKUP(D1006,'[8]AGUSTUS 2026'!$B:$B,'[8]AGUSTUS 2026'!$I:$I,"Tidak Ditemukan")</f>
        <v>FAJAR MAFAZAKI</v>
      </c>
      <c r="G1006" s="21"/>
    </row>
    <row r="1007" spans="2:7">
      <c r="B1007" s="22" t="s">
        <v>927</v>
      </c>
      <c r="C1007" s="23" t="s">
        <v>928</v>
      </c>
      <c r="D1007" s="24" t="s">
        <v>1047</v>
      </c>
      <c r="E1007" s="25" t="s">
        <v>1722</v>
      </c>
      <c r="F1007" s="16" t="str">
        <f>_xlfn.XLOOKUP(D1007,'[8]AGUSTUS 2026'!$B:$B,'[8]AGUSTUS 2026'!$I:$I,"Tidak Ditemukan")</f>
        <v>FAJAR MAFAZAKI</v>
      </c>
      <c r="G1007" s="21"/>
    </row>
    <row r="1008" spans="2:7">
      <c r="B1008" s="22" t="s">
        <v>927</v>
      </c>
      <c r="C1008" s="23" t="s">
        <v>928</v>
      </c>
      <c r="D1008" s="24" t="s">
        <v>1048</v>
      </c>
      <c r="E1008" s="25" t="s">
        <v>1722</v>
      </c>
      <c r="F1008" s="16" t="str">
        <f>_xlfn.XLOOKUP(D1008,'[8]AGUSTUS 2026'!$B:$B,'[8]AGUSTUS 2026'!$I:$I,"Tidak Ditemukan")</f>
        <v>FAJAR MAFAZAKI</v>
      </c>
      <c r="G1008" s="21"/>
    </row>
    <row r="1009" spans="2:7">
      <c r="B1009" s="22" t="s">
        <v>927</v>
      </c>
      <c r="C1009" s="23" t="s">
        <v>928</v>
      </c>
      <c r="D1009" s="24" t="s">
        <v>1049</v>
      </c>
      <c r="E1009" s="25" t="s">
        <v>1722</v>
      </c>
      <c r="F1009" s="16" t="str">
        <f>_xlfn.XLOOKUP(D1009,'[8]AGUSTUS 2026'!$B:$B,'[8]AGUSTUS 2026'!$I:$I,"Tidak Ditemukan")</f>
        <v>FAJAR MAFAZAKI</v>
      </c>
      <c r="G1009" s="21"/>
    </row>
    <row r="1010" spans="2:7">
      <c r="B1010" s="22" t="s">
        <v>927</v>
      </c>
      <c r="C1010" s="23" t="s">
        <v>928</v>
      </c>
      <c r="D1010" s="24" t="s">
        <v>1050</v>
      </c>
      <c r="E1010" s="25" t="s">
        <v>1722</v>
      </c>
      <c r="F1010" s="16" t="str">
        <f>_xlfn.XLOOKUP(D1010,'[8]AGUSTUS 2026'!$B:$B,'[8]AGUSTUS 2026'!$I:$I,"Tidak Ditemukan")</f>
        <v>FAJAR MAFAZAKI</v>
      </c>
      <c r="G1010" s="21"/>
    </row>
    <row r="1011" spans="2:7">
      <c r="B1011" s="22" t="s">
        <v>927</v>
      </c>
      <c r="C1011" s="23" t="s">
        <v>928</v>
      </c>
      <c r="D1011" s="24" t="s">
        <v>1051</v>
      </c>
      <c r="E1011" s="25" t="s">
        <v>1722</v>
      </c>
      <c r="F1011" s="16" t="str">
        <f>_xlfn.XLOOKUP(D1011,'[8]AGUSTUS 2026'!$B:$B,'[8]AGUSTUS 2026'!$I:$I,"Tidak Ditemukan")</f>
        <v>OKI WILLYANTO</v>
      </c>
      <c r="G1011" s="21"/>
    </row>
    <row r="1012" spans="2:7">
      <c r="B1012" s="22" t="s">
        <v>927</v>
      </c>
      <c r="C1012" s="23" t="s">
        <v>928</v>
      </c>
      <c r="D1012" s="24" t="s">
        <v>1052</v>
      </c>
      <c r="E1012" s="25" t="s">
        <v>1722</v>
      </c>
      <c r="F1012" s="16" t="str">
        <f>_xlfn.XLOOKUP(D1012,'[8]AGUSTUS 2026'!$B:$B,'[8]AGUSTUS 2026'!$I:$I,"Tidak Ditemukan")</f>
        <v>OKI WILLYANTO</v>
      </c>
      <c r="G1012" s="21"/>
    </row>
    <row r="1013" spans="2:7">
      <c r="B1013" s="22" t="s">
        <v>927</v>
      </c>
      <c r="C1013" s="23" t="s">
        <v>928</v>
      </c>
      <c r="D1013" s="24" t="s">
        <v>1053</v>
      </c>
      <c r="E1013" s="25" t="s">
        <v>1722</v>
      </c>
      <c r="F1013" s="16" t="str">
        <f>_xlfn.XLOOKUP(D1013,'[8]AGUSTUS 2026'!$B:$B,'[8]AGUSTUS 2026'!$I:$I,"Tidak Ditemukan")</f>
        <v>OKI WILLYANTO</v>
      </c>
      <c r="G1013" s="21"/>
    </row>
    <row r="1014" spans="2:7">
      <c r="B1014" s="22" t="s">
        <v>927</v>
      </c>
      <c r="C1014" s="23" t="s">
        <v>928</v>
      </c>
      <c r="D1014" s="24" t="s">
        <v>1054</v>
      </c>
      <c r="E1014" s="25" t="s">
        <v>1722</v>
      </c>
      <c r="F1014" s="16" t="str">
        <f>_xlfn.XLOOKUP(D1014,'[8]AGUSTUS 2026'!$B:$B,'[8]AGUSTUS 2026'!$I:$I,"Tidak Ditemukan")</f>
        <v>FAJAR MAFAZAKI</v>
      </c>
      <c r="G1014" s="21"/>
    </row>
    <row r="1015" spans="2:7">
      <c r="B1015" s="22" t="s">
        <v>927</v>
      </c>
      <c r="C1015" s="23" t="s">
        <v>928</v>
      </c>
      <c r="D1015" s="24" t="s">
        <v>1055</v>
      </c>
      <c r="E1015" s="25" t="s">
        <v>1722</v>
      </c>
      <c r="F1015" s="16" t="str">
        <f>_xlfn.XLOOKUP(D1015,'[8]AGUSTUS 2026'!$B:$B,'[8]AGUSTUS 2026'!$I:$I,"Tidak Ditemukan")</f>
        <v>FAJAR MAFAZAKI</v>
      </c>
      <c r="G1015" s="21"/>
    </row>
    <row r="1016" spans="2:7">
      <c r="B1016" s="22" t="s">
        <v>927</v>
      </c>
      <c r="C1016" s="23" t="s">
        <v>928</v>
      </c>
      <c r="D1016" s="24" t="s">
        <v>1056</v>
      </c>
      <c r="E1016" s="25" t="s">
        <v>1722</v>
      </c>
      <c r="F1016" s="16" t="str">
        <f>_xlfn.XLOOKUP(D1016,'[8]AGUSTUS 2026'!$B:$B,'[8]AGUSTUS 2026'!$I:$I,"Tidak Ditemukan")</f>
        <v>FERY SAPUTRO</v>
      </c>
      <c r="G1016" s="21"/>
    </row>
    <row r="1017" spans="2:7">
      <c r="B1017" s="22" t="s">
        <v>927</v>
      </c>
      <c r="C1017" s="23" t="s">
        <v>928</v>
      </c>
      <c r="D1017" s="24" t="s">
        <v>1057</v>
      </c>
      <c r="E1017" s="25" t="s">
        <v>1722</v>
      </c>
      <c r="F1017" s="16" t="str">
        <f>_xlfn.XLOOKUP(D1017,'[8]AGUSTUS 2026'!$B:$B,'[8]AGUSTUS 2026'!$I:$I,"Tidak Ditemukan")</f>
        <v>FERY SAPUTRO</v>
      </c>
      <c r="G1017" s="21"/>
    </row>
    <row r="1018" spans="2:7">
      <c r="B1018" s="22" t="s">
        <v>927</v>
      </c>
      <c r="C1018" s="23" t="s">
        <v>928</v>
      </c>
      <c r="D1018" s="24" t="s">
        <v>1058</v>
      </c>
      <c r="E1018" s="25" t="s">
        <v>1722</v>
      </c>
      <c r="F1018" s="16" t="str">
        <f>_xlfn.XLOOKUP(D1018,'[8]AGUSTUS 2026'!$B:$B,'[8]AGUSTUS 2026'!$I:$I,"Tidak Ditemukan")</f>
        <v>FERY SAPUTRO</v>
      </c>
      <c r="G1018" s="21"/>
    </row>
    <row r="1019" spans="2:7">
      <c r="B1019" s="22" t="s">
        <v>927</v>
      </c>
      <c r="C1019" s="23" t="s">
        <v>928</v>
      </c>
      <c r="D1019" s="24" t="s">
        <v>1059</v>
      </c>
      <c r="E1019" s="25" t="s">
        <v>1722</v>
      </c>
      <c r="F1019" s="16" t="str">
        <f>_xlfn.XLOOKUP(D1019,'[8]AGUSTUS 2026'!$B:$B,'[8]AGUSTUS 2026'!$I:$I,"Tidak Ditemukan")</f>
        <v>FERY SAPUTRO</v>
      </c>
      <c r="G1019" s="21"/>
    </row>
    <row r="1020" spans="2:7">
      <c r="B1020" s="22" t="s">
        <v>927</v>
      </c>
      <c r="C1020" s="23" t="s">
        <v>928</v>
      </c>
      <c r="D1020" s="24" t="s">
        <v>1060</v>
      </c>
      <c r="E1020" s="25" t="s">
        <v>1722</v>
      </c>
      <c r="F1020" s="16" t="str">
        <f>_xlfn.XLOOKUP(D1020,'[8]AGUSTUS 2026'!$B:$B,'[8]AGUSTUS 2026'!$I:$I,"Tidak Ditemukan")</f>
        <v>FERY SAPUTRO</v>
      </c>
      <c r="G1020" s="21"/>
    </row>
    <row r="1021" spans="2:7">
      <c r="B1021" s="22" t="s">
        <v>927</v>
      </c>
      <c r="C1021" s="23" t="s">
        <v>928</v>
      </c>
      <c r="D1021" s="24" t="s">
        <v>1061</v>
      </c>
      <c r="E1021" s="25" t="s">
        <v>1722</v>
      </c>
      <c r="F1021" s="16" t="str">
        <f>_xlfn.XLOOKUP(D1021,'[8]AGUSTUS 2026'!$B:$B,'[8]AGUSTUS 2026'!$I:$I,"Tidak Ditemukan")</f>
        <v>FERY SAPUTRO</v>
      </c>
      <c r="G1021" s="21"/>
    </row>
    <row r="1022" spans="2:7">
      <c r="B1022" s="22" t="s">
        <v>927</v>
      </c>
      <c r="C1022" s="23" t="s">
        <v>928</v>
      </c>
      <c r="D1022" s="24" t="s">
        <v>1062</v>
      </c>
      <c r="E1022" s="25" t="s">
        <v>1722</v>
      </c>
      <c r="F1022" s="16" t="str">
        <f>_xlfn.XLOOKUP(D1022,'[8]AGUSTUS 2026'!$B:$B,'[8]AGUSTUS 2026'!$I:$I,"Tidak Ditemukan")</f>
        <v>FERY SAPUTRO</v>
      </c>
      <c r="G1022" s="21"/>
    </row>
    <row r="1023" spans="2:7">
      <c r="B1023" s="22" t="s">
        <v>927</v>
      </c>
      <c r="C1023" s="23" t="s">
        <v>928</v>
      </c>
      <c r="D1023" s="24" t="s">
        <v>1063</v>
      </c>
      <c r="E1023" s="25" t="s">
        <v>1722</v>
      </c>
      <c r="F1023" s="16" t="str">
        <f>_xlfn.XLOOKUP(D1023,'[8]AGUSTUS 2026'!$B:$B,'[8]AGUSTUS 2026'!$I:$I,"Tidak Ditemukan")</f>
        <v>FERY SAPUTRO</v>
      </c>
      <c r="G1023" s="21"/>
    </row>
    <row r="1024" spans="2:7">
      <c r="B1024" s="22" t="s">
        <v>927</v>
      </c>
      <c r="C1024" s="23" t="s">
        <v>928</v>
      </c>
      <c r="D1024" s="24" t="s">
        <v>1064</v>
      </c>
      <c r="E1024" s="25" t="s">
        <v>1722</v>
      </c>
      <c r="F1024" s="16" t="str">
        <f>_xlfn.XLOOKUP(D1024,'[8]AGUSTUS 2026'!$B:$B,'[8]AGUSTUS 2026'!$I:$I,"Tidak Ditemukan")</f>
        <v>MUHAMMAD CHAIRIL ANAM</v>
      </c>
      <c r="G1024" s="21"/>
    </row>
    <row r="1025" spans="2:7">
      <c r="B1025" s="22" t="s">
        <v>927</v>
      </c>
      <c r="C1025" s="23" t="s">
        <v>928</v>
      </c>
      <c r="D1025" s="24" t="s">
        <v>1065</v>
      </c>
      <c r="E1025" s="25" t="s">
        <v>1722</v>
      </c>
      <c r="F1025" s="16" t="str">
        <f>_xlfn.XLOOKUP(D1025,'[8]AGUSTUS 2026'!$B:$B,'[8]AGUSTUS 2026'!$I:$I,"Tidak Ditemukan")</f>
        <v>MUHAMMAD CHAIRIL ANAM</v>
      </c>
      <c r="G1025" s="21"/>
    </row>
    <row r="1026" spans="2:7">
      <c r="B1026" s="22" t="s">
        <v>927</v>
      </c>
      <c r="C1026" s="23" t="s">
        <v>928</v>
      </c>
      <c r="D1026" s="24" t="s">
        <v>1066</v>
      </c>
      <c r="E1026" s="25" t="s">
        <v>1722</v>
      </c>
      <c r="F1026" s="16" t="str">
        <f>_xlfn.XLOOKUP(D1026,'[8]AGUSTUS 2026'!$B:$B,'[8]AGUSTUS 2026'!$I:$I,"Tidak Ditemukan")</f>
        <v>MUHAMMAD CHAIRIL ANAM</v>
      </c>
      <c r="G1026" s="21"/>
    </row>
    <row r="1027" spans="2:7">
      <c r="B1027" s="22" t="s">
        <v>927</v>
      </c>
      <c r="C1027" s="23" t="s">
        <v>928</v>
      </c>
      <c r="D1027" s="24" t="s">
        <v>1067</v>
      </c>
      <c r="E1027" s="25" t="s">
        <v>1722</v>
      </c>
      <c r="F1027" s="16" t="str">
        <f>_xlfn.XLOOKUP(D1027,'[8]AGUSTUS 2026'!$B:$B,'[8]AGUSTUS 2026'!$I:$I,"Tidak Ditemukan")</f>
        <v>MUHAMMAD CHAIRIL ANAM</v>
      </c>
      <c r="G1027" s="21"/>
    </row>
    <row r="1028" spans="2:7">
      <c r="B1028" s="22" t="s">
        <v>927</v>
      </c>
      <c r="C1028" s="23" t="s">
        <v>928</v>
      </c>
      <c r="D1028" s="24" t="s">
        <v>1068</v>
      </c>
      <c r="E1028" s="25" t="s">
        <v>1722</v>
      </c>
      <c r="F1028" s="16" t="str">
        <f>_xlfn.XLOOKUP(D1028,'[8]AGUSTUS 2026'!$B:$B,'[8]AGUSTUS 2026'!$I:$I,"Tidak Ditemukan")</f>
        <v>MUHAMMAD CHAIRIL ANAM</v>
      </c>
      <c r="G1028" s="21"/>
    </row>
    <row r="1029" spans="2:7">
      <c r="B1029" s="22" t="s">
        <v>927</v>
      </c>
      <c r="C1029" s="23" t="s">
        <v>928</v>
      </c>
      <c r="D1029" s="24" t="s">
        <v>1069</v>
      </c>
      <c r="E1029" s="25" t="s">
        <v>1722</v>
      </c>
      <c r="F1029" s="16" t="str">
        <f>_xlfn.XLOOKUP(D1029,'[8]AGUSTUS 2026'!$B:$B,'[8]AGUSTUS 2026'!$I:$I,"Tidak Ditemukan")</f>
        <v>MUHAMMAD CHAIRIL ANAM</v>
      </c>
      <c r="G1029" s="21"/>
    </row>
    <row r="1030" spans="2:7">
      <c r="B1030" s="22" t="s">
        <v>927</v>
      </c>
      <c r="C1030" s="23" t="s">
        <v>928</v>
      </c>
      <c r="D1030" s="24" t="s">
        <v>1070</v>
      </c>
      <c r="E1030" s="25" t="s">
        <v>1722</v>
      </c>
      <c r="F1030" s="16" t="str">
        <f>_xlfn.XLOOKUP(D1030,'[8]AGUSTUS 2026'!$B:$B,'[8]AGUSTUS 2026'!$I:$I,"Tidak Ditemukan")</f>
        <v>MUHAMMAD CHAIRIL ANAM</v>
      </c>
      <c r="G1030" s="21"/>
    </row>
    <row r="1031" spans="2:7">
      <c r="B1031" s="22" t="s">
        <v>927</v>
      </c>
      <c r="C1031" s="23" t="s">
        <v>928</v>
      </c>
      <c r="D1031" s="24" t="s">
        <v>1071</v>
      </c>
      <c r="E1031" s="25" t="s">
        <v>1722</v>
      </c>
      <c r="F1031" s="16" t="str">
        <f>_xlfn.XLOOKUP(D1031,'[8]AGUSTUS 2026'!$B:$B,'[8]AGUSTUS 2026'!$I:$I,"Tidak Ditemukan")</f>
        <v>MUHAMMAD CHAIRIL ANAM</v>
      </c>
      <c r="G1031" s="21"/>
    </row>
    <row r="1032" spans="2:7">
      <c r="B1032" s="22" t="s">
        <v>927</v>
      </c>
      <c r="C1032" s="23" t="s">
        <v>928</v>
      </c>
      <c r="D1032" s="24" t="s">
        <v>1072</v>
      </c>
      <c r="E1032" s="25" t="s">
        <v>1722</v>
      </c>
      <c r="F1032" s="16" t="str">
        <f>_xlfn.XLOOKUP(D1032,'[8]AGUSTUS 2026'!$B:$B,'[8]AGUSTUS 2026'!$I:$I,"Tidak Ditemukan")</f>
        <v>MUHAMMAD CHAIRIL ANAM</v>
      </c>
      <c r="G1032" s="21"/>
    </row>
    <row r="1033" spans="2:7">
      <c r="B1033" s="22" t="s">
        <v>927</v>
      </c>
      <c r="C1033" s="23" t="s">
        <v>928</v>
      </c>
      <c r="D1033" s="24" t="s">
        <v>1073</v>
      </c>
      <c r="E1033" s="25" t="s">
        <v>1722</v>
      </c>
      <c r="F1033" s="16" t="str">
        <f>_xlfn.XLOOKUP(D1033,'[8]AGUSTUS 2026'!$B:$B,'[8]AGUSTUS 2026'!$I:$I,"Tidak Ditemukan")</f>
        <v>JOKO NDARU FEBRIYANTO</v>
      </c>
      <c r="G1033" s="21"/>
    </row>
    <row r="1034" spans="2:7">
      <c r="B1034" s="22" t="s">
        <v>927</v>
      </c>
      <c r="C1034" s="23" t="s">
        <v>928</v>
      </c>
      <c r="D1034" s="24" t="s">
        <v>1074</v>
      </c>
      <c r="E1034" s="25" t="s">
        <v>1722</v>
      </c>
      <c r="F1034" s="16" t="str">
        <f>_xlfn.XLOOKUP(D1034,'[8]AGUSTUS 2026'!$B:$B,'[8]AGUSTUS 2026'!$I:$I,"Tidak Ditemukan")</f>
        <v>JOKO NDARU FEBRIYANTO</v>
      </c>
      <c r="G1034" s="21"/>
    </row>
    <row r="1035" spans="2:7">
      <c r="B1035" s="22" t="s">
        <v>927</v>
      </c>
      <c r="C1035" s="23" t="s">
        <v>928</v>
      </c>
      <c r="D1035" s="24" t="s">
        <v>1075</v>
      </c>
      <c r="E1035" s="25" t="s">
        <v>1722</v>
      </c>
      <c r="F1035" s="16" t="str">
        <f>_xlfn.XLOOKUP(D1035,'[8]AGUSTUS 2026'!$B:$B,'[8]AGUSTUS 2026'!$I:$I,"Tidak Ditemukan")</f>
        <v>JOKO NDARU FEBRIYANTO</v>
      </c>
      <c r="G1035" s="21"/>
    </row>
    <row r="1036" spans="2:7">
      <c r="B1036" s="22" t="s">
        <v>927</v>
      </c>
      <c r="C1036" s="23" t="s">
        <v>928</v>
      </c>
      <c r="D1036" s="24" t="s">
        <v>1076</v>
      </c>
      <c r="E1036" s="25" t="s">
        <v>1722</v>
      </c>
      <c r="F1036" s="16" t="str">
        <f>_xlfn.XLOOKUP(D1036,'[8]AGUSTUS 2026'!$B:$B,'[8]AGUSTUS 2026'!$I:$I,"Tidak Ditemukan")</f>
        <v>JOKO NDARU FEBRIYANTO</v>
      </c>
      <c r="G1036" s="21"/>
    </row>
    <row r="1037" spans="2:7">
      <c r="B1037" s="22" t="s">
        <v>927</v>
      </c>
      <c r="C1037" s="23" t="s">
        <v>928</v>
      </c>
      <c r="D1037" s="24" t="s">
        <v>1077</v>
      </c>
      <c r="E1037" s="25" t="s">
        <v>1722</v>
      </c>
      <c r="F1037" s="16" t="str">
        <f>_xlfn.XLOOKUP(D1037,'[8]AGUSTUS 2026'!$B:$B,'[8]AGUSTUS 2026'!$I:$I,"Tidak Ditemukan")</f>
        <v>JOKO NDARU FEBRIYANTO</v>
      </c>
      <c r="G1037" s="21"/>
    </row>
    <row r="1038" spans="2:7">
      <c r="B1038" s="22" t="s">
        <v>927</v>
      </c>
      <c r="C1038" s="23" t="s">
        <v>928</v>
      </c>
      <c r="D1038" s="24" t="s">
        <v>1078</v>
      </c>
      <c r="E1038" s="25" t="s">
        <v>1722</v>
      </c>
      <c r="F1038" s="16" t="str">
        <f>_xlfn.XLOOKUP(D1038,'[8]AGUSTUS 2026'!$B:$B,'[8]AGUSTUS 2026'!$I:$I,"Tidak Ditemukan")</f>
        <v>JOKO NDARU FEBRIYANTO</v>
      </c>
      <c r="G1038" s="21"/>
    </row>
    <row r="1039" spans="2:7">
      <c r="B1039" s="22" t="s">
        <v>927</v>
      </c>
      <c r="C1039" s="23" t="s">
        <v>928</v>
      </c>
      <c r="D1039" s="24" t="s">
        <v>1079</v>
      </c>
      <c r="E1039" s="25" t="s">
        <v>1722</v>
      </c>
      <c r="F1039" s="16" t="str">
        <f>_xlfn.XLOOKUP(D1039,'[8]AGUSTUS 2026'!$B:$B,'[8]AGUSTUS 2026'!$I:$I,"Tidak Ditemukan")</f>
        <v>JOKO NDARU FEBRIYANTO</v>
      </c>
      <c r="G1039" s="21"/>
    </row>
    <row r="1040" spans="2:7">
      <c r="B1040" s="22" t="s">
        <v>927</v>
      </c>
      <c r="C1040" s="23" t="s">
        <v>928</v>
      </c>
      <c r="D1040" s="24" t="s">
        <v>1080</v>
      </c>
      <c r="E1040" s="25" t="s">
        <v>1722</v>
      </c>
      <c r="F1040" s="16" t="str">
        <f>_xlfn.XLOOKUP(D1040,'[8]AGUSTUS 2026'!$B:$B,'[8]AGUSTUS 2026'!$I:$I,"Tidak Ditemukan")</f>
        <v>JOKO NDARU FEBRIYANTO</v>
      </c>
      <c r="G1040" s="21"/>
    </row>
    <row r="1041" spans="2:7">
      <c r="B1041" s="22" t="s">
        <v>927</v>
      </c>
      <c r="C1041" s="23" t="s">
        <v>928</v>
      </c>
      <c r="D1041" s="24" t="s">
        <v>1081</v>
      </c>
      <c r="E1041" s="25" t="s">
        <v>1722</v>
      </c>
      <c r="F1041" s="16" t="str">
        <f>_xlfn.XLOOKUP(D1041,'[8]AGUSTUS 2026'!$B:$B,'[8]AGUSTUS 2026'!$I:$I,"Tidak Ditemukan")</f>
        <v>JOKO NDARU FEBRIYANTO</v>
      </c>
      <c r="G1041" s="21"/>
    </row>
    <row r="1042" spans="2:7">
      <c r="B1042" s="22" t="s">
        <v>927</v>
      </c>
      <c r="C1042" s="23" t="s">
        <v>928</v>
      </c>
      <c r="D1042" s="24" t="s">
        <v>1082</v>
      </c>
      <c r="E1042" s="25" t="s">
        <v>1722</v>
      </c>
      <c r="F1042" s="16" t="str">
        <f>_xlfn.XLOOKUP(D1042,'[8]AGUSTUS 2026'!$B:$B,'[8]AGUSTUS 2026'!$I:$I,"Tidak Ditemukan")</f>
        <v>SURYA DWI J</v>
      </c>
      <c r="G1042" s="21"/>
    </row>
    <row r="1043" spans="2:7">
      <c r="B1043" s="22" t="s">
        <v>927</v>
      </c>
      <c r="C1043" s="23" t="s">
        <v>928</v>
      </c>
      <c r="D1043" s="24" t="s">
        <v>1083</v>
      </c>
      <c r="E1043" s="25" t="s">
        <v>1722</v>
      </c>
      <c r="F1043" s="16" t="str">
        <f>_xlfn.XLOOKUP(D1043,'[8]AGUSTUS 2026'!$B:$B,'[8]AGUSTUS 2026'!$I:$I,"Tidak Ditemukan")</f>
        <v>SURYA DWI J</v>
      </c>
      <c r="G1043" s="21"/>
    </row>
    <row r="1044" spans="2:7">
      <c r="B1044" s="22" t="s">
        <v>927</v>
      </c>
      <c r="C1044" s="23" t="s">
        <v>928</v>
      </c>
      <c r="D1044" s="24" t="s">
        <v>1084</v>
      </c>
      <c r="E1044" s="25" t="s">
        <v>1722</v>
      </c>
      <c r="F1044" s="16" t="str">
        <f>_xlfn.XLOOKUP(D1044,'[8]AGUSTUS 2026'!$B:$B,'[8]AGUSTUS 2026'!$I:$I,"Tidak Ditemukan")</f>
        <v>SURYA DWI J</v>
      </c>
      <c r="G1044" s="21"/>
    </row>
    <row r="1045" spans="2:7">
      <c r="B1045" s="22" t="s">
        <v>1085</v>
      </c>
      <c r="C1045" s="23" t="s">
        <v>1086</v>
      </c>
      <c r="D1045" s="24" t="s">
        <v>1087</v>
      </c>
      <c r="E1045" s="25" t="s">
        <v>1722</v>
      </c>
      <c r="F1045" s="16" t="str">
        <f>_xlfn.XLOOKUP(D1045,[9]Sheet2!$C:$C,[9]Sheet2!$E:$E,"-")</f>
        <v>Fahmi Nur Muhamad</v>
      </c>
      <c r="G1045" s="21"/>
    </row>
    <row r="1046" spans="2:7">
      <c r="B1046" s="22" t="s">
        <v>1085</v>
      </c>
      <c r="C1046" s="23" t="s">
        <v>1086</v>
      </c>
      <c r="D1046" s="24" t="s">
        <v>1088</v>
      </c>
      <c r="E1046" s="25" t="s">
        <v>1722</v>
      </c>
      <c r="F1046" s="16" t="str">
        <f>_xlfn.XLOOKUP(D1046,[9]Sheet2!$C:$C,[9]Sheet2!$E:$E,"-")</f>
        <v>Imam Khudori</v>
      </c>
      <c r="G1046" s="21"/>
    </row>
    <row r="1047" spans="2:7">
      <c r="B1047" s="22" t="s">
        <v>1085</v>
      </c>
      <c r="C1047" s="23" t="s">
        <v>1086</v>
      </c>
      <c r="D1047" s="24" t="s">
        <v>1089</v>
      </c>
      <c r="E1047" s="25" t="s">
        <v>1722</v>
      </c>
      <c r="F1047" s="16" t="str">
        <f>_xlfn.XLOOKUP(D1047,[9]Sheet2!$C:$C,[9]Sheet2!$E:$E,"-")</f>
        <v>Dwi Murdianto</v>
      </c>
      <c r="G1047" s="21"/>
    </row>
    <row r="1048" spans="2:7">
      <c r="B1048" s="22" t="s">
        <v>1085</v>
      </c>
      <c r="C1048" s="23" t="s">
        <v>1086</v>
      </c>
      <c r="D1048" s="24" t="s">
        <v>1090</v>
      </c>
      <c r="E1048" s="25" t="s">
        <v>1722</v>
      </c>
      <c r="F1048" s="16" t="str">
        <f>_xlfn.XLOOKUP(D1048,[9]Sheet2!$C:$C,[9]Sheet2!$E:$E,"-")</f>
        <v>Ali Subeki</v>
      </c>
      <c r="G1048" s="21"/>
    </row>
    <row r="1049" spans="2:7">
      <c r="B1049" s="22" t="s">
        <v>1085</v>
      </c>
      <c r="C1049" s="23" t="s">
        <v>1086</v>
      </c>
      <c r="D1049" s="24" t="s">
        <v>1091</v>
      </c>
      <c r="E1049" s="25" t="s">
        <v>1722</v>
      </c>
      <c r="F1049" s="16" t="str">
        <f>_xlfn.XLOOKUP(D1049,[9]Sheet2!$C:$C,[9]Sheet2!$E:$E,"-")</f>
        <v>Dwi Murdianto</v>
      </c>
      <c r="G1049" s="21"/>
    </row>
    <row r="1050" spans="2:7">
      <c r="B1050" s="22" t="s">
        <v>1085</v>
      </c>
      <c r="C1050" s="23" t="s">
        <v>1086</v>
      </c>
      <c r="D1050" s="24" t="s">
        <v>1092</v>
      </c>
      <c r="E1050" s="25" t="s">
        <v>1722</v>
      </c>
      <c r="F1050" s="16" t="str">
        <f>_xlfn.XLOOKUP(D1050,[9]Sheet2!$C:$C,[9]Sheet2!$E:$E,"-")</f>
        <v>Mochamad Robi Hidayat</v>
      </c>
      <c r="G1050" s="21"/>
    </row>
    <row r="1051" spans="2:7">
      <c r="B1051" s="22" t="s">
        <v>1085</v>
      </c>
      <c r="C1051" s="23" t="s">
        <v>1086</v>
      </c>
      <c r="D1051" s="24" t="s">
        <v>1093</v>
      </c>
      <c r="E1051" s="25" t="s">
        <v>1722</v>
      </c>
      <c r="F1051" s="16" t="str">
        <f>_xlfn.XLOOKUP(D1051,[9]Sheet2!$C:$C,[9]Sheet2!$E:$E,"-")</f>
        <v>Fahmi Nur Muhamad</v>
      </c>
      <c r="G1051" s="21"/>
    </row>
    <row r="1052" spans="2:7">
      <c r="B1052" s="22" t="s">
        <v>1085</v>
      </c>
      <c r="C1052" s="23" t="s">
        <v>1086</v>
      </c>
      <c r="D1052" s="24" t="s">
        <v>1094</v>
      </c>
      <c r="E1052" s="25" t="s">
        <v>1722</v>
      </c>
      <c r="F1052" s="16" t="str">
        <f>_xlfn.XLOOKUP(D1052,[9]Sheet2!$C:$C,[9]Sheet2!$E:$E,"-")</f>
        <v>Imam Khudori</v>
      </c>
      <c r="G1052" s="21"/>
    </row>
    <row r="1053" spans="2:7">
      <c r="B1053" s="22" t="s">
        <v>1085</v>
      </c>
      <c r="C1053" s="23" t="s">
        <v>1086</v>
      </c>
      <c r="D1053" s="24" t="s">
        <v>1095</v>
      </c>
      <c r="E1053" s="25" t="s">
        <v>1722</v>
      </c>
      <c r="F1053" s="16" t="str">
        <f>_xlfn.XLOOKUP(D1053,[9]Sheet2!$C:$C,[9]Sheet2!$E:$E,"-")</f>
        <v>Mochamad Robi Hidayat</v>
      </c>
      <c r="G1053" s="21"/>
    </row>
    <row r="1054" spans="2:7">
      <c r="B1054" s="22" t="s">
        <v>1085</v>
      </c>
      <c r="C1054" s="23" t="s">
        <v>1086</v>
      </c>
      <c r="D1054" s="24" t="s">
        <v>1096</v>
      </c>
      <c r="E1054" s="25" t="s">
        <v>1722</v>
      </c>
      <c r="F1054" s="16" t="str">
        <f>_xlfn.XLOOKUP(D1054,[9]Sheet2!$C:$C,[9]Sheet2!$E:$E,"-")</f>
        <v>Ali Subeki</v>
      </c>
      <c r="G1054" s="21"/>
    </row>
    <row r="1055" spans="2:7">
      <c r="B1055" s="22" t="s">
        <v>1085</v>
      </c>
      <c r="C1055" s="23" t="s">
        <v>1086</v>
      </c>
      <c r="D1055" s="24" t="s">
        <v>1097</v>
      </c>
      <c r="E1055" s="25" t="s">
        <v>1722</v>
      </c>
      <c r="F1055" s="16" t="str">
        <f>_xlfn.XLOOKUP(D1055,[9]Sheet2!$C:$C,[9]Sheet2!$E:$E,"-")</f>
        <v>Budianto</v>
      </c>
      <c r="G1055" s="21"/>
    </row>
    <row r="1056" spans="2:7">
      <c r="B1056" s="22" t="s">
        <v>1085</v>
      </c>
      <c r="C1056" s="23" t="s">
        <v>1086</v>
      </c>
      <c r="D1056" s="24" t="s">
        <v>1098</v>
      </c>
      <c r="E1056" s="25" t="s">
        <v>1722</v>
      </c>
      <c r="F1056" s="16" t="str">
        <f>_xlfn.XLOOKUP(D1056,[9]Sheet2!$C:$C,[9]Sheet2!$E:$E,"-")</f>
        <v>Andy Kistiwantono</v>
      </c>
      <c r="G1056" s="21"/>
    </row>
    <row r="1057" spans="2:7">
      <c r="B1057" s="22" t="s">
        <v>1085</v>
      </c>
      <c r="C1057" s="23" t="s">
        <v>1086</v>
      </c>
      <c r="D1057" s="24" t="s">
        <v>1099</v>
      </c>
      <c r="E1057" s="25" t="s">
        <v>1722</v>
      </c>
      <c r="F1057" s="16" t="str">
        <f>_xlfn.XLOOKUP(D1057,[9]Sheet2!$C:$C,[9]Sheet2!$E:$E,"-")</f>
        <v>M. Zen Asrofi</v>
      </c>
      <c r="G1057" s="21"/>
    </row>
    <row r="1058" spans="2:7">
      <c r="B1058" s="22" t="s">
        <v>1085</v>
      </c>
      <c r="C1058" s="23" t="s">
        <v>1086</v>
      </c>
      <c r="D1058" s="24" t="s">
        <v>1100</v>
      </c>
      <c r="E1058" s="25" t="s">
        <v>1722</v>
      </c>
      <c r="F1058" s="16" t="str">
        <f>_xlfn.XLOOKUP(D1058,[9]Sheet2!$C:$C,[9]Sheet2!$E:$E,"-")</f>
        <v>Totok Suwiknyo</v>
      </c>
      <c r="G1058" s="21"/>
    </row>
    <row r="1059" spans="2:7">
      <c r="B1059" s="22" t="s">
        <v>1085</v>
      </c>
      <c r="C1059" s="23" t="s">
        <v>1086</v>
      </c>
      <c r="D1059" s="24" t="s">
        <v>1101</v>
      </c>
      <c r="E1059" s="25" t="s">
        <v>1722</v>
      </c>
      <c r="F1059" s="16" t="str">
        <f>_xlfn.XLOOKUP(D1059,[9]Sheet2!$C:$C,[9]Sheet2!$E:$E,"-")</f>
        <v>Andy Kistiwantono</v>
      </c>
      <c r="G1059" s="21"/>
    </row>
    <row r="1060" spans="2:7">
      <c r="B1060" s="22" t="s">
        <v>1085</v>
      </c>
      <c r="C1060" s="23" t="s">
        <v>1086</v>
      </c>
      <c r="D1060" s="24" t="s">
        <v>1102</v>
      </c>
      <c r="E1060" s="25" t="s">
        <v>1722</v>
      </c>
      <c r="F1060" s="16" t="str">
        <f>_xlfn.XLOOKUP(D1060,[9]Sheet2!$C:$C,[9]Sheet2!$E:$E,"-")</f>
        <v>M. Zen Asrofi</v>
      </c>
      <c r="G1060" s="21"/>
    </row>
    <row r="1061" spans="2:7">
      <c r="B1061" s="22" t="s">
        <v>1085</v>
      </c>
      <c r="C1061" s="23" t="s">
        <v>1086</v>
      </c>
      <c r="D1061" s="24" t="s">
        <v>1103</v>
      </c>
      <c r="E1061" s="25" t="s">
        <v>1722</v>
      </c>
      <c r="F1061" s="16" t="str">
        <f>_xlfn.XLOOKUP(D1061,[9]Sheet2!$C:$C,[9]Sheet2!$E:$E,"-")</f>
        <v>Mokhammad Ali Mustofa</v>
      </c>
      <c r="G1061" s="21"/>
    </row>
    <row r="1062" spans="2:7">
      <c r="B1062" s="22" t="s">
        <v>1085</v>
      </c>
      <c r="C1062" s="23" t="s">
        <v>1086</v>
      </c>
      <c r="D1062" s="24" t="s">
        <v>1104</v>
      </c>
      <c r="E1062" s="25" t="s">
        <v>1722</v>
      </c>
      <c r="F1062" s="16" t="str">
        <f>_xlfn.XLOOKUP(D1062,[9]Sheet2!$C:$C,[9]Sheet2!$E:$E,"-")</f>
        <v>Mokhammad Ali Mustofa</v>
      </c>
      <c r="G1062" s="21"/>
    </row>
    <row r="1063" spans="2:7">
      <c r="B1063" s="22" t="s">
        <v>1085</v>
      </c>
      <c r="C1063" s="23" t="s">
        <v>1086</v>
      </c>
      <c r="D1063" s="24" t="s">
        <v>1105</v>
      </c>
      <c r="E1063" s="25" t="s">
        <v>1722</v>
      </c>
      <c r="F1063" s="16" t="str">
        <f>_xlfn.XLOOKUP(D1063,[9]Sheet2!$C:$C,[9]Sheet2!$E:$E,"-")</f>
        <v>Totok Suwiknyo</v>
      </c>
      <c r="G1063" s="21"/>
    </row>
    <row r="1064" spans="2:7">
      <c r="B1064" s="22" t="s">
        <v>1085</v>
      </c>
      <c r="C1064" s="23" t="s">
        <v>1086</v>
      </c>
      <c r="D1064" s="24" t="s">
        <v>1106</v>
      </c>
      <c r="E1064" s="25" t="s">
        <v>1722</v>
      </c>
      <c r="F1064" s="16" t="str">
        <f>_xlfn.XLOOKUP(D1064,[9]Sheet2!$C:$C,[9]Sheet2!$E:$E,"-")</f>
        <v>Budianto</v>
      </c>
      <c r="G1064" s="21"/>
    </row>
    <row r="1065" spans="2:7">
      <c r="B1065" s="22" t="s">
        <v>1085</v>
      </c>
      <c r="C1065" s="23" t="s">
        <v>1086</v>
      </c>
      <c r="D1065" s="24" t="s">
        <v>1107</v>
      </c>
      <c r="E1065" s="25" t="s">
        <v>1722</v>
      </c>
      <c r="F1065" s="16" t="str">
        <f>_xlfn.XLOOKUP(D1065,[9]Sheet2!$C:$C,[9]Sheet2!$E:$E,"-")</f>
        <v>Niza Ramadani</v>
      </c>
      <c r="G1065" s="21"/>
    </row>
    <row r="1066" spans="2:7">
      <c r="B1066" s="22" t="s">
        <v>1085</v>
      </c>
      <c r="C1066" s="23" t="s">
        <v>1086</v>
      </c>
      <c r="D1066" s="24" t="s">
        <v>1108</v>
      </c>
      <c r="E1066" s="25" t="s">
        <v>1745</v>
      </c>
      <c r="F1066" s="16" t="str">
        <f>_xlfn.XLOOKUP(D1066,[9]Sheet2!$C:$C,[9]Sheet2!$E:$E,"-")</f>
        <v>Dian Putra Aris Firmansyah</v>
      </c>
      <c r="G1066" s="21"/>
    </row>
    <row r="1067" spans="2:7">
      <c r="B1067" s="22" t="s">
        <v>1085</v>
      </c>
      <c r="C1067" s="23" t="s">
        <v>1086</v>
      </c>
      <c r="D1067" s="24" t="s">
        <v>1109</v>
      </c>
      <c r="E1067" s="25" t="s">
        <v>1745</v>
      </c>
      <c r="F1067" s="16" t="str">
        <f>_xlfn.XLOOKUP(D1067,[9]Sheet2!$C:$C,[9]Sheet2!$E:$E,"-")</f>
        <v>Mohammad Fa'Iq Al Abror</v>
      </c>
      <c r="G1067" s="21"/>
    </row>
    <row r="1068" spans="2:7">
      <c r="B1068" s="22" t="s">
        <v>1085</v>
      </c>
      <c r="C1068" s="23" t="s">
        <v>1086</v>
      </c>
      <c r="D1068" s="24" t="s">
        <v>1110</v>
      </c>
      <c r="E1068" s="25" t="s">
        <v>1722</v>
      </c>
      <c r="F1068" s="16" t="str">
        <f>_xlfn.XLOOKUP(D1068,[9]Sheet2!$C:$C,[9]Sheet2!$E:$E,"-")</f>
        <v>Fariszulhazmi</v>
      </c>
      <c r="G1068" s="21"/>
    </row>
    <row r="1069" spans="2:7">
      <c r="B1069" s="22" t="s">
        <v>1085</v>
      </c>
      <c r="C1069" s="23" t="s">
        <v>1086</v>
      </c>
      <c r="D1069" s="24" t="s">
        <v>1111</v>
      </c>
      <c r="E1069" s="25" t="s">
        <v>1722</v>
      </c>
      <c r="F1069" s="16" t="str">
        <f>_xlfn.XLOOKUP(D1069,[9]Sheet2!$C:$C,[9]Sheet2!$E:$E,"-")</f>
        <v>Fitra Romansyah</v>
      </c>
      <c r="G1069" s="21"/>
    </row>
    <row r="1070" spans="2:7">
      <c r="B1070" s="22" t="s">
        <v>1085</v>
      </c>
      <c r="C1070" s="23" t="s">
        <v>1086</v>
      </c>
      <c r="D1070" s="24" t="s">
        <v>1112</v>
      </c>
      <c r="E1070" s="25" t="s">
        <v>1722</v>
      </c>
      <c r="F1070" s="16" t="str">
        <f>_xlfn.XLOOKUP(D1070,[9]Sheet2!$C:$C,[9]Sheet2!$E:$E,"-")</f>
        <v>Fariszulhazmi</v>
      </c>
      <c r="G1070" s="21"/>
    </row>
    <row r="1071" spans="2:7">
      <c r="B1071" s="22" t="s">
        <v>1085</v>
      </c>
      <c r="C1071" s="23" t="s">
        <v>1086</v>
      </c>
      <c r="D1071" s="24" t="s">
        <v>1113</v>
      </c>
      <c r="E1071" s="25" t="s">
        <v>1722</v>
      </c>
      <c r="F1071" s="16" t="str">
        <f>_xlfn.XLOOKUP(D1071,[9]Sheet2!$C:$C,[9]Sheet2!$E:$E,"-")</f>
        <v>Dede Rahadiansyah Ucky Pradana</v>
      </c>
      <c r="G1071" s="21"/>
    </row>
    <row r="1072" spans="2:7">
      <c r="B1072" s="22" t="s">
        <v>1085</v>
      </c>
      <c r="C1072" s="23" t="s">
        <v>1086</v>
      </c>
      <c r="D1072" s="24" t="s">
        <v>1114</v>
      </c>
      <c r="E1072" s="25" t="s">
        <v>1722</v>
      </c>
      <c r="F1072" s="16" t="str">
        <f>_xlfn.XLOOKUP(D1072,[9]Sheet2!$C:$C,[9]Sheet2!$E:$E,"-")</f>
        <v>Ardyanita Wanti, S.Pd</v>
      </c>
      <c r="G1072" s="21"/>
    </row>
    <row r="1073" spans="2:7">
      <c r="B1073" s="22" t="s">
        <v>1085</v>
      </c>
      <c r="C1073" s="23" t="s">
        <v>1086</v>
      </c>
      <c r="D1073" s="24" t="s">
        <v>1115</v>
      </c>
      <c r="E1073" s="25" t="s">
        <v>1745</v>
      </c>
      <c r="F1073" s="16" t="str">
        <f>_xlfn.XLOOKUP(D1073,[9]Sheet2!$C:$C,[9]Sheet2!$E:$E,"-")</f>
        <v>Mohammad Fa'Iq Al Abror</v>
      </c>
      <c r="G1073" s="21"/>
    </row>
    <row r="1074" spans="2:7">
      <c r="B1074" s="22" t="s">
        <v>1085</v>
      </c>
      <c r="C1074" s="23" t="s">
        <v>1086</v>
      </c>
      <c r="D1074" s="24" t="s">
        <v>1116</v>
      </c>
      <c r="E1074" s="25" t="s">
        <v>1745</v>
      </c>
      <c r="F1074" s="16" t="str">
        <f>_xlfn.XLOOKUP(D1074,[9]Sheet2!$C:$C,[9]Sheet2!$E:$E,"-")</f>
        <v>Dian Putra Aris Firmansyah</v>
      </c>
      <c r="G1074" s="21"/>
    </row>
    <row r="1075" spans="2:7">
      <c r="B1075" s="22" t="s">
        <v>1085</v>
      </c>
      <c r="C1075" s="23" t="s">
        <v>1086</v>
      </c>
      <c r="D1075" s="24" t="s">
        <v>1117</v>
      </c>
      <c r="E1075" s="25" t="s">
        <v>1722</v>
      </c>
      <c r="F1075" s="16" t="str">
        <f>_xlfn.XLOOKUP(D1075,[9]Sheet2!$C:$C,[9]Sheet2!$E:$E,"-")</f>
        <v>Ardyanita Wanti, S.Pd</v>
      </c>
      <c r="G1075" s="21"/>
    </row>
    <row r="1076" spans="2:7">
      <c r="B1076" s="22" t="s">
        <v>1085</v>
      </c>
      <c r="C1076" s="23" t="s">
        <v>1086</v>
      </c>
      <c r="D1076" s="24" t="s">
        <v>1118</v>
      </c>
      <c r="E1076" s="25" t="s">
        <v>1722</v>
      </c>
      <c r="F1076" s="16" t="str">
        <f>_xlfn.XLOOKUP(D1076,[9]Sheet2!$C:$C,[9]Sheet2!$E:$E,"-")</f>
        <v>Fariszulhazmi</v>
      </c>
      <c r="G1076" s="21"/>
    </row>
    <row r="1077" spans="2:7">
      <c r="B1077" s="22" t="s">
        <v>1085</v>
      </c>
      <c r="C1077" s="23" t="s">
        <v>1086</v>
      </c>
      <c r="D1077" s="24" t="s">
        <v>1119</v>
      </c>
      <c r="E1077" s="25" t="s">
        <v>1722</v>
      </c>
      <c r="F1077" s="16" t="str">
        <f>_xlfn.XLOOKUP(D1077,[9]Sheet2!$C:$C,[9]Sheet2!$E:$E,"-")</f>
        <v>Fitra Romansyah</v>
      </c>
      <c r="G1077" s="21"/>
    </row>
    <row r="1078" spans="2:7">
      <c r="B1078" s="22" t="s">
        <v>1085</v>
      </c>
      <c r="C1078" s="23" t="s">
        <v>1086</v>
      </c>
      <c r="D1078" s="24" t="s">
        <v>1120</v>
      </c>
      <c r="E1078" s="25" t="s">
        <v>1722</v>
      </c>
      <c r="F1078" s="16" t="str">
        <f>_xlfn.XLOOKUP(D1078,[9]Sheet2!$C:$C,[9]Sheet2!$E:$E,"-")</f>
        <v>Fitra Romansyah</v>
      </c>
      <c r="G1078" s="21"/>
    </row>
    <row r="1079" spans="2:7">
      <c r="B1079" s="22" t="s">
        <v>1085</v>
      </c>
      <c r="C1079" s="23" t="s">
        <v>1086</v>
      </c>
      <c r="D1079" s="24" t="s">
        <v>1121</v>
      </c>
      <c r="E1079" s="25" t="s">
        <v>1745</v>
      </c>
      <c r="F1079" s="16" t="str">
        <f>_xlfn.XLOOKUP(D1079,[9]Sheet2!$C:$C,[9]Sheet2!$E:$E,"-")</f>
        <v>M. Faris Rahman</v>
      </c>
      <c r="G1079" s="21"/>
    </row>
    <row r="1080" spans="2:7">
      <c r="B1080" s="22" t="s">
        <v>1085</v>
      </c>
      <c r="C1080" s="23" t="s">
        <v>1086</v>
      </c>
      <c r="D1080" s="24" t="s">
        <v>1122</v>
      </c>
      <c r="E1080" s="25" t="s">
        <v>1745</v>
      </c>
      <c r="F1080" s="16" t="str">
        <f>_xlfn.XLOOKUP(D1080,[9]Sheet2!$C:$C,[9]Sheet2!$E:$E,"-")</f>
        <v>Ali Said</v>
      </c>
      <c r="G1080" s="21"/>
    </row>
    <row r="1081" spans="2:7">
      <c r="B1081" s="22" t="s">
        <v>1085</v>
      </c>
      <c r="C1081" s="23" t="s">
        <v>1086</v>
      </c>
      <c r="D1081" s="24" t="s">
        <v>1123</v>
      </c>
      <c r="E1081" s="25" t="s">
        <v>1722</v>
      </c>
      <c r="F1081" s="16" t="str">
        <f>_xlfn.XLOOKUP(D1081,[9]Sheet2!$C:$C,[9]Sheet2!$E:$E,"-")</f>
        <v>Siswa Maulana Malik</v>
      </c>
      <c r="G1081" s="21"/>
    </row>
    <row r="1082" spans="2:7">
      <c r="B1082" s="22" t="s">
        <v>1085</v>
      </c>
      <c r="C1082" s="23" t="s">
        <v>1086</v>
      </c>
      <c r="D1082" s="24" t="s">
        <v>1124</v>
      </c>
      <c r="E1082" s="25" t="s">
        <v>1722</v>
      </c>
      <c r="F1082" s="16" t="str">
        <f>_xlfn.XLOOKUP(D1082,[9]Sheet2!$C:$C,[9]Sheet2!$E:$E,"-")</f>
        <v>Ahmad Andy Fajar Wijaya</v>
      </c>
      <c r="G1082" s="21"/>
    </row>
    <row r="1083" spans="2:7">
      <c r="B1083" s="22" t="s">
        <v>1085</v>
      </c>
      <c r="C1083" s="23" t="s">
        <v>1086</v>
      </c>
      <c r="D1083" s="24" t="s">
        <v>1125</v>
      </c>
      <c r="E1083" s="25" t="s">
        <v>1722</v>
      </c>
      <c r="F1083" s="16" t="str">
        <f>_xlfn.XLOOKUP(D1083,[9]Sheet2!$C:$C,[9]Sheet2!$E:$E,"-")</f>
        <v>Moch Ali Muksin</v>
      </c>
      <c r="G1083" s="21"/>
    </row>
    <row r="1084" spans="2:7">
      <c r="B1084" s="22" t="s">
        <v>1085</v>
      </c>
      <c r="C1084" s="23" t="s">
        <v>1086</v>
      </c>
      <c r="D1084" s="24" t="s">
        <v>1126</v>
      </c>
      <c r="E1084" s="25" t="s">
        <v>1722</v>
      </c>
      <c r="F1084" s="16" t="str">
        <f>_xlfn.XLOOKUP(D1084,[9]Sheet2!$C:$C,[9]Sheet2!$E:$E,"-")</f>
        <v>Ahmad Andy Fajar Wijaya</v>
      </c>
      <c r="G1084" s="21"/>
    </row>
    <row r="1085" spans="2:7">
      <c r="B1085" s="22" t="s">
        <v>1085</v>
      </c>
      <c r="C1085" s="23" t="s">
        <v>1086</v>
      </c>
      <c r="D1085" s="24" t="s">
        <v>1127</v>
      </c>
      <c r="E1085" s="25" t="s">
        <v>1722</v>
      </c>
      <c r="F1085" s="16" t="str">
        <f>_xlfn.XLOOKUP(D1085,[9]Sheet2!$C:$C,[9]Sheet2!$E:$E,"-")</f>
        <v>Siswa Maulana Malik</v>
      </c>
      <c r="G1085" s="21"/>
    </row>
    <row r="1086" spans="2:7">
      <c r="B1086" s="22" t="s">
        <v>1085</v>
      </c>
      <c r="C1086" s="23" t="s">
        <v>1086</v>
      </c>
      <c r="D1086" s="24" t="s">
        <v>1128</v>
      </c>
      <c r="E1086" s="25" t="s">
        <v>1745</v>
      </c>
      <c r="F1086" s="16" t="str">
        <f>_xlfn.XLOOKUP(D1086,[9]Sheet2!$C:$C,[9]Sheet2!$E:$E,"-")</f>
        <v>M. Faris Rahman</v>
      </c>
      <c r="G1086" s="21"/>
    </row>
    <row r="1087" spans="2:7">
      <c r="B1087" s="22" t="s">
        <v>1085</v>
      </c>
      <c r="C1087" s="23" t="s">
        <v>1086</v>
      </c>
      <c r="D1087" s="24" t="s">
        <v>1129</v>
      </c>
      <c r="E1087" s="25" t="s">
        <v>1745</v>
      </c>
      <c r="F1087" s="16" t="str">
        <f>_xlfn.XLOOKUP(D1087,[9]Sheet2!$C:$C,[9]Sheet2!$E:$E,"-")</f>
        <v>Ali Said</v>
      </c>
      <c r="G1087" s="21"/>
    </row>
    <row r="1088" spans="2:7">
      <c r="B1088" s="22" t="s">
        <v>1085</v>
      </c>
      <c r="C1088" s="23" t="s">
        <v>1086</v>
      </c>
      <c r="D1088" s="24" t="s">
        <v>1130</v>
      </c>
      <c r="E1088" s="25" t="s">
        <v>1745</v>
      </c>
      <c r="F1088" s="16" t="str">
        <f>_xlfn.XLOOKUP(D1088,[9]Sheet2!$C:$C,[9]Sheet2!$E:$E,"-")</f>
        <v>M. Faris Rahman</v>
      </c>
      <c r="G1088" s="21"/>
    </row>
    <row r="1089" spans="2:7">
      <c r="B1089" s="22" t="s">
        <v>1085</v>
      </c>
      <c r="C1089" s="23" t="s">
        <v>1086</v>
      </c>
      <c r="D1089" s="24" t="s">
        <v>1131</v>
      </c>
      <c r="E1089" s="25" t="s">
        <v>1722</v>
      </c>
      <c r="F1089" s="16" t="str">
        <f>_xlfn.XLOOKUP(D1089,[9]Sheet2!$C:$C,[9]Sheet2!$E:$E,"-")</f>
        <v>Moch Ali Muksin</v>
      </c>
      <c r="G1089" s="21"/>
    </row>
    <row r="1090" spans="2:7">
      <c r="B1090" s="22" t="s">
        <v>1085</v>
      </c>
      <c r="C1090" s="23" t="s">
        <v>1086</v>
      </c>
      <c r="D1090" s="24" t="s">
        <v>1132</v>
      </c>
      <c r="E1090" s="25" t="s">
        <v>1722</v>
      </c>
      <c r="F1090" s="16" t="str">
        <f>_xlfn.XLOOKUP(D1090,[9]Sheet2!$C:$C,[9]Sheet2!$E:$E,"-")</f>
        <v>Ahmad Andy Fajar Wijaya</v>
      </c>
      <c r="G1090" s="21"/>
    </row>
    <row r="1091" spans="2:7">
      <c r="B1091" s="22" t="s">
        <v>1085</v>
      </c>
      <c r="C1091" s="23" t="s">
        <v>1086</v>
      </c>
      <c r="D1091" s="24" t="s">
        <v>1133</v>
      </c>
      <c r="E1091" s="25" t="s">
        <v>1722</v>
      </c>
      <c r="F1091" s="16" t="str">
        <f>_xlfn.XLOOKUP(D1091,[9]Sheet2!$C:$C,[9]Sheet2!$E:$E,"-")</f>
        <v>Faris Meilugianta Pratama</v>
      </c>
      <c r="G1091" s="21"/>
    </row>
    <row r="1092" spans="2:7">
      <c r="B1092" s="22" t="s">
        <v>1085</v>
      </c>
      <c r="C1092" s="23" t="s">
        <v>1086</v>
      </c>
      <c r="D1092" s="24" t="s">
        <v>1134</v>
      </c>
      <c r="E1092" s="25" t="s">
        <v>1722</v>
      </c>
      <c r="F1092" s="16" t="str">
        <f>_xlfn.XLOOKUP(D1092,[9]Sheet2!$C:$C,[9]Sheet2!$E:$E,"-")</f>
        <v>Zainal Abidin</v>
      </c>
      <c r="G1092" s="21"/>
    </row>
    <row r="1093" spans="2:7">
      <c r="B1093" s="22" t="s">
        <v>1085</v>
      </c>
      <c r="C1093" s="23" t="s">
        <v>1086</v>
      </c>
      <c r="D1093" s="24" t="s">
        <v>1135</v>
      </c>
      <c r="E1093" s="25" t="s">
        <v>1722</v>
      </c>
      <c r="F1093" s="16" t="str">
        <f>_xlfn.XLOOKUP(D1093,[9]Sheet2!$C:$C,[9]Sheet2!$E:$E,"-")</f>
        <v>Ega Chandra Dinata</v>
      </c>
      <c r="G1093" s="21"/>
    </row>
    <row r="1094" spans="2:7">
      <c r="B1094" s="22" t="s">
        <v>1085</v>
      </c>
      <c r="C1094" s="23" t="s">
        <v>1086</v>
      </c>
      <c r="D1094" s="24" t="s">
        <v>1136</v>
      </c>
      <c r="E1094" s="25" t="s">
        <v>1722</v>
      </c>
      <c r="F1094" s="16" t="str">
        <f>_xlfn.XLOOKUP(D1094,[9]Sheet2!$C:$C,[9]Sheet2!$E:$E,"-")</f>
        <v>Fauzen Alfan</v>
      </c>
      <c r="G1094" s="21"/>
    </row>
    <row r="1095" spans="2:7">
      <c r="B1095" s="22" t="s">
        <v>1085</v>
      </c>
      <c r="C1095" s="23" t="s">
        <v>1086</v>
      </c>
      <c r="D1095" s="24" t="s">
        <v>1137</v>
      </c>
      <c r="E1095" s="25" t="s">
        <v>1722</v>
      </c>
      <c r="F1095" s="16" t="str">
        <f>_xlfn.XLOOKUP(D1095,[9]Sheet2!$C:$C,[9]Sheet2!$E:$E,"-")</f>
        <v>Faris Meilugianta Pratama</v>
      </c>
      <c r="G1095" s="21"/>
    </row>
    <row r="1096" spans="2:7">
      <c r="B1096" s="22" t="s">
        <v>1085</v>
      </c>
      <c r="C1096" s="23" t="s">
        <v>1086</v>
      </c>
      <c r="D1096" s="24" t="s">
        <v>1138</v>
      </c>
      <c r="E1096" s="25" t="s">
        <v>1722</v>
      </c>
      <c r="F1096" s="16" t="str">
        <f>_xlfn.XLOOKUP(D1096,[9]Sheet2!$C:$C,[9]Sheet2!$E:$E,"-")</f>
        <v>Hilman Anshori</v>
      </c>
      <c r="G1096" s="21"/>
    </row>
    <row r="1097" spans="2:7">
      <c r="B1097" s="22" t="s">
        <v>1085</v>
      </c>
      <c r="C1097" s="23" t="s">
        <v>1086</v>
      </c>
      <c r="D1097" s="24" t="s">
        <v>1139</v>
      </c>
      <c r="E1097" s="25" t="s">
        <v>1745</v>
      </c>
      <c r="F1097" s="16" t="str">
        <f>_xlfn.XLOOKUP(D1097,[9]Sheet2!$C:$C,[9]Sheet2!$E:$E,"-")</f>
        <v>-</v>
      </c>
      <c r="G1097" s="21"/>
    </row>
    <row r="1098" spans="2:7">
      <c r="B1098" s="22" t="s">
        <v>1085</v>
      </c>
      <c r="C1098" s="23" t="s">
        <v>1086</v>
      </c>
      <c r="D1098" s="24" t="s">
        <v>1140</v>
      </c>
      <c r="E1098" s="25" t="s">
        <v>1745</v>
      </c>
      <c r="F1098" s="16" t="str">
        <f>_xlfn.XLOOKUP(D1098,[9]Sheet2!$C:$C,[9]Sheet2!$E:$E,"-")</f>
        <v>-</v>
      </c>
      <c r="G1098" s="21"/>
    </row>
    <row r="1099" spans="2:7">
      <c r="B1099" s="22" t="s">
        <v>1085</v>
      </c>
      <c r="C1099" s="23" t="s">
        <v>1086</v>
      </c>
      <c r="D1099" s="24" t="s">
        <v>1141</v>
      </c>
      <c r="E1099" s="25" t="s">
        <v>1745</v>
      </c>
      <c r="F1099" s="16" t="str">
        <f>_xlfn.XLOOKUP(D1099,[9]Sheet2!$C:$C,[9]Sheet2!$E:$E,"-")</f>
        <v>-</v>
      </c>
      <c r="G1099" s="21"/>
    </row>
    <row r="1100" spans="2:7">
      <c r="B1100" s="22" t="s">
        <v>1085</v>
      </c>
      <c r="C1100" s="23" t="s">
        <v>1086</v>
      </c>
      <c r="D1100" s="24" t="s">
        <v>1142</v>
      </c>
      <c r="E1100" s="25" t="s">
        <v>1745</v>
      </c>
      <c r="F1100" s="16" t="str">
        <f>_xlfn.XLOOKUP(D1100,[9]Sheet2!$C:$C,[9]Sheet2!$E:$E,"-")</f>
        <v>-</v>
      </c>
      <c r="G1100" s="21"/>
    </row>
    <row r="1101" spans="2:7">
      <c r="B1101" s="22" t="s">
        <v>1085</v>
      </c>
      <c r="C1101" s="23" t="s">
        <v>1086</v>
      </c>
      <c r="D1101" s="24" t="s">
        <v>1143</v>
      </c>
      <c r="E1101" s="25" t="s">
        <v>1745</v>
      </c>
      <c r="F1101" s="16" t="str">
        <f>_xlfn.XLOOKUP(D1101,[9]Sheet2!$C:$C,[9]Sheet2!$E:$E,"-")</f>
        <v>Andi Wiranata Negara</v>
      </c>
      <c r="G1101" s="21"/>
    </row>
    <row r="1102" spans="2:7">
      <c r="B1102" s="22" t="s">
        <v>1085</v>
      </c>
      <c r="C1102" s="23" t="s">
        <v>1086</v>
      </c>
      <c r="D1102" s="24" t="s">
        <v>1144</v>
      </c>
      <c r="E1102" s="25" t="s">
        <v>1745</v>
      </c>
      <c r="F1102" s="16" t="str">
        <f>_xlfn.XLOOKUP(D1102,[9]Sheet2!$C:$C,[9]Sheet2!$E:$E,"-")</f>
        <v>Moh. Hasan</v>
      </c>
      <c r="G1102" s="21"/>
    </row>
    <row r="1103" spans="2:7">
      <c r="B1103" s="22" t="s">
        <v>1085</v>
      </c>
      <c r="C1103" s="23" t="s">
        <v>1086</v>
      </c>
      <c r="D1103" s="24" t="s">
        <v>1145</v>
      </c>
      <c r="E1103" s="25" t="s">
        <v>1745</v>
      </c>
      <c r="F1103" s="16" t="str">
        <f>_xlfn.XLOOKUP(D1103,[9]Sheet2!$C:$C,[9]Sheet2!$E:$E,"-")</f>
        <v>Farida</v>
      </c>
      <c r="G1103" s="21"/>
    </row>
    <row r="1104" spans="2:7">
      <c r="B1104" s="22" t="s">
        <v>1085</v>
      </c>
      <c r="C1104" s="23" t="s">
        <v>1086</v>
      </c>
      <c r="D1104" s="24" t="s">
        <v>1146</v>
      </c>
      <c r="E1104" s="25" t="s">
        <v>1745</v>
      </c>
      <c r="F1104" s="16" t="str">
        <f>_xlfn.XLOOKUP(D1104,[9]Sheet2!$C:$C,[9]Sheet2!$E:$E,"-")</f>
        <v>Moh. Hasan</v>
      </c>
      <c r="G1104" s="21"/>
    </row>
    <row r="1105" spans="2:7">
      <c r="B1105" s="22" t="s">
        <v>1085</v>
      </c>
      <c r="C1105" s="23" t="s">
        <v>1086</v>
      </c>
      <c r="D1105" s="24" t="s">
        <v>1147</v>
      </c>
      <c r="E1105" s="25" t="s">
        <v>1745</v>
      </c>
      <c r="F1105" s="16" t="str">
        <f>_xlfn.XLOOKUP(D1105,[9]Sheet2!$C:$C,[9]Sheet2!$E:$E,"-")</f>
        <v>Farida</v>
      </c>
      <c r="G1105" s="21"/>
    </row>
    <row r="1106" spans="2:7">
      <c r="B1106" s="22" t="s">
        <v>1085</v>
      </c>
      <c r="C1106" s="23" t="s">
        <v>1086</v>
      </c>
      <c r="D1106" s="24" t="s">
        <v>1148</v>
      </c>
      <c r="E1106" s="25" t="s">
        <v>1745</v>
      </c>
      <c r="F1106" s="16" t="str">
        <f>_xlfn.XLOOKUP(D1106,[9]Sheet2!$C:$C,[9]Sheet2!$E:$E,"-")</f>
        <v>Abdur Rahman</v>
      </c>
      <c r="G1106" s="21"/>
    </row>
    <row r="1107" spans="2:7">
      <c r="B1107" s="22" t="s">
        <v>1085</v>
      </c>
      <c r="C1107" s="23" t="s">
        <v>1086</v>
      </c>
      <c r="D1107" s="24" t="s">
        <v>1149</v>
      </c>
      <c r="E1107" s="25" t="s">
        <v>1745</v>
      </c>
      <c r="F1107" s="16" t="str">
        <f>_xlfn.XLOOKUP(D1107,[9]Sheet2!$C:$C,[9]Sheet2!$E:$E,"-")</f>
        <v>Abdur Rahman</v>
      </c>
      <c r="G1107" s="21"/>
    </row>
    <row r="1108" spans="2:7">
      <c r="B1108" s="22" t="s">
        <v>1085</v>
      </c>
      <c r="C1108" s="23" t="s">
        <v>1086</v>
      </c>
      <c r="D1108" s="24" t="s">
        <v>1150</v>
      </c>
      <c r="E1108" s="25" t="s">
        <v>1722</v>
      </c>
      <c r="F1108" s="16" t="str">
        <f>_xlfn.XLOOKUP(D1108,[9]Sheet2!$C:$C,[9]Sheet2!$E:$E,"-")</f>
        <v>Ahmad Khairul Zawawi</v>
      </c>
      <c r="G1108" s="21"/>
    </row>
    <row r="1109" spans="2:7">
      <c r="B1109" s="22" t="s">
        <v>1085</v>
      </c>
      <c r="C1109" s="23" t="s">
        <v>1086</v>
      </c>
      <c r="D1109" s="24" t="s">
        <v>1151</v>
      </c>
      <c r="E1109" s="25" t="s">
        <v>1722</v>
      </c>
      <c r="F1109" s="16" t="str">
        <f>_xlfn.XLOOKUP(D1109,[9]Sheet2!$C:$C,[9]Sheet2!$E:$E,"-")</f>
        <v>Ahmad Khairul Zawawi</v>
      </c>
      <c r="G1109" s="21"/>
    </row>
    <row r="1110" spans="2:7">
      <c r="B1110" s="22" t="s">
        <v>1085</v>
      </c>
      <c r="C1110" s="23" t="s">
        <v>1086</v>
      </c>
      <c r="D1110" s="24" t="s">
        <v>1152</v>
      </c>
      <c r="E1110" s="25" t="s">
        <v>1722</v>
      </c>
      <c r="F1110" s="16" t="str">
        <f>_xlfn.XLOOKUP(D1110,[9]Sheet2!$C:$C,[9]Sheet2!$E:$E,"-")</f>
        <v>Muhlis Riyadi</v>
      </c>
      <c r="G1110" s="21"/>
    </row>
    <row r="1111" spans="2:7">
      <c r="B1111" s="22" t="s">
        <v>1085</v>
      </c>
      <c r="C1111" s="23" t="s">
        <v>1086</v>
      </c>
      <c r="D1111" s="24" t="s">
        <v>1153</v>
      </c>
      <c r="E1111" s="25" t="s">
        <v>1722</v>
      </c>
      <c r="F1111" s="16" t="str">
        <f>_xlfn.XLOOKUP(D1111,[9]Sheet2!$C:$C,[9]Sheet2!$E:$E,"-")</f>
        <v>Mohammad Irsyad</v>
      </c>
      <c r="G1111" s="21"/>
    </row>
    <row r="1112" spans="2:7">
      <c r="B1112" s="22" t="s">
        <v>1085</v>
      </c>
      <c r="C1112" s="23" t="s">
        <v>1086</v>
      </c>
      <c r="D1112" s="24" t="s">
        <v>1154</v>
      </c>
      <c r="E1112" s="25" t="s">
        <v>1722</v>
      </c>
      <c r="F1112" s="16" t="str">
        <f>_xlfn.XLOOKUP(D1112,[9]Sheet2!$C:$C,[9]Sheet2!$E:$E,"-")</f>
        <v>Mohammad Irsyad</v>
      </c>
      <c r="G1112" s="21"/>
    </row>
    <row r="1113" spans="2:7">
      <c r="B1113" s="22" t="s">
        <v>1085</v>
      </c>
      <c r="C1113" s="23" t="s">
        <v>1086</v>
      </c>
      <c r="D1113" s="24" t="s">
        <v>1155</v>
      </c>
      <c r="E1113" s="25" t="s">
        <v>1722</v>
      </c>
      <c r="F1113" s="16" t="str">
        <f>_xlfn.XLOOKUP(D1113,[9]Sheet2!$C:$C,[9]Sheet2!$E:$E,"-")</f>
        <v>Eka Satrio</v>
      </c>
      <c r="G1113" s="21"/>
    </row>
    <row r="1114" spans="2:7">
      <c r="B1114" s="22" t="s">
        <v>1085</v>
      </c>
      <c r="C1114" s="23" t="s">
        <v>1086</v>
      </c>
      <c r="D1114" s="24" t="s">
        <v>1156</v>
      </c>
      <c r="E1114" s="25" t="s">
        <v>1722</v>
      </c>
      <c r="F1114" s="16" t="str">
        <f>_xlfn.XLOOKUP(D1114,[9]Sheet2!$C:$C,[9]Sheet2!$E:$E,"-")</f>
        <v>Hodaifah</v>
      </c>
      <c r="G1114" s="21"/>
    </row>
    <row r="1115" spans="2:7">
      <c r="B1115" s="22" t="s">
        <v>1085</v>
      </c>
      <c r="C1115" s="23" t="s">
        <v>1086</v>
      </c>
      <c r="D1115" s="24" t="s">
        <v>1157</v>
      </c>
      <c r="E1115" s="25" t="s">
        <v>1722</v>
      </c>
      <c r="F1115" s="16" t="str">
        <f>_xlfn.XLOOKUP(D1115,[9]Sheet2!$C:$C,[9]Sheet2!$E:$E,"-")</f>
        <v>Hodaifah</v>
      </c>
      <c r="G1115" s="21"/>
    </row>
    <row r="1116" spans="2:7">
      <c r="B1116" s="22" t="s">
        <v>1085</v>
      </c>
      <c r="C1116" s="23" t="s">
        <v>1086</v>
      </c>
      <c r="D1116" s="24" t="s">
        <v>1158</v>
      </c>
      <c r="E1116" s="25" t="s">
        <v>1722</v>
      </c>
      <c r="F1116" s="16" t="str">
        <f>_xlfn.XLOOKUP(D1116,[9]Sheet2!$C:$C,[9]Sheet2!$E:$E,"-")</f>
        <v>Mohammad Irsyad</v>
      </c>
      <c r="G1116" s="21"/>
    </row>
    <row r="1117" spans="2:7">
      <c r="B1117" s="22" t="s">
        <v>1085</v>
      </c>
      <c r="C1117" s="23" t="s">
        <v>1086</v>
      </c>
      <c r="D1117" s="24" t="s">
        <v>1159</v>
      </c>
      <c r="E1117" s="25" t="s">
        <v>1722</v>
      </c>
      <c r="F1117" s="16" t="str">
        <f>_xlfn.XLOOKUP(D1117,[9]Sheet2!$C:$C,[9]Sheet2!$E:$E,"-")</f>
        <v>Syamsuddin</v>
      </c>
      <c r="G1117" s="21"/>
    </row>
    <row r="1118" spans="2:7">
      <c r="B1118" s="22" t="s">
        <v>1085</v>
      </c>
      <c r="C1118" s="23" t="s">
        <v>1086</v>
      </c>
      <c r="D1118" s="24" t="s">
        <v>1160</v>
      </c>
      <c r="E1118" s="25" t="s">
        <v>1722</v>
      </c>
      <c r="F1118" s="16" t="str">
        <f>_xlfn.XLOOKUP(D1118,[9]Sheet2!$C:$C,[9]Sheet2!$E:$E,"-")</f>
        <v>Yusufil Hamdhani Akbar</v>
      </c>
      <c r="G1118" s="21"/>
    </row>
    <row r="1119" spans="2:7">
      <c r="B1119" s="22" t="s">
        <v>1085</v>
      </c>
      <c r="C1119" s="23" t="s">
        <v>1086</v>
      </c>
      <c r="D1119" s="24" t="s">
        <v>1161</v>
      </c>
      <c r="E1119" s="25" t="s">
        <v>1745</v>
      </c>
      <c r="F1119" s="16" t="str">
        <f>_xlfn.XLOOKUP(D1119,[9]Sheet2!$C:$C,[9]Sheet2!$E:$E,"-")</f>
        <v>-</v>
      </c>
      <c r="G1119" s="21"/>
    </row>
    <row r="1120" spans="2:7">
      <c r="B1120" s="22" t="s">
        <v>1085</v>
      </c>
      <c r="C1120" s="23" t="s">
        <v>1086</v>
      </c>
      <c r="D1120" s="24" t="s">
        <v>1162</v>
      </c>
      <c r="E1120" s="25" t="s">
        <v>1722</v>
      </c>
      <c r="F1120" s="16" t="str">
        <f>_xlfn.XLOOKUP(D1120,[9]Sheet2!$C:$C,[9]Sheet2!$E:$E,"-")</f>
        <v>Moh. Adfar Istihar</v>
      </c>
      <c r="G1120" s="21"/>
    </row>
    <row r="1121" spans="2:7">
      <c r="B1121" s="22" t="s">
        <v>1085</v>
      </c>
      <c r="C1121" s="23" t="s">
        <v>1086</v>
      </c>
      <c r="D1121" s="24" t="s">
        <v>1163</v>
      </c>
      <c r="E1121" s="25" t="s">
        <v>1722</v>
      </c>
      <c r="F1121" s="16" t="str">
        <f>_xlfn.XLOOKUP(D1121,[9]Sheet2!$C:$C,[9]Sheet2!$E:$E,"-")</f>
        <v>Moh. Adfar Istihar</v>
      </c>
      <c r="G1121" s="21"/>
    </row>
    <row r="1122" spans="2:7">
      <c r="B1122" s="22" t="s">
        <v>1085</v>
      </c>
      <c r="C1122" s="23" t="s">
        <v>1086</v>
      </c>
      <c r="D1122" s="24" t="s">
        <v>1164</v>
      </c>
      <c r="E1122" s="25" t="s">
        <v>1722</v>
      </c>
      <c r="F1122" s="16" t="str">
        <f>_xlfn.XLOOKUP(D1122,[9]Sheet2!$C:$C,[9]Sheet2!$E:$E,"-")</f>
        <v>Abd. Ghoni</v>
      </c>
      <c r="G1122" s="21"/>
    </row>
    <row r="1123" spans="2:7">
      <c r="B1123" s="22" t="s">
        <v>1085</v>
      </c>
      <c r="C1123" s="23" t="s">
        <v>1086</v>
      </c>
      <c r="D1123" s="24" t="s">
        <v>1165</v>
      </c>
      <c r="E1123" s="25" t="s">
        <v>1722</v>
      </c>
      <c r="F1123" s="16" t="str">
        <f>_xlfn.XLOOKUP(D1123,[9]Sheet2!$C:$C,[9]Sheet2!$E:$E,"-")</f>
        <v>Abd. Syakur</v>
      </c>
      <c r="G1123" s="21"/>
    </row>
    <row r="1124" spans="2:7">
      <c r="B1124" s="22" t="s">
        <v>1085</v>
      </c>
      <c r="C1124" s="23" t="s">
        <v>1086</v>
      </c>
      <c r="D1124" s="24" t="s">
        <v>1166</v>
      </c>
      <c r="E1124" s="25" t="s">
        <v>1722</v>
      </c>
      <c r="F1124" s="16" t="str">
        <f>_xlfn.XLOOKUP(D1124,[9]Sheet2!$C:$C,[9]Sheet2!$E:$E,"-")</f>
        <v>Abd. Syakur</v>
      </c>
      <c r="G1124" s="21"/>
    </row>
    <row r="1125" spans="2:7">
      <c r="B1125" s="22" t="s">
        <v>1085</v>
      </c>
      <c r="C1125" s="23" t="s">
        <v>1086</v>
      </c>
      <c r="D1125" s="24" t="s">
        <v>1167</v>
      </c>
      <c r="E1125" s="25" t="s">
        <v>1745</v>
      </c>
      <c r="F1125" s="16" t="str">
        <f>_xlfn.XLOOKUP(D1125,[9]Sheet2!$C:$C,[9]Sheet2!$E:$E,"-")</f>
        <v>-</v>
      </c>
      <c r="G1125" s="21"/>
    </row>
    <row r="1126" spans="2:7">
      <c r="B1126" s="22" t="s">
        <v>1085</v>
      </c>
      <c r="C1126" s="23" t="s">
        <v>1086</v>
      </c>
      <c r="D1126" s="24" t="s">
        <v>1168</v>
      </c>
      <c r="E1126" s="25" t="s">
        <v>1745</v>
      </c>
      <c r="F1126" s="16" t="str">
        <f>_xlfn.XLOOKUP(D1126,[9]Sheet2!$C:$C,[9]Sheet2!$E:$E,"-")</f>
        <v>-</v>
      </c>
      <c r="G1126" s="21"/>
    </row>
    <row r="1127" spans="2:7">
      <c r="B1127" s="22" t="s">
        <v>1085</v>
      </c>
      <c r="C1127" s="23" t="s">
        <v>1086</v>
      </c>
      <c r="D1127" s="24" t="s">
        <v>1169</v>
      </c>
      <c r="E1127" s="25" t="s">
        <v>1745</v>
      </c>
      <c r="F1127" s="16" t="str">
        <f>_xlfn.XLOOKUP(D1127,[9]Sheet2!$C:$C,[9]Sheet2!$E:$E,"-")</f>
        <v>-</v>
      </c>
      <c r="G1127" s="21"/>
    </row>
    <row r="1128" spans="2:7">
      <c r="B1128" s="22" t="s">
        <v>1085</v>
      </c>
      <c r="C1128" s="23" t="s">
        <v>1086</v>
      </c>
      <c r="D1128" s="24" t="s">
        <v>1170</v>
      </c>
      <c r="E1128" s="25" t="s">
        <v>1722</v>
      </c>
      <c r="F1128" s="16" t="str">
        <f>_xlfn.XLOOKUP(D1128,[9]Sheet2!$C:$C,[9]Sheet2!$E:$E,"-")</f>
        <v>Eko Junaidi</v>
      </c>
      <c r="G1128" s="21"/>
    </row>
    <row r="1129" spans="2:7">
      <c r="B1129" s="22" t="s">
        <v>1085</v>
      </c>
      <c r="C1129" s="23" t="s">
        <v>1086</v>
      </c>
      <c r="D1129" s="24" t="s">
        <v>1171</v>
      </c>
      <c r="E1129" s="25" t="s">
        <v>1722</v>
      </c>
      <c r="F1129" s="16" t="str">
        <f>_xlfn.XLOOKUP(D1129,[9]Sheet2!$C:$C,[9]Sheet2!$E:$E,"-")</f>
        <v>Tika Vebrian Tiara Devi</v>
      </c>
      <c r="G1129" s="21"/>
    </row>
    <row r="1130" spans="2:7">
      <c r="B1130" s="22" t="s">
        <v>1085</v>
      </c>
      <c r="C1130" s="23" t="s">
        <v>1086</v>
      </c>
      <c r="D1130" s="24" t="s">
        <v>1172</v>
      </c>
      <c r="E1130" s="25" t="s">
        <v>1722</v>
      </c>
      <c r="F1130" s="16" t="str">
        <f>_xlfn.XLOOKUP(D1130,[9]Sheet2!$C:$C,[9]Sheet2!$E:$E,"-")</f>
        <v>Eko Prasetianto Nugroho</v>
      </c>
      <c r="G1130" s="21"/>
    </row>
    <row r="1131" spans="2:7">
      <c r="B1131" s="22" t="s">
        <v>1085</v>
      </c>
      <c r="C1131" s="23" t="s">
        <v>1086</v>
      </c>
      <c r="D1131" s="24" t="s">
        <v>1173</v>
      </c>
      <c r="E1131" s="25" t="s">
        <v>1722</v>
      </c>
      <c r="F1131" s="16" t="str">
        <f>_xlfn.XLOOKUP(D1131,[9]Sheet2!$C:$C,[9]Sheet2!$E:$E,"-")</f>
        <v>Eko Junaidi</v>
      </c>
      <c r="G1131" s="21"/>
    </row>
    <row r="1132" spans="2:7">
      <c r="B1132" s="22" t="s">
        <v>1085</v>
      </c>
      <c r="C1132" s="23" t="s">
        <v>1086</v>
      </c>
      <c r="D1132" s="24" t="s">
        <v>1174</v>
      </c>
      <c r="E1132" s="25" t="s">
        <v>1745</v>
      </c>
      <c r="F1132" s="16" t="str">
        <f>_xlfn.XLOOKUP(D1132,[9]Sheet2!$C:$C,[9]Sheet2!$E:$E,"-")</f>
        <v>Boma Eka Kurniawan</v>
      </c>
      <c r="G1132" s="21"/>
    </row>
    <row r="1133" spans="2:7">
      <c r="B1133" s="22" t="s">
        <v>1085</v>
      </c>
      <c r="C1133" s="23" t="s">
        <v>1086</v>
      </c>
      <c r="D1133" s="24" t="s">
        <v>1175</v>
      </c>
      <c r="E1133" s="25" t="s">
        <v>1722</v>
      </c>
      <c r="F1133" s="16" t="str">
        <f>_xlfn.XLOOKUP(D1133,[9]Sheet2!$C:$C,[9]Sheet2!$E:$E,"-")</f>
        <v>Tika Vebrian Tiara Devi</v>
      </c>
      <c r="G1133" s="21"/>
    </row>
    <row r="1134" spans="2:7">
      <c r="B1134" s="22" t="s">
        <v>1085</v>
      </c>
      <c r="C1134" s="23" t="s">
        <v>1086</v>
      </c>
      <c r="D1134" s="24" t="s">
        <v>1176</v>
      </c>
      <c r="E1134" s="25" t="s">
        <v>1745</v>
      </c>
      <c r="F1134" s="16" t="str">
        <f>_xlfn.XLOOKUP(D1134,[9]Sheet2!$C:$C,[9]Sheet2!$E:$E,"-")</f>
        <v>Galih Dewangga</v>
      </c>
      <c r="G1134" s="21"/>
    </row>
    <row r="1135" spans="2:7">
      <c r="B1135" s="22" t="s">
        <v>1085</v>
      </c>
      <c r="C1135" s="23" t="s">
        <v>1086</v>
      </c>
      <c r="D1135" s="24" t="s">
        <v>1177</v>
      </c>
      <c r="E1135" s="25" t="s">
        <v>1722</v>
      </c>
      <c r="F1135" s="16" t="str">
        <f>_xlfn.XLOOKUP(D1135,[9]Sheet2!$C:$C,[9]Sheet2!$E:$E,"-")</f>
        <v>Riza Aji Nurcholis</v>
      </c>
      <c r="G1135" s="21"/>
    </row>
    <row r="1136" spans="2:7">
      <c r="B1136" s="22" t="s">
        <v>1085</v>
      </c>
      <c r="C1136" s="23" t="s">
        <v>1086</v>
      </c>
      <c r="D1136" s="24" t="s">
        <v>1178</v>
      </c>
      <c r="E1136" s="25" t="s">
        <v>1722</v>
      </c>
      <c r="F1136" s="16" t="str">
        <f>_xlfn.XLOOKUP(D1136,[9]Sheet2!$C:$C,[9]Sheet2!$E:$E,"-")</f>
        <v>Hendrik Robi Saputra</v>
      </c>
      <c r="G1136" s="21"/>
    </row>
    <row r="1137" spans="2:7">
      <c r="B1137" s="22" t="s">
        <v>1085</v>
      </c>
      <c r="C1137" s="23" t="s">
        <v>1086</v>
      </c>
      <c r="D1137" s="24" t="s">
        <v>1179</v>
      </c>
      <c r="E1137" s="25" t="s">
        <v>1722</v>
      </c>
      <c r="F1137" s="16" t="str">
        <f>_xlfn.XLOOKUP(D1137,[9]Sheet2!$C:$C,[9]Sheet2!$E:$E,"-")</f>
        <v>Rika Arif Aprianto</v>
      </c>
      <c r="G1137" s="21"/>
    </row>
    <row r="1138" spans="2:7">
      <c r="B1138" s="22" t="s">
        <v>1085</v>
      </c>
      <c r="C1138" s="23" t="s">
        <v>1086</v>
      </c>
      <c r="D1138" s="24" t="s">
        <v>1180</v>
      </c>
      <c r="E1138" s="25" t="s">
        <v>1722</v>
      </c>
      <c r="F1138" s="16" t="str">
        <f>_xlfn.XLOOKUP(D1138,[9]Sheet2!$C:$C,[9]Sheet2!$E:$E,"-")</f>
        <v>Yacob Juan Firmansyah</v>
      </c>
      <c r="G1138" s="21"/>
    </row>
    <row r="1139" spans="2:7">
      <c r="B1139" s="22" t="s">
        <v>1085</v>
      </c>
      <c r="C1139" s="23" t="s">
        <v>1086</v>
      </c>
      <c r="D1139" s="24" t="s">
        <v>1181</v>
      </c>
      <c r="E1139" s="25" t="s">
        <v>1745</v>
      </c>
      <c r="F1139" s="16" t="str">
        <f>_xlfn.XLOOKUP(D1139,[9]Sheet2!$C:$C,[9]Sheet2!$E:$E,"-")</f>
        <v>Rony Koco Abrianto</v>
      </c>
      <c r="G1139" s="21"/>
    </row>
    <row r="1140" spans="2:7">
      <c r="B1140" s="22" t="s">
        <v>1085</v>
      </c>
      <c r="C1140" s="23" t="s">
        <v>1086</v>
      </c>
      <c r="D1140" s="24" t="s">
        <v>1182</v>
      </c>
      <c r="E1140" s="25" t="s">
        <v>1722</v>
      </c>
      <c r="F1140" s="16" t="str">
        <f>_xlfn.XLOOKUP(D1140,[9]Sheet2!$C:$C,[9]Sheet2!$E:$E,"-")</f>
        <v>Fathoni Yusuf</v>
      </c>
      <c r="G1140" s="21"/>
    </row>
    <row r="1141" spans="2:7">
      <c r="B1141" s="22" t="s">
        <v>1085</v>
      </c>
      <c r="C1141" s="23" t="s">
        <v>1086</v>
      </c>
      <c r="D1141" s="24" t="s">
        <v>1183</v>
      </c>
      <c r="E1141" s="25" t="s">
        <v>1745</v>
      </c>
      <c r="F1141" s="16" t="str">
        <f>_xlfn.XLOOKUP(D1141,[9]Sheet2!$C:$C,[9]Sheet2!$E:$E,"-")</f>
        <v>Faizal Dwi Pramono</v>
      </c>
      <c r="G1141" s="21"/>
    </row>
    <row r="1142" spans="2:7">
      <c r="B1142" s="22" t="s">
        <v>1085</v>
      </c>
      <c r="C1142" s="23" t="s">
        <v>1086</v>
      </c>
      <c r="D1142" s="24" t="s">
        <v>1184</v>
      </c>
      <c r="E1142" s="25" t="s">
        <v>1722</v>
      </c>
      <c r="F1142" s="16" t="str">
        <f>_xlfn.XLOOKUP(D1142,[9]Sheet2!$C:$C,[9]Sheet2!$E:$E,"-")</f>
        <v>Yudi Yiswoyo</v>
      </c>
      <c r="G1142" s="21"/>
    </row>
    <row r="1143" spans="2:7">
      <c r="B1143" s="22" t="s">
        <v>1085</v>
      </c>
      <c r="C1143" s="23" t="s">
        <v>1086</v>
      </c>
      <c r="D1143" s="24" t="s">
        <v>1185</v>
      </c>
      <c r="E1143" s="25" t="s">
        <v>1722</v>
      </c>
      <c r="F1143" s="16" t="str">
        <f>_xlfn.XLOOKUP(D1143,[9]Sheet2!$C:$C,[9]Sheet2!$E:$E,"-")</f>
        <v>Irul Marwianto</v>
      </c>
      <c r="G1143" s="21"/>
    </row>
    <row r="1144" spans="2:7">
      <c r="B1144" s="22" t="s">
        <v>1085</v>
      </c>
      <c r="C1144" s="23" t="s">
        <v>1086</v>
      </c>
      <c r="D1144" s="24" t="s">
        <v>1186</v>
      </c>
      <c r="E1144" s="25" t="s">
        <v>1722</v>
      </c>
      <c r="F1144" s="16" t="str">
        <f>_xlfn.XLOOKUP(D1144,[9]Sheet2!$C:$C,[9]Sheet2!$E:$E,"-")</f>
        <v>Fikto Nur Mansah</v>
      </c>
      <c r="G1144" s="21"/>
    </row>
    <row r="1145" spans="2:7">
      <c r="B1145" s="22" t="s">
        <v>1085</v>
      </c>
      <c r="C1145" s="23" t="s">
        <v>1086</v>
      </c>
      <c r="D1145" s="24" t="s">
        <v>1187</v>
      </c>
      <c r="E1145" s="25" t="s">
        <v>1722</v>
      </c>
      <c r="F1145" s="16" t="str">
        <f>_xlfn.XLOOKUP(D1145,[9]Sheet2!$C:$C,[9]Sheet2!$E:$E,"-")</f>
        <v>Fikto Nur Mansah</v>
      </c>
      <c r="G1145" s="21"/>
    </row>
    <row r="1146" spans="2:7">
      <c r="B1146" s="22" t="s">
        <v>1085</v>
      </c>
      <c r="C1146" s="23" t="s">
        <v>1086</v>
      </c>
      <c r="D1146" s="24" t="s">
        <v>1188</v>
      </c>
      <c r="E1146" s="25" t="s">
        <v>1722</v>
      </c>
      <c r="F1146" s="16" t="str">
        <f>_xlfn.XLOOKUP(D1146,[9]Sheet2!$C:$C,[9]Sheet2!$E:$E,"-")</f>
        <v>Irul Marwianto</v>
      </c>
      <c r="G1146" s="21"/>
    </row>
    <row r="1147" spans="2:7">
      <c r="B1147" s="22" t="s">
        <v>1085</v>
      </c>
      <c r="C1147" s="23" t="s">
        <v>1086</v>
      </c>
      <c r="D1147" s="24" t="s">
        <v>1189</v>
      </c>
      <c r="E1147" s="25" t="s">
        <v>1745</v>
      </c>
      <c r="F1147" s="16" t="str">
        <f>_xlfn.XLOOKUP(D1147,[9]Sheet2!$C:$C,[9]Sheet2!$E:$E,"-")</f>
        <v>Fanky Puguh Prasetyo</v>
      </c>
      <c r="G1147" s="21"/>
    </row>
    <row r="1148" spans="2:7">
      <c r="B1148" s="22" t="s">
        <v>1085</v>
      </c>
      <c r="C1148" s="23" t="s">
        <v>1086</v>
      </c>
      <c r="D1148" s="24" t="s">
        <v>1190</v>
      </c>
      <c r="E1148" s="25" t="s">
        <v>1722</v>
      </c>
      <c r="F1148" s="16" t="str">
        <f>_xlfn.XLOOKUP(D1148,[9]Sheet2!$C:$C,[9]Sheet2!$E:$E,"-")</f>
        <v>Mohamad Ariz Zakariya</v>
      </c>
      <c r="G1148" s="21"/>
    </row>
    <row r="1149" spans="2:7">
      <c r="B1149" s="22" t="s">
        <v>1085</v>
      </c>
      <c r="C1149" s="23" t="s">
        <v>1086</v>
      </c>
      <c r="D1149" s="24" t="s">
        <v>1191</v>
      </c>
      <c r="E1149" s="25" t="s">
        <v>1722</v>
      </c>
      <c r="F1149" s="16" t="str">
        <f>_xlfn.XLOOKUP(D1149,[9]Sheet2!$C:$C,[9]Sheet2!$E:$E,"-")</f>
        <v>Mohammad Putra Surya Mahendra</v>
      </c>
      <c r="G1149" s="21"/>
    </row>
    <row r="1150" spans="2:7">
      <c r="B1150" s="22" t="s">
        <v>1085</v>
      </c>
      <c r="C1150" s="23" t="s">
        <v>1086</v>
      </c>
      <c r="D1150" s="24" t="s">
        <v>1192</v>
      </c>
      <c r="E1150" s="25" t="s">
        <v>1722</v>
      </c>
      <c r="F1150" s="16" t="str">
        <f>_xlfn.XLOOKUP(D1150,[9]Sheet2!$C:$C,[9]Sheet2!$E:$E,"-")</f>
        <v>Angga Widayanto</v>
      </c>
      <c r="G1150" s="21"/>
    </row>
    <row r="1151" spans="2:7">
      <c r="B1151" s="22" t="s">
        <v>1085</v>
      </c>
      <c r="C1151" s="23" t="s">
        <v>1086</v>
      </c>
      <c r="D1151" s="24" t="s">
        <v>1193</v>
      </c>
      <c r="E1151" s="25" t="s">
        <v>1745</v>
      </c>
      <c r="F1151" s="16" t="str">
        <f>_xlfn.XLOOKUP(D1151,[9]Sheet2!$C:$C,[9]Sheet2!$E:$E,"-")</f>
        <v>Ruly Syaiful Ansor</v>
      </c>
      <c r="G1151" s="21"/>
    </row>
    <row r="1152" spans="2:7">
      <c r="B1152" s="22" t="s">
        <v>1085</v>
      </c>
      <c r="C1152" s="23" t="s">
        <v>1086</v>
      </c>
      <c r="D1152" s="24" t="s">
        <v>1194</v>
      </c>
      <c r="E1152" s="25" t="s">
        <v>1745</v>
      </c>
      <c r="F1152" s="16" t="str">
        <f>_xlfn.XLOOKUP(D1152,[9]Sheet2!$C:$C,[9]Sheet2!$E:$E,"-")</f>
        <v>Prasetyo Istianto</v>
      </c>
      <c r="G1152" s="21"/>
    </row>
    <row r="1153" spans="2:7">
      <c r="B1153" s="22" t="s">
        <v>1085</v>
      </c>
      <c r="C1153" s="23" t="s">
        <v>1086</v>
      </c>
      <c r="D1153" s="24" t="s">
        <v>1195</v>
      </c>
      <c r="E1153" s="25" t="s">
        <v>1745</v>
      </c>
      <c r="F1153" s="16" t="str">
        <f>_xlfn.XLOOKUP(D1153,[9]Sheet2!$C:$C,[9]Sheet2!$E:$E,"-")</f>
        <v>Widi Rumekso</v>
      </c>
      <c r="G1153" s="21"/>
    </row>
    <row r="1154" spans="2:7">
      <c r="B1154" s="22" t="s">
        <v>1085</v>
      </c>
      <c r="C1154" s="23" t="s">
        <v>1086</v>
      </c>
      <c r="D1154" s="24" t="s">
        <v>1196</v>
      </c>
      <c r="E1154" s="25" t="s">
        <v>1745</v>
      </c>
      <c r="F1154" s="16" t="str">
        <f>_xlfn.XLOOKUP(D1154,[9]Sheet2!$C:$C,[9]Sheet2!$E:$E,"-")</f>
        <v>Mohammad Afreza Al Ayyubi</v>
      </c>
      <c r="G1154" s="21"/>
    </row>
    <row r="1155" spans="2:7">
      <c r="B1155" s="22" t="s">
        <v>1085</v>
      </c>
      <c r="C1155" s="23" t="s">
        <v>1086</v>
      </c>
      <c r="D1155" s="24" t="s">
        <v>1197</v>
      </c>
      <c r="E1155" s="25" t="s">
        <v>1745</v>
      </c>
      <c r="F1155" s="16" t="str">
        <f>_xlfn.XLOOKUP(D1155,[9]Sheet2!$C:$C,[9]Sheet2!$E:$E,"-")</f>
        <v>Laga Pratama Nurjiwo</v>
      </c>
      <c r="G1155" s="21"/>
    </row>
    <row r="1156" spans="2:7">
      <c r="B1156" s="22" t="s">
        <v>1085</v>
      </c>
      <c r="C1156" s="23" t="s">
        <v>1086</v>
      </c>
      <c r="D1156" s="24" t="s">
        <v>1198</v>
      </c>
      <c r="E1156" s="25" t="s">
        <v>1745</v>
      </c>
      <c r="F1156" s="16" t="str">
        <f>_xlfn.XLOOKUP(D1156,[9]Sheet2!$C:$C,[9]Sheet2!$E:$E,"-")</f>
        <v>Ali Zainal Abidin</v>
      </c>
      <c r="G1156" s="21"/>
    </row>
    <row r="1157" spans="2:7">
      <c r="B1157" s="22" t="s">
        <v>1085</v>
      </c>
      <c r="C1157" s="23" t="s">
        <v>1086</v>
      </c>
      <c r="D1157" s="24" t="s">
        <v>1199</v>
      </c>
      <c r="E1157" s="25" t="s">
        <v>1745</v>
      </c>
      <c r="F1157" s="16" t="str">
        <f>_xlfn.XLOOKUP(D1157,[9]Sheet2!$C:$C,[9]Sheet2!$E:$E,"-")</f>
        <v>Dyah Ayu Larasati Tri Palupi</v>
      </c>
      <c r="G1157" s="21"/>
    </row>
    <row r="1158" spans="2:7">
      <c r="B1158" s="22" t="s">
        <v>1085</v>
      </c>
      <c r="C1158" s="23" t="s">
        <v>1086</v>
      </c>
      <c r="D1158" s="24" t="s">
        <v>1200</v>
      </c>
      <c r="E1158" s="25" t="s">
        <v>1745</v>
      </c>
      <c r="F1158" s="16" t="str">
        <f>_xlfn.XLOOKUP(D1158,[9]Sheet2!$C:$C,[9]Sheet2!$E:$E,"-")</f>
        <v>Feri Setiawan</v>
      </c>
      <c r="G1158" s="21"/>
    </row>
    <row r="1159" spans="2:7">
      <c r="B1159" s="22" t="s">
        <v>1085</v>
      </c>
      <c r="C1159" s="23" t="s">
        <v>1086</v>
      </c>
      <c r="D1159" s="24" t="s">
        <v>1201</v>
      </c>
      <c r="E1159" s="25" t="s">
        <v>1745</v>
      </c>
      <c r="F1159" s="16" t="str">
        <f>_xlfn.XLOOKUP(D1159,[9]Sheet2!$C:$C,[9]Sheet2!$E:$E,"-")</f>
        <v>M. Yanuar Rifa'I</v>
      </c>
      <c r="G1159" s="21"/>
    </row>
    <row r="1160" spans="2:7">
      <c r="B1160" s="22" t="s">
        <v>1085</v>
      </c>
      <c r="C1160" s="23" t="s">
        <v>1086</v>
      </c>
      <c r="D1160" s="24" t="s">
        <v>1202</v>
      </c>
      <c r="E1160" s="25" t="s">
        <v>1745</v>
      </c>
      <c r="F1160" s="16" t="str">
        <f>_xlfn.XLOOKUP(D1160,[9]Sheet2!$C:$C,[9]Sheet2!$E:$E,"-")</f>
        <v>Muhammad Syaifullah</v>
      </c>
      <c r="G1160" s="21"/>
    </row>
    <row r="1161" spans="2:7">
      <c r="B1161" s="22" t="s">
        <v>1085</v>
      </c>
      <c r="C1161" s="23" t="s">
        <v>1086</v>
      </c>
      <c r="D1161" s="24" t="s">
        <v>1203</v>
      </c>
      <c r="E1161" s="25" t="s">
        <v>1745</v>
      </c>
      <c r="F1161" s="16" t="str">
        <f>_xlfn.XLOOKUP(D1161,[9]Sheet2!$C:$C,[9]Sheet2!$E:$E,"-")</f>
        <v>Diky Satriawan</v>
      </c>
      <c r="G1161" s="21"/>
    </row>
    <row r="1162" spans="2:7">
      <c r="B1162" s="22" t="s">
        <v>1085</v>
      </c>
      <c r="C1162" s="23" t="s">
        <v>1086</v>
      </c>
      <c r="D1162" s="24" t="s">
        <v>1204</v>
      </c>
      <c r="E1162" s="25" t="s">
        <v>1745</v>
      </c>
      <c r="F1162" s="16" t="str">
        <f>_xlfn.XLOOKUP(D1162,[9]Sheet2!$C:$C,[9]Sheet2!$E:$E,"-")</f>
        <v>Achmad Afandi</v>
      </c>
      <c r="G1162" s="21"/>
    </row>
    <row r="1163" spans="2:7">
      <c r="B1163" s="22" t="s">
        <v>1085</v>
      </c>
      <c r="C1163" s="23" t="s">
        <v>1086</v>
      </c>
      <c r="D1163" s="24" t="s">
        <v>1205</v>
      </c>
      <c r="E1163" s="25" t="s">
        <v>1745</v>
      </c>
      <c r="F1163" s="16" t="str">
        <f>_xlfn.XLOOKUP(D1163,[9]Sheet2!$C:$C,[9]Sheet2!$E:$E,"-")</f>
        <v>Nanang Arifianto</v>
      </c>
      <c r="G1163" s="21"/>
    </row>
    <row r="1164" spans="2:7">
      <c r="B1164" s="22" t="s">
        <v>1085</v>
      </c>
      <c r="C1164" s="23" t="s">
        <v>1086</v>
      </c>
      <c r="D1164" s="24" t="s">
        <v>1206</v>
      </c>
      <c r="E1164" s="25" t="s">
        <v>1745</v>
      </c>
      <c r="F1164" s="16" t="str">
        <f>_xlfn.XLOOKUP(D1164,[9]Sheet2!$C:$C,[9]Sheet2!$E:$E,"-")</f>
        <v>Rif'An Munawwir</v>
      </c>
      <c r="G1164" s="21"/>
    </row>
    <row r="1165" spans="2:7">
      <c r="B1165" s="22" t="s">
        <v>1085</v>
      </c>
      <c r="C1165" s="23" t="s">
        <v>1086</v>
      </c>
      <c r="D1165" s="24" t="s">
        <v>1207</v>
      </c>
      <c r="E1165" s="25" t="s">
        <v>1745</v>
      </c>
      <c r="F1165" s="16" t="str">
        <f>_xlfn.XLOOKUP(D1165,[9]Sheet2!$C:$C,[9]Sheet2!$E:$E,"-")</f>
        <v>Shokibul Kafi</v>
      </c>
      <c r="G1165" s="21"/>
    </row>
    <row r="1166" spans="2:7">
      <c r="B1166" s="22" t="s">
        <v>1085</v>
      </c>
      <c r="C1166" s="23" t="s">
        <v>1086</v>
      </c>
      <c r="D1166" s="24" t="s">
        <v>1208</v>
      </c>
      <c r="E1166" s="25" t="s">
        <v>1745</v>
      </c>
      <c r="F1166" s="16" t="str">
        <f>_xlfn.XLOOKUP(D1166,[9]Sheet2!$C:$C,[9]Sheet2!$E:$E,"-")</f>
        <v>Ahmad Fakhru Rozan</v>
      </c>
      <c r="G1166" s="21"/>
    </row>
    <row r="1167" spans="2:7">
      <c r="B1167" s="22" t="s">
        <v>1085</v>
      </c>
      <c r="C1167" s="23" t="s">
        <v>1086</v>
      </c>
      <c r="D1167" s="24" t="s">
        <v>1209</v>
      </c>
      <c r="E1167" s="25" t="s">
        <v>1745</v>
      </c>
      <c r="F1167" s="16" t="str">
        <f>_xlfn.XLOOKUP(D1167,[9]Sheet2!$C:$C,[9]Sheet2!$E:$E,"-")</f>
        <v>Afan Fardianto</v>
      </c>
      <c r="G1167" s="21"/>
    </row>
    <row r="1168" spans="2:7">
      <c r="B1168" s="22" t="s">
        <v>1085</v>
      </c>
      <c r="C1168" s="23" t="s">
        <v>1086</v>
      </c>
      <c r="D1168" s="24" t="s">
        <v>1210</v>
      </c>
      <c r="E1168" s="25" t="s">
        <v>1745</v>
      </c>
      <c r="F1168" s="16" t="str">
        <f>_xlfn.XLOOKUP(D1168,[9]Sheet2!$C:$C,[9]Sheet2!$E:$E,"-")</f>
        <v>Dwi Wahyu Wichaksono</v>
      </c>
      <c r="G1168" s="21"/>
    </row>
    <row r="1169" spans="2:7">
      <c r="B1169" s="22" t="s">
        <v>1085</v>
      </c>
      <c r="C1169" s="23" t="s">
        <v>1086</v>
      </c>
      <c r="D1169" s="24" t="s">
        <v>1211</v>
      </c>
      <c r="E1169" s="25" t="s">
        <v>1745</v>
      </c>
      <c r="F1169" s="16" t="str">
        <f>_xlfn.XLOOKUP(D1169,[9]Sheet2!$C:$C,[9]Sheet2!$E:$E,"-")</f>
        <v>Hafiz Adam Adidarmawan</v>
      </c>
      <c r="G1169" s="21"/>
    </row>
    <row r="1170" spans="2:7">
      <c r="B1170" s="22" t="s">
        <v>1085</v>
      </c>
      <c r="C1170" s="23" t="s">
        <v>1086</v>
      </c>
      <c r="D1170" s="24" t="s">
        <v>1212</v>
      </c>
      <c r="E1170" s="25" t="s">
        <v>1745</v>
      </c>
      <c r="F1170" s="16" t="str">
        <f>_xlfn.XLOOKUP(D1170,[9]Sheet2!$C:$C,[9]Sheet2!$E:$E,"-")</f>
        <v>Argo Lumaksana</v>
      </c>
      <c r="G1170" s="21"/>
    </row>
    <row r="1171" spans="2:7">
      <c r="B1171" s="22" t="s">
        <v>1085</v>
      </c>
      <c r="C1171" s="23" t="s">
        <v>1086</v>
      </c>
      <c r="D1171" s="24" t="s">
        <v>1213</v>
      </c>
      <c r="E1171" s="25" t="s">
        <v>1745</v>
      </c>
      <c r="F1171" s="16" t="str">
        <f>_xlfn.XLOOKUP(D1171,[9]Sheet2!$C:$C,[9]Sheet2!$E:$E,"-")</f>
        <v>Ahmad Fakhru Rozan</v>
      </c>
      <c r="G1171" s="21"/>
    </row>
    <row r="1172" spans="2:7">
      <c r="B1172" s="22" t="s">
        <v>1085</v>
      </c>
      <c r="C1172" s="23" t="s">
        <v>1086</v>
      </c>
      <c r="D1172" s="24" t="s">
        <v>1214</v>
      </c>
      <c r="E1172" s="25" t="s">
        <v>1745</v>
      </c>
      <c r="F1172" s="16" t="str">
        <f>_xlfn.XLOOKUP(D1172,[9]Sheet2!$C:$C,[9]Sheet2!$E:$E,"-")</f>
        <v>Hafiz Adam Adidarmawan</v>
      </c>
      <c r="G1172" s="21"/>
    </row>
    <row r="1173" spans="2:7">
      <c r="B1173" s="22" t="s">
        <v>1085</v>
      </c>
      <c r="C1173" s="23" t="s">
        <v>1086</v>
      </c>
      <c r="D1173" s="24" t="s">
        <v>1215</v>
      </c>
      <c r="E1173" s="25" t="s">
        <v>1745</v>
      </c>
      <c r="F1173" s="16" t="str">
        <f>_xlfn.XLOOKUP(D1173,[9]Sheet2!$C:$C,[9]Sheet2!$E:$E,"-")</f>
        <v>Rochma Ridho Permadi</v>
      </c>
      <c r="G1173" s="21"/>
    </row>
    <row r="1174" spans="2:7">
      <c r="B1174" s="22" t="s">
        <v>1085</v>
      </c>
      <c r="C1174" s="23" t="s">
        <v>1086</v>
      </c>
      <c r="D1174" s="24" t="s">
        <v>1216</v>
      </c>
      <c r="E1174" s="25" t="s">
        <v>1722</v>
      </c>
      <c r="F1174" s="16" t="str">
        <f>_xlfn.XLOOKUP(D1174,[9]Sheet2!$C:$C,[9]Sheet2!$E:$E,"-")</f>
        <v>Mohammad Chandra Hermawan</v>
      </c>
      <c r="G1174" s="21"/>
    </row>
    <row r="1175" spans="2:7">
      <c r="B1175" s="22" t="s">
        <v>1085</v>
      </c>
      <c r="C1175" s="23" t="s">
        <v>1086</v>
      </c>
      <c r="D1175" s="24" t="s">
        <v>1217</v>
      </c>
      <c r="E1175" s="25" t="s">
        <v>1745</v>
      </c>
      <c r="F1175" s="16" t="str">
        <f>_xlfn.XLOOKUP(D1175,[9]Sheet2!$C:$C,[9]Sheet2!$E:$E,"-")</f>
        <v>Setiyo Budi Iswanto</v>
      </c>
      <c r="G1175" s="21"/>
    </row>
    <row r="1176" spans="2:7">
      <c r="B1176" s="22" t="s">
        <v>1085</v>
      </c>
      <c r="C1176" s="23" t="s">
        <v>1086</v>
      </c>
      <c r="D1176" s="24" t="s">
        <v>1218</v>
      </c>
      <c r="E1176" s="25" t="s">
        <v>1722</v>
      </c>
      <c r="F1176" s="16" t="str">
        <f>_xlfn.XLOOKUP(D1176,[9]Sheet2!$C:$C,[9]Sheet2!$E:$E,"-")</f>
        <v>Muhammad Alfan Fauzi</v>
      </c>
      <c r="G1176" s="21"/>
    </row>
    <row r="1177" spans="2:7">
      <c r="B1177" s="22" t="s">
        <v>1085</v>
      </c>
      <c r="C1177" s="23" t="s">
        <v>1086</v>
      </c>
      <c r="D1177" s="24" t="s">
        <v>1219</v>
      </c>
      <c r="E1177" s="25" t="s">
        <v>1722</v>
      </c>
      <c r="F1177" s="16" t="str">
        <f>_xlfn.XLOOKUP(D1177,[9]Sheet2!$C:$C,[9]Sheet2!$E:$E,"-")</f>
        <v>Muhammad Ali Yusuf</v>
      </c>
      <c r="G1177" s="21"/>
    </row>
    <row r="1178" spans="2:7">
      <c r="B1178" s="22" t="s">
        <v>1085</v>
      </c>
      <c r="C1178" s="23" t="s">
        <v>1086</v>
      </c>
      <c r="D1178" s="24" t="s">
        <v>1220</v>
      </c>
      <c r="E1178" s="25" t="s">
        <v>1745</v>
      </c>
      <c r="F1178" s="16" t="str">
        <f>_xlfn.XLOOKUP(D1178,[9]Sheet2!$C:$C,[9]Sheet2!$E:$E,"-")</f>
        <v>Ali Ghofar</v>
      </c>
      <c r="G1178" s="21"/>
    </row>
    <row r="1179" spans="2:7">
      <c r="B1179" s="22" t="s">
        <v>1085</v>
      </c>
      <c r="C1179" s="23" t="s">
        <v>1086</v>
      </c>
      <c r="D1179" s="24" t="s">
        <v>1221</v>
      </c>
      <c r="E1179" s="25" t="s">
        <v>1722</v>
      </c>
      <c r="F1179" s="16" t="str">
        <f>_xlfn.XLOOKUP(D1179,[9]Sheet2!$C:$C,[9]Sheet2!$E:$E,"-")</f>
        <v>Muhammad Ali Yusuf</v>
      </c>
      <c r="G1179" s="21"/>
    </row>
    <row r="1180" spans="2:7">
      <c r="B1180" s="22" t="s">
        <v>1085</v>
      </c>
      <c r="C1180" s="23" t="s">
        <v>1086</v>
      </c>
      <c r="D1180" s="24" t="s">
        <v>1222</v>
      </c>
      <c r="E1180" s="25" t="s">
        <v>1722</v>
      </c>
      <c r="F1180" s="16" t="str">
        <f>_xlfn.XLOOKUP(D1180,[9]Sheet2!$C:$C,[9]Sheet2!$E:$E,"-")</f>
        <v>Muhammad Ghoniyyulloh</v>
      </c>
      <c r="G1180" s="21"/>
    </row>
    <row r="1181" spans="2:7">
      <c r="B1181" s="22" t="s">
        <v>1085</v>
      </c>
      <c r="C1181" s="23" t="s">
        <v>1086</v>
      </c>
      <c r="D1181" s="24" t="s">
        <v>1223</v>
      </c>
      <c r="E1181" s="25" t="s">
        <v>1722</v>
      </c>
      <c r="F1181" s="16" t="str">
        <f>_xlfn.XLOOKUP(D1181,[9]Sheet2!$C:$C,[9]Sheet2!$E:$E,"-")</f>
        <v>Agung Hendi Alparista</v>
      </c>
      <c r="G1181" s="21"/>
    </row>
    <row r="1182" spans="2:7">
      <c r="B1182" s="22" t="s">
        <v>1085</v>
      </c>
      <c r="C1182" s="23" t="s">
        <v>1086</v>
      </c>
      <c r="D1182" s="24" t="s">
        <v>1224</v>
      </c>
      <c r="E1182" s="25" t="s">
        <v>1722</v>
      </c>
      <c r="F1182" s="16" t="str">
        <f>_xlfn.XLOOKUP(D1182,[9]Sheet2!$C:$C,[9]Sheet2!$E:$E,"-")</f>
        <v>Agung Hendi Alparista</v>
      </c>
      <c r="G1182" s="21"/>
    </row>
    <row r="1183" spans="2:7">
      <c r="B1183" s="22" t="s">
        <v>1085</v>
      </c>
      <c r="C1183" s="23" t="s">
        <v>1086</v>
      </c>
      <c r="D1183" s="24" t="s">
        <v>1225</v>
      </c>
      <c r="E1183" s="25" t="s">
        <v>1745</v>
      </c>
      <c r="F1183" s="16" t="str">
        <f>_xlfn.XLOOKUP(D1183,[9]Sheet2!$C:$C,[9]Sheet2!$E:$E,"-")</f>
        <v>Muhammad Azam Khoirur Roziqin</v>
      </c>
      <c r="G1183" s="21"/>
    </row>
    <row r="1184" spans="2:7">
      <c r="B1184" s="22" t="s">
        <v>1085</v>
      </c>
      <c r="C1184" s="23" t="s">
        <v>1086</v>
      </c>
      <c r="D1184" s="24" t="s">
        <v>1226</v>
      </c>
      <c r="E1184" s="25" t="s">
        <v>1745</v>
      </c>
      <c r="F1184" s="16" t="str">
        <f>_xlfn.XLOOKUP(D1184,[9]Sheet2!$C:$C,[9]Sheet2!$E:$E,"-")</f>
        <v>Didit Adi Saputro</v>
      </c>
      <c r="G1184" s="21"/>
    </row>
    <row r="1185" spans="2:7">
      <c r="B1185" s="22" t="s">
        <v>1085</v>
      </c>
      <c r="C1185" s="23" t="s">
        <v>1086</v>
      </c>
      <c r="D1185" s="24" t="s">
        <v>1227</v>
      </c>
      <c r="E1185" s="25" t="s">
        <v>1745</v>
      </c>
      <c r="F1185" s="16" t="str">
        <f>_xlfn.XLOOKUP(D1185,[9]Sheet2!$C:$C,[9]Sheet2!$E:$E,"-")</f>
        <v>Ali Machtub</v>
      </c>
      <c r="G1185" s="21"/>
    </row>
    <row r="1186" spans="2:7">
      <c r="B1186" s="22" t="s">
        <v>1085</v>
      </c>
      <c r="C1186" s="23" t="s">
        <v>1086</v>
      </c>
      <c r="D1186" s="24" t="s">
        <v>1228</v>
      </c>
      <c r="E1186" s="25" t="s">
        <v>1745</v>
      </c>
      <c r="F1186" s="16" t="str">
        <f>_xlfn.XLOOKUP(D1186,[9]Sheet2!$C:$C,[9]Sheet2!$E:$E,"-")</f>
        <v>Didit Adi Saputro</v>
      </c>
      <c r="G1186" s="21"/>
    </row>
    <row r="1187" spans="2:7">
      <c r="B1187" s="22" t="s">
        <v>1085</v>
      </c>
      <c r="C1187" s="23" t="s">
        <v>1086</v>
      </c>
      <c r="D1187" s="24" t="s">
        <v>1229</v>
      </c>
      <c r="E1187" s="25" t="s">
        <v>1745</v>
      </c>
      <c r="F1187" s="16" t="str">
        <f>_xlfn.XLOOKUP(D1187,[9]Sheet2!$C:$C,[9]Sheet2!$E:$E,"-")</f>
        <v>Wanto Sugianto</v>
      </c>
      <c r="G1187" s="21"/>
    </row>
    <row r="1188" spans="2:7">
      <c r="B1188" s="22" t="s">
        <v>1085</v>
      </c>
      <c r="C1188" s="23" t="s">
        <v>1086</v>
      </c>
      <c r="D1188" s="24" t="s">
        <v>1230</v>
      </c>
      <c r="E1188" s="25" t="s">
        <v>1745</v>
      </c>
      <c r="F1188" s="16" t="str">
        <f>_xlfn.XLOOKUP(D1188,[9]Sheet2!$C:$C,[9]Sheet2!$E:$E,"-")</f>
        <v>Ali Machtub</v>
      </c>
      <c r="G1188" s="21"/>
    </row>
    <row r="1189" spans="2:7">
      <c r="B1189" s="22" t="s">
        <v>1085</v>
      </c>
      <c r="C1189" s="23" t="s">
        <v>1086</v>
      </c>
      <c r="D1189" s="24" t="s">
        <v>1231</v>
      </c>
      <c r="E1189" s="25" t="s">
        <v>1745</v>
      </c>
      <c r="F1189" s="16" t="str">
        <f>_xlfn.XLOOKUP(D1189,[9]Sheet2!$C:$C,[9]Sheet2!$E:$E,"-")</f>
        <v>Dedi Wibowo</v>
      </c>
      <c r="G1189" s="21"/>
    </row>
    <row r="1190" spans="2:7">
      <c r="B1190" s="22" t="s">
        <v>1085</v>
      </c>
      <c r="C1190" s="23" t="s">
        <v>1086</v>
      </c>
      <c r="D1190" s="24" t="s">
        <v>1232</v>
      </c>
      <c r="E1190" s="25" t="s">
        <v>1722</v>
      </c>
      <c r="F1190" s="16" t="str">
        <f>_xlfn.XLOOKUP(D1190,[9]Sheet2!$C:$C,[9]Sheet2!$E:$E,"-")</f>
        <v>Indra Kokasih</v>
      </c>
      <c r="G1190" s="21"/>
    </row>
    <row r="1191" spans="2:7">
      <c r="B1191" s="22" t="s">
        <v>1085</v>
      </c>
      <c r="C1191" s="23" t="s">
        <v>1086</v>
      </c>
      <c r="D1191" s="24" t="s">
        <v>1233</v>
      </c>
      <c r="E1191" s="25" t="s">
        <v>1722</v>
      </c>
      <c r="F1191" s="16" t="str">
        <f>_xlfn.XLOOKUP(D1191,[9]Sheet2!$C:$C,[9]Sheet2!$E:$E,"-")</f>
        <v>Dwi Harioseno</v>
      </c>
      <c r="G1191" s="21"/>
    </row>
    <row r="1192" spans="2:7">
      <c r="B1192" s="22" t="s">
        <v>1085</v>
      </c>
      <c r="C1192" s="23" t="s">
        <v>1086</v>
      </c>
      <c r="D1192" s="24" t="s">
        <v>1234</v>
      </c>
      <c r="E1192" s="25" t="s">
        <v>1722</v>
      </c>
      <c r="F1192" s="16" t="str">
        <f>_xlfn.XLOOKUP(D1192,[9]Sheet2!$C:$C,[9]Sheet2!$E:$E,"-")</f>
        <v>Harianto</v>
      </c>
      <c r="G1192" s="21"/>
    </row>
    <row r="1193" spans="2:7">
      <c r="B1193" s="22" t="s">
        <v>1085</v>
      </c>
      <c r="C1193" s="23" t="s">
        <v>1086</v>
      </c>
      <c r="D1193" s="24" t="s">
        <v>1235</v>
      </c>
      <c r="E1193" s="25" t="s">
        <v>1722</v>
      </c>
      <c r="F1193" s="16" t="str">
        <f>_xlfn.XLOOKUP(D1193,[9]Sheet2!$C:$C,[9]Sheet2!$E:$E,"-")</f>
        <v>Mokhammad Arif Pratama Wijaya</v>
      </c>
      <c r="G1193" s="21"/>
    </row>
    <row r="1194" spans="2:7">
      <c r="B1194" s="22" t="s">
        <v>1085</v>
      </c>
      <c r="C1194" s="23" t="s">
        <v>1086</v>
      </c>
      <c r="D1194" s="24" t="s">
        <v>1236</v>
      </c>
      <c r="E1194" s="25" t="s">
        <v>1722</v>
      </c>
      <c r="F1194" s="16" t="str">
        <f>_xlfn.XLOOKUP(D1194,[9]Sheet2!$C:$C,[9]Sheet2!$E:$E,"-")</f>
        <v>Harianto</v>
      </c>
      <c r="G1194" s="21"/>
    </row>
    <row r="1195" spans="2:7">
      <c r="B1195" s="22" t="s">
        <v>1085</v>
      </c>
      <c r="C1195" s="23" t="s">
        <v>1086</v>
      </c>
      <c r="D1195" s="24" t="s">
        <v>1237</v>
      </c>
      <c r="E1195" s="25" t="s">
        <v>1722</v>
      </c>
      <c r="F1195" s="16" t="str">
        <f>_xlfn.XLOOKUP(D1195,[9]Sheet2!$C:$C,[9]Sheet2!$E:$E,"-")</f>
        <v>Abdul Rauf Nafik</v>
      </c>
      <c r="G1195" s="21"/>
    </row>
    <row r="1196" spans="2:7">
      <c r="B1196" s="22" t="s">
        <v>1085</v>
      </c>
      <c r="C1196" s="23" t="s">
        <v>1086</v>
      </c>
      <c r="D1196" s="24" t="s">
        <v>1238</v>
      </c>
      <c r="E1196" s="25" t="s">
        <v>1722</v>
      </c>
      <c r="F1196" s="16" t="str">
        <f>_xlfn.XLOOKUP(D1196,[9]Sheet2!$C:$C,[9]Sheet2!$E:$E,"-")</f>
        <v>Abdul Rauf Nafik</v>
      </c>
      <c r="G1196" s="21"/>
    </row>
    <row r="1197" spans="2:7">
      <c r="B1197" s="22" t="s">
        <v>1085</v>
      </c>
      <c r="C1197" s="23" t="s">
        <v>1086</v>
      </c>
      <c r="D1197" s="24" t="s">
        <v>1239</v>
      </c>
      <c r="E1197" s="25" t="s">
        <v>1722</v>
      </c>
      <c r="F1197" s="16" t="str">
        <f>_xlfn.XLOOKUP(D1197,[9]Sheet2!$C:$C,[9]Sheet2!$E:$E,"-")</f>
        <v>Indra Kokasih</v>
      </c>
      <c r="G1197" s="21"/>
    </row>
    <row r="1198" spans="2:7">
      <c r="B1198" s="22" t="s">
        <v>1085</v>
      </c>
      <c r="C1198" s="23" t="s">
        <v>1086</v>
      </c>
      <c r="D1198" s="24" t="s">
        <v>1240</v>
      </c>
      <c r="E1198" s="25" t="s">
        <v>1722</v>
      </c>
      <c r="F1198" s="16" t="str">
        <f>_xlfn.XLOOKUP(D1198,[9]Sheet2!$C:$C,[9]Sheet2!$E:$E,"-")</f>
        <v>Ahmad Fariz Rohmatulloh</v>
      </c>
      <c r="G1198" s="21"/>
    </row>
    <row r="1199" spans="2:7">
      <c r="B1199" s="22" t="s">
        <v>1085</v>
      </c>
      <c r="C1199" s="23" t="s">
        <v>1086</v>
      </c>
      <c r="D1199" s="24" t="s">
        <v>1241</v>
      </c>
      <c r="E1199" s="25" t="s">
        <v>1722</v>
      </c>
      <c r="F1199" s="16" t="str">
        <f>_xlfn.XLOOKUP(D1199,[9]Sheet2!$C:$C,[9]Sheet2!$E:$E,"-")</f>
        <v>Mokhammad Arif Pratama Wijaya</v>
      </c>
      <c r="G1199" s="21"/>
    </row>
    <row r="1200" spans="2:7">
      <c r="B1200" s="22" t="s">
        <v>1085</v>
      </c>
      <c r="C1200" s="23" t="s">
        <v>1086</v>
      </c>
      <c r="D1200" s="24" t="s">
        <v>1242</v>
      </c>
      <c r="E1200" s="25" t="s">
        <v>1745</v>
      </c>
      <c r="F1200" s="16" t="str">
        <f>_xlfn.XLOOKUP(D1200,[9]Sheet2!$C:$C,[9]Sheet2!$E:$E,"-")</f>
        <v>Taufiq Hidayat</v>
      </c>
      <c r="G1200" s="21"/>
    </row>
    <row r="1201" spans="2:7">
      <c r="B1201" s="22" t="s">
        <v>1085</v>
      </c>
      <c r="C1201" s="23" t="s">
        <v>1086</v>
      </c>
      <c r="D1201" s="24" t="s">
        <v>1243</v>
      </c>
      <c r="E1201" s="25" t="s">
        <v>1745</v>
      </c>
      <c r="F1201" s="16" t="str">
        <f>_xlfn.XLOOKUP(D1201,[9]Sheet2!$C:$C,[9]Sheet2!$E:$E,"-")</f>
        <v>Wahyu Hari Prayitno</v>
      </c>
      <c r="G1201" s="21"/>
    </row>
    <row r="1202" spans="2:7">
      <c r="B1202" s="22" t="s">
        <v>1085</v>
      </c>
      <c r="C1202" s="23" t="s">
        <v>1086</v>
      </c>
      <c r="D1202" s="24" t="s">
        <v>1244</v>
      </c>
      <c r="E1202" s="25" t="s">
        <v>1745</v>
      </c>
      <c r="F1202" s="16" t="str">
        <f>_xlfn.XLOOKUP(D1202,[9]Sheet2!$C:$C,[9]Sheet2!$E:$E,"-")</f>
        <v>Achmad Findi Kurniawan</v>
      </c>
      <c r="G1202" s="21"/>
    </row>
    <row r="1203" spans="2:7">
      <c r="B1203" s="22" t="s">
        <v>1085</v>
      </c>
      <c r="C1203" s="23" t="s">
        <v>1086</v>
      </c>
      <c r="D1203" s="24" t="s">
        <v>1245</v>
      </c>
      <c r="E1203" s="25" t="s">
        <v>1745</v>
      </c>
      <c r="F1203" s="16" t="str">
        <f>_xlfn.XLOOKUP(D1203,[9]Sheet2!$C:$C,[9]Sheet2!$E:$E,"-")</f>
        <v>Hartoyo Utomo</v>
      </c>
      <c r="G1203" s="21"/>
    </row>
    <row r="1204" spans="2:7">
      <c r="B1204" s="22" t="s">
        <v>1085</v>
      </c>
      <c r="C1204" s="23" t="s">
        <v>1086</v>
      </c>
      <c r="D1204" s="24" t="s">
        <v>1246</v>
      </c>
      <c r="E1204" s="25" t="s">
        <v>1745</v>
      </c>
      <c r="F1204" s="16" t="str">
        <f>_xlfn.XLOOKUP(D1204,[9]Sheet2!$C:$C,[9]Sheet2!$E:$E,"-")</f>
        <v>Fani Putra Adi Pratama</v>
      </c>
      <c r="G1204" s="21"/>
    </row>
    <row r="1205" spans="2:7">
      <c r="B1205" s="22" t="s">
        <v>1085</v>
      </c>
      <c r="C1205" s="23" t="s">
        <v>1086</v>
      </c>
      <c r="D1205" s="24" t="s">
        <v>1247</v>
      </c>
      <c r="E1205" s="25" t="s">
        <v>1745</v>
      </c>
      <c r="F1205" s="16" t="str">
        <f>_xlfn.XLOOKUP(D1205,[9]Sheet2!$C:$C,[9]Sheet2!$E:$E,"-")</f>
        <v>Tarmuji</v>
      </c>
      <c r="G1205" s="21"/>
    </row>
    <row r="1206" spans="2:7">
      <c r="B1206" s="22" t="s">
        <v>1085</v>
      </c>
      <c r="C1206" s="23" t="s">
        <v>1086</v>
      </c>
      <c r="D1206" s="24" t="s">
        <v>1248</v>
      </c>
      <c r="E1206" s="25" t="s">
        <v>1745</v>
      </c>
      <c r="F1206" s="16" t="str">
        <f>_xlfn.XLOOKUP(D1206,[9]Sheet2!$C:$C,[9]Sheet2!$E:$E,"-")</f>
        <v>Hartoyo Utomo</v>
      </c>
      <c r="G1206" s="21"/>
    </row>
    <row r="1207" spans="2:7">
      <c r="B1207" s="22" t="s">
        <v>1085</v>
      </c>
      <c r="C1207" s="23" t="s">
        <v>1086</v>
      </c>
      <c r="D1207" s="24" t="s">
        <v>1249</v>
      </c>
      <c r="E1207" s="25" t="s">
        <v>1745</v>
      </c>
      <c r="F1207" s="16" t="str">
        <f>_xlfn.XLOOKUP(D1207,[9]Sheet2!$C:$C,[9]Sheet2!$E:$E,"-")</f>
        <v>Ainun Yahya, S.Kom</v>
      </c>
      <c r="G1207" s="21"/>
    </row>
    <row r="1208" spans="2:7">
      <c r="B1208" s="22" t="s">
        <v>1085</v>
      </c>
      <c r="C1208" s="23" t="s">
        <v>1086</v>
      </c>
      <c r="D1208" s="24" t="s">
        <v>1250</v>
      </c>
      <c r="E1208" s="25" t="s">
        <v>1722</v>
      </c>
      <c r="F1208" s="16" t="str">
        <f>_xlfn.XLOOKUP(D1208,[9]Sheet2!$C:$C,[9]Sheet2!$E:$E,"-")</f>
        <v>Roqi Andrianus Duka Djuma</v>
      </c>
      <c r="G1208" s="21"/>
    </row>
    <row r="1209" spans="2:7">
      <c r="B1209" s="22" t="s">
        <v>1085</v>
      </c>
      <c r="C1209" s="23" t="s">
        <v>1086</v>
      </c>
      <c r="D1209" s="24" t="s">
        <v>1251</v>
      </c>
      <c r="E1209" s="25" t="s">
        <v>1745</v>
      </c>
      <c r="F1209" s="16" t="str">
        <f>_xlfn.XLOOKUP(D1209,[9]Sheet2!$C:$C,[9]Sheet2!$E:$E,"-")</f>
        <v>-</v>
      </c>
      <c r="G1209" s="21"/>
    </row>
    <row r="1210" spans="2:7">
      <c r="B1210" s="22" t="s">
        <v>1085</v>
      </c>
      <c r="C1210" s="23" t="s">
        <v>1086</v>
      </c>
      <c r="D1210" s="24" t="s">
        <v>1252</v>
      </c>
      <c r="E1210" s="25" t="s">
        <v>1745</v>
      </c>
      <c r="F1210" s="16" t="str">
        <f>_xlfn.XLOOKUP(D1210,[9]Sheet2!$C:$C,[9]Sheet2!$E:$E,"-")</f>
        <v>Ahmad Syihab Taqiyulloh</v>
      </c>
      <c r="G1210" s="21"/>
    </row>
    <row r="1211" spans="2:7">
      <c r="B1211" s="22" t="s">
        <v>1085</v>
      </c>
      <c r="C1211" s="23" t="s">
        <v>1086</v>
      </c>
      <c r="D1211" s="24" t="s">
        <v>1253</v>
      </c>
      <c r="E1211" s="25" t="s">
        <v>1722</v>
      </c>
      <c r="F1211" s="16" t="str">
        <f>_xlfn.XLOOKUP(D1211,[9]Sheet2!$C:$C,[9]Sheet2!$E:$E,"-")</f>
        <v>Mochammad Nor Cholis</v>
      </c>
      <c r="G1211" s="21"/>
    </row>
    <row r="1212" spans="2:7">
      <c r="B1212" s="22" t="s">
        <v>1085</v>
      </c>
      <c r="C1212" s="23" t="s">
        <v>1086</v>
      </c>
      <c r="D1212" s="24" t="s">
        <v>1254</v>
      </c>
      <c r="E1212" s="25" t="s">
        <v>1745</v>
      </c>
      <c r="F1212" s="16" t="str">
        <f>_xlfn.XLOOKUP(D1212,[9]Sheet2!$C:$C,[9]Sheet2!$E:$E,"-")</f>
        <v>-</v>
      </c>
      <c r="G1212" s="21"/>
    </row>
    <row r="1213" spans="2:7">
      <c r="B1213" s="22" t="s">
        <v>1085</v>
      </c>
      <c r="C1213" s="23" t="s">
        <v>1086</v>
      </c>
      <c r="D1213" s="24" t="s">
        <v>1255</v>
      </c>
      <c r="E1213" s="25" t="s">
        <v>1745</v>
      </c>
      <c r="F1213" s="16" t="str">
        <f>_xlfn.XLOOKUP(D1213,[9]Sheet2!$C:$C,[9]Sheet2!$E:$E,"-")</f>
        <v>Pradiska Julianda Vebyola</v>
      </c>
      <c r="G1213" s="21"/>
    </row>
    <row r="1214" spans="2:7">
      <c r="B1214" s="22" t="s">
        <v>1085</v>
      </c>
      <c r="C1214" s="23" t="s">
        <v>1086</v>
      </c>
      <c r="D1214" s="24" t="s">
        <v>1256</v>
      </c>
      <c r="E1214" s="25" t="s">
        <v>1745</v>
      </c>
      <c r="F1214" s="16" t="str">
        <f>_xlfn.XLOOKUP(D1214,[9]Sheet2!$C:$C,[9]Sheet2!$E:$E,"-")</f>
        <v>Indra Bayu</v>
      </c>
      <c r="G1214" s="21"/>
    </row>
    <row r="1215" spans="2:7">
      <c r="B1215" s="22" t="s">
        <v>1085</v>
      </c>
      <c r="C1215" s="23" t="s">
        <v>1086</v>
      </c>
      <c r="D1215" s="24" t="s">
        <v>1257</v>
      </c>
      <c r="E1215" s="25" t="s">
        <v>1745</v>
      </c>
      <c r="F1215" s="16" t="str">
        <f>_xlfn.XLOOKUP(D1215,[9]Sheet2!$C:$C,[9]Sheet2!$E:$E,"-")</f>
        <v>Bagus Hermawan</v>
      </c>
      <c r="G1215" s="21"/>
    </row>
    <row r="1216" spans="2:7">
      <c r="B1216" s="22" t="s">
        <v>1085</v>
      </c>
      <c r="C1216" s="23" t="s">
        <v>1086</v>
      </c>
      <c r="D1216" s="24" t="s">
        <v>1258</v>
      </c>
      <c r="E1216" s="25" t="s">
        <v>1722</v>
      </c>
      <c r="F1216" s="16" t="str">
        <f>_xlfn.XLOOKUP(D1216,[9]Sheet2!$C:$C,[9]Sheet2!$E:$E,"-")</f>
        <v>-</v>
      </c>
      <c r="G1216" s="21"/>
    </row>
    <row r="1217" spans="2:7">
      <c r="B1217" s="22" t="s">
        <v>1085</v>
      </c>
      <c r="C1217" s="23" t="s">
        <v>1086</v>
      </c>
      <c r="D1217" s="24" t="s">
        <v>1259</v>
      </c>
      <c r="E1217" s="25" t="s">
        <v>1745</v>
      </c>
      <c r="F1217" s="16" t="str">
        <f>_xlfn.XLOOKUP(D1217,[9]Sheet2!$C:$C,[9]Sheet2!$E:$E,"-")</f>
        <v>Satrio Wahyu Nugroho</v>
      </c>
      <c r="G1217" s="21"/>
    </row>
    <row r="1218" spans="2:7">
      <c r="B1218" s="22" t="s">
        <v>1085</v>
      </c>
      <c r="C1218" s="23" t="s">
        <v>1086</v>
      </c>
      <c r="D1218" s="24" t="s">
        <v>1260</v>
      </c>
      <c r="E1218" s="25" t="s">
        <v>1722</v>
      </c>
      <c r="F1218" s="16" t="str">
        <f>_xlfn.XLOOKUP(D1218,[9]Sheet2!$C:$C,[9]Sheet2!$E:$E,"-")</f>
        <v>Bintang Zaesar Ramadan</v>
      </c>
      <c r="G1218" s="21"/>
    </row>
    <row r="1219" spans="2:7">
      <c r="B1219" s="22" t="s">
        <v>1085</v>
      </c>
      <c r="C1219" s="23" t="s">
        <v>1086</v>
      </c>
      <c r="D1219" s="24" t="s">
        <v>1261</v>
      </c>
      <c r="E1219" s="25" t="s">
        <v>1745</v>
      </c>
      <c r="F1219" s="16" t="str">
        <f>_xlfn.XLOOKUP(D1219,[9]Sheet2!$C:$C,[9]Sheet2!$E:$E,"-")</f>
        <v>-</v>
      </c>
      <c r="G1219" s="21"/>
    </row>
    <row r="1220" spans="2:7">
      <c r="B1220" s="22" t="s">
        <v>1085</v>
      </c>
      <c r="C1220" s="23" t="s">
        <v>1086</v>
      </c>
      <c r="D1220" s="24" t="s">
        <v>1262</v>
      </c>
      <c r="E1220" s="25" t="s">
        <v>1722</v>
      </c>
      <c r="F1220" s="16" t="str">
        <f>_xlfn.XLOOKUP(D1220,[9]Sheet2!$C:$C,[9]Sheet2!$E:$E,"-")</f>
        <v>Havid Rambu Sinaga</v>
      </c>
      <c r="G1220" s="21"/>
    </row>
    <row r="1221" spans="2:7">
      <c r="B1221" s="22" t="s">
        <v>1085</v>
      </c>
      <c r="C1221" s="23" t="s">
        <v>1086</v>
      </c>
      <c r="D1221" s="24" t="s">
        <v>1263</v>
      </c>
      <c r="E1221" s="25" t="s">
        <v>1745</v>
      </c>
      <c r="F1221" s="16" t="str">
        <f>_xlfn.XLOOKUP(D1221,[9]Sheet2!$C:$C,[9]Sheet2!$E:$E,"-")</f>
        <v>-</v>
      </c>
      <c r="G1221" s="21"/>
    </row>
    <row r="1222" spans="2:7">
      <c r="B1222" s="22" t="s">
        <v>1085</v>
      </c>
      <c r="C1222" s="23" t="s">
        <v>1086</v>
      </c>
      <c r="D1222" s="24" t="s">
        <v>1264</v>
      </c>
      <c r="E1222" s="25" t="s">
        <v>1745</v>
      </c>
      <c r="F1222" s="16" t="str">
        <f>_xlfn.XLOOKUP(D1222,[9]Sheet2!$C:$C,[9]Sheet2!$E:$E,"-")</f>
        <v>Angga Yulistyawan</v>
      </c>
      <c r="G1222" s="21"/>
    </row>
    <row r="1223" spans="2:7">
      <c r="B1223" s="22" t="s">
        <v>1085</v>
      </c>
      <c r="C1223" s="23" t="s">
        <v>1086</v>
      </c>
      <c r="D1223" s="24" t="s">
        <v>1265</v>
      </c>
      <c r="E1223" s="25" t="s">
        <v>1745</v>
      </c>
      <c r="F1223" s="16" t="str">
        <f>_xlfn.XLOOKUP(D1223,[9]Sheet2!$C:$C,[9]Sheet2!$E:$E,"-")</f>
        <v>Moch. Irsyad</v>
      </c>
      <c r="G1223" s="21"/>
    </row>
    <row r="1224" spans="2:7">
      <c r="B1224" s="22" t="s">
        <v>1085</v>
      </c>
      <c r="C1224" s="23" t="s">
        <v>1086</v>
      </c>
      <c r="D1224" s="24" t="s">
        <v>1266</v>
      </c>
      <c r="E1224" s="25" t="s">
        <v>1745</v>
      </c>
      <c r="F1224" s="16" t="str">
        <f>_xlfn.XLOOKUP(D1224,[9]Sheet2!$C:$C,[9]Sheet2!$E:$E,"-")</f>
        <v>Alfiyatuz Zahra</v>
      </c>
      <c r="G1224" s="21"/>
    </row>
    <row r="1225" spans="2:7">
      <c r="B1225" s="22" t="s">
        <v>1085</v>
      </c>
      <c r="C1225" s="23" t="s">
        <v>1086</v>
      </c>
      <c r="D1225" s="24" t="s">
        <v>1267</v>
      </c>
      <c r="E1225" s="25" t="s">
        <v>1722</v>
      </c>
      <c r="F1225" s="16" t="str">
        <f>_xlfn.XLOOKUP(D1225,[9]Sheet2!$C:$C,[9]Sheet2!$E:$E,"-")</f>
        <v>Impron Suryadi</v>
      </c>
      <c r="G1225" s="21"/>
    </row>
    <row r="1226" spans="2:7">
      <c r="B1226" s="22" t="s">
        <v>1085</v>
      </c>
      <c r="C1226" s="23" t="s">
        <v>1086</v>
      </c>
      <c r="D1226" s="24" t="s">
        <v>1268</v>
      </c>
      <c r="E1226" s="25" t="s">
        <v>1745</v>
      </c>
      <c r="F1226" s="16" t="str">
        <f>_xlfn.XLOOKUP(D1226,[9]Sheet2!$C:$C,[9]Sheet2!$E:$E,"-")</f>
        <v>Wahyu Sujatmiko</v>
      </c>
      <c r="G1226" s="21"/>
    </row>
    <row r="1227" spans="2:7">
      <c r="B1227" s="22" t="s">
        <v>1085</v>
      </c>
      <c r="C1227" s="23" t="s">
        <v>1086</v>
      </c>
      <c r="D1227" s="24" t="s">
        <v>1269</v>
      </c>
      <c r="E1227" s="25" t="s">
        <v>1745</v>
      </c>
      <c r="F1227" s="16" t="str">
        <f>_xlfn.XLOOKUP(D1227,[9]Sheet2!$C:$C,[9]Sheet2!$E:$E,"-")</f>
        <v>Wahyu Sujatmiko</v>
      </c>
      <c r="G1227" s="21"/>
    </row>
    <row r="1228" spans="2:7">
      <c r="B1228" s="22" t="s">
        <v>1085</v>
      </c>
      <c r="C1228" s="23" t="s">
        <v>1086</v>
      </c>
      <c r="D1228" s="24" t="s">
        <v>1270</v>
      </c>
      <c r="E1228" s="25" t="s">
        <v>1745</v>
      </c>
      <c r="F1228" s="16" t="str">
        <f>_xlfn.XLOOKUP(D1228,[9]Sheet2!$C:$C,[9]Sheet2!$E:$E,"-")</f>
        <v>-</v>
      </c>
      <c r="G1228" s="21"/>
    </row>
    <row r="1229" spans="2:7">
      <c r="B1229" s="22" t="s">
        <v>1085</v>
      </c>
      <c r="C1229" s="23" t="s">
        <v>1086</v>
      </c>
      <c r="D1229" s="24" t="s">
        <v>1271</v>
      </c>
      <c r="E1229" s="25" t="s">
        <v>1745</v>
      </c>
      <c r="F1229" s="16" t="str">
        <f>_xlfn.XLOOKUP(D1229,[9]Sheet2!$C:$C,[9]Sheet2!$E:$E,"-")</f>
        <v>Bayu Dian Krisdianto</v>
      </c>
      <c r="G1229" s="21"/>
    </row>
    <row r="1230" spans="2:7">
      <c r="B1230" s="22" t="s">
        <v>1085</v>
      </c>
      <c r="C1230" s="23" t="s">
        <v>1086</v>
      </c>
      <c r="D1230" s="24" t="s">
        <v>1272</v>
      </c>
      <c r="E1230" s="25" t="s">
        <v>1745</v>
      </c>
      <c r="F1230" s="16" t="str">
        <f>_xlfn.XLOOKUP(D1230,[9]Sheet2!$C:$C,[9]Sheet2!$E:$E,"-")</f>
        <v>Enggar Ida Ariawan</v>
      </c>
      <c r="G1230" s="21"/>
    </row>
    <row r="1231" spans="2:7">
      <c r="B1231" s="22" t="s">
        <v>1085</v>
      </c>
      <c r="C1231" s="23" t="s">
        <v>1086</v>
      </c>
      <c r="D1231" s="24" t="s">
        <v>1273</v>
      </c>
      <c r="E1231" s="25" t="s">
        <v>1745</v>
      </c>
      <c r="F1231" s="16" t="str">
        <f>_xlfn.XLOOKUP(D1231,[9]Sheet2!$C:$C,[9]Sheet2!$E:$E,"-")</f>
        <v>Ghifar Zakatus Suaidah</v>
      </c>
      <c r="G1231" s="21"/>
    </row>
    <row r="1232" spans="2:7">
      <c r="B1232" s="22" t="s">
        <v>1085</v>
      </c>
      <c r="C1232" s="23" t="s">
        <v>1086</v>
      </c>
      <c r="D1232" s="24" t="s">
        <v>1274</v>
      </c>
      <c r="E1232" s="25" t="s">
        <v>1745</v>
      </c>
      <c r="F1232" s="16" t="str">
        <f>_xlfn.XLOOKUP(D1232,[9]Sheet2!$C:$C,[9]Sheet2!$E:$E,"-")</f>
        <v>Agus Prianto</v>
      </c>
      <c r="G1232" s="21"/>
    </row>
    <row r="1233" spans="2:7">
      <c r="B1233" s="22" t="s">
        <v>1085</v>
      </c>
      <c r="C1233" s="23" t="s">
        <v>1086</v>
      </c>
      <c r="D1233" s="24" t="s">
        <v>1275</v>
      </c>
      <c r="E1233" s="25" t="s">
        <v>1745</v>
      </c>
      <c r="F1233" s="16" t="str">
        <f>_xlfn.XLOOKUP(D1233,[9]Sheet2!$C:$C,[9]Sheet2!$E:$E,"-")</f>
        <v>Moch. Ragil Januar</v>
      </c>
      <c r="G1233" s="21"/>
    </row>
    <row r="1234" spans="2:7">
      <c r="B1234" s="22" t="s">
        <v>1085</v>
      </c>
      <c r="C1234" s="23" t="s">
        <v>1086</v>
      </c>
      <c r="D1234" s="24" t="s">
        <v>1276</v>
      </c>
      <c r="E1234" s="25" t="s">
        <v>1745</v>
      </c>
      <c r="F1234" s="16" t="str">
        <f>_xlfn.XLOOKUP(D1234,[9]Sheet2!$C:$C,[9]Sheet2!$E:$E,"-")</f>
        <v>Hasan Mahmudi</v>
      </c>
      <c r="G1234" s="21"/>
    </row>
    <row r="1235" spans="2:7">
      <c r="B1235" s="22" t="s">
        <v>1085</v>
      </c>
      <c r="C1235" s="23" t="s">
        <v>1086</v>
      </c>
      <c r="D1235" s="24" t="s">
        <v>1277</v>
      </c>
      <c r="E1235" s="25" t="s">
        <v>1745</v>
      </c>
      <c r="F1235" s="16" t="str">
        <f>_xlfn.XLOOKUP(D1235,[9]Sheet2!$C:$C,[9]Sheet2!$E:$E,"-")</f>
        <v>Moch. Ragil Januar</v>
      </c>
      <c r="G1235" s="21"/>
    </row>
    <row r="1236" spans="2:7">
      <c r="B1236" s="22" t="s">
        <v>1085</v>
      </c>
      <c r="C1236" s="23" t="s">
        <v>1086</v>
      </c>
      <c r="D1236" s="24" t="s">
        <v>1278</v>
      </c>
      <c r="E1236" s="25" t="s">
        <v>1745</v>
      </c>
      <c r="F1236" s="16" t="str">
        <f>_xlfn.XLOOKUP(D1236,[9]Sheet2!$C:$C,[9]Sheet2!$E:$E,"-")</f>
        <v>Dwi Novitasari</v>
      </c>
      <c r="G1236" s="21"/>
    </row>
    <row r="1237" spans="2:7">
      <c r="B1237" s="22" t="s">
        <v>1085</v>
      </c>
      <c r="C1237" s="23" t="s">
        <v>1086</v>
      </c>
      <c r="D1237" s="24" t="s">
        <v>1279</v>
      </c>
      <c r="E1237" s="25" t="s">
        <v>1745</v>
      </c>
      <c r="F1237" s="16" t="str">
        <f>_xlfn.XLOOKUP(D1237,[9]Sheet2!$C:$C,[9]Sheet2!$E:$E,"-")</f>
        <v>Agus Prianto</v>
      </c>
      <c r="G1237" s="21"/>
    </row>
    <row r="1238" spans="2:7">
      <c r="B1238" s="22" t="s">
        <v>1085</v>
      </c>
      <c r="C1238" s="23" t="s">
        <v>1086</v>
      </c>
      <c r="D1238" s="24" t="s">
        <v>1280</v>
      </c>
      <c r="E1238" s="25" t="s">
        <v>1745</v>
      </c>
      <c r="F1238" s="16" t="str">
        <f>_xlfn.XLOOKUP(D1238,[9]Sheet2!$C:$C,[9]Sheet2!$E:$E,"-")</f>
        <v>Fanny Zubiatmoko</v>
      </c>
      <c r="G1238" s="21"/>
    </row>
    <row r="1239" spans="2:7">
      <c r="B1239" s="22" t="s">
        <v>1085</v>
      </c>
      <c r="C1239" s="23" t="s">
        <v>1086</v>
      </c>
      <c r="D1239" s="24" t="s">
        <v>1281</v>
      </c>
      <c r="E1239" s="25" t="s">
        <v>1745</v>
      </c>
      <c r="F1239" s="16" t="str">
        <f>_xlfn.XLOOKUP(D1239,[9]Sheet2!$C:$C,[9]Sheet2!$E:$E,"-")</f>
        <v>Bonifacius Edo Prasetio</v>
      </c>
      <c r="G1239" s="21"/>
    </row>
    <row r="1240" spans="2:7">
      <c r="B1240" s="22" t="s">
        <v>1085</v>
      </c>
      <c r="C1240" s="23" t="s">
        <v>1086</v>
      </c>
      <c r="D1240" s="24" t="s">
        <v>1282</v>
      </c>
      <c r="E1240" s="25" t="s">
        <v>1722</v>
      </c>
      <c r="F1240" s="16" t="str">
        <f>_xlfn.XLOOKUP(D1240,[9]Sheet2!$C:$C,[9]Sheet2!$E:$E,"-")</f>
        <v>Adha Mubarok</v>
      </c>
      <c r="G1240" s="21"/>
    </row>
    <row r="1241" spans="2:7">
      <c r="B1241" s="22" t="s">
        <v>1085</v>
      </c>
      <c r="C1241" s="23" t="s">
        <v>1086</v>
      </c>
      <c r="D1241" s="24" t="s">
        <v>1283</v>
      </c>
      <c r="E1241" s="25" t="s">
        <v>1722</v>
      </c>
      <c r="F1241" s="16" t="str">
        <f>_xlfn.XLOOKUP(D1241,[9]Sheet2!$C:$C,[9]Sheet2!$E:$E,"-")</f>
        <v>Adha Mubarok</v>
      </c>
      <c r="G1241" s="21"/>
    </row>
    <row r="1242" spans="2:7">
      <c r="B1242" s="22" t="s">
        <v>1085</v>
      </c>
      <c r="C1242" s="23" t="s">
        <v>1086</v>
      </c>
      <c r="D1242" s="24" t="s">
        <v>1284</v>
      </c>
      <c r="E1242" s="25" t="s">
        <v>1722</v>
      </c>
      <c r="F1242" s="16" t="str">
        <f>_xlfn.XLOOKUP(D1242,[9]Sheet2!$C:$C,[9]Sheet2!$E:$E,"-")</f>
        <v>Gilang Sabastian Vernando</v>
      </c>
      <c r="G1242" s="21"/>
    </row>
    <row r="1243" spans="2:7">
      <c r="B1243" s="22" t="s">
        <v>1085</v>
      </c>
      <c r="C1243" s="23" t="s">
        <v>1086</v>
      </c>
      <c r="D1243" s="24" t="s">
        <v>1285</v>
      </c>
      <c r="E1243" s="25" t="s">
        <v>1722</v>
      </c>
      <c r="F1243" s="16" t="str">
        <f>_xlfn.XLOOKUP(D1243,[9]Sheet2!$C:$C,[9]Sheet2!$E:$E,"-")</f>
        <v>Legowo Herlambang</v>
      </c>
      <c r="G1243" s="21"/>
    </row>
    <row r="1244" spans="2:7">
      <c r="B1244" s="22" t="s">
        <v>1085</v>
      </c>
      <c r="C1244" s="23" t="s">
        <v>1086</v>
      </c>
      <c r="D1244" s="24" t="s">
        <v>1286</v>
      </c>
      <c r="E1244" s="25" t="s">
        <v>1722</v>
      </c>
      <c r="F1244" s="16" t="str">
        <f>_xlfn.XLOOKUP(D1244,[9]Sheet2!$C:$C,[9]Sheet2!$E:$E,"-")</f>
        <v>Afid Mahardianto</v>
      </c>
      <c r="G1244" s="21"/>
    </row>
    <row r="1245" spans="2:7">
      <c r="B1245" s="22" t="s">
        <v>1085</v>
      </c>
      <c r="C1245" s="23" t="s">
        <v>1086</v>
      </c>
      <c r="D1245" s="24" t="s">
        <v>1287</v>
      </c>
      <c r="E1245" s="25" t="s">
        <v>1722</v>
      </c>
      <c r="F1245" s="16" t="str">
        <f>_xlfn.XLOOKUP(D1245,[9]Sheet2!$C:$C,[9]Sheet2!$E:$E,"-")</f>
        <v>Yusky Ali</v>
      </c>
      <c r="G1245" s="21"/>
    </row>
    <row r="1246" spans="2:7">
      <c r="B1246" s="22" t="s">
        <v>1085</v>
      </c>
      <c r="C1246" s="23" t="s">
        <v>1086</v>
      </c>
      <c r="D1246" s="24" t="s">
        <v>1288</v>
      </c>
      <c r="E1246" s="25" t="s">
        <v>1745</v>
      </c>
      <c r="F1246" s="16" t="str">
        <f>_xlfn.XLOOKUP(D1246,[9]Sheet2!$C:$C,[9]Sheet2!$E:$E,"-")</f>
        <v>Rofi Firmansyah</v>
      </c>
      <c r="G1246" s="21"/>
    </row>
    <row r="1247" spans="2:7">
      <c r="B1247" s="22" t="s">
        <v>1085</v>
      </c>
      <c r="C1247" s="23" t="s">
        <v>1086</v>
      </c>
      <c r="D1247" s="24" t="s">
        <v>1289</v>
      </c>
      <c r="E1247" s="25" t="s">
        <v>1745</v>
      </c>
      <c r="F1247" s="16" t="str">
        <f>_xlfn.XLOOKUP(D1247,[9]Sheet2!$C:$C,[9]Sheet2!$E:$E,"-")</f>
        <v>Annur Rahman Hakim</v>
      </c>
      <c r="G1247" s="21"/>
    </row>
    <row r="1248" spans="2:7">
      <c r="B1248" s="22" t="s">
        <v>1085</v>
      </c>
      <c r="C1248" s="23" t="s">
        <v>1086</v>
      </c>
      <c r="D1248" s="24" t="s">
        <v>1290</v>
      </c>
      <c r="E1248" s="25" t="s">
        <v>1722</v>
      </c>
      <c r="F1248" s="16" t="str">
        <f>_xlfn.XLOOKUP(D1248,[9]Sheet2!$C:$C,[9]Sheet2!$E:$E,"-")</f>
        <v>Rifki Maghrobi Putra Pamungkas</v>
      </c>
      <c r="G1248" s="21"/>
    </row>
    <row r="1249" spans="2:7">
      <c r="B1249" s="22" t="s">
        <v>1085</v>
      </c>
      <c r="C1249" s="23" t="s">
        <v>1086</v>
      </c>
      <c r="D1249" s="24" t="s">
        <v>1291</v>
      </c>
      <c r="E1249" s="25" t="s">
        <v>1722</v>
      </c>
      <c r="F1249" s="16" t="str">
        <f>_xlfn.XLOOKUP(D1249,[9]Sheet2!$C:$C,[9]Sheet2!$E:$E,"-")</f>
        <v>Rifki Maghrobi Putra Pamungkas</v>
      </c>
      <c r="G1249" s="21"/>
    </row>
    <row r="1250" spans="2:7">
      <c r="B1250" s="22" t="s">
        <v>1085</v>
      </c>
      <c r="C1250" s="23" t="s">
        <v>1086</v>
      </c>
      <c r="D1250" s="24" t="s">
        <v>1292</v>
      </c>
      <c r="E1250" s="25" t="s">
        <v>1722</v>
      </c>
      <c r="F1250" s="16" t="str">
        <f>_xlfn.XLOOKUP(D1250,[9]Sheet2!$C:$C,[9]Sheet2!$E:$E,"-")</f>
        <v>Fajar Fir Rizky</v>
      </c>
      <c r="G1250" s="21"/>
    </row>
    <row r="1251" spans="2:7">
      <c r="B1251" s="22" t="s">
        <v>1085</v>
      </c>
      <c r="C1251" s="23" t="s">
        <v>1086</v>
      </c>
      <c r="D1251" s="24" t="s">
        <v>1293</v>
      </c>
      <c r="E1251" s="25" t="s">
        <v>1722</v>
      </c>
      <c r="F1251" s="16" t="str">
        <f>_xlfn.XLOOKUP(D1251,[9]Sheet2!$C:$C,[9]Sheet2!$E:$E,"-")</f>
        <v>Yusky Ali</v>
      </c>
      <c r="G1251" s="21"/>
    </row>
    <row r="1252" spans="2:7">
      <c r="B1252" s="22" t="s">
        <v>1085</v>
      </c>
      <c r="C1252" s="23" t="s">
        <v>1086</v>
      </c>
      <c r="D1252" s="24" t="s">
        <v>1294</v>
      </c>
      <c r="E1252" s="25" t="s">
        <v>1745</v>
      </c>
      <c r="F1252" s="16" t="str">
        <f>_xlfn.XLOOKUP(D1252,[9]Sheet2!$C:$C,[9]Sheet2!$E:$E,"-")</f>
        <v>Annur Rahman Hakim</v>
      </c>
      <c r="G1252" s="21"/>
    </row>
    <row r="1253" spans="2:7">
      <c r="B1253" s="22" t="s">
        <v>1085</v>
      </c>
      <c r="C1253" s="23" t="s">
        <v>1086</v>
      </c>
      <c r="D1253" s="24" t="s">
        <v>1295</v>
      </c>
      <c r="E1253" s="25" t="s">
        <v>1745</v>
      </c>
      <c r="F1253" s="16" t="str">
        <f>_xlfn.XLOOKUP(D1253,[9]Sheet2!$C:$C,[9]Sheet2!$E:$E,"-")</f>
        <v>Annur Rahman Hakim</v>
      </c>
      <c r="G1253" s="21"/>
    </row>
    <row r="1254" spans="2:7">
      <c r="B1254" s="22" t="s">
        <v>1085</v>
      </c>
      <c r="C1254" s="23" t="s">
        <v>1086</v>
      </c>
      <c r="D1254" s="24" t="s">
        <v>1296</v>
      </c>
      <c r="E1254" s="25" t="s">
        <v>1722</v>
      </c>
      <c r="F1254" s="16" t="str">
        <f>_xlfn.XLOOKUP(D1254,[9]Sheet2!$C:$C,[9]Sheet2!$E:$E,"-")</f>
        <v>Fajar Fir Rizky</v>
      </c>
      <c r="G1254" s="21"/>
    </row>
    <row r="1255" spans="2:7">
      <c r="B1255" s="22" t="s">
        <v>1085</v>
      </c>
      <c r="C1255" s="23" t="s">
        <v>1086</v>
      </c>
      <c r="D1255" s="24" t="s">
        <v>1297</v>
      </c>
      <c r="E1255" s="25" t="s">
        <v>1745</v>
      </c>
      <c r="F1255" s="16" t="str">
        <f>_xlfn.XLOOKUP(D1255,[9]Sheet2!$C:$C,[9]Sheet2!$E:$E,"-")</f>
        <v>Rofi Firmansyah</v>
      </c>
      <c r="G1255" s="21"/>
    </row>
    <row r="1256" spans="2:7">
      <c r="B1256" s="22" t="s">
        <v>1085</v>
      </c>
      <c r="C1256" s="23" t="s">
        <v>1086</v>
      </c>
      <c r="D1256" s="24" t="s">
        <v>1298</v>
      </c>
      <c r="E1256" s="25" t="s">
        <v>1722</v>
      </c>
      <c r="F1256" s="16" t="str">
        <f>_xlfn.XLOOKUP(D1256,[9]Sheet2!$C:$C,[9]Sheet2!$E:$E,"-")</f>
        <v>Aries Firman Widiansyah</v>
      </c>
      <c r="G1256" s="21"/>
    </row>
    <row r="1257" spans="2:7">
      <c r="B1257" s="22" t="s">
        <v>1085</v>
      </c>
      <c r="C1257" s="23" t="s">
        <v>1086</v>
      </c>
      <c r="D1257" s="24" t="s">
        <v>1299</v>
      </c>
      <c r="E1257" s="25" t="s">
        <v>1745</v>
      </c>
      <c r="F1257" s="16" t="str">
        <f>_xlfn.XLOOKUP(D1257,[9]Sheet2!$C:$C,[9]Sheet2!$E:$E,"-")</f>
        <v>Moch Erfan</v>
      </c>
      <c r="G1257" s="21"/>
    </row>
    <row r="1258" spans="2:7">
      <c r="B1258" s="22" t="s">
        <v>1085</v>
      </c>
      <c r="C1258" s="23" t="s">
        <v>1086</v>
      </c>
      <c r="D1258" s="24" t="s">
        <v>1300</v>
      </c>
      <c r="E1258" s="25" t="s">
        <v>1745</v>
      </c>
      <c r="F1258" s="16" t="str">
        <f>_xlfn.XLOOKUP(D1258,[9]Sheet2!$C:$C,[9]Sheet2!$E:$E,"-")</f>
        <v>Olivia Sukma Rini Widyananda</v>
      </c>
      <c r="G1258" s="21"/>
    </row>
    <row r="1259" spans="2:7">
      <c r="B1259" s="22" t="s">
        <v>1085</v>
      </c>
      <c r="C1259" s="23" t="s">
        <v>1086</v>
      </c>
      <c r="D1259" s="24" t="s">
        <v>1301</v>
      </c>
      <c r="E1259" s="25" t="s">
        <v>1722</v>
      </c>
      <c r="F1259" s="16" t="str">
        <f>_xlfn.XLOOKUP(D1259,[9]Sheet2!$C:$C,[9]Sheet2!$E:$E,"-")</f>
        <v>Aries Firman Widiansyah</v>
      </c>
      <c r="G1259" s="21"/>
    </row>
    <row r="1260" spans="2:7">
      <c r="B1260" s="22" t="s">
        <v>1085</v>
      </c>
      <c r="C1260" s="23" t="s">
        <v>1086</v>
      </c>
      <c r="D1260" s="24" t="s">
        <v>1302</v>
      </c>
      <c r="E1260" s="25" t="s">
        <v>1722</v>
      </c>
      <c r="F1260" s="16" t="str">
        <f>_xlfn.XLOOKUP(D1260,[9]Sheet2!$C:$C,[9]Sheet2!$E:$E,"-")</f>
        <v>Yusril Abdillah</v>
      </c>
      <c r="G1260" s="21"/>
    </row>
    <row r="1261" spans="2:7">
      <c r="B1261" s="22" t="s">
        <v>1085</v>
      </c>
      <c r="C1261" s="23" t="s">
        <v>1086</v>
      </c>
      <c r="D1261" s="24" t="s">
        <v>1303</v>
      </c>
      <c r="E1261" s="25" t="s">
        <v>1722</v>
      </c>
      <c r="F1261" s="16" t="str">
        <f>_xlfn.XLOOKUP(D1261,[9]Sheet2!$C:$C,[9]Sheet2!$E:$E,"-")</f>
        <v>Vidya Putri Ramadhanti</v>
      </c>
      <c r="G1261" s="21"/>
    </row>
    <row r="1262" spans="2:7">
      <c r="B1262" s="22" t="s">
        <v>1085</v>
      </c>
      <c r="C1262" s="23" t="s">
        <v>1086</v>
      </c>
      <c r="D1262" s="24" t="s">
        <v>1304</v>
      </c>
      <c r="E1262" s="25" t="s">
        <v>1722</v>
      </c>
      <c r="F1262" s="16" t="str">
        <f>_xlfn.XLOOKUP(D1262,[9]Sheet2!$C:$C,[9]Sheet2!$E:$E,"-")</f>
        <v>Yusril Abdillah</v>
      </c>
      <c r="G1262" s="21"/>
    </row>
    <row r="1263" spans="2:7">
      <c r="B1263" s="22" t="s">
        <v>1085</v>
      </c>
      <c r="C1263" s="23" t="s">
        <v>1086</v>
      </c>
      <c r="D1263" s="24" t="s">
        <v>1305</v>
      </c>
      <c r="E1263" s="25" t="s">
        <v>1745</v>
      </c>
      <c r="F1263" s="16" t="str">
        <f>_xlfn.XLOOKUP(D1263,[9]Sheet2!$C:$C,[9]Sheet2!$E:$E,"-")</f>
        <v>Olivia Sukma Rini Widyananda</v>
      </c>
      <c r="G1263" s="21"/>
    </row>
    <row r="1264" spans="2:7">
      <c r="B1264" s="22" t="s">
        <v>1085</v>
      </c>
      <c r="C1264" s="23" t="s">
        <v>1086</v>
      </c>
      <c r="D1264" s="24" t="s">
        <v>1306</v>
      </c>
      <c r="E1264" s="25" t="s">
        <v>1745</v>
      </c>
      <c r="F1264" s="16" t="str">
        <f>_xlfn.XLOOKUP(D1264,[9]Sheet2!$C:$C,[9]Sheet2!$E:$E,"-")</f>
        <v>Moch Erfan</v>
      </c>
      <c r="G1264" s="21"/>
    </row>
    <row r="1265" spans="2:7">
      <c r="B1265" s="22" t="s">
        <v>1085</v>
      </c>
      <c r="C1265" s="23" t="s">
        <v>1086</v>
      </c>
      <c r="D1265" s="24" t="s">
        <v>1307</v>
      </c>
      <c r="E1265" s="25" t="s">
        <v>1745</v>
      </c>
      <c r="F1265" s="16" t="str">
        <f>_xlfn.XLOOKUP(D1265,[9]Sheet2!$C:$C,[9]Sheet2!$E:$E,"-")</f>
        <v>Moch Erfan</v>
      </c>
      <c r="G1265" s="21"/>
    </row>
    <row r="1266" spans="2:7">
      <c r="B1266" s="22" t="s">
        <v>1085</v>
      </c>
      <c r="C1266" s="23" t="s">
        <v>1086</v>
      </c>
      <c r="D1266" s="24" t="s">
        <v>1308</v>
      </c>
      <c r="E1266" s="25" t="s">
        <v>1722</v>
      </c>
      <c r="F1266" s="16" t="str">
        <f>_xlfn.XLOOKUP(D1266,[9]Sheet2!$C:$C,[9]Sheet2!$E:$E,"-")</f>
        <v>Erwin Purwanto</v>
      </c>
      <c r="G1266" s="21"/>
    </row>
    <row r="1267" spans="2:7">
      <c r="B1267" s="22" t="s">
        <v>1085</v>
      </c>
      <c r="C1267" s="23" t="s">
        <v>1086</v>
      </c>
      <c r="D1267" s="24" t="s">
        <v>1309</v>
      </c>
      <c r="E1267" s="25" t="s">
        <v>1722</v>
      </c>
      <c r="F1267" s="16" t="str">
        <f>_xlfn.XLOOKUP(D1267,[9]Sheet2!$C:$C,[9]Sheet2!$E:$E,"-")</f>
        <v>Erwin Purwanto</v>
      </c>
      <c r="G1267" s="21"/>
    </row>
    <row r="1268" spans="2:7">
      <c r="B1268" s="22" t="s">
        <v>1085</v>
      </c>
      <c r="C1268" s="23" t="s">
        <v>1086</v>
      </c>
      <c r="D1268" s="24" t="s">
        <v>1310</v>
      </c>
      <c r="E1268" s="25" t="s">
        <v>1722</v>
      </c>
      <c r="F1268" s="16" t="str">
        <f>_xlfn.XLOOKUP(D1268,[9]Sheet2!$C:$C,[9]Sheet2!$E:$E,"-")</f>
        <v>Rendhy Bhaskara Putra</v>
      </c>
      <c r="G1268" s="21"/>
    </row>
    <row r="1269" spans="2:7">
      <c r="B1269" s="22" t="s">
        <v>1085</v>
      </c>
      <c r="C1269" s="23" t="s">
        <v>1086</v>
      </c>
      <c r="D1269" s="24" t="s">
        <v>1311</v>
      </c>
      <c r="E1269" s="25" t="s">
        <v>1722</v>
      </c>
      <c r="F1269" s="16" t="str">
        <f>_xlfn.XLOOKUP(D1269,[9]Sheet2!$C:$C,[9]Sheet2!$E:$E,"-")</f>
        <v>Deby Alief Intan Permata</v>
      </c>
      <c r="G1269" s="21"/>
    </row>
    <row r="1270" spans="2:7">
      <c r="B1270" s="22" t="s">
        <v>1085</v>
      </c>
      <c r="C1270" s="23" t="s">
        <v>1086</v>
      </c>
      <c r="D1270" s="24" t="s">
        <v>1312</v>
      </c>
      <c r="E1270" s="25" t="s">
        <v>1722</v>
      </c>
      <c r="F1270" s="16" t="str">
        <f>_xlfn.XLOOKUP(D1270,[9]Sheet2!$C:$C,[9]Sheet2!$E:$E,"-")</f>
        <v>Rizki Fajar Kurniawan</v>
      </c>
      <c r="G1270" s="21"/>
    </row>
    <row r="1271" spans="2:7">
      <c r="B1271" s="22" t="s">
        <v>1085</v>
      </c>
      <c r="C1271" s="23" t="s">
        <v>1086</v>
      </c>
      <c r="D1271" s="24" t="s">
        <v>1313</v>
      </c>
      <c r="E1271" s="25" t="s">
        <v>1722</v>
      </c>
      <c r="F1271" s="16" t="str">
        <f>_xlfn.XLOOKUP(D1271,[9]Sheet2!$C:$C,[9]Sheet2!$E:$E,"-")</f>
        <v>Imam Safiudin Mustaqim</v>
      </c>
      <c r="G1271" s="21"/>
    </row>
    <row r="1272" spans="2:7">
      <c r="B1272" s="22" t="s">
        <v>1085</v>
      </c>
      <c r="C1272" s="23" t="s">
        <v>1086</v>
      </c>
      <c r="D1272" s="24" t="s">
        <v>1314</v>
      </c>
      <c r="E1272" s="25" t="s">
        <v>1722</v>
      </c>
      <c r="F1272" s="16" t="str">
        <f>_xlfn.XLOOKUP(D1272,[9]Sheet2!$C:$C,[9]Sheet2!$E:$E,"-")</f>
        <v>Imam Safiudin Mustaqim</v>
      </c>
      <c r="G1272" s="21"/>
    </row>
    <row r="1273" spans="2:7">
      <c r="B1273" s="22" t="s">
        <v>1085</v>
      </c>
      <c r="C1273" s="23" t="s">
        <v>1086</v>
      </c>
      <c r="D1273" s="24" t="s">
        <v>1315</v>
      </c>
      <c r="E1273" s="25" t="s">
        <v>1722</v>
      </c>
      <c r="F1273" s="16" t="str">
        <f>_xlfn.XLOOKUP(D1273,[9]Sheet2!$C:$C,[9]Sheet2!$E:$E,"-")</f>
        <v>Muhammad Yasin</v>
      </c>
      <c r="G1273" s="21"/>
    </row>
    <row r="1274" spans="2:7">
      <c r="B1274" s="22" t="s">
        <v>1085</v>
      </c>
      <c r="C1274" s="23" t="s">
        <v>1086</v>
      </c>
      <c r="D1274" s="24" t="s">
        <v>1316</v>
      </c>
      <c r="E1274" s="25" t="s">
        <v>1722</v>
      </c>
      <c r="F1274" s="16" t="str">
        <f>_xlfn.XLOOKUP(D1274,[9]Sheet2!$C:$C,[9]Sheet2!$E:$E,"-")</f>
        <v>Mohammad Sholehhuddin</v>
      </c>
      <c r="G1274" s="21"/>
    </row>
    <row r="1275" spans="2:7">
      <c r="B1275" s="22" t="s">
        <v>1085</v>
      </c>
      <c r="C1275" s="23" t="s">
        <v>1086</v>
      </c>
      <c r="D1275" s="24" t="s">
        <v>1317</v>
      </c>
      <c r="E1275" s="25" t="s">
        <v>1722</v>
      </c>
      <c r="F1275" s="16" t="str">
        <f>_xlfn.XLOOKUP(D1275,[9]Sheet2!$C:$C,[9]Sheet2!$E:$E,"-")</f>
        <v>Riki Yuhan Diantoro</v>
      </c>
      <c r="G1275" s="21"/>
    </row>
    <row r="1276" spans="2:7">
      <c r="B1276" s="22" t="s">
        <v>1085</v>
      </c>
      <c r="C1276" s="23" t="s">
        <v>1086</v>
      </c>
      <c r="D1276" s="24" t="s">
        <v>1318</v>
      </c>
      <c r="E1276" s="25" t="s">
        <v>1722</v>
      </c>
      <c r="F1276" s="16" t="str">
        <f>_xlfn.XLOOKUP(D1276,[9]Sheet2!$C:$C,[9]Sheet2!$E:$E,"-")</f>
        <v>Mohammad Sholehhuddin</v>
      </c>
      <c r="G1276" s="21"/>
    </row>
    <row r="1277" spans="2:7">
      <c r="B1277" s="22" t="s">
        <v>1085</v>
      </c>
      <c r="C1277" s="23" t="s">
        <v>1086</v>
      </c>
      <c r="D1277" s="24" t="s">
        <v>1319</v>
      </c>
      <c r="E1277" s="25" t="s">
        <v>1722</v>
      </c>
      <c r="F1277" s="16" t="str">
        <f>_xlfn.XLOOKUP(D1277,[9]Sheet2!$C:$C,[9]Sheet2!$E:$E,"-")</f>
        <v>Deby Alief Intan Permata</v>
      </c>
      <c r="G1277" s="21"/>
    </row>
    <row r="1278" spans="2:7">
      <c r="B1278" s="22" t="s">
        <v>1085</v>
      </c>
      <c r="C1278" s="23" t="s">
        <v>1086</v>
      </c>
      <c r="D1278" s="24" t="s">
        <v>1320</v>
      </c>
      <c r="E1278" s="25" t="s">
        <v>1722</v>
      </c>
      <c r="F1278" s="16" t="str">
        <f>_xlfn.XLOOKUP(D1278,[9]Sheet2!$C:$C,[9]Sheet2!$E:$E,"-")</f>
        <v>Riki Yuhan Diantoro</v>
      </c>
      <c r="G1278" s="21"/>
    </row>
    <row r="1279" spans="2:7">
      <c r="B1279" s="22" t="s">
        <v>1085</v>
      </c>
      <c r="C1279" s="23" t="s">
        <v>1086</v>
      </c>
      <c r="D1279" s="24" t="s">
        <v>1321</v>
      </c>
      <c r="E1279" s="25" t="s">
        <v>1722</v>
      </c>
      <c r="F1279" s="16" t="str">
        <f>_xlfn.XLOOKUP(D1279,[9]Sheet2!$C:$C,[9]Sheet2!$E:$E,"-")</f>
        <v>Muhammad Yasin</v>
      </c>
      <c r="G1279" s="21"/>
    </row>
    <row r="1280" spans="2:7">
      <c r="B1280" s="22" t="s">
        <v>1085</v>
      </c>
      <c r="C1280" s="23" t="s">
        <v>1086</v>
      </c>
      <c r="D1280" s="24" t="s">
        <v>1322</v>
      </c>
      <c r="E1280" s="25" t="s">
        <v>1745</v>
      </c>
      <c r="F1280" s="16" t="str">
        <f>_xlfn.XLOOKUP(D1280,[9]Sheet2!$C:$C,[9]Sheet2!$E:$E,"-")</f>
        <v>Miftahul Rahman</v>
      </c>
      <c r="G1280" s="21"/>
    </row>
    <row r="1281" spans="2:7">
      <c r="B1281" s="22" t="s">
        <v>1085</v>
      </c>
      <c r="C1281" s="23" t="s">
        <v>1086</v>
      </c>
      <c r="D1281" s="24" t="s">
        <v>1323</v>
      </c>
      <c r="E1281" s="25" t="s">
        <v>1722</v>
      </c>
      <c r="F1281" s="16" t="str">
        <f>_xlfn.XLOOKUP(D1281,[9]Sheet2!$C:$C,[9]Sheet2!$E:$E,"-")</f>
        <v>Dwi Rahman Saleh</v>
      </c>
      <c r="G1281" s="21"/>
    </row>
    <row r="1282" spans="2:7">
      <c r="B1282" s="22" t="s">
        <v>1085</v>
      </c>
      <c r="C1282" s="23" t="s">
        <v>1086</v>
      </c>
      <c r="D1282" s="24" t="s">
        <v>1324</v>
      </c>
      <c r="E1282" s="25" t="s">
        <v>1722</v>
      </c>
      <c r="F1282" s="16" t="str">
        <f>_xlfn.XLOOKUP(D1282,[9]Sheet2!$C:$C,[9]Sheet2!$E:$E,"-")</f>
        <v>Ilham Tri Cahyono</v>
      </c>
      <c r="G1282" s="21"/>
    </row>
    <row r="1283" spans="2:7">
      <c r="B1283" s="22" t="s">
        <v>1085</v>
      </c>
      <c r="C1283" s="23" t="s">
        <v>1086</v>
      </c>
      <c r="D1283" s="24" t="s">
        <v>1325</v>
      </c>
      <c r="E1283" s="25" t="s">
        <v>1722</v>
      </c>
      <c r="F1283" s="16" t="str">
        <f>_xlfn.XLOOKUP(D1283,[9]Sheet2!$C:$C,[9]Sheet2!$E:$E,"-")</f>
        <v>Rizki Eki Prayoga</v>
      </c>
      <c r="G1283" s="21"/>
    </row>
    <row r="1284" spans="2:7">
      <c r="B1284" s="22" t="s">
        <v>1085</v>
      </c>
      <c r="C1284" s="23" t="s">
        <v>1086</v>
      </c>
      <c r="D1284" s="24" t="s">
        <v>1326</v>
      </c>
      <c r="E1284" s="25" t="s">
        <v>1745</v>
      </c>
      <c r="F1284" s="16" t="str">
        <f>_xlfn.XLOOKUP(D1284,[9]Sheet2!$C:$C,[9]Sheet2!$E:$E,"-")</f>
        <v>Farid Amrullah</v>
      </c>
      <c r="G1284" s="21"/>
    </row>
    <row r="1285" spans="2:7">
      <c r="B1285" s="22" t="s">
        <v>1085</v>
      </c>
      <c r="C1285" s="23" t="s">
        <v>1086</v>
      </c>
      <c r="D1285" s="24" t="s">
        <v>1327</v>
      </c>
      <c r="E1285" s="25" t="s">
        <v>1745</v>
      </c>
      <c r="F1285" s="16" t="str">
        <f>_xlfn.XLOOKUP(D1285,[9]Sheet2!$C:$C,[9]Sheet2!$E:$E,"-")</f>
        <v>Miftahul Rahman</v>
      </c>
      <c r="G1285" s="21"/>
    </row>
    <row r="1286" spans="2:7">
      <c r="B1286" s="22" t="s">
        <v>1085</v>
      </c>
      <c r="C1286" s="23" t="s">
        <v>1086</v>
      </c>
      <c r="D1286" s="24" t="s">
        <v>1328</v>
      </c>
      <c r="E1286" s="25" t="s">
        <v>1745</v>
      </c>
      <c r="F1286" s="16" t="str">
        <f>_xlfn.XLOOKUP(D1286,[9]Sheet2!$C:$C,[9]Sheet2!$E:$E,"-")</f>
        <v>Moh. Kusnadi</v>
      </c>
      <c r="G1286" s="21"/>
    </row>
    <row r="1287" spans="2:7">
      <c r="B1287" s="22" t="s">
        <v>1085</v>
      </c>
      <c r="C1287" s="23" t="s">
        <v>1086</v>
      </c>
      <c r="D1287" s="24" t="s">
        <v>1329</v>
      </c>
      <c r="E1287" s="25" t="s">
        <v>1745</v>
      </c>
      <c r="F1287" s="16" t="str">
        <f>_xlfn.XLOOKUP(D1287,[9]Sheet2!$C:$C,[9]Sheet2!$E:$E,"-")</f>
        <v>Moh. Kusnadi</v>
      </c>
      <c r="G1287" s="21"/>
    </row>
    <row r="1288" spans="2:7">
      <c r="B1288" s="22" t="s">
        <v>1085</v>
      </c>
      <c r="C1288" s="23" t="s">
        <v>1086</v>
      </c>
      <c r="D1288" s="24" t="s">
        <v>1330</v>
      </c>
      <c r="E1288" s="25" t="s">
        <v>1722</v>
      </c>
      <c r="F1288" s="16" t="str">
        <f>_xlfn.XLOOKUP(D1288,[9]Sheet2!$C:$C,[9]Sheet2!$E:$E,"-")</f>
        <v>Imro'Atul Azizah</v>
      </c>
      <c r="G1288" s="21"/>
    </row>
    <row r="1289" spans="2:7">
      <c r="B1289" s="22" t="s">
        <v>1085</v>
      </c>
      <c r="C1289" s="23" t="s">
        <v>1086</v>
      </c>
      <c r="D1289" s="24" t="s">
        <v>1331</v>
      </c>
      <c r="E1289" s="25" t="s">
        <v>1722</v>
      </c>
      <c r="F1289" s="16" t="str">
        <f>_xlfn.XLOOKUP(D1289,[9]Sheet2!$C:$C,[9]Sheet2!$E:$E,"-")</f>
        <v>Dwi Rahman Saleh</v>
      </c>
      <c r="G1289" s="21"/>
    </row>
    <row r="1290" spans="2:7">
      <c r="B1290" s="22" t="s">
        <v>1085</v>
      </c>
      <c r="C1290" s="23" t="s">
        <v>1086</v>
      </c>
      <c r="D1290" s="24" t="s">
        <v>1332</v>
      </c>
      <c r="E1290" s="25" t="s">
        <v>1745</v>
      </c>
      <c r="F1290" s="16" t="str">
        <f>_xlfn.XLOOKUP(D1290,[9]Sheet2!$C:$C,[9]Sheet2!$E:$E,"-")</f>
        <v>Muhammad Suhir</v>
      </c>
      <c r="G1290" s="21"/>
    </row>
    <row r="1291" spans="2:7">
      <c r="B1291" s="22" t="s">
        <v>1085</v>
      </c>
      <c r="C1291" s="23" t="s">
        <v>1086</v>
      </c>
      <c r="D1291" s="24" t="s">
        <v>1333</v>
      </c>
      <c r="E1291" s="25" t="s">
        <v>1745</v>
      </c>
      <c r="F1291" s="16" t="str">
        <f>_xlfn.XLOOKUP(D1291,[9]Sheet2!$C:$C,[9]Sheet2!$E:$E,"-")</f>
        <v>Farid Amrullah</v>
      </c>
      <c r="G1291" s="21"/>
    </row>
    <row r="1292" spans="2:7">
      <c r="B1292" s="22" t="s">
        <v>1085</v>
      </c>
      <c r="C1292" s="23" t="s">
        <v>1086</v>
      </c>
      <c r="D1292" s="24" t="s">
        <v>1334</v>
      </c>
      <c r="E1292" s="25" t="s">
        <v>1722</v>
      </c>
      <c r="F1292" s="16" t="str">
        <f>_xlfn.XLOOKUP(D1292,[9]Sheet2!$C:$C,[9]Sheet2!$E:$E,"-")</f>
        <v>Vigil Setya Sembada</v>
      </c>
      <c r="G1292" s="21"/>
    </row>
    <row r="1293" spans="2:7">
      <c r="B1293" s="22" t="s">
        <v>1085</v>
      </c>
      <c r="C1293" s="23" t="s">
        <v>1086</v>
      </c>
      <c r="D1293" s="24" t="s">
        <v>1335</v>
      </c>
      <c r="E1293" s="25" t="s">
        <v>1722</v>
      </c>
      <c r="F1293" s="16" t="str">
        <f>_xlfn.XLOOKUP(D1293,[9]Sheet2!$C:$C,[9]Sheet2!$E:$E,"-")</f>
        <v>Putra Pratama Iwan Wahyudi</v>
      </c>
      <c r="G1293" s="21"/>
    </row>
    <row r="1294" spans="2:7">
      <c r="B1294" s="22" t="s">
        <v>1085</v>
      </c>
      <c r="C1294" s="23" t="s">
        <v>1086</v>
      </c>
      <c r="D1294" s="24" t="s">
        <v>1336</v>
      </c>
      <c r="E1294" s="25" t="s">
        <v>1722</v>
      </c>
      <c r="F1294" s="16" t="str">
        <f>_xlfn.XLOOKUP(D1294,[9]Sheet2!$C:$C,[9]Sheet2!$E:$E,"-")</f>
        <v>Putra Pratama Iwan Wahyudi</v>
      </c>
      <c r="G1294" s="21"/>
    </row>
    <row r="1295" spans="2:7">
      <c r="B1295" s="22" t="s">
        <v>1085</v>
      </c>
      <c r="C1295" s="23" t="s">
        <v>1086</v>
      </c>
      <c r="D1295" s="24" t="s">
        <v>1337</v>
      </c>
      <c r="E1295" s="25" t="s">
        <v>1722</v>
      </c>
      <c r="F1295" s="16" t="str">
        <f>_xlfn.XLOOKUP(D1295,[9]Sheet2!$C:$C,[9]Sheet2!$E:$E,"-")</f>
        <v>Akhmad Taufikqul Hakim</v>
      </c>
      <c r="G1295" s="21"/>
    </row>
    <row r="1296" spans="2:7">
      <c r="B1296" s="22" t="s">
        <v>1085</v>
      </c>
      <c r="C1296" s="23" t="s">
        <v>1086</v>
      </c>
      <c r="D1296" s="24" t="s">
        <v>1338</v>
      </c>
      <c r="E1296" s="25" t="s">
        <v>1722</v>
      </c>
      <c r="F1296" s="16" t="str">
        <f>_xlfn.XLOOKUP(D1296,[9]Sheet2!$C:$C,[9]Sheet2!$E:$E,"-")</f>
        <v>Putra Pratama Iwan Wahyudi</v>
      </c>
      <c r="G1296" s="21"/>
    </row>
    <row r="1297" spans="2:7">
      <c r="B1297" s="22" t="s">
        <v>1085</v>
      </c>
      <c r="C1297" s="23" t="s">
        <v>1086</v>
      </c>
      <c r="D1297" s="24" t="s">
        <v>1339</v>
      </c>
      <c r="E1297" s="25" t="s">
        <v>1722</v>
      </c>
      <c r="F1297" s="16" t="str">
        <f>_xlfn.XLOOKUP(D1297,[9]Sheet2!$C:$C,[9]Sheet2!$E:$E,"-")</f>
        <v>Akhmad Taufikqul Hakim</v>
      </c>
      <c r="G1297" s="21"/>
    </row>
    <row r="1298" spans="2:7">
      <c r="B1298" s="22" t="s">
        <v>1085</v>
      </c>
      <c r="C1298" s="23" t="s">
        <v>1086</v>
      </c>
      <c r="D1298" s="24" t="s">
        <v>1340</v>
      </c>
      <c r="E1298" s="25" t="s">
        <v>1722</v>
      </c>
      <c r="F1298" s="16" t="str">
        <f>_xlfn.XLOOKUP(D1298,[9]Sheet2!$C:$C,[9]Sheet2!$E:$E,"-")</f>
        <v>Akhmad Taufikqul Hakim</v>
      </c>
      <c r="G1298" s="21"/>
    </row>
    <row r="1299" spans="2:7">
      <c r="B1299" s="22" t="s">
        <v>1085</v>
      </c>
      <c r="C1299" s="23" t="s">
        <v>1086</v>
      </c>
      <c r="D1299" s="24" t="s">
        <v>1341</v>
      </c>
      <c r="E1299" s="25" t="s">
        <v>1722</v>
      </c>
      <c r="F1299" s="16" t="str">
        <f>_xlfn.XLOOKUP(D1299,[9]Sheet2!$C:$C,[9]Sheet2!$E:$E,"-")</f>
        <v>Akhmad Taufikqul Hakim</v>
      </c>
      <c r="G1299" s="21"/>
    </row>
    <row r="1300" spans="2:7">
      <c r="B1300" s="22" t="s">
        <v>1085</v>
      </c>
      <c r="C1300" s="23" t="s">
        <v>1086</v>
      </c>
      <c r="D1300" s="24" t="s">
        <v>1342</v>
      </c>
      <c r="E1300" s="25" t="s">
        <v>1722</v>
      </c>
      <c r="F1300" s="16" t="str">
        <f>_xlfn.XLOOKUP(D1300,[9]Sheet2!$C:$C,[9]Sheet2!$E:$E,"-")</f>
        <v>Putra Pratama Iwan Wahyudi</v>
      </c>
      <c r="G1300" s="21"/>
    </row>
    <row r="1301" spans="2:7">
      <c r="B1301" s="22" t="s">
        <v>1085</v>
      </c>
      <c r="C1301" s="23" t="s">
        <v>1086</v>
      </c>
      <c r="D1301" s="24" t="s">
        <v>1343</v>
      </c>
      <c r="E1301" s="25" t="s">
        <v>1722</v>
      </c>
      <c r="F1301" s="16" t="str">
        <f>_xlfn.XLOOKUP(D1301,[9]Sheet2!$C:$C,[9]Sheet2!$E:$E,"-")</f>
        <v>Hermanto</v>
      </c>
      <c r="G1301" s="21"/>
    </row>
    <row r="1302" spans="2:7">
      <c r="B1302" s="22" t="s">
        <v>1085</v>
      </c>
      <c r="C1302" s="23" t="s">
        <v>1086</v>
      </c>
      <c r="D1302" s="24" t="s">
        <v>1344</v>
      </c>
      <c r="E1302" s="25" t="s">
        <v>1722</v>
      </c>
      <c r="F1302" s="16" t="str">
        <f>_xlfn.XLOOKUP(D1302,[9]Sheet2!$C:$C,[9]Sheet2!$E:$E,"-")</f>
        <v>Satrio Aji Pamungkas</v>
      </c>
      <c r="G1302" s="21"/>
    </row>
    <row r="1303" spans="2:7">
      <c r="B1303" s="22" t="s">
        <v>1085</v>
      </c>
      <c r="C1303" s="23" t="s">
        <v>1086</v>
      </c>
      <c r="D1303" s="24" t="s">
        <v>1345</v>
      </c>
      <c r="E1303" s="25" t="s">
        <v>1722</v>
      </c>
      <c r="F1303" s="16" t="str">
        <f>_xlfn.XLOOKUP(D1303,[9]Sheet2!$C:$C,[9]Sheet2!$E:$E,"-")</f>
        <v>Hermanto</v>
      </c>
      <c r="G1303" s="21"/>
    </row>
    <row r="1304" spans="2:7">
      <c r="B1304" s="22" t="s">
        <v>1085</v>
      </c>
      <c r="C1304" s="23" t="s">
        <v>1086</v>
      </c>
      <c r="D1304" s="24" t="s">
        <v>1346</v>
      </c>
      <c r="E1304" s="25" t="s">
        <v>1722</v>
      </c>
      <c r="F1304" s="16" t="str">
        <f>_xlfn.XLOOKUP(D1304,[9]Sheet2!$C:$C,[9]Sheet2!$E:$E,"-")</f>
        <v>Moh. Ria Sholeh</v>
      </c>
      <c r="G1304" s="21"/>
    </row>
    <row r="1305" spans="2:7">
      <c r="B1305" s="22" t="s">
        <v>1085</v>
      </c>
      <c r="C1305" s="23" t="s">
        <v>1086</v>
      </c>
      <c r="D1305" s="24" t="s">
        <v>1347</v>
      </c>
      <c r="E1305" s="25" t="s">
        <v>1722</v>
      </c>
      <c r="F1305" s="16" t="str">
        <f>_xlfn.XLOOKUP(D1305,[9]Sheet2!$C:$C,[9]Sheet2!$E:$E,"-")</f>
        <v>Agung Permana</v>
      </c>
      <c r="G1305" s="21"/>
    </row>
    <row r="1306" spans="2:7">
      <c r="B1306" s="22" t="s">
        <v>1085</v>
      </c>
      <c r="C1306" s="23" t="s">
        <v>1086</v>
      </c>
      <c r="D1306" s="24" t="s">
        <v>1348</v>
      </c>
      <c r="E1306" s="25" t="s">
        <v>1722</v>
      </c>
      <c r="F1306" s="16" t="str">
        <f>_xlfn.XLOOKUP(D1306,[9]Sheet2!$C:$C,[9]Sheet2!$E:$E,"-")</f>
        <v>Agung Permana</v>
      </c>
      <c r="G1306" s="21"/>
    </row>
    <row r="1307" spans="2:7">
      <c r="B1307" s="22" t="s">
        <v>1085</v>
      </c>
      <c r="C1307" s="23" t="s">
        <v>1086</v>
      </c>
      <c r="D1307" s="24" t="s">
        <v>1349</v>
      </c>
      <c r="E1307" s="25" t="s">
        <v>1722</v>
      </c>
      <c r="F1307" s="16" t="str">
        <f>_xlfn.XLOOKUP(D1307,[9]Sheet2!$C:$C,[9]Sheet2!$E:$E,"-")</f>
        <v>Moh. Ria Sholeh</v>
      </c>
      <c r="G1307" s="21"/>
    </row>
    <row r="1308" spans="2:7">
      <c r="B1308" s="22" t="s">
        <v>1085</v>
      </c>
      <c r="C1308" s="23" t="s">
        <v>1086</v>
      </c>
      <c r="D1308" s="24" t="s">
        <v>1350</v>
      </c>
      <c r="E1308" s="25" t="s">
        <v>1722</v>
      </c>
      <c r="F1308" s="16" t="str">
        <f>_xlfn.XLOOKUP(D1308,[9]Sheet2!$C:$C,[9]Sheet2!$E:$E,"-")</f>
        <v>Satrio Aji Pamungkas</v>
      </c>
      <c r="G1308" s="21"/>
    </row>
    <row r="1309" spans="2:7">
      <c r="B1309" s="22" t="s">
        <v>1085</v>
      </c>
      <c r="C1309" s="23" t="s">
        <v>1086</v>
      </c>
      <c r="D1309" s="24" t="s">
        <v>1351</v>
      </c>
      <c r="E1309" s="25" t="s">
        <v>1722</v>
      </c>
      <c r="F1309" s="16" t="str">
        <f>_xlfn.XLOOKUP(D1309,[9]Sheet2!$C:$C,[9]Sheet2!$E:$E,"-")</f>
        <v>Mochammad Rifqi Riva</v>
      </c>
      <c r="G1309" s="21"/>
    </row>
    <row r="1310" spans="2:7">
      <c r="B1310" s="22" t="s">
        <v>1085</v>
      </c>
      <c r="C1310" s="23" t="s">
        <v>1086</v>
      </c>
      <c r="D1310" s="24" t="s">
        <v>1352</v>
      </c>
      <c r="E1310" s="25" t="s">
        <v>1745</v>
      </c>
      <c r="F1310" s="16" t="str">
        <f>_xlfn.XLOOKUP(D1310,[9]Sheet2!$C:$C,[9]Sheet2!$E:$E,"-")</f>
        <v>Bingar Restu Wiyana</v>
      </c>
      <c r="G1310" s="21"/>
    </row>
    <row r="1311" spans="2:7">
      <c r="B1311" s="22" t="s">
        <v>1085</v>
      </c>
      <c r="C1311" s="23" t="s">
        <v>1086</v>
      </c>
      <c r="D1311" s="24" t="s">
        <v>1353</v>
      </c>
      <c r="E1311" s="25" t="s">
        <v>1722</v>
      </c>
      <c r="F1311" s="16" t="str">
        <f>_xlfn.XLOOKUP(D1311,[9]Sheet2!$C:$C,[9]Sheet2!$E:$E,"-")</f>
        <v>Jefri Biantoro</v>
      </c>
      <c r="G1311" s="21"/>
    </row>
    <row r="1312" spans="2:7">
      <c r="B1312" s="22" t="s">
        <v>1085</v>
      </c>
      <c r="C1312" s="23" t="s">
        <v>1086</v>
      </c>
      <c r="D1312" s="24" t="s">
        <v>1354</v>
      </c>
      <c r="E1312" s="25" t="s">
        <v>1745</v>
      </c>
      <c r="F1312" s="16" t="str">
        <f>_xlfn.XLOOKUP(D1312,[9]Sheet2!$C:$C,[9]Sheet2!$E:$E,"-")</f>
        <v>Mohammad Rizky Adhe Nugraha</v>
      </c>
      <c r="G1312" s="21"/>
    </row>
    <row r="1313" spans="2:7">
      <c r="B1313" s="22" t="s">
        <v>1085</v>
      </c>
      <c r="C1313" s="23" t="s">
        <v>1086</v>
      </c>
      <c r="D1313" s="24" t="s">
        <v>1355</v>
      </c>
      <c r="E1313" s="25" t="s">
        <v>1722</v>
      </c>
      <c r="F1313" s="16" t="str">
        <f>_xlfn.XLOOKUP(D1313,[9]Sheet2!$C:$C,[9]Sheet2!$E:$E,"-")</f>
        <v>Nor Dwi Prakoso</v>
      </c>
      <c r="G1313" s="21"/>
    </row>
    <row r="1314" spans="2:7">
      <c r="B1314" s="22" t="s">
        <v>1085</v>
      </c>
      <c r="C1314" s="23" t="s">
        <v>1086</v>
      </c>
      <c r="D1314" s="24" t="s">
        <v>1356</v>
      </c>
      <c r="E1314" s="25" t="s">
        <v>1722</v>
      </c>
      <c r="F1314" s="16" t="str">
        <f>_xlfn.XLOOKUP(D1314,[9]Sheet2!$C:$C,[9]Sheet2!$E:$E,"-")</f>
        <v>Nor Dwi Prakoso</v>
      </c>
      <c r="G1314" s="21"/>
    </row>
    <row r="1315" spans="2:7">
      <c r="B1315" s="22" t="s">
        <v>1085</v>
      </c>
      <c r="C1315" s="23" t="s">
        <v>1086</v>
      </c>
      <c r="D1315" s="24" t="s">
        <v>1357</v>
      </c>
      <c r="E1315" s="25" t="s">
        <v>1722</v>
      </c>
      <c r="F1315" s="16" t="str">
        <f>_xlfn.XLOOKUP(D1315,[9]Sheet2!$C:$C,[9]Sheet2!$E:$E,"-")</f>
        <v>Muhammad Robit</v>
      </c>
      <c r="G1315" s="21"/>
    </row>
    <row r="1316" spans="2:7">
      <c r="B1316" s="22" t="s">
        <v>1085</v>
      </c>
      <c r="C1316" s="23" t="s">
        <v>1086</v>
      </c>
      <c r="D1316" s="24" t="s">
        <v>1358</v>
      </c>
      <c r="E1316" s="25" t="s">
        <v>1722</v>
      </c>
      <c r="F1316" s="16" t="str">
        <f>_xlfn.XLOOKUP(D1316,[9]Sheet2!$C:$C,[9]Sheet2!$E:$E,"-")</f>
        <v>Tri Ari Febriyanto</v>
      </c>
      <c r="G1316" s="21"/>
    </row>
    <row r="1317" spans="2:7">
      <c r="B1317" s="22" t="s">
        <v>1085</v>
      </c>
      <c r="C1317" s="23" t="s">
        <v>1086</v>
      </c>
      <c r="D1317" s="24" t="s">
        <v>1359</v>
      </c>
      <c r="E1317" s="25" t="s">
        <v>1722</v>
      </c>
      <c r="F1317" s="16" t="str">
        <f>_xlfn.XLOOKUP(D1317,[9]Sheet2!$C:$C,[9]Sheet2!$E:$E,"-")</f>
        <v>Mochammad Rifqi Riva</v>
      </c>
      <c r="G1317" s="21"/>
    </row>
    <row r="1318" spans="2:7">
      <c r="B1318" s="22" t="s">
        <v>1085</v>
      </c>
      <c r="C1318" s="23" t="s">
        <v>1086</v>
      </c>
      <c r="D1318" s="24" t="s">
        <v>1360</v>
      </c>
      <c r="E1318" s="25" t="s">
        <v>1722</v>
      </c>
      <c r="F1318" s="16" t="str">
        <f>_xlfn.XLOOKUP(D1318,[9]Sheet2!$C:$C,[9]Sheet2!$E:$E,"-")</f>
        <v>Mochammad Rifqi Riva</v>
      </c>
      <c r="G1318" s="21"/>
    </row>
    <row r="1319" spans="2:7">
      <c r="B1319" s="22" t="s">
        <v>1085</v>
      </c>
      <c r="C1319" s="23" t="s">
        <v>1086</v>
      </c>
      <c r="D1319" s="24" t="s">
        <v>1361</v>
      </c>
      <c r="E1319" s="25" t="s">
        <v>1745</v>
      </c>
      <c r="F1319" s="16" t="str">
        <f>_xlfn.XLOOKUP(D1319,[9]Sheet2!$C:$C,[9]Sheet2!$E:$E,"-")</f>
        <v>Lutfiyanto</v>
      </c>
      <c r="G1319" s="21"/>
    </row>
    <row r="1320" spans="2:7">
      <c r="B1320" s="22" t="s">
        <v>1085</v>
      </c>
      <c r="C1320" s="23" t="s">
        <v>1086</v>
      </c>
      <c r="D1320" s="24" t="s">
        <v>1362</v>
      </c>
      <c r="E1320" s="25" t="s">
        <v>1722</v>
      </c>
      <c r="F1320" s="16" t="str">
        <f>_xlfn.XLOOKUP(D1320,[9]Sheet2!$C:$C,[9]Sheet2!$E:$E,"-")</f>
        <v>Jefri Biantoro</v>
      </c>
      <c r="G1320" s="21"/>
    </row>
    <row r="1321" spans="2:7">
      <c r="B1321" s="22" t="s">
        <v>1085</v>
      </c>
      <c r="C1321" s="23" t="s">
        <v>1086</v>
      </c>
      <c r="D1321" s="24" t="s">
        <v>1363</v>
      </c>
      <c r="E1321" s="25" t="s">
        <v>1745</v>
      </c>
      <c r="F1321" s="16" t="str">
        <f>_xlfn.XLOOKUP(D1321,[9]Sheet2!$C:$C,[9]Sheet2!$E:$E,"-")</f>
        <v>Lutfiyanto</v>
      </c>
      <c r="G1321" s="21"/>
    </row>
    <row r="1322" spans="2:7">
      <c r="B1322" s="22" t="s">
        <v>1085</v>
      </c>
      <c r="C1322" s="23" t="s">
        <v>1086</v>
      </c>
      <c r="D1322" s="24" t="s">
        <v>1364</v>
      </c>
      <c r="E1322" s="25" t="s">
        <v>1722</v>
      </c>
      <c r="F1322" s="16" t="str">
        <f>_xlfn.XLOOKUP(D1322,[9]Sheet2!$C:$C,[9]Sheet2!$E:$E,"-")</f>
        <v>Muhammad Robit</v>
      </c>
      <c r="G1322" s="21"/>
    </row>
    <row r="1323" spans="2:7">
      <c r="B1323" s="22" t="s">
        <v>1085</v>
      </c>
      <c r="C1323" s="23" t="s">
        <v>1086</v>
      </c>
      <c r="D1323" s="24" t="s">
        <v>1365</v>
      </c>
      <c r="E1323" s="25" t="s">
        <v>1745</v>
      </c>
      <c r="F1323" s="16" t="str">
        <f>_xlfn.XLOOKUP(D1323,[9]Sheet2!$C:$C,[9]Sheet2!$E:$E,"-")</f>
        <v>Mohammad Rizky Adhe Nugraha</v>
      </c>
      <c r="G1323" s="21"/>
    </row>
    <row r="1324" spans="2:7">
      <c r="B1324" s="22" t="s">
        <v>1085</v>
      </c>
      <c r="C1324" s="23" t="s">
        <v>1086</v>
      </c>
      <c r="D1324" s="24" t="s">
        <v>1366</v>
      </c>
      <c r="E1324" s="25" t="s">
        <v>1745</v>
      </c>
      <c r="F1324" s="16" t="str">
        <f>_xlfn.XLOOKUP(D1324,[9]Sheet2!$C:$C,[9]Sheet2!$E:$E,"-")</f>
        <v>Bingar Restu Wiyana</v>
      </c>
      <c r="G1324" s="21"/>
    </row>
    <row r="1325" spans="2:7">
      <c r="B1325" s="22" t="s">
        <v>1085</v>
      </c>
      <c r="C1325" s="23" t="s">
        <v>1086</v>
      </c>
      <c r="D1325" s="24" t="s">
        <v>1367</v>
      </c>
      <c r="E1325" s="25" t="s">
        <v>1745</v>
      </c>
      <c r="F1325" s="16" t="str">
        <f>_xlfn.XLOOKUP(D1325,[9]Sheet2!$C:$C,[9]Sheet2!$E:$E,"-")</f>
        <v>Rizka Azizi</v>
      </c>
      <c r="G1325" s="21"/>
    </row>
    <row r="1326" spans="2:7">
      <c r="B1326" s="22" t="s">
        <v>1085</v>
      </c>
      <c r="C1326" s="23" t="s">
        <v>1086</v>
      </c>
      <c r="D1326" s="24" t="s">
        <v>1368</v>
      </c>
      <c r="E1326" s="25" t="s">
        <v>1722</v>
      </c>
      <c r="F1326" s="16" t="str">
        <f>_xlfn.XLOOKUP(D1326,[9]Sheet2!$C:$C,[9]Sheet2!$E:$E,"-")</f>
        <v>Nor Dwi Prakoso</v>
      </c>
      <c r="G1326" s="21"/>
    </row>
    <row r="1327" spans="2:7">
      <c r="B1327" s="22" t="s">
        <v>1085</v>
      </c>
      <c r="C1327" s="23" t="s">
        <v>1086</v>
      </c>
      <c r="D1327" s="24" t="s">
        <v>1369</v>
      </c>
      <c r="E1327" s="25" t="s">
        <v>1722</v>
      </c>
      <c r="F1327" s="16" t="str">
        <f>_xlfn.XLOOKUP(D1327,[9]Sheet2!$C:$C,[9]Sheet2!$E:$E,"-")</f>
        <v>Nor Dwi Prakoso</v>
      </c>
      <c r="G1327" s="21"/>
    </row>
    <row r="1328" spans="2:7">
      <c r="B1328" s="22" t="s">
        <v>1085</v>
      </c>
      <c r="C1328" s="23" t="s">
        <v>1086</v>
      </c>
      <c r="D1328" s="24" t="s">
        <v>1370</v>
      </c>
      <c r="E1328" s="25" t="s">
        <v>1745</v>
      </c>
      <c r="F1328" s="16" t="str">
        <f>_xlfn.XLOOKUP(D1328,[9]Sheet2!$C:$C,[9]Sheet2!$E:$E,"-")</f>
        <v>Galih Christian Kusworo</v>
      </c>
      <c r="G1328" s="21"/>
    </row>
    <row r="1329" spans="2:7">
      <c r="B1329" s="22" t="s">
        <v>1085</v>
      </c>
      <c r="C1329" s="23" t="s">
        <v>1086</v>
      </c>
      <c r="D1329" s="24" t="s">
        <v>1371</v>
      </c>
      <c r="E1329" s="25" t="s">
        <v>1722</v>
      </c>
      <c r="F1329" s="16" t="str">
        <f>_xlfn.XLOOKUP(D1329,[9]Sheet2!$C:$C,[9]Sheet2!$E:$E,"-")</f>
        <v>Yohanes Tri Agung Laksono</v>
      </c>
      <c r="G1329" s="21"/>
    </row>
    <row r="1330" spans="2:7">
      <c r="B1330" s="22" t="s">
        <v>1085</v>
      </c>
      <c r="C1330" s="23" t="s">
        <v>1086</v>
      </c>
      <c r="D1330" s="24" t="s">
        <v>1372</v>
      </c>
      <c r="E1330" s="25" t="s">
        <v>1745</v>
      </c>
      <c r="F1330" s="16" t="str">
        <f>_xlfn.XLOOKUP(D1330,[9]Sheet2!$C:$C,[9]Sheet2!$E:$E,"-")</f>
        <v>Hafid Arie Prastyo</v>
      </c>
      <c r="G1330" s="21"/>
    </row>
    <row r="1331" spans="2:7">
      <c r="B1331" s="22" t="s">
        <v>1085</v>
      </c>
      <c r="C1331" s="23" t="s">
        <v>1086</v>
      </c>
      <c r="D1331" s="24" t="s">
        <v>1373</v>
      </c>
      <c r="E1331" s="25" t="s">
        <v>1722</v>
      </c>
      <c r="F1331" s="16" t="str">
        <f>_xlfn.XLOOKUP(D1331,[9]Sheet2!$C:$C,[9]Sheet2!$E:$E,"-")</f>
        <v>Mochamad Rizky Maulana</v>
      </c>
      <c r="G1331" s="21"/>
    </row>
    <row r="1332" spans="2:7">
      <c r="B1332" s="22" t="s">
        <v>1085</v>
      </c>
      <c r="C1332" s="23" t="s">
        <v>1086</v>
      </c>
      <c r="D1332" s="24" t="s">
        <v>1374</v>
      </c>
      <c r="E1332" s="25" t="s">
        <v>1722</v>
      </c>
      <c r="F1332" s="16" t="str">
        <f>_xlfn.XLOOKUP(D1332,[9]Sheet2!$C:$C,[9]Sheet2!$E:$E,"-")</f>
        <v>Hervin Samsul Bakhri</v>
      </c>
      <c r="G1332" s="21"/>
    </row>
    <row r="1333" spans="2:7">
      <c r="B1333" s="22" t="s">
        <v>1085</v>
      </c>
      <c r="C1333" s="23" t="s">
        <v>1086</v>
      </c>
      <c r="D1333" s="24" t="s">
        <v>1375</v>
      </c>
      <c r="E1333" s="25" t="s">
        <v>1745</v>
      </c>
      <c r="F1333" s="16" t="str">
        <f>_xlfn.XLOOKUP(D1333,[9]Sheet2!$C:$C,[9]Sheet2!$E:$E,"-")</f>
        <v>Tedy Eko Saputra</v>
      </c>
      <c r="G1333" s="21"/>
    </row>
    <row r="1334" spans="2:7">
      <c r="B1334" s="22" t="s">
        <v>1085</v>
      </c>
      <c r="C1334" s="23" t="s">
        <v>1086</v>
      </c>
      <c r="D1334" s="24" t="s">
        <v>1376</v>
      </c>
      <c r="E1334" s="25" t="s">
        <v>1745</v>
      </c>
      <c r="F1334" s="16" t="str">
        <f>_xlfn.XLOOKUP(D1334,[9]Sheet2!$C:$C,[9]Sheet2!$E:$E,"-")</f>
        <v>Frendy Satria Nugraha</v>
      </c>
      <c r="G1334" s="21"/>
    </row>
    <row r="1335" spans="2:7">
      <c r="B1335" s="22" t="s">
        <v>1085</v>
      </c>
      <c r="C1335" s="23" t="s">
        <v>1086</v>
      </c>
      <c r="D1335" s="24" t="s">
        <v>1377</v>
      </c>
      <c r="E1335" s="25" t="s">
        <v>1722</v>
      </c>
      <c r="F1335" s="16" t="str">
        <f>_xlfn.XLOOKUP(D1335,[9]Sheet2!$C:$C,[9]Sheet2!$E:$E,"-")</f>
        <v>Rizki Dio Reza Andriawan</v>
      </c>
      <c r="G1335" s="21"/>
    </row>
    <row r="1336" spans="2:7">
      <c r="B1336" s="22" t="s">
        <v>1085</v>
      </c>
      <c r="C1336" s="23" t="s">
        <v>1086</v>
      </c>
      <c r="D1336" s="24" t="s">
        <v>1378</v>
      </c>
      <c r="E1336" s="25" t="s">
        <v>1745</v>
      </c>
      <c r="F1336" s="16" t="str">
        <f>_xlfn.XLOOKUP(D1336,[9]Sheet2!$C:$C,[9]Sheet2!$E:$E,"-")</f>
        <v>Wahyu Doniansyah</v>
      </c>
      <c r="G1336" s="21"/>
    </row>
    <row r="1337" spans="2:7">
      <c r="B1337" s="22" t="s">
        <v>1085</v>
      </c>
      <c r="C1337" s="23" t="s">
        <v>1086</v>
      </c>
      <c r="D1337" s="24" t="s">
        <v>1379</v>
      </c>
      <c r="E1337" s="25" t="s">
        <v>1745</v>
      </c>
      <c r="F1337" s="16" t="str">
        <f>_xlfn.XLOOKUP(D1337,[9]Sheet2!$C:$C,[9]Sheet2!$E:$E,"-")</f>
        <v>Galih Christian Kusworo</v>
      </c>
      <c r="G1337" s="21"/>
    </row>
    <row r="1338" spans="2:7">
      <c r="B1338" s="22" t="s">
        <v>1085</v>
      </c>
      <c r="C1338" s="23" t="s">
        <v>1086</v>
      </c>
      <c r="D1338" s="24" t="s">
        <v>1380</v>
      </c>
      <c r="E1338" s="25" t="s">
        <v>1745</v>
      </c>
      <c r="F1338" s="16" t="str">
        <f>_xlfn.XLOOKUP(D1338,[9]Sheet2!$C:$C,[9]Sheet2!$E:$E,"-")</f>
        <v>Wahyu Doniansyah</v>
      </c>
      <c r="G1338" s="21"/>
    </row>
    <row r="1339" spans="2:7">
      <c r="B1339" s="22" t="s">
        <v>1085</v>
      </c>
      <c r="C1339" s="23" t="s">
        <v>1086</v>
      </c>
      <c r="D1339" s="24" t="s">
        <v>1381</v>
      </c>
      <c r="E1339" s="25" t="s">
        <v>1722</v>
      </c>
      <c r="F1339" s="16" t="str">
        <f>_xlfn.XLOOKUP(D1339,[9]Sheet2!$C:$C,[9]Sheet2!$E:$E,"-")</f>
        <v>Irfan Wahyu Bahtiar</v>
      </c>
      <c r="G1339" s="21"/>
    </row>
    <row r="1340" spans="2:7">
      <c r="B1340" s="22" t="s">
        <v>1085</v>
      </c>
      <c r="C1340" s="23" t="s">
        <v>1086</v>
      </c>
      <c r="D1340" s="24" t="s">
        <v>1382</v>
      </c>
      <c r="E1340" s="25" t="s">
        <v>1722</v>
      </c>
      <c r="F1340" s="16" t="str">
        <f>_xlfn.XLOOKUP(D1340,[9]Sheet2!$C:$C,[9]Sheet2!$E:$E,"-")</f>
        <v>Irfan Wahyu Bahtiar</v>
      </c>
      <c r="G1340" s="21"/>
    </row>
    <row r="1341" spans="2:7">
      <c r="B1341" s="22" t="s">
        <v>1085</v>
      </c>
      <c r="C1341" s="23" t="s">
        <v>1086</v>
      </c>
      <c r="D1341" s="24" t="s">
        <v>1383</v>
      </c>
      <c r="E1341" s="25" t="s">
        <v>1722</v>
      </c>
      <c r="F1341" s="16" t="str">
        <f>_xlfn.XLOOKUP(D1341,[9]Sheet2!$C:$C,[9]Sheet2!$E:$E,"-")</f>
        <v>Umi Hanik</v>
      </c>
      <c r="G1341" s="21"/>
    </row>
    <row r="1342" spans="2:7">
      <c r="B1342" s="22" t="s">
        <v>1085</v>
      </c>
      <c r="C1342" s="23" t="s">
        <v>1086</v>
      </c>
      <c r="D1342" s="24" t="s">
        <v>1384</v>
      </c>
      <c r="E1342" s="25" t="s">
        <v>1722</v>
      </c>
      <c r="F1342" s="16" t="str">
        <f>_xlfn.XLOOKUP(D1342,[9]Sheet2!$C:$C,[9]Sheet2!$E:$E,"-")</f>
        <v>Much Zainuri</v>
      </c>
      <c r="G1342" s="21"/>
    </row>
    <row r="1343" spans="2:7">
      <c r="B1343" s="22" t="s">
        <v>1085</v>
      </c>
      <c r="C1343" s="23" t="s">
        <v>1086</v>
      </c>
      <c r="D1343" s="24" t="s">
        <v>1385</v>
      </c>
      <c r="E1343" s="25" t="s">
        <v>1722</v>
      </c>
      <c r="F1343" s="16" t="str">
        <f>_xlfn.XLOOKUP(D1343,[9]Sheet2!$C:$C,[9]Sheet2!$E:$E,"-")</f>
        <v>Wisnu Mahesa Murti</v>
      </c>
      <c r="G1343" s="21"/>
    </row>
    <row r="1344" spans="2:7">
      <c r="B1344" s="22" t="s">
        <v>1085</v>
      </c>
      <c r="C1344" s="23" t="s">
        <v>1086</v>
      </c>
      <c r="D1344" s="24" t="s">
        <v>1386</v>
      </c>
      <c r="E1344" s="25" t="s">
        <v>1722</v>
      </c>
      <c r="F1344" s="16" t="str">
        <f>_xlfn.XLOOKUP(D1344,[9]Sheet2!$C:$C,[9]Sheet2!$E:$E,"-")</f>
        <v>Muhammad Angga Saputra</v>
      </c>
      <c r="G1344" s="21"/>
    </row>
    <row r="1345" spans="2:7">
      <c r="B1345" s="22" t="s">
        <v>1085</v>
      </c>
      <c r="C1345" s="23" t="s">
        <v>1086</v>
      </c>
      <c r="D1345" s="24" t="s">
        <v>1387</v>
      </c>
      <c r="E1345" s="25" t="s">
        <v>1722</v>
      </c>
      <c r="F1345" s="16" t="str">
        <f>_xlfn.XLOOKUP(D1345,[9]Sheet2!$C:$C,[9]Sheet2!$E:$E,"-")</f>
        <v>Muhammad Angga Saputra</v>
      </c>
      <c r="G1345" s="21"/>
    </row>
    <row r="1346" spans="2:7">
      <c r="B1346" s="22" t="s">
        <v>1085</v>
      </c>
      <c r="C1346" s="23" t="s">
        <v>1086</v>
      </c>
      <c r="D1346" s="24" t="s">
        <v>1388</v>
      </c>
      <c r="E1346" s="25" t="s">
        <v>1722</v>
      </c>
      <c r="F1346" s="16" t="str">
        <f>_xlfn.XLOOKUP(D1346,[9]Sheet2!$C:$C,[9]Sheet2!$E:$E,"-")</f>
        <v>Dading Tustiyan Pratama</v>
      </c>
      <c r="G1346" s="21"/>
    </row>
    <row r="1347" spans="2:7">
      <c r="B1347" s="22" t="s">
        <v>1085</v>
      </c>
      <c r="C1347" s="23" t="s">
        <v>1086</v>
      </c>
      <c r="D1347" s="24" t="s">
        <v>1389</v>
      </c>
      <c r="E1347" s="25" t="s">
        <v>1722</v>
      </c>
      <c r="F1347" s="16" t="str">
        <f>_xlfn.XLOOKUP(D1347,[9]Sheet2!$C:$C,[9]Sheet2!$E:$E,"-")</f>
        <v>Wisnu Mahesa Murti</v>
      </c>
      <c r="G1347" s="21"/>
    </row>
    <row r="1348" spans="2:7">
      <c r="B1348" s="22" t="s">
        <v>1085</v>
      </c>
      <c r="C1348" s="23" t="s">
        <v>1086</v>
      </c>
      <c r="D1348" s="24" t="s">
        <v>1390</v>
      </c>
      <c r="E1348" s="25" t="s">
        <v>1722</v>
      </c>
      <c r="F1348" s="16" t="str">
        <f>_xlfn.XLOOKUP(D1348,[9]Sheet2!$C:$C,[9]Sheet2!$E:$E,"-")</f>
        <v>Doni Hadi Prasetyo</v>
      </c>
      <c r="G1348" s="21"/>
    </row>
    <row r="1349" spans="2:7">
      <c r="B1349" s="22" t="s">
        <v>1085</v>
      </c>
      <c r="C1349" s="23" t="s">
        <v>1086</v>
      </c>
      <c r="D1349" s="24" t="s">
        <v>1391</v>
      </c>
      <c r="E1349" s="25" t="s">
        <v>1722</v>
      </c>
      <c r="F1349" s="16" t="str">
        <f>_xlfn.XLOOKUP(D1349,[9]Sheet2!$C:$C,[9]Sheet2!$E:$E,"-")</f>
        <v>Dading Tustiyan Pratama</v>
      </c>
      <c r="G1349" s="21"/>
    </row>
    <row r="1350" spans="2:7">
      <c r="B1350" s="22" t="s">
        <v>1085</v>
      </c>
      <c r="C1350" s="23" t="s">
        <v>1086</v>
      </c>
      <c r="D1350" s="24" t="s">
        <v>1392</v>
      </c>
      <c r="E1350" s="25" t="s">
        <v>1745</v>
      </c>
      <c r="F1350" s="16" t="str">
        <f>_xlfn.XLOOKUP(D1350,[9]Sheet2!$C:$C,[9]Sheet2!$E:$E,"-")</f>
        <v>Presma Havila Manggara</v>
      </c>
      <c r="G1350" s="21"/>
    </row>
    <row r="1351" spans="2:7">
      <c r="B1351" s="22" t="s">
        <v>1085</v>
      </c>
      <c r="C1351" s="23" t="s">
        <v>1086</v>
      </c>
      <c r="D1351" s="24" t="s">
        <v>1393</v>
      </c>
      <c r="E1351" s="25" t="s">
        <v>1722</v>
      </c>
      <c r="F1351" s="16" t="str">
        <f>_xlfn.XLOOKUP(D1351,[9]Sheet2!$C:$C,[9]Sheet2!$E:$E,"-")</f>
        <v>Feri Ardiansyah</v>
      </c>
      <c r="G1351" s="21"/>
    </row>
    <row r="1352" spans="2:7">
      <c r="B1352" s="22" t="s">
        <v>1085</v>
      </c>
      <c r="C1352" s="23" t="s">
        <v>1086</v>
      </c>
      <c r="D1352" s="24" t="s">
        <v>1394</v>
      </c>
      <c r="E1352" s="25" t="s">
        <v>1745</v>
      </c>
      <c r="F1352" s="16" t="str">
        <f>_xlfn.XLOOKUP(D1352,[9]Sheet2!$C:$C,[9]Sheet2!$E:$E,"-")</f>
        <v>Andrean Pradhana Putra Maulana</v>
      </c>
      <c r="G1352" s="21"/>
    </row>
    <row r="1353" spans="2:7">
      <c r="B1353" s="22" t="s">
        <v>1085</v>
      </c>
      <c r="C1353" s="23" t="s">
        <v>1086</v>
      </c>
      <c r="D1353" s="24" t="s">
        <v>1395</v>
      </c>
      <c r="E1353" s="25" t="s">
        <v>1745</v>
      </c>
      <c r="F1353" s="16" t="str">
        <f>_xlfn.XLOOKUP(D1353,[9]Sheet2!$C:$C,[9]Sheet2!$E:$E,"-")</f>
        <v>Gayuh Triasa</v>
      </c>
      <c r="G1353" s="21"/>
    </row>
    <row r="1354" spans="2:7">
      <c r="B1354" s="22" t="s">
        <v>1085</v>
      </c>
      <c r="C1354" s="23" t="s">
        <v>1086</v>
      </c>
      <c r="D1354" s="24" t="s">
        <v>1396</v>
      </c>
      <c r="E1354" s="25" t="s">
        <v>1745</v>
      </c>
      <c r="F1354" s="16" t="str">
        <f>_xlfn.XLOOKUP(D1354,[9]Sheet2!$C:$C,[9]Sheet2!$E:$E,"-")</f>
        <v>Wahyu Kristanto</v>
      </c>
      <c r="G1354" s="21"/>
    </row>
    <row r="1355" spans="2:7">
      <c r="B1355" s="22" t="s">
        <v>1085</v>
      </c>
      <c r="C1355" s="23" t="s">
        <v>1086</v>
      </c>
      <c r="D1355" s="24" t="s">
        <v>1397</v>
      </c>
      <c r="E1355" s="25" t="s">
        <v>1745</v>
      </c>
      <c r="F1355" s="16" t="str">
        <f>_xlfn.XLOOKUP(D1355,[9]Sheet2!$C:$C,[9]Sheet2!$E:$E,"-")</f>
        <v>Andrean Pradhana Putra Maulana</v>
      </c>
      <c r="G1355" s="21"/>
    </row>
    <row r="1356" spans="2:7">
      <c r="B1356" s="22" t="s">
        <v>1085</v>
      </c>
      <c r="C1356" s="23" t="s">
        <v>1086</v>
      </c>
      <c r="D1356" s="24" t="s">
        <v>1398</v>
      </c>
      <c r="E1356" s="25" t="s">
        <v>1722</v>
      </c>
      <c r="F1356" s="16" t="str">
        <f>_xlfn.XLOOKUP(D1356,[9]Sheet2!$C:$C,[9]Sheet2!$E:$E,"-")</f>
        <v>Bayu Indiarto Wisnu Barata</v>
      </c>
      <c r="G1356" s="21"/>
    </row>
    <row r="1357" spans="2:7">
      <c r="B1357" s="22" t="s">
        <v>1085</v>
      </c>
      <c r="C1357" s="23" t="s">
        <v>1086</v>
      </c>
      <c r="D1357" s="24" t="s">
        <v>1399</v>
      </c>
      <c r="E1357" s="25" t="s">
        <v>1745</v>
      </c>
      <c r="F1357" s="16" t="str">
        <f>_xlfn.XLOOKUP(D1357,[9]Sheet2!$C:$C,[9]Sheet2!$E:$E,"-")</f>
        <v>Roffik Ari Wibowo</v>
      </c>
      <c r="G1357" s="21"/>
    </row>
    <row r="1358" spans="2:7">
      <c r="B1358" s="22" t="s">
        <v>1085</v>
      </c>
      <c r="C1358" s="23" t="s">
        <v>1086</v>
      </c>
      <c r="D1358" s="24" t="s">
        <v>1400</v>
      </c>
      <c r="E1358" s="25" t="s">
        <v>1722</v>
      </c>
      <c r="F1358" s="16" t="str">
        <f>_xlfn.XLOOKUP(D1358,[9]Sheet2!$C:$C,[9]Sheet2!$E:$E,"-")</f>
        <v>Catur Budi Cahyono</v>
      </c>
      <c r="G1358" s="21"/>
    </row>
    <row r="1359" spans="2:7">
      <c r="B1359" s="22" t="s">
        <v>1085</v>
      </c>
      <c r="C1359" s="23" t="s">
        <v>1086</v>
      </c>
      <c r="D1359" s="24" t="s">
        <v>1401</v>
      </c>
      <c r="E1359" s="25" t="s">
        <v>1745</v>
      </c>
      <c r="F1359" s="16" t="str">
        <f>_xlfn.XLOOKUP(D1359,[9]Sheet2!$C:$C,[9]Sheet2!$E:$E,"-")</f>
        <v>Andru Hindriyat Saputra</v>
      </c>
      <c r="G1359" s="21"/>
    </row>
    <row r="1360" spans="2:7">
      <c r="B1360" s="22" t="s">
        <v>1085</v>
      </c>
      <c r="C1360" s="23" t="s">
        <v>1086</v>
      </c>
      <c r="D1360" s="24" t="s">
        <v>1402</v>
      </c>
      <c r="E1360" s="25" t="s">
        <v>1722</v>
      </c>
      <c r="F1360" s="16" t="str">
        <f>_xlfn.XLOOKUP(D1360,[9]Sheet2!$C:$C,[9]Sheet2!$E:$E,"-")</f>
        <v>Catur Budi Cahyono</v>
      </c>
      <c r="G1360" s="21"/>
    </row>
    <row r="1361" spans="2:7">
      <c r="B1361" s="22" t="s">
        <v>1085</v>
      </c>
      <c r="C1361" s="23" t="s">
        <v>1086</v>
      </c>
      <c r="D1361" s="24" t="s">
        <v>1403</v>
      </c>
      <c r="E1361" s="25" t="s">
        <v>1745</v>
      </c>
      <c r="F1361" s="16" t="str">
        <f>_xlfn.XLOOKUP(D1361,[9]Sheet2!$C:$C,[9]Sheet2!$E:$E,"-")</f>
        <v>Essa Abdiandiri</v>
      </c>
      <c r="G1361" s="21"/>
    </row>
    <row r="1362" spans="2:7">
      <c r="B1362" s="22" t="s">
        <v>1085</v>
      </c>
      <c r="C1362" s="23" t="s">
        <v>1086</v>
      </c>
      <c r="D1362" s="24" t="s">
        <v>1404</v>
      </c>
      <c r="E1362" s="25" t="s">
        <v>1745</v>
      </c>
      <c r="F1362" s="16" t="str">
        <f>_xlfn.XLOOKUP(D1362,[9]Sheet2!$C:$C,[9]Sheet2!$E:$E,"-")</f>
        <v>Achmad Misbachul Munir</v>
      </c>
      <c r="G1362" s="21"/>
    </row>
    <row r="1363" spans="2:7">
      <c r="B1363" s="22" t="s">
        <v>1085</v>
      </c>
      <c r="C1363" s="23" t="s">
        <v>1086</v>
      </c>
      <c r="D1363" s="24" t="s">
        <v>1405</v>
      </c>
      <c r="E1363" s="25" t="s">
        <v>1745</v>
      </c>
      <c r="F1363" s="16" t="str">
        <f>_xlfn.XLOOKUP(D1363,[9]Sheet2!$C:$C,[9]Sheet2!$E:$E,"-")</f>
        <v>Achmad Misbachul Munir</v>
      </c>
      <c r="G1363" s="21"/>
    </row>
    <row r="1364" spans="2:7">
      <c r="B1364" s="22" t="s">
        <v>1085</v>
      </c>
      <c r="C1364" s="23" t="s">
        <v>1086</v>
      </c>
      <c r="D1364" s="24" t="s">
        <v>1406</v>
      </c>
      <c r="E1364" s="25" t="s">
        <v>1745</v>
      </c>
      <c r="F1364" s="16" t="str">
        <f>_xlfn.XLOOKUP(D1364,[9]Sheet2!$C:$C,[9]Sheet2!$E:$E,"-")</f>
        <v>Achmad Misbachul Munir</v>
      </c>
      <c r="G1364" s="21"/>
    </row>
    <row r="1365" spans="2:7">
      <c r="B1365" s="22" t="s">
        <v>1085</v>
      </c>
      <c r="C1365" s="23" t="s">
        <v>1086</v>
      </c>
      <c r="D1365" s="24" t="s">
        <v>1407</v>
      </c>
      <c r="E1365" s="25" t="s">
        <v>1745</v>
      </c>
      <c r="F1365" s="16" t="str">
        <f>_xlfn.XLOOKUP(D1365,[9]Sheet2!$C:$C,[9]Sheet2!$E:$E,"-")</f>
        <v>Roffik Ari Wibowo</v>
      </c>
      <c r="G1365" s="21"/>
    </row>
    <row r="1366" spans="2:7">
      <c r="B1366" s="22" t="s">
        <v>1085</v>
      </c>
      <c r="C1366" s="23" t="s">
        <v>1086</v>
      </c>
      <c r="D1366" s="24" t="s">
        <v>1408</v>
      </c>
      <c r="E1366" s="25" t="s">
        <v>1722</v>
      </c>
      <c r="F1366" s="16" t="str">
        <f>_xlfn.XLOOKUP(D1366,[9]Sheet2!$C:$C,[9]Sheet2!$E:$E,"-")</f>
        <v>Catur Budi Cahyono</v>
      </c>
      <c r="G1366" s="21"/>
    </row>
    <row r="1367" spans="2:7">
      <c r="B1367" s="22" t="s">
        <v>1085</v>
      </c>
      <c r="C1367" s="23" t="s">
        <v>1086</v>
      </c>
      <c r="D1367" s="24" t="s">
        <v>1409</v>
      </c>
      <c r="E1367" s="25" t="s">
        <v>1722</v>
      </c>
      <c r="F1367" s="16" t="str">
        <f>_xlfn.XLOOKUP(D1367,[9]Sheet2!$C:$C,[9]Sheet2!$E:$E,"-")</f>
        <v>Moh Abdul Rozaq</v>
      </c>
      <c r="G1367" s="21"/>
    </row>
    <row r="1368" spans="2:7">
      <c r="B1368" s="22" t="s">
        <v>1085</v>
      </c>
      <c r="C1368" s="23" t="s">
        <v>1086</v>
      </c>
      <c r="D1368" s="24" t="s">
        <v>1410</v>
      </c>
      <c r="E1368" s="25" t="s">
        <v>1745</v>
      </c>
      <c r="F1368" s="16" t="str">
        <f>_xlfn.XLOOKUP(D1368,[9]Sheet2!$C:$C,[9]Sheet2!$E:$E,"-")</f>
        <v>Andru Hindriyat Saputra</v>
      </c>
      <c r="G1368" s="21"/>
    </row>
    <row r="1369" spans="2:7">
      <c r="B1369" s="22" t="s">
        <v>1085</v>
      </c>
      <c r="C1369" s="23" t="s">
        <v>1086</v>
      </c>
      <c r="D1369" s="24" t="s">
        <v>1411</v>
      </c>
      <c r="E1369" s="25" t="s">
        <v>1722</v>
      </c>
      <c r="F1369" s="16" t="str">
        <f>_xlfn.XLOOKUP(D1369,[9]Sheet2!$C:$C,[9]Sheet2!$E:$E,"-")</f>
        <v>Moh Abdul Rozaq</v>
      </c>
      <c r="G1369" s="21"/>
    </row>
    <row r="1370" spans="2:7">
      <c r="B1370" s="22" t="s">
        <v>1085</v>
      </c>
      <c r="C1370" s="23" t="s">
        <v>1086</v>
      </c>
      <c r="D1370" s="24" t="s">
        <v>1412</v>
      </c>
      <c r="E1370" s="25" t="s">
        <v>1722</v>
      </c>
      <c r="F1370" s="16" t="str">
        <f>_xlfn.XLOOKUP(D1370,[9]Sheet2!$C:$C,[9]Sheet2!$E:$E,"-")</f>
        <v>Moh Abdul Rozaq</v>
      </c>
      <c r="G1370" s="21"/>
    </row>
    <row r="1371" spans="2:7">
      <c r="B1371" s="22" t="s">
        <v>1085</v>
      </c>
      <c r="C1371" s="23" t="s">
        <v>1086</v>
      </c>
      <c r="D1371" s="24" t="s">
        <v>1413</v>
      </c>
      <c r="E1371" s="25" t="s">
        <v>1745</v>
      </c>
      <c r="F1371" s="16" t="str">
        <f>_xlfn.XLOOKUP(D1371,[9]Sheet2!$C:$C,[9]Sheet2!$E:$E,"-")</f>
        <v>Rifqi Auliaq Humaidi</v>
      </c>
      <c r="G1371" s="21"/>
    </row>
    <row r="1372" spans="2:7">
      <c r="B1372" s="22" t="s">
        <v>1085</v>
      </c>
      <c r="C1372" s="23" t="s">
        <v>1086</v>
      </c>
      <c r="D1372" s="24" t="s">
        <v>1414</v>
      </c>
      <c r="E1372" s="25" t="s">
        <v>1722</v>
      </c>
      <c r="F1372" s="16" t="str">
        <f>_xlfn.XLOOKUP(D1372,[9]Sheet2!$C:$C,[9]Sheet2!$E:$E,"-")</f>
        <v>Novan Yogmaputra</v>
      </c>
      <c r="G1372" s="21"/>
    </row>
    <row r="1373" spans="2:7">
      <c r="B1373" s="22" t="s">
        <v>1085</v>
      </c>
      <c r="C1373" s="23" t="s">
        <v>1086</v>
      </c>
      <c r="D1373" s="24" t="s">
        <v>1415</v>
      </c>
      <c r="E1373" s="25" t="s">
        <v>1745</v>
      </c>
      <c r="F1373" s="16" t="str">
        <f>_xlfn.XLOOKUP(D1373,[9]Sheet2!$C:$C,[9]Sheet2!$E:$E,"-")</f>
        <v>Rizky Kurniawan</v>
      </c>
      <c r="G1373" s="21"/>
    </row>
    <row r="1374" spans="2:7">
      <c r="B1374" s="22" t="s">
        <v>1085</v>
      </c>
      <c r="C1374" s="23" t="s">
        <v>1086</v>
      </c>
      <c r="D1374" s="24" t="s">
        <v>1416</v>
      </c>
      <c r="E1374" s="25" t="s">
        <v>1722</v>
      </c>
      <c r="F1374" s="16" t="str">
        <f>_xlfn.XLOOKUP(D1374,[9]Sheet2!$C:$C,[9]Sheet2!$E:$E,"-")</f>
        <v>Nurul Hidayatullah</v>
      </c>
      <c r="G1374" s="21"/>
    </row>
    <row r="1375" spans="2:7">
      <c r="B1375" s="22" t="s">
        <v>1085</v>
      </c>
      <c r="C1375" s="23" t="s">
        <v>1086</v>
      </c>
      <c r="D1375" s="24" t="s">
        <v>1417</v>
      </c>
      <c r="E1375" s="25" t="s">
        <v>1722</v>
      </c>
      <c r="F1375" s="16" t="str">
        <f>_xlfn.XLOOKUP(D1375,[9]Sheet2!$C:$C,[9]Sheet2!$E:$E,"-")</f>
        <v>Yudhy Indra Prasetya</v>
      </c>
      <c r="G1375" s="21"/>
    </row>
    <row r="1376" spans="2:7">
      <c r="B1376" s="22" t="s">
        <v>1085</v>
      </c>
      <c r="C1376" s="23" t="s">
        <v>1086</v>
      </c>
      <c r="D1376" s="24" t="s">
        <v>1418</v>
      </c>
      <c r="E1376" s="25" t="s">
        <v>1722</v>
      </c>
      <c r="F1376" s="16" t="str">
        <f>_xlfn.XLOOKUP(D1376,[9]Sheet2!$C:$C,[9]Sheet2!$E:$E,"-")</f>
        <v>Ridwan Fatarudin</v>
      </c>
      <c r="G1376" s="21"/>
    </row>
    <row r="1377" spans="2:7">
      <c r="B1377" s="22" t="s">
        <v>1085</v>
      </c>
      <c r="C1377" s="23" t="s">
        <v>1086</v>
      </c>
      <c r="D1377" s="24" t="s">
        <v>1419</v>
      </c>
      <c r="E1377" s="25" t="s">
        <v>1722</v>
      </c>
      <c r="F1377" s="16" t="str">
        <f>_xlfn.XLOOKUP(D1377,[9]Sheet2!$C:$C,[9]Sheet2!$E:$E,"-")</f>
        <v>Anang Prasetyo</v>
      </c>
      <c r="G1377" s="21"/>
    </row>
    <row r="1378" spans="2:7">
      <c r="B1378" s="22" t="s">
        <v>1085</v>
      </c>
      <c r="C1378" s="23" t="s">
        <v>1086</v>
      </c>
      <c r="D1378" s="24" t="s">
        <v>1420</v>
      </c>
      <c r="E1378" s="25" t="s">
        <v>1722</v>
      </c>
      <c r="F1378" s="16" t="str">
        <f>_xlfn.XLOOKUP(D1378,[9]Sheet2!$C:$C,[9]Sheet2!$E:$E,"-")</f>
        <v>Ridwan Fatarudin</v>
      </c>
      <c r="G1378" s="21"/>
    </row>
    <row r="1379" spans="2:7">
      <c r="B1379" s="22" t="s">
        <v>1085</v>
      </c>
      <c r="C1379" s="23" t="s">
        <v>1086</v>
      </c>
      <c r="D1379" s="24" t="s">
        <v>1421</v>
      </c>
      <c r="E1379" s="25" t="s">
        <v>1722</v>
      </c>
      <c r="F1379" s="16" t="str">
        <f>_xlfn.XLOOKUP(D1379,[9]Sheet2!$C:$C,[9]Sheet2!$E:$E,"-")</f>
        <v>Nurul Hidayatullah</v>
      </c>
      <c r="G1379" s="21"/>
    </row>
    <row r="1380" spans="2:7">
      <c r="B1380" s="22" t="s">
        <v>1085</v>
      </c>
      <c r="C1380" s="23" t="s">
        <v>1086</v>
      </c>
      <c r="D1380" s="24" t="s">
        <v>1422</v>
      </c>
      <c r="E1380" s="25" t="s">
        <v>1722</v>
      </c>
      <c r="F1380" s="16" t="str">
        <f>_xlfn.XLOOKUP(D1380,[9]Sheet2!$C:$C,[9]Sheet2!$E:$E,"-")</f>
        <v>Imam Nawawi</v>
      </c>
      <c r="G1380" s="21"/>
    </row>
    <row r="1381" spans="2:7">
      <c r="B1381" s="22" t="s">
        <v>1085</v>
      </c>
      <c r="C1381" s="23" t="s">
        <v>1086</v>
      </c>
      <c r="D1381" s="24" t="s">
        <v>1423</v>
      </c>
      <c r="E1381" s="25" t="s">
        <v>1722</v>
      </c>
      <c r="F1381" s="16" t="str">
        <f>_xlfn.XLOOKUP(D1381,[9]Sheet2!$C:$C,[9]Sheet2!$E:$E,"-")</f>
        <v>Fauzi Permana Putra</v>
      </c>
      <c r="G1381" s="21"/>
    </row>
    <row r="1382" spans="2:7">
      <c r="B1382" s="22" t="s">
        <v>1085</v>
      </c>
      <c r="C1382" s="23" t="s">
        <v>1086</v>
      </c>
      <c r="D1382" s="24" t="s">
        <v>1424</v>
      </c>
      <c r="E1382" s="25" t="s">
        <v>1722</v>
      </c>
      <c r="F1382" s="16" t="str">
        <f>_xlfn.XLOOKUP(D1382,[9]Sheet2!$C:$C,[9]Sheet2!$E:$E,"-")</f>
        <v>Alif Septian Nur Alamsyah</v>
      </c>
      <c r="G1382" s="21"/>
    </row>
    <row r="1383" spans="2:7">
      <c r="B1383" s="22" t="s">
        <v>1085</v>
      </c>
      <c r="C1383" s="23" t="s">
        <v>1086</v>
      </c>
      <c r="D1383" s="24" t="s">
        <v>1425</v>
      </c>
      <c r="E1383" s="25" t="s">
        <v>1722</v>
      </c>
      <c r="F1383" s="16" t="str">
        <f>_xlfn.XLOOKUP(D1383,[9]Sheet2!$C:$C,[9]Sheet2!$E:$E,"-")</f>
        <v>Lasio Efendi</v>
      </c>
      <c r="G1383" s="21"/>
    </row>
    <row r="1384" spans="2:7">
      <c r="B1384" s="22" t="s">
        <v>1085</v>
      </c>
      <c r="C1384" s="23" t="s">
        <v>1086</v>
      </c>
      <c r="D1384" s="24" t="s">
        <v>1426</v>
      </c>
      <c r="E1384" s="25" t="s">
        <v>1722</v>
      </c>
      <c r="F1384" s="16" t="str">
        <f>_xlfn.XLOOKUP(D1384,[9]Sheet2!$C:$C,[9]Sheet2!$E:$E,"-")</f>
        <v>Ilham Ramadhan</v>
      </c>
      <c r="G1384" s="21"/>
    </row>
    <row r="1385" spans="2:7">
      <c r="B1385" s="22" t="s">
        <v>1085</v>
      </c>
      <c r="C1385" s="23" t="s">
        <v>1086</v>
      </c>
      <c r="D1385" s="24" t="s">
        <v>1427</v>
      </c>
      <c r="E1385" s="25" t="s">
        <v>1722</v>
      </c>
      <c r="F1385" s="16" t="str">
        <f>_xlfn.XLOOKUP(D1385,[9]Sheet2!$C:$C,[9]Sheet2!$E:$E,"-")</f>
        <v>Muhammad Irsan Junud</v>
      </c>
      <c r="G1385" s="21"/>
    </row>
    <row r="1386" spans="2:7">
      <c r="B1386" s="22" t="s">
        <v>1085</v>
      </c>
      <c r="C1386" s="23" t="s">
        <v>1086</v>
      </c>
      <c r="D1386" s="24" t="s">
        <v>1428</v>
      </c>
      <c r="E1386" s="25" t="s">
        <v>1722</v>
      </c>
      <c r="F1386" s="16" t="str">
        <f>_xlfn.XLOOKUP(D1386,[9]Sheet2!$C:$C,[9]Sheet2!$E:$E,"-")</f>
        <v>Imam Nawawi</v>
      </c>
      <c r="G1386" s="21"/>
    </row>
    <row r="1387" spans="2:7">
      <c r="B1387" s="22" t="s">
        <v>1085</v>
      </c>
      <c r="C1387" s="23" t="s">
        <v>1086</v>
      </c>
      <c r="D1387" s="24" t="s">
        <v>1429</v>
      </c>
      <c r="E1387" s="25" t="s">
        <v>1722</v>
      </c>
      <c r="F1387" s="16" t="str">
        <f>_xlfn.XLOOKUP(D1387,[9]Sheet2!$C:$C,[9]Sheet2!$E:$E,"-")</f>
        <v>Muhammad Irsan Junud</v>
      </c>
      <c r="G1387" s="21"/>
    </row>
    <row r="1388" spans="2:7">
      <c r="B1388" s="22" t="s">
        <v>1085</v>
      </c>
      <c r="C1388" s="23" t="s">
        <v>1086</v>
      </c>
      <c r="D1388" s="24" t="s">
        <v>1430</v>
      </c>
      <c r="E1388" s="25" t="s">
        <v>1722</v>
      </c>
      <c r="F1388" s="16" t="str">
        <f>_xlfn.XLOOKUP(D1388,[9]Sheet2!$C:$C,[9]Sheet2!$E:$E,"-")</f>
        <v>Muhammad Irsan Junud</v>
      </c>
      <c r="G1388" s="21"/>
    </row>
    <row r="1389" spans="2:7">
      <c r="B1389" s="22" t="s">
        <v>1085</v>
      </c>
      <c r="C1389" s="23" t="s">
        <v>1086</v>
      </c>
      <c r="D1389" s="24" t="s">
        <v>1431</v>
      </c>
      <c r="E1389" s="25" t="s">
        <v>1722</v>
      </c>
      <c r="F1389" s="16" t="str">
        <f>_xlfn.XLOOKUP(D1389,[9]Sheet2!$C:$C,[9]Sheet2!$E:$E,"-")</f>
        <v>Leo Fajar Saputra</v>
      </c>
      <c r="G1389" s="21"/>
    </row>
    <row r="1390" spans="2:7">
      <c r="B1390" s="22" t="s">
        <v>1085</v>
      </c>
      <c r="C1390" s="23" t="s">
        <v>1086</v>
      </c>
      <c r="D1390" s="24" t="s">
        <v>1432</v>
      </c>
      <c r="E1390" s="25" t="s">
        <v>1722</v>
      </c>
      <c r="F1390" s="16" t="str">
        <f>_xlfn.XLOOKUP(D1390,[9]Sheet2!$C:$C,[9]Sheet2!$E:$E,"-")</f>
        <v>Fauzi Permana Putra</v>
      </c>
      <c r="G1390" s="21"/>
    </row>
    <row r="1391" spans="2:7">
      <c r="B1391" s="22" t="s">
        <v>1085</v>
      </c>
      <c r="C1391" s="23" t="s">
        <v>1086</v>
      </c>
      <c r="D1391" s="24" t="s">
        <v>1433</v>
      </c>
      <c r="E1391" s="25" t="s">
        <v>1722</v>
      </c>
      <c r="F1391" s="16" t="str">
        <f>_xlfn.XLOOKUP(D1391,[9]Sheet2!$C:$C,[9]Sheet2!$E:$E,"-")</f>
        <v>Budi Achirianto</v>
      </c>
      <c r="G1391" s="21"/>
    </row>
    <row r="1392" spans="2:7">
      <c r="B1392" s="22" t="s">
        <v>1085</v>
      </c>
      <c r="C1392" s="23" t="s">
        <v>1086</v>
      </c>
      <c r="D1392" s="24" t="s">
        <v>1434</v>
      </c>
      <c r="E1392" s="25" t="s">
        <v>1722</v>
      </c>
      <c r="F1392" s="16" t="str">
        <f>_xlfn.XLOOKUP(D1392,[9]Sheet2!$C:$C,[9]Sheet2!$E:$E,"-")</f>
        <v>Candra Robianto</v>
      </c>
      <c r="G1392" s="21"/>
    </row>
    <row r="1393" spans="2:7">
      <c r="B1393" s="22" t="s">
        <v>1085</v>
      </c>
      <c r="C1393" s="23" t="s">
        <v>1086</v>
      </c>
      <c r="D1393" s="24" t="s">
        <v>1435</v>
      </c>
      <c r="E1393" s="25" t="s">
        <v>1722</v>
      </c>
      <c r="F1393" s="16" t="str">
        <f>_xlfn.XLOOKUP(D1393,[9]Sheet2!$C:$C,[9]Sheet2!$E:$E,"-")</f>
        <v>Moh. Sihabudin Zuhri, S.Pd</v>
      </c>
      <c r="G1393" s="21"/>
    </row>
    <row r="1394" spans="2:7">
      <c r="B1394" s="22" t="s">
        <v>1085</v>
      </c>
      <c r="C1394" s="23" t="s">
        <v>1086</v>
      </c>
      <c r="D1394" s="24" t="s">
        <v>1436</v>
      </c>
      <c r="E1394" s="25" t="s">
        <v>1722</v>
      </c>
      <c r="F1394" s="16" t="str">
        <f>_xlfn.XLOOKUP(D1394,[9]Sheet2!$C:$C,[9]Sheet2!$E:$E,"-")</f>
        <v>Ahmad Luky Cahyono</v>
      </c>
      <c r="G1394" s="21"/>
    </row>
    <row r="1395" spans="2:7">
      <c r="B1395" s="22" t="s">
        <v>1085</v>
      </c>
      <c r="C1395" s="23" t="s">
        <v>1086</v>
      </c>
      <c r="D1395" s="24" t="s">
        <v>1437</v>
      </c>
      <c r="E1395" s="25" t="s">
        <v>1722</v>
      </c>
      <c r="F1395" s="16" t="str">
        <f>_xlfn.XLOOKUP(D1395,[9]Sheet2!$C:$C,[9]Sheet2!$E:$E,"-")</f>
        <v>Achmad Subairi</v>
      </c>
      <c r="G1395" s="21"/>
    </row>
    <row r="1396" spans="2:7">
      <c r="B1396" s="22" t="s">
        <v>1085</v>
      </c>
      <c r="C1396" s="23" t="s">
        <v>1086</v>
      </c>
      <c r="D1396" s="24" t="s">
        <v>1438</v>
      </c>
      <c r="E1396" s="25" t="s">
        <v>1722</v>
      </c>
      <c r="F1396" s="16" t="str">
        <f>_xlfn.XLOOKUP(D1396,[9]Sheet2!$C:$C,[9]Sheet2!$E:$E,"-")</f>
        <v>Joko Purnomo</v>
      </c>
      <c r="G1396" s="21"/>
    </row>
    <row r="1397" spans="2:7">
      <c r="B1397" s="22" t="s">
        <v>1085</v>
      </c>
      <c r="C1397" s="23" t="s">
        <v>1086</v>
      </c>
      <c r="D1397" s="24" t="s">
        <v>1439</v>
      </c>
      <c r="E1397" s="25" t="s">
        <v>1722</v>
      </c>
      <c r="F1397" s="16" t="str">
        <f>_xlfn.XLOOKUP(D1397,[9]Sheet2!$C:$C,[9]Sheet2!$E:$E,"-")</f>
        <v>Mochamad Zaini</v>
      </c>
      <c r="G1397" s="21"/>
    </row>
    <row r="1398" spans="2:7">
      <c r="B1398" s="22" t="s">
        <v>1085</v>
      </c>
      <c r="C1398" s="23" t="s">
        <v>1086</v>
      </c>
      <c r="D1398" s="24" t="s">
        <v>1440</v>
      </c>
      <c r="E1398" s="25" t="s">
        <v>1722</v>
      </c>
      <c r="F1398" s="16" t="str">
        <f>_xlfn.XLOOKUP(D1398,[9]Sheet2!$C:$C,[9]Sheet2!$E:$E,"-")</f>
        <v>Fery Hardianto Setiawan</v>
      </c>
      <c r="G1398" s="21"/>
    </row>
    <row r="1399" spans="2:7">
      <c r="B1399" s="22" t="s">
        <v>1085</v>
      </c>
      <c r="C1399" s="23" t="s">
        <v>1086</v>
      </c>
      <c r="D1399" s="24" t="s">
        <v>1441</v>
      </c>
      <c r="E1399" s="25" t="s">
        <v>1722</v>
      </c>
      <c r="F1399" s="16" t="str">
        <f>_xlfn.XLOOKUP(D1399,[9]Sheet2!$C:$C,[9]Sheet2!$E:$E,"-")</f>
        <v>Alfi Abidin</v>
      </c>
      <c r="G1399" s="21"/>
    </row>
    <row r="1400" spans="2:7">
      <c r="B1400" s="22" t="s">
        <v>1085</v>
      </c>
      <c r="C1400" s="23" t="s">
        <v>1086</v>
      </c>
      <c r="D1400" s="24" t="s">
        <v>1442</v>
      </c>
      <c r="E1400" s="25" t="s">
        <v>1722</v>
      </c>
      <c r="F1400" s="16" t="str">
        <f>_xlfn.XLOOKUP(D1400,[9]Sheet2!$C:$C,[9]Sheet2!$E:$E,"-")</f>
        <v>Vavan Aldi Zulkarnain</v>
      </c>
      <c r="G1400" s="21"/>
    </row>
    <row r="1401" spans="2:7">
      <c r="B1401" s="22" t="s">
        <v>1085</v>
      </c>
      <c r="C1401" s="23" t="s">
        <v>1086</v>
      </c>
      <c r="D1401" s="24" t="s">
        <v>1443</v>
      </c>
      <c r="E1401" s="25" t="s">
        <v>1722</v>
      </c>
      <c r="F1401" s="16" t="str">
        <f>_xlfn.XLOOKUP(D1401,[9]Sheet2!$C:$C,[9]Sheet2!$E:$E,"-")</f>
        <v>Aldo Irwansyah</v>
      </c>
      <c r="G1401" s="21"/>
    </row>
    <row r="1402" spans="2:7">
      <c r="B1402" s="22" t="s">
        <v>1085</v>
      </c>
      <c r="C1402" s="23" t="s">
        <v>1086</v>
      </c>
      <c r="D1402" s="24" t="s">
        <v>1444</v>
      </c>
      <c r="E1402" s="25" t="s">
        <v>1722</v>
      </c>
      <c r="F1402" s="16" t="str">
        <f>_xlfn.XLOOKUP(D1402,[9]Sheet2!$C:$C,[9]Sheet2!$E:$E,"-")</f>
        <v>Roni Nofendra Trimanto</v>
      </c>
      <c r="G1402" s="21"/>
    </row>
    <row r="1403" spans="2:7">
      <c r="B1403" s="22" t="s">
        <v>1085</v>
      </c>
      <c r="C1403" s="23" t="s">
        <v>1086</v>
      </c>
      <c r="D1403" s="24" t="s">
        <v>1445</v>
      </c>
      <c r="E1403" s="25" t="s">
        <v>1722</v>
      </c>
      <c r="F1403" s="16" t="str">
        <f>_xlfn.XLOOKUP(D1403,[9]Sheet2!$C:$C,[9]Sheet2!$E:$E,"-")</f>
        <v>Tri Atmojo</v>
      </c>
      <c r="G1403" s="21"/>
    </row>
    <row r="1404" spans="2:7">
      <c r="B1404" s="22" t="s">
        <v>1085</v>
      </c>
      <c r="C1404" s="23" t="s">
        <v>1086</v>
      </c>
      <c r="D1404" s="24" t="s">
        <v>1446</v>
      </c>
      <c r="E1404" s="25" t="s">
        <v>1745</v>
      </c>
      <c r="F1404" s="16" t="str">
        <f>_xlfn.XLOOKUP(D1404,[9]Sheet2!$C:$C,[9]Sheet2!$E:$E,"-")</f>
        <v>Luhur Setya Budi</v>
      </c>
      <c r="G1404" s="21"/>
    </row>
    <row r="1405" spans="2:7">
      <c r="B1405" s="22" t="s">
        <v>1085</v>
      </c>
      <c r="C1405" s="23" t="s">
        <v>1086</v>
      </c>
      <c r="D1405" s="24" t="s">
        <v>1447</v>
      </c>
      <c r="E1405" s="25" t="s">
        <v>1745</v>
      </c>
      <c r="F1405" s="16" t="str">
        <f>_xlfn.XLOOKUP(D1405,[9]Sheet2!$C:$C,[9]Sheet2!$E:$E,"-")</f>
        <v>Rundi Atmoko</v>
      </c>
      <c r="G1405" s="21"/>
    </row>
    <row r="1406" spans="2:7">
      <c r="B1406" s="22" t="s">
        <v>1085</v>
      </c>
      <c r="C1406" s="23" t="s">
        <v>1086</v>
      </c>
      <c r="D1406" s="24" t="s">
        <v>1448</v>
      </c>
      <c r="E1406" s="25" t="s">
        <v>1745</v>
      </c>
      <c r="F1406" s="16" t="str">
        <f>_xlfn.XLOOKUP(D1406,[9]Sheet2!$C:$C,[9]Sheet2!$E:$E,"-")</f>
        <v>Rundi Atmoko</v>
      </c>
      <c r="G1406" s="21"/>
    </row>
    <row r="1407" spans="2:7">
      <c r="B1407" s="22" t="s">
        <v>1085</v>
      </c>
      <c r="C1407" s="23" t="s">
        <v>1086</v>
      </c>
      <c r="D1407" s="24" t="s">
        <v>1449</v>
      </c>
      <c r="E1407" s="25" t="s">
        <v>1745</v>
      </c>
      <c r="F1407" s="16" t="str">
        <f>_xlfn.XLOOKUP(D1407,[9]Sheet2!$C:$C,[9]Sheet2!$E:$E,"-")</f>
        <v>Luhur Setya Budi</v>
      </c>
      <c r="G1407" s="21"/>
    </row>
    <row r="1408" spans="2:7">
      <c r="B1408" s="22" t="s">
        <v>1085</v>
      </c>
      <c r="C1408" s="23" t="s">
        <v>1086</v>
      </c>
      <c r="D1408" s="24" t="s">
        <v>1450</v>
      </c>
      <c r="E1408" s="25" t="s">
        <v>1722</v>
      </c>
      <c r="F1408" s="16" t="str">
        <f>_xlfn.XLOOKUP(D1408,[9]Sheet2!$C:$C,[9]Sheet2!$E:$E,"-")</f>
        <v>Alvin Aviandika Aksanah Pu</v>
      </c>
      <c r="G1408" s="21"/>
    </row>
    <row r="1409" spans="2:7">
      <c r="B1409" s="22" t="s">
        <v>1085</v>
      </c>
      <c r="C1409" s="23" t="s">
        <v>1086</v>
      </c>
      <c r="D1409" s="24" t="s">
        <v>1451</v>
      </c>
      <c r="E1409" s="25" t="s">
        <v>1745</v>
      </c>
      <c r="F1409" s="16" t="str">
        <f>_xlfn.XLOOKUP(D1409,[9]Sheet2!$C:$C,[9]Sheet2!$E:$E,"-")</f>
        <v>Muhammad Ikhwanul Masruri</v>
      </c>
      <c r="G1409" s="21"/>
    </row>
    <row r="1410" spans="2:7">
      <c r="B1410" s="22" t="s">
        <v>1085</v>
      </c>
      <c r="C1410" s="23" t="s">
        <v>1086</v>
      </c>
      <c r="D1410" s="24" t="s">
        <v>1453</v>
      </c>
      <c r="E1410" s="25" t="s">
        <v>1722</v>
      </c>
      <c r="F1410" s="16" t="str">
        <f>_xlfn.XLOOKUP(D1410,[9]Sheet2!$C:$C,[9]Sheet2!$E:$E,"-")</f>
        <v>-</v>
      </c>
      <c r="G1410" s="21"/>
    </row>
    <row r="1411" spans="2:7">
      <c r="B1411" s="22" t="s">
        <v>1085</v>
      </c>
      <c r="C1411" s="23" t="s">
        <v>1086</v>
      </c>
      <c r="D1411" s="24" t="s">
        <v>1454</v>
      </c>
      <c r="E1411" s="25" t="s">
        <v>1722</v>
      </c>
      <c r="F1411" s="16" t="str">
        <f>_xlfn.XLOOKUP(D1411,[9]Sheet2!$C:$C,[9]Sheet2!$E:$E,"-")</f>
        <v>-</v>
      </c>
      <c r="G1411" s="21"/>
    </row>
    <row r="1412" spans="2:7">
      <c r="B1412" s="22" t="s">
        <v>1455</v>
      </c>
      <c r="C1412" s="23" t="s">
        <v>1456</v>
      </c>
      <c r="D1412" s="24" t="s">
        <v>1457</v>
      </c>
      <c r="E1412" s="25" t="s">
        <v>1745</v>
      </c>
      <c r="F1412" s="16" t="str">
        <f>_xlfn.XLOOKUP(D1412,[10]ALL!$C:$C,[10]ALL!$N:$N,"Tidak Ditemukan")</f>
        <v>KADEK DWIPA ANGGARASTRA</v>
      </c>
      <c r="G1412" s="21"/>
    </row>
    <row r="1413" spans="2:7">
      <c r="B1413" s="22" t="s">
        <v>1455</v>
      </c>
      <c r="C1413" s="23" t="s">
        <v>1456</v>
      </c>
      <c r="D1413" s="24" t="s">
        <v>1458</v>
      </c>
      <c r="E1413" s="25" t="s">
        <v>1745</v>
      </c>
      <c r="F1413" s="16" t="str">
        <f>_xlfn.XLOOKUP(D1413,[10]ALL!$C:$C,[10]ALL!$N:$N,"Tidak Ditemukan")</f>
        <v>NI WAYAN ELSA SEPTIANA INDRIANI</v>
      </c>
      <c r="G1413" s="21"/>
    </row>
    <row r="1414" spans="2:7">
      <c r="B1414" s="22" t="s">
        <v>1455</v>
      </c>
      <c r="C1414" s="23" t="s">
        <v>1456</v>
      </c>
      <c r="D1414" s="24" t="s">
        <v>1459</v>
      </c>
      <c r="E1414" s="25" t="s">
        <v>1745</v>
      </c>
      <c r="F1414" s="16" t="str">
        <f>_xlfn.XLOOKUP(D1414,[10]ALL!$C:$C,[10]ALL!$N:$N,"Tidak Ditemukan")</f>
        <v>DEAR RAMOS DAMANIK</v>
      </c>
      <c r="G1414" s="21"/>
    </row>
    <row r="1415" spans="2:7">
      <c r="B1415" s="22" t="s">
        <v>1455</v>
      </c>
      <c r="C1415" s="23" t="s">
        <v>1456</v>
      </c>
      <c r="D1415" s="24" t="s">
        <v>1460</v>
      </c>
      <c r="E1415" s="25" t="s">
        <v>1745</v>
      </c>
      <c r="F1415" s="16" t="str">
        <f>_xlfn.XLOOKUP(D1415,[10]ALL!$C:$C,[10]ALL!$N:$N,"Tidak Ditemukan")</f>
        <v>DWIKY REZA ARDANI WINAHARA</v>
      </c>
      <c r="G1415" s="21"/>
    </row>
    <row r="1416" spans="2:7">
      <c r="B1416" s="22" t="s">
        <v>1455</v>
      </c>
      <c r="C1416" s="23" t="s">
        <v>1456</v>
      </c>
      <c r="D1416" s="24" t="s">
        <v>1461</v>
      </c>
      <c r="E1416" s="25" t="s">
        <v>1745</v>
      </c>
      <c r="F1416" s="16" t="str">
        <f>_xlfn.XLOOKUP(D1416,[10]ALL!$C:$C,[10]ALL!$N:$N,"Tidak Ditemukan")</f>
        <v>NI WAYAN ELSA SEPTIANA INDRIANI</v>
      </c>
      <c r="G1416" s="21"/>
    </row>
    <row r="1417" spans="2:7">
      <c r="B1417" s="22" t="s">
        <v>1455</v>
      </c>
      <c r="C1417" s="23" t="s">
        <v>1456</v>
      </c>
      <c r="D1417" s="24" t="s">
        <v>1462</v>
      </c>
      <c r="E1417" s="25" t="s">
        <v>1745</v>
      </c>
      <c r="F1417" s="16" t="str">
        <f>_xlfn.XLOOKUP(D1417,[10]ALL!$C:$C,[10]ALL!$N:$N,"Tidak Ditemukan")</f>
        <v>NI PUTU DEWI LASTINI</v>
      </c>
      <c r="G1417" s="21"/>
    </row>
    <row r="1418" spans="2:7">
      <c r="B1418" s="22" t="s">
        <v>1455</v>
      </c>
      <c r="C1418" s="23" t="s">
        <v>1456</v>
      </c>
      <c r="D1418" s="24" t="s">
        <v>1463</v>
      </c>
      <c r="E1418" s="25" t="s">
        <v>1745</v>
      </c>
      <c r="F1418" s="16" t="str">
        <f>_xlfn.XLOOKUP(D1418,[10]ALL!$C:$C,[10]ALL!$N:$N,"Tidak Ditemukan")</f>
        <v>NI WAYAN ELSA SEPTIANA INDRIANI</v>
      </c>
      <c r="G1418" s="21"/>
    </row>
    <row r="1419" spans="2:7">
      <c r="B1419" s="22" t="s">
        <v>1455</v>
      </c>
      <c r="C1419" s="23" t="s">
        <v>1456</v>
      </c>
      <c r="D1419" s="24" t="s">
        <v>1464</v>
      </c>
      <c r="E1419" s="25" t="s">
        <v>1745</v>
      </c>
      <c r="F1419" s="16" t="str">
        <f>_xlfn.XLOOKUP(D1419,[10]ALL!$C:$C,[10]ALL!$N:$N,"Tidak Ditemukan")</f>
        <v>GUSTI NGURAH ARY RAKA DARMAYASA, SE.MM</v>
      </c>
      <c r="G1419" s="21"/>
    </row>
    <row r="1420" spans="2:7">
      <c r="B1420" s="22" t="s">
        <v>1455</v>
      </c>
      <c r="C1420" s="23" t="s">
        <v>1456</v>
      </c>
      <c r="D1420" s="24" t="s">
        <v>1465</v>
      </c>
      <c r="E1420" s="25" t="s">
        <v>1745</v>
      </c>
      <c r="F1420" s="16" t="str">
        <f>_xlfn.XLOOKUP(D1420,[10]ALL!$C:$C,[10]ALL!$N:$N,"Tidak Ditemukan")</f>
        <v>NI PUTU DEWI LASTINI</v>
      </c>
      <c r="G1420" s="21"/>
    </row>
    <row r="1421" spans="2:7">
      <c r="B1421" s="22" t="s">
        <v>1455</v>
      </c>
      <c r="C1421" s="23" t="s">
        <v>1456</v>
      </c>
      <c r="D1421" s="24" t="s">
        <v>1466</v>
      </c>
      <c r="E1421" s="25" t="s">
        <v>1745</v>
      </c>
      <c r="F1421" s="16" t="str">
        <f>_xlfn.XLOOKUP(D1421,[10]ALL!$C:$C,[10]ALL!$N:$N,"Tidak Ditemukan")</f>
        <v>AGUS PRADNYANA</v>
      </c>
      <c r="G1421" s="21"/>
    </row>
    <row r="1422" spans="2:7">
      <c r="B1422" s="22" t="s">
        <v>1455</v>
      </c>
      <c r="C1422" s="23" t="s">
        <v>1456</v>
      </c>
      <c r="D1422" s="24" t="s">
        <v>1467</v>
      </c>
      <c r="E1422" s="25" t="s">
        <v>1745</v>
      </c>
      <c r="F1422" s="16" t="str">
        <f>_xlfn.XLOOKUP(D1422,[10]ALL!$C:$C,[10]ALL!$N:$N,"Tidak Ditemukan")</f>
        <v>NI WAYAN ELSA SEPTIANA INDRIANI</v>
      </c>
      <c r="G1422" s="21"/>
    </row>
    <row r="1423" spans="2:7">
      <c r="B1423" s="22" t="s">
        <v>1455</v>
      </c>
      <c r="C1423" s="23" t="s">
        <v>1456</v>
      </c>
      <c r="D1423" s="24" t="s">
        <v>1468</v>
      </c>
      <c r="E1423" s="25" t="s">
        <v>1745</v>
      </c>
      <c r="F1423" s="16" t="str">
        <f>_xlfn.XLOOKUP(D1423,[10]ALL!$C:$C,[10]ALL!$N:$N,"Tidak Ditemukan")</f>
        <v>I Gd Andika Adi Prasetya Murya</v>
      </c>
      <c r="G1423" s="21"/>
    </row>
    <row r="1424" spans="2:7">
      <c r="B1424" s="22" t="s">
        <v>1455</v>
      </c>
      <c r="C1424" s="23" t="s">
        <v>1456</v>
      </c>
      <c r="D1424" s="24" t="s">
        <v>1469</v>
      </c>
      <c r="E1424" s="25" t="s">
        <v>1745</v>
      </c>
      <c r="F1424" s="16" t="str">
        <f>_xlfn.XLOOKUP(D1424,[10]ALL!$C:$C,[10]ALL!$N:$N,"Tidak Ditemukan")</f>
        <v>DWIKY REZA ARDANI WINAHARA</v>
      </c>
      <c r="G1424" s="21"/>
    </row>
    <row r="1425" spans="2:7">
      <c r="B1425" s="22" t="s">
        <v>1455</v>
      </c>
      <c r="C1425" s="23" t="s">
        <v>1456</v>
      </c>
      <c r="D1425" s="24" t="s">
        <v>1470</v>
      </c>
      <c r="E1425" s="25" t="s">
        <v>1745</v>
      </c>
      <c r="F1425" s="16" t="str">
        <f>_xlfn.XLOOKUP(D1425,[10]ALL!$C:$C,[10]ALL!$N:$N,"Tidak Ditemukan")</f>
        <v>NI WAYAN ELSA SEPTIANA INDRIANI</v>
      </c>
      <c r="G1425" s="21"/>
    </row>
    <row r="1426" spans="2:7">
      <c r="B1426" s="22" t="s">
        <v>1455</v>
      </c>
      <c r="C1426" s="23" t="s">
        <v>1456</v>
      </c>
      <c r="D1426" s="24" t="s">
        <v>1471</v>
      </c>
      <c r="E1426" s="25" t="s">
        <v>1745</v>
      </c>
      <c r="F1426" s="16" t="str">
        <f>_xlfn.XLOOKUP(D1426,[10]ALL!$C:$C,[10]ALL!$N:$N,"Tidak Ditemukan")</f>
        <v>GUSTI NGURAH ARY RAKA DARMAYASA, SE.MM</v>
      </c>
      <c r="G1426" s="21"/>
    </row>
    <row r="1427" spans="2:7">
      <c r="B1427" s="22" t="s">
        <v>1455</v>
      </c>
      <c r="C1427" s="23" t="s">
        <v>1456</v>
      </c>
      <c r="D1427" s="24" t="s">
        <v>1472</v>
      </c>
      <c r="E1427" s="25" t="s">
        <v>1745</v>
      </c>
      <c r="F1427" s="16" t="str">
        <f>_xlfn.XLOOKUP(D1427,[10]ALL!$C:$C,[10]ALL!$N:$N,"Tidak Ditemukan")</f>
        <v>YUNAN FURQONA RAMADHANI</v>
      </c>
      <c r="G1427" s="21"/>
    </row>
    <row r="1428" spans="2:7">
      <c r="B1428" s="22" t="s">
        <v>1455</v>
      </c>
      <c r="C1428" s="23" t="s">
        <v>1456</v>
      </c>
      <c r="D1428" s="24" t="s">
        <v>1473</v>
      </c>
      <c r="E1428" s="25" t="s">
        <v>1745</v>
      </c>
      <c r="F1428" s="16" t="str">
        <f>_xlfn.XLOOKUP(D1428,[10]ALL!$C:$C,[10]ALL!$N:$N,"Tidak Ditemukan")</f>
        <v>KADEK DWIPA ANGGARASTRA</v>
      </c>
      <c r="G1428" s="21"/>
    </row>
    <row r="1429" spans="2:7">
      <c r="B1429" s="22" t="s">
        <v>1455</v>
      </c>
      <c r="C1429" s="23" t="s">
        <v>1456</v>
      </c>
      <c r="D1429" s="24" t="s">
        <v>1474</v>
      </c>
      <c r="E1429" s="25" t="s">
        <v>1745</v>
      </c>
      <c r="F1429" s="16" t="str">
        <f>_xlfn.XLOOKUP(D1429,[10]ALL!$C:$C,[10]ALL!$N:$N,"Tidak Ditemukan")</f>
        <v>I GEDE BAGUS ADI SURYAWAN , ST</v>
      </c>
      <c r="G1429" s="21"/>
    </row>
    <row r="1430" spans="2:7">
      <c r="B1430" s="22" t="s">
        <v>1455</v>
      </c>
      <c r="C1430" s="23" t="s">
        <v>1456</v>
      </c>
      <c r="D1430" s="24" t="s">
        <v>1475</v>
      </c>
      <c r="E1430" s="25" t="s">
        <v>1745</v>
      </c>
      <c r="F1430" s="16" t="str">
        <f>_xlfn.XLOOKUP(D1430,[10]ALL!$C:$C,[10]ALL!$N:$N,"Tidak Ditemukan")</f>
        <v>NI PUTU DEWI LASTINI</v>
      </c>
      <c r="G1430" s="21"/>
    </row>
    <row r="1431" spans="2:7">
      <c r="B1431" s="22" t="s">
        <v>1455</v>
      </c>
      <c r="C1431" s="23" t="s">
        <v>1456</v>
      </c>
      <c r="D1431" s="24" t="s">
        <v>1476</v>
      </c>
      <c r="E1431" s="25" t="s">
        <v>1745</v>
      </c>
      <c r="F1431" s="16" t="str">
        <f>_xlfn.XLOOKUP(D1431,[10]ALL!$C:$C,[10]ALL!$N:$N,"Tidak Ditemukan")</f>
        <v>Suhardi</v>
      </c>
      <c r="G1431" s="21"/>
    </row>
    <row r="1432" spans="2:7">
      <c r="B1432" s="22" t="s">
        <v>1455</v>
      </c>
      <c r="C1432" s="23" t="s">
        <v>1456</v>
      </c>
      <c r="D1432" s="24" t="s">
        <v>1477</v>
      </c>
      <c r="E1432" s="25" t="s">
        <v>1745</v>
      </c>
      <c r="F1432" s="16" t="str">
        <f>_xlfn.XLOOKUP(D1432,[10]ALL!$C:$C,[10]ALL!$N:$N,"Tidak Ditemukan")</f>
        <v>DEAR RAMOS DAMANIK</v>
      </c>
      <c r="G1432" s="21"/>
    </row>
    <row r="1433" spans="2:7">
      <c r="B1433" s="22" t="s">
        <v>1455</v>
      </c>
      <c r="C1433" s="23" t="s">
        <v>1456</v>
      </c>
      <c r="D1433" s="24" t="s">
        <v>1478</v>
      </c>
      <c r="E1433" s="25" t="s">
        <v>1745</v>
      </c>
      <c r="F1433" s="16" t="str">
        <f>_xlfn.XLOOKUP(D1433,[10]ALL!$C:$C,[10]ALL!$N:$N,"Tidak Ditemukan")</f>
        <v>KADEK DWIPA ANGGARASTRA</v>
      </c>
      <c r="G1433" s="21"/>
    </row>
    <row r="1434" spans="2:7">
      <c r="B1434" s="22" t="s">
        <v>1455</v>
      </c>
      <c r="C1434" s="23" t="s">
        <v>1456</v>
      </c>
      <c r="D1434" s="24" t="s">
        <v>1479</v>
      </c>
      <c r="E1434" s="25" t="s">
        <v>1745</v>
      </c>
      <c r="F1434" s="16" t="str">
        <f>_xlfn.XLOOKUP(D1434,[10]ALL!$C:$C,[10]ALL!$N:$N,"Tidak Ditemukan")</f>
        <v>I GEDE BAGUS ADI SURYAWAN , ST</v>
      </c>
      <c r="G1434" s="21"/>
    </row>
    <row r="1435" spans="2:7">
      <c r="B1435" s="22" t="s">
        <v>1455</v>
      </c>
      <c r="C1435" s="23" t="s">
        <v>1456</v>
      </c>
      <c r="D1435" s="24" t="s">
        <v>1480</v>
      </c>
      <c r="E1435" s="25" t="s">
        <v>1745</v>
      </c>
      <c r="F1435" s="16" t="str">
        <f>_xlfn.XLOOKUP(D1435,[10]ALL!$C:$C,[10]ALL!$N:$N,"Tidak Ditemukan")</f>
        <v>I GEDE BAGUS ADI SURYAWAN , ST</v>
      </c>
      <c r="G1435" s="21"/>
    </row>
    <row r="1436" spans="2:7">
      <c r="B1436" s="22" t="s">
        <v>1455</v>
      </c>
      <c r="C1436" s="23" t="s">
        <v>1456</v>
      </c>
      <c r="D1436" s="24" t="s">
        <v>1481</v>
      </c>
      <c r="E1436" s="25" t="s">
        <v>1745</v>
      </c>
      <c r="F1436" s="16" t="str">
        <f>_xlfn.XLOOKUP(D1436,[10]ALL!$C:$C,[10]ALL!$N:$N,"Tidak Ditemukan")</f>
        <v>Abi Hilmawan</v>
      </c>
      <c r="G1436" s="21"/>
    </row>
    <row r="1437" spans="2:7">
      <c r="B1437" s="22" t="s">
        <v>1455</v>
      </c>
      <c r="C1437" s="23" t="s">
        <v>1456</v>
      </c>
      <c r="D1437" s="24" t="s">
        <v>1482</v>
      </c>
      <c r="E1437" s="25" t="s">
        <v>1745</v>
      </c>
      <c r="F1437" s="16" t="str">
        <f>_xlfn.XLOOKUP(D1437,[10]ALL!$C:$C,[10]ALL!$N:$N,"Tidak Ditemukan")</f>
        <v>I KOMANG FERI INDRAJAYA</v>
      </c>
      <c r="G1437" s="21"/>
    </row>
    <row r="1438" spans="2:7">
      <c r="B1438" s="22" t="s">
        <v>1455</v>
      </c>
      <c r="C1438" s="23" t="s">
        <v>1456</v>
      </c>
      <c r="D1438" s="24" t="s">
        <v>1483</v>
      </c>
      <c r="E1438" s="25" t="s">
        <v>1745</v>
      </c>
      <c r="F1438" s="16" t="str">
        <f>_xlfn.XLOOKUP(D1438,[10]ALL!$C:$C,[10]ALL!$N:$N,"Tidak Ditemukan")</f>
        <v>MUHAMMAD JUMADIL</v>
      </c>
      <c r="G1438" s="21"/>
    </row>
    <row r="1439" spans="2:7">
      <c r="B1439" s="22" t="s">
        <v>1455</v>
      </c>
      <c r="C1439" s="23" t="s">
        <v>1456</v>
      </c>
      <c r="D1439" s="24" t="s">
        <v>1484</v>
      </c>
      <c r="E1439" s="25" t="s">
        <v>1745</v>
      </c>
      <c r="F1439" s="16" t="str">
        <f>_xlfn.XLOOKUP(D1439,[10]ALL!$C:$C,[10]ALL!$N:$N,"Tidak Ditemukan")</f>
        <v>KADEK DWIPA ANGGARASTRA</v>
      </c>
      <c r="G1439" s="21"/>
    </row>
    <row r="1440" spans="2:7">
      <c r="B1440" s="22" t="s">
        <v>1455</v>
      </c>
      <c r="C1440" s="23" t="s">
        <v>1456</v>
      </c>
      <c r="D1440" s="24" t="s">
        <v>1485</v>
      </c>
      <c r="E1440" s="25" t="s">
        <v>1745</v>
      </c>
      <c r="F1440" s="16" t="str">
        <f>_xlfn.XLOOKUP(D1440,[10]ALL!$C:$C,[10]ALL!$N:$N,"Tidak Ditemukan")</f>
        <v>GUSTI NGURAH ARY RAKA DARMAYASA, SE.MM</v>
      </c>
      <c r="G1440" s="21"/>
    </row>
    <row r="1441" spans="2:7">
      <c r="B1441" s="22" t="s">
        <v>1455</v>
      </c>
      <c r="C1441" s="23" t="s">
        <v>1456</v>
      </c>
      <c r="D1441" s="24" t="s">
        <v>1486</v>
      </c>
      <c r="E1441" s="25" t="s">
        <v>1745</v>
      </c>
      <c r="F1441" s="16" t="str">
        <f>_xlfn.XLOOKUP(D1441,[10]ALL!$C:$C,[10]ALL!$N:$N,"Tidak Ditemukan")</f>
        <v>DWIKY REZA ARDANI WINAHARA</v>
      </c>
      <c r="G1441" s="21"/>
    </row>
    <row r="1442" spans="2:7">
      <c r="B1442" s="22" t="s">
        <v>1455</v>
      </c>
      <c r="C1442" s="23" t="s">
        <v>1456</v>
      </c>
      <c r="D1442" s="24" t="s">
        <v>1487</v>
      </c>
      <c r="E1442" s="25" t="s">
        <v>1745</v>
      </c>
      <c r="F1442" s="16" t="str">
        <f>_xlfn.XLOOKUP(D1442,[10]ALL!$C:$C,[10]ALL!$N:$N,"Tidak Ditemukan")</f>
        <v>NI WAYAN ELSA SEPTIANA INDRIANI</v>
      </c>
      <c r="G1442" s="21"/>
    </row>
    <row r="1443" spans="2:7">
      <c r="B1443" s="22" t="s">
        <v>1455</v>
      </c>
      <c r="C1443" s="23" t="s">
        <v>1456</v>
      </c>
      <c r="D1443" s="24" t="s">
        <v>1488</v>
      </c>
      <c r="E1443" s="25" t="s">
        <v>1745</v>
      </c>
      <c r="F1443" s="16" t="str">
        <f>_xlfn.XLOOKUP(D1443,[10]ALL!$C:$C,[10]ALL!$N:$N,"Tidak Ditemukan")</f>
        <v>GUSTI NGURAH ARY RAKA DARMAYASA, SE.MM</v>
      </c>
      <c r="G1443" s="21"/>
    </row>
    <row r="1444" spans="2:7">
      <c r="B1444" s="22" t="s">
        <v>1455</v>
      </c>
      <c r="C1444" s="23" t="s">
        <v>1456</v>
      </c>
      <c r="D1444" s="24" t="s">
        <v>1489</v>
      </c>
      <c r="E1444" s="25" t="s">
        <v>1745</v>
      </c>
      <c r="F1444" s="16" t="str">
        <f>_xlfn.XLOOKUP(D1444,[10]ALL!$C:$C,[10]ALL!$N:$N,"Tidak Ditemukan")</f>
        <v>GUSTI NGURAH ARY RAKA DARMAYASA, SE.MM</v>
      </c>
      <c r="G1444" s="21"/>
    </row>
    <row r="1445" spans="2:7">
      <c r="B1445" s="22" t="s">
        <v>1455</v>
      </c>
      <c r="C1445" s="23" t="s">
        <v>1456</v>
      </c>
      <c r="D1445" s="24" t="s">
        <v>1490</v>
      </c>
      <c r="E1445" s="25" t="s">
        <v>1745</v>
      </c>
      <c r="F1445" s="16" t="str">
        <f>_xlfn.XLOOKUP(D1445,[10]ALL!$C:$C,[10]ALL!$N:$N,"Tidak Ditemukan")</f>
        <v>NI WAYAN ELSA SEPTIANA INDRIANI</v>
      </c>
      <c r="G1445" s="21"/>
    </row>
    <row r="1446" spans="2:7">
      <c r="B1446" s="22" t="s">
        <v>1455</v>
      </c>
      <c r="C1446" s="23" t="s">
        <v>1456</v>
      </c>
      <c r="D1446" s="24" t="s">
        <v>1491</v>
      </c>
      <c r="E1446" s="25" t="s">
        <v>1745</v>
      </c>
      <c r="F1446" s="16" t="str">
        <f>_xlfn.XLOOKUP(D1446,[10]ALL!$C:$C,[10]ALL!$N:$N,"Tidak Ditemukan")</f>
        <v>KADEK DWIPA ANGGARASTRA</v>
      </c>
      <c r="G1446" s="21"/>
    </row>
    <row r="1447" spans="2:7">
      <c r="B1447" s="22" t="s">
        <v>1455</v>
      </c>
      <c r="C1447" s="23" t="s">
        <v>1456</v>
      </c>
      <c r="D1447" s="24" t="s">
        <v>1492</v>
      </c>
      <c r="E1447" s="25" t="s">
        <v>1722</v>
      </c>
      <c r="F1447" s="16" t="str">
        <f>_xlfn.XLOOKUP(D1447,[10]ALL!$C:$C,[10]ALL!$N:$N,"Tidak Ditemukan")</f>
        <v>MUHAMMAD TONY NUGRAHA</v>
      </c>
      <c r="G1447" s="21"/>
    </row>
    <row r="1448" spans="2:7">
      <c r="B1448" s="22" t="s">
        <v>1455</v>
      </c>
      <c r="C1448" s="23" t="s">
        <v>1456</v>
      </c>
      <c r="D1448" s="24" t="s">
        <v>1493</v>
      </c>
      <c r="E1448" s="25" t="s">
        <v>1722</v>
      </c>
      <c r="F1448" s="16" t="str">
        <f>_xlfn.XLOOKUP(D1448,[10]ALL!$C:$C,[10]ALL!$N:$N,"Tidak Ditemukan")</f>
        <v>Abi Hilmawan</v>
      </c>
      <c r="G1448" s="21"/>
    </row>
    <row r="1449" spans="2:7">
      <c r="B1449" s="22" t="s">
        <v>1455</v>
      </c>
      <c r="C1449" s="23" t="s">
        <v>1456</v>
      </c>
      <c r="D1449" s="24" t="s">
        <v>1494</v>
      </c>
      <c r="E1449" s="25" t="s">
        <v>1722</v>
      </c>
      <c r="F1449" s="16" t="str">
        <f>_xlfn.XLOOKUP(D1449,[10]ALL!$C:$C,[10]ALL!$N:$N,"Tidak Ditemukan")</f>
        <v>CICI TRISNAWATI NGGILLI</v>
      </c>
      <c r="G1449" s="21"/>
    </row>
    <row r="1450" spans="2:7">
      <c r="B1450" s="22" t="s">
        <v>1455</v>
      </c>
      <c r="C1450" s="23" t="s">
        <v>1456</v>
      </c>
      <c r="D1450" s="24" t="s">
        <v>1495</v>
      </c>
      <c r="E1450" s="25" t="s">
        <v>1722</v>
      </c>
      <c r="F1450" s="16" t="str">
        <f>_xlfn.XLOOKUP(D1450,[10]ALL!$C:$C,[10]ALL!$N:$N,"Tidak Ditemukan")</f>
        <v>PETRUS TRIMULIA WANGGA DALA</v>
      </c>
      <c r="G1450" s="21"/>
    </row>
    <row r="1451" spans="2:7">
      <c r="B1451" s="22" t="s">
        <v>1455</v>
      </c>
      <c r="C1451" s="23" t="s">
        <v>1456</v>
      </c>
      <c r="D1451" s="24" t="s">
        <v>1496</v>
      </c>
      <c r="E1451" s="25" t="s">
        <v>1722</v>
      </c>
      <c r="F1451" s="16" t="str">
        <f>_xlfn.XLOOKUP(D1451,[10]ALL!$C:$C,[10]ALL!$N:$N,"Tidak Ditemukan")</f>
        <v>SYARIFUDDIN</v>
      </c>
      <c r="G1451" s="21"/>
    </row>
    <row r="1452" spans="2:7">
      <c r="B1452" s="22" t="s">
        <v>1455</v>
      </c>
      <c r="C1452" s="23" t="s">
        <v>1456</v>
      </c>
      <c r="D1452" s="24" t="s">
        <v>1497</v>
      </c>
      <c r="E1452" s="25" t="s">
        <v>1722</v>
      </c>
      <c r="F1452" s="16" t="str">
        <f>_xlfn.XLOOKUP(D1452,[10]ALL!$C:$C,[10]ALL!$N:$N,"Tidak Ditemukan")</f>
        <v>Suhardi</v>
      </c>
      <c r="G1452" s="21"/>
    </row>
    <row r="1453" spans="2:7">
      <c r="B1453" s="22" t="s">
        <v>1455</v>
      </c>
      <c r="C1453" s="23" t="s">
        <v>1456</v>
      </c>
      <c r="D1453" s="24" t="s">
        <v>1498</v>
      </c>
      <c r="E1453" s="25" t="s">
        <v>1722</v>
      </c>
      <c r="F1453" s="16" t="str">
        <f>_xlfn.XLOOKUP(D1453,[10]ALL!$C:$C,[10]ALL!$N:$N,"Tidak Ditemukan")</f>
        <v>M. SALAHUDIN</v>
      </c>
      <c r="G1453" s="21"/>
    </row>
    <row r="1454" spans="2:7">
      <c r="B1454" s="22" t="s">
        <v>1455</v>
      </c>
      <c r="C1454" s="23" t="s">
        <v>1456</v>
      </c>
      <c r="D1454" s="24" t="s">
        <v>1499</v>
      </c>
      <c r="E1454" s="25" t="s">
        <v>1722</v>
      </c>
      <c r="F1454" s="16" t="str">
        <f>_xlfn.XLOOKUP(D1454,[10]ALL!$C:$C,[10]ALL!$N:$N,"Tidak Ditemukan")</f>
        <v>Abi Hilmawan</v>
      </c>
      <c r="G1454" s="21"/>
    </row>
    <row r="1455" spans="2:7">
      <c r="B1455" s="22" t="s">
        <v>1455</v>
      </c>
      <c r="C1455" s="23" t="s">
        <v>1456</v>
      </c>
      <c r="D1455" s="24" t="s">
        <v>1500</v>
      </c>
      <c r="E1455" s="25" t="s">
        <v>1722</v>
      </c>
      <c r="F1455" s="16" t="str">
        <f>_xlfn.XLOOKUP(D1455,[10]ALL!$C:$C,[10]ALL!$N:$N,"Tidak Ditemukan")</f>
        <v>RITA HERMAWATI</v>
      </c>
      <c r="G1455" s="21"/>
    </row>
    <row r="1456" spans="2:7">
      <c r="B1456" s="22" t="s">
        <v>1455</v>
      </c>
      <c r="C1456" s="23" t="s">
        <v>1456</v>
      </c>
      <c r="D1456" s="24" t="s">
        <v>1501</v>
      </c>
      <c r="E1456" s="25" t="s">
        <v>1722</v>
      </c>
      <c r="F1456" s="16" t="str">
        <f>_xlfn.XLOOKUP(D1456,[10]ALL!$C:$C,[10]ALL!$N:$N,"Tidak Ditemukan")</f>
        <v>DENI SUSATYO</v>
      </c>
      <c r="G1456" s="21"/>
    </row>
    <row r="1457" spans="2:7">
      <c r="B1457" s="22" t="s">
        <v>1455</v>
      </c>
      <c r="C1457" s="23" t="s">
        <v>1456</v>
      </c>
      <c r="D1457" s="24" t="s">
        <v>1502</v>
      </c>
      <c r="E1457" s="25" t="s">
        <v>1722</v>
      </c>
      <c r="F1457" s="16" t="str">
        <f>_xlfn.XLOOKUP(D1457,[10]ALL!$C:$C,[10]ALL!$N:$N,"Tidak Ditemukan")</f>
        <v>MUHAMMAD TONY NUGRAHA</v>
      </c>
      <c r="G1457" s="21"/>
    </row>
    <row r="1458" spans="2:7">
      <c r="B1458" s="22" t="s">
        <v>1455</v>
      </c>
      <c r="C1458" s="23" t="s">
        <v>1456</v>
      </c>
      <c r="D1458" s="24" t="s">
        <v>1503</v>
      </c>
      <c r="E1458" s="25" t="s">
        <v>1722</v>
      </c>
      <c r="F1458" s="16" t="str">
        <f>_xlfn.XLOOKUP(D1458,[10]ALL!$C:$C,[10]ALL!$N:$N,"Tidak Ditemukan")</f>
        <v>MUHAMMAD JUMADIL</v>
      </c>
      <c r="G1458" s="21"/>
    </row>
    <row r="1459" spans="2:7">
      <c r="B1459" s="22" t="s">
        <v>1455</v>
      </c>
      <c r="C1459" s="23" t="s">
        <v>1456</v>
      </c>
      <c r="D1459" s="24" t="s">
        <v>1504</v>
      </c>
      <c r="E1459" s="25" t="s">
        <v>1722</v>
      </c>
      <c r="F1459" s="16" t="str">
        <f>_xlfn.XLOOKUP(D1459,[10]ALL!$C:$C,[10]ALL!$N:$N,"Tidak Ditemukan")</f>
        <v>EKAYASA EBENHAEZER SANDY KALLA</v>
      </c>
      <c r="G1459" s="21"/>
    </row>
    <row r="1460" spans="2:7">
      <c r="B1460" s="22" t="s">
        <v>1455</v>
      </c>
      <c r="C1460" s="23" t="s">
        <v>1456</v>
      </c>
      <c r="D1460" s="24" t="s">
        <v>1505</v>
      </c>
      <c r="E1460" s="25" t="s">
        <v>1722</v>
      </c>
      <c r="F1460" s="16" t="str">
        <f>_xlfn.XLOOKUP(D1460,[10]ALL!$C:$C,[10]ALL!$N:$N,"Tidak Ditemukan")</f>
        <v>CICI TRISNAWATI NGGILLI</v>
      </c>
      <c r="G1460" s="21"/>
    </row>
    <row r="1461" spans="2:7">
      <c r="B1461" s="22" t="s">
        <v>1455</v>
      </c>
      <c r="C1461" s="23" t="s">
        <v>1456</v>
      </c>
      <c r="D1461" s="24" t="s">
        <v>1506</v>
      </c>
      <c r="E1461" s="25" t="s">
        <v>1722</v>
      </c>
      <c r="F1461" s="16" t="str">
        <f>_xlfn.XLOOKUP(D1461,[10]ALL!$C:$C,[10]ALL!$N:$N,"Tidak Ditemukan")</f>
        <v>ALOYSIUS RIWANTO</v>
      </c>
      <c r="G1461" s="21"/>
    </row>
    <row r="1462" spans="2:7">
      <c r="B1462" s="22" t="s">
        <v>1455</v>
      </c>
      <c r="C1462" s="23" t="s">
        <v>1456</v>
      </c>
      <c r="D1462" s="24" t="s">
        <v>1507</v>
      </c>
      <c r="E1462" s="25" t="s">
        <v>1722</v>
      </c>
      <c r="F1462" s="16" t="str">
        <f>_xlfn.XLOOKUP(D1462,[10]ALL!$C:$C,[10]ALL!$N:$N,"Tidak Ditemukan")</f>
        <v>SYARIFUDDIN</v>
      </c>
      <c r="G1462" s="21"/>
    </row>
    <row r="1463" spans="2:7">
      <c r="B1463" s="22" t="s">
        <v>1455</v>
      </c>
      <c r="C1463" s="23" t="s">
        <v>1456</v>
      </c>
      <c r="D1463" s="24" t="s">
        <v>1508</v>
      </c>
      <c r="E1463" s="25" t="s">
        <v>1722</v>
      </c>
      <c r="F1463" s="16" t="str">
        <f>_xlfn.XLOOKUP(D1463,[10]ALL!$C:$C,[10]ALL!$N:$N,"Tidak Ditemukan")</f>
        <v>CICI TRISNAWATI NGGILLI</v>
      </c>
      <c r="G1463" s="21"/>
    </row>
    <row r="1464" spans="2:7">
      <c r="B1464" s="22" t="s">
        <v>1455</v>
      </c>
      <c r="C1464" s="23" t="s">
        <v>1456</v>
      </c>
      <c r="D1464" s="24" t="s">
        <v>1509</v>
      </c>
      <c r="E1464" s="25" t="s">
        <v>1722</v>
      </c>
      <c r="F1464" s="16" t="str">
        <f>_xlfn.XLOOKUP(D1464,[10]ALL!$C:$C,[10]ALL!$N:$N,"Tidak Ditemukan")</f>
        <v>CICI TRISNAWATI NGGILLI</v>
      </c>
      <c r="G1464" s="21"/>
    </row>
    <row r="1465" spans="2:7">
      <c r="B1465" s="22" t="s">
        <v>1455</v>
      </c>
      <c r="C1465" s="23" t="s">
        <v>1456</v>
      </c>
      <c r="D1465" s="24" t="s">
        <v>1510</v>
      </c>
      <c r="E1465" s="25" t="s">
        <v>1722</v>
      </c>
      <c r="F1465" s="16" t="str">
        <f>_xlfn.XLOOKUP(D1465,[10]ALL!$C:$C,[10]ALL!$N:$N,"Tidak Ditemukan")</f>
        <v>PETRUS TRIMULIA WANGGA DALA</v>
      </c>
      <c r="G1465" s="21"/>
    </row>
    <row r="1466" spans="2:7">
      <c r="B1466" s="22" t="s">
        <v>1455</v>
      </c>
      <c r="C1466" s="23" t="s">
        <v>1456</v>
      </c>
      <c r="D1466" s="24" t="s">
        <v>1511</v>
      </c>
      <c r="E1466" s="25" t="s">
        <v>1722</v>
      </c>
      <c r="F1466" s="16" t="str">
        <f>_xlfn.XLOOKUP(D1466,[10]ALL!$C:$C,[10]ALL!$N:$N,"Tidak Ditemukan")</f>
        <v>Abi Hilmawan</v>
      </c>
      <c r="G1466" s="21"/>
    </row>
    <row r="1467" spans="2:7">
      <c r="B1467" s="22" t="s">
        <v>1455</v>
      </c>
      <c r="C1467" s="23" t="s">
        <v>1456</v>
      </c>
      <c r="D1467" s="24" t="s">
        <v>1512</v>
      </c>
      <c r="E1467" s="25" t="s">
        <v>1722</v>
      </c>
      <c r="F1467" s="16" t="str">
        <f>_xlfn.XLOOKUP(D1467,[10]ALL!$C:$C,[10]ALL!$N:$N,"Tidak Ditemukan")</f>
        <v>CHINDY BIRE</v>
      </c>
      <c r="G1467" s="21"/>
    </row>
    <row r="1468" spans="2:7">
      <c r="B1468" s="22" t="s">
        <v>1455</v>
      </c>
      <c r="C1468" s="23" t="s">
        <v>1456</v>
      </c>
      <c r="D1468" s="24" t="s">
        <v>1513</v>
      </c>
      <c r="E1468" s="25" t="s">
        <v>1722</v>
      </c>
      <c r="F1468" s="16" t="str">
        <f>_xlfn.XLOOKUP(D1468,[10]ALL!$C:$C,[10]ALL!$N:$N,"Tidak Ditemukan")</f>
        <v>MANAHAN SIMATUPANG SIBURIAN</v>
      </c>
      <c r="G1468" s="21"/>
    </row>
    <row r="1469" spans="2:7">
      <c r="B1469" s="22" t="s">
        <v>1455</v>
      </c>
      <c r="C1469" s="23" t="s">
        <v>1456</v>
      </c>
      <c r="D1469" s="24" t="s">
        <v>1514</v>
      </c>
      <c r="E1469" s="25" t="s">
        <v>1722</v>
      </c>
      <c r="F1469" s="16" t="str">
        <f>_xlfn.XLOOKUP(D1469,[10]ALL!$C:$C,[10]ALL!$N:$N,"Tidak Ditemukan")</f>
        <v>ADRIAN ALFANDION BENU</v>
      </c>
      <c r="G1469" s="21"/>
    </row>
    <row r="1470" spans="2:7">
      <c r="B1470" s="22" t="s">
        <v>1455</v>
      </c>
      <c r="C1470" s="23" t="s">
        <v>1456</v>
      </c>
      <c r="D1470" s="24" t="s">
        <v>1515</v>
      </c>
      <c r="E1470" s="25" t="s">
        <v>1722</v>
      </c>
      <c r="F1470" s="16" t="str">
        <f>_xlfn.XLOOKUP(D1470,[10]ALL!$C:$C,[10]ALL!$N:$N,"Tidak Ditemukan")</f>
        <v>MUHAMMAD JUMADIL</v>
      </c>
      <c r="G1470" s="21"/>
    </row>
    <row r="1471" spans="2:7">
      <c r="B1471" s="22" t="s">
        <v>1455</v>
      </c>
      <c r="C1471" s="23" t="s">
        <v>1456</v>
      </c>
      <c r="D1471" s="24" t="s">
        <v>1516</v>
      </c>
      <c r="E1471" s="25" t="s">
        <v>1722</v>
      </c>
      <c r="F1471" s="16" t="str">
        <f>_xlfn.XLOOKUP(D1471,[10]ALL!$C:$C,[10]ALL!$N:$N,"Tidak Ditemukan")</f>
        <v>MUHAMMAD JUMADIL</v>
      </c>
      <c r="G1471" s="21"/>
    </row>
    <row r="1472" spans="2:7">
      <c r="B1472" s="22" t="s">
        <v>1455</v>
      </c>
      <c r="C1472" s="23" t="s">
        <v>1456</v>
      </c>
      <c r="D1472" s="24" t="s">
        <v>1517</v>
      </c>
      <c r="E1472" s="25" t="s">
        <v>1722</v>
      </c>
      <c r="F1472" s="16" t="str">
        <f>_xlfn.XLOOKUP(D1472,[10]ALL!$C:$C,[10]ALL!$N:$N,"Tidak Ditemukan")</f>
        <v>MUHAMMAD JUMADIL</v>
      </c>
      <c r="G1472" s="21"/>
    </row>
    <row r="1473" spans="2:7">
      <c r="B1473" s="22" t="s">
        <v>1455</v>
      </c>
      <c r="C1473" s="23" t="s">
        <v>1456</v>
      </c>
      <c r="D1473" s="24" t="s">
        <v>1518</v>
      </c>
      <c r="E1473" s="25" t="s">
        <v>1722</v>
      </c>
      <c r="F1473" s="16" t="str">
        <f>_xlfn.XLOOKUP(D1473,[10]ALL!$C:$C,[10]ALL!$N:$N,"Tidak Ditemukan")</f>
        <v>CHINDY BIRE</v>
      </c>
      <c r="G1473" s="21"/>
    </row>
    <row r="1474" spans="2:7">
      <c r="B1474" s="22" t="s">
        <v>1455</v>
      </c>
      <c r="C1474" s="23" t="s">
        <v>1456</v>
      </c>
      <c r="D1474" s="24" t="s">
        <v>1519</v>
      </c>
      <c r="E1474" s="25" t="s">
        <v>1722</v>
      </c>
      <c r="F1474" s="16" t="str">
        <f>_xlfn.XLOOKUP(D1474,[10]ALL!$C:$C,[10]ALL!$N:$N,"Tidak Ditemukan")</f>
        <v>JUNEIDI ANDRI MANDALA</v>
      </c>
      <c r="G1474" s="21"/>
    </row>
    <row r="1475" spans="2:7">
      <c r="B1475" s="22" t="s">
        <v>1455</v>
      </c>
      <c r="C1475" s="23" t="s">
        <v>1456</v>
      </c>
      <c r="D1475" s="24" t="s">
        <v>1520</v>
      </c>
      <c r="E1475" s="25" t="s">
        <v>1722</v>
      </c>
      <c r="F1475" s="16" t="str">
        <f>_xlfn.XLOOKUP(D1475,[10]ALL!$C:$C,[10]ALL!$N:$N,"Tidak Ditemukan")</f>
        <v>FELIX DEMASIUS FOENAY</v>
      </c>
      <c r="G1475" s="21"/>
    </row>
    <row r="1476" spans="2:7">
      <c r="B1476" s="22" t="s">
        <v>1455</v>
      </c>
      <c r="C1476" s="23" t="s">
        <v>1456</v>
      </c>
      <c r="D1476" s="24" t="s">
        <v>1521</v>
      </c>
      <c r="E1476" s="25" t="s">
        <v>1722</v>
      </c>
      <c r="F1476" s="16" t="str">
        <f>_xlfn.XLOOKUP(D1476,[10]ALL!$C:$C,[10]ALL!$N:$N,"Tidak Ditemukan")</f>
        <v>MUHAMMAD JUMADIL</v>
      </c>
      <c r="G1476" s="21"/>
    </row>
    <row r="1477" spans="2:7">
      <c r="B1477" s="22" t="s">
        <v>1455</v>
      </c>
      <c r="C1477" s="23" t="s">
        <v>1456</v>
      </c>
      <c r="D1477" s="24" t="s">
        <v>1522</v>
      </c>
      <c r="E1477" s="25" t="s">
        <v>1722</v>
      </c>
      <c r="F1477" s="16" t="str">
        <f>_xlfn.XLOOKUP(D1477,[10]ALL!$C:$C,[10]ALL!$N:$N,"Tidak Ditemukan")</f>
        <v>ARMIYATI BULU</v>
      </c>
      <c r="G1477" s="21"/>
    </row>
    <row r="1478" spans="2:7">
      <c r="B1478" s="22" t="s">
        <v>1455</v>
      </c>
      <c r="C1478" s="23" t="s">
        <v>1456</v>
      </c>
      <c r="D1478" s="24" t="s">
        <v>1523</v>
      </c>
      <c r="E1478" s="25" t="s">
        <v>1722</v>
      </c>
      <c r="F1478" s="16" t="str">
        <f>_xlfn.XLOOKUP(D1478,[10]ALL!$C:$C,[10]ALL!$N:$N,"Tidak Ditemukan")</f>
        <v>PETRUS TRIMULIA WANGGA DALA</v>
      </c>
      <c r="G1478" s="21"/>
    </row>
    <row r="1479" spans="2:7">
      <c r="B1479" s="22" t="s">
        <v>1455</v>
      </c>
      <c r="C1479" s="23" t="s">
        <v>1456</v>
      </c>
      <c r="D1479" s="24" t="s">
        <v>1524</v>
      </c>
      <c r="E1479" s="25" t="s">
        <v>1722</v>
      </c>
      <c r="F1479" s="16" t="str">
        <f>_xlfn.XLOOKUP(D1479,[10]ALL!$C:$C,[10]ALL!$N:$N,"Tidak Ditemukan")</f>
        <v>CICI TRISNAWATI NGGILLI</v>
      </c>
      <c r="G1479" s="21"/>
    </row>
    <row r="1480" spans="2:7">
      <c r="B1480" s="22" t="s">
        <v>1455</v>
      </c>
      <c r="C1480" s="23" t="s">
        <v>1456</v>
      </c>
      <c r="D1480" s="24" t="s">
        <v>1525</v>
      </c>
      <c r="E1480" s="25" t="s">
        <v>1722</v>
      </c>
      <c r="F1480" s="16" t="str">
        <f>_xlfn.XLOOKUP(D1480,[10]ALL!$C:$C,[10]ALL!$N:$N,"Tidak Ditemukan")</f>
        <v>MUHAMMAD JUMADIL</v>
      </c>
      <c r="G1480" s="21"/>
    </row>
    <row r="1481" spans="2:7">
      <c r="B1481" s="22" t="s">
        <v>1455</v>
      </c>
      <c r="C1481" s="23" t="s">
        <v>1456</v>
      </c>
      <c r="D1481" s="24" t="s">
        <v>1526</v>
      </c>
      <c r="E1481" s="25" t="s">
        <v>1722</v>
      </c>
      <c r="F1481" s="16" t="str">
        <f>_xlfn.XLOOKUP(D1481,[10]ALL!$C:$C,[10]ALL!$N:$N,"Tidak Ditemukan")</f>
        <v>PUTRY PRATIWY ELISABETH KAMEO</v>
      </c>
      <c r="G1481" s="21"/>
    </row>
    <row r="1482" spans="2:7">
      <c r="B1482" s="22" t="s">
        <v>1455</v>
      </c>
      <c r="C1482" s="23" t="s">
        <v>1456</v>
      </c>
      <c r="D1482" s="24" t="s">
        <v>1527</v>
      </c>
      <c r="E1482" s="25" t="s">
        <v>1722</v>
      </c>
      <c r="F1482" s="16" t="str">
        <f>_xlfn.XLOOKUP(D1482,[10]ALL!$C:$C,[10]ALL!$N:$N,"Tidak Ditemukan")</f>
        <v>M. SALAHUDIN</v>
      </c>
      <c r="G1482" s="21"/>
    </row>
    <row r="1483" spans="2:7">
      <c r="B1483" s="22" t="s">
        <v>1455</v>
      </c>
      <c r="C1483" s="23" t="s">
        <v>1456</v>
      </c>
      <c r="D1483" s="24" t="s">
        <v>1528</v>
      </c>
      <c r="E1483" s="25" t="s">
        <v>1722</v>
      </c>
      <c r="F1483" s="16" t="str">
        <f>_xlfn.XLOOKUP(D1483,[10]ALL!$C:$C,[10]ALL!$N:$N,"Tidak Ditemukan")</f>
        <v>ARMIYATI BULU</v>
      </c>
      <c r="G1483" s="21"/>
    </row>
    <row r="1484" spans="2:7">
      <c r="B1484" s="22" t="s">
        <v>1455</v>
      </c>
      <c r="C1484" s="23" t="s">
        <v>1456</v>
      </c>
      <c r="D1484" s="24" t="s">
        <v>1529</v>
      </c>
      <c r="E1484" s="25" t="s">
        <v>1722</v>
      </c>
      <c r="F1484" s="16" t="str">
        <f>_xlfn.XLOOKUP(D1484,[10]ALL!$C:$C,[10]ALL!$N:$N,"Tidak Ditemukan")</f>
        <v>ISMAIL ABDURAHMAN MARO</v>
      </c>
      <c r="G1484" s="21"/>
    </row>
    <row r="1485" spans="2:7">
      <c r="B1485" s="22" t="s">
        <v>1455</v>
      </c>
      <c r="C1485" s="23" t="s">
        <v>1456</v>
      </c>
      <c r="D1485" s="24" t="s">
        <v>1530</v>
      </c>
      <c r="E1485" s="25" t="s">
        <v>1722</v>
      </c>
      <c r="F1485" s="16" t="str">
        <f>_xlfn.XLOOKUP(D1485,[10]ALL!$C:$C,[10]ALL!$N:$N,"Tidak Ditemukan")</f>
        <v>ALOYSIUS RIWANTO</v>
      </c>
      <c r="G1485" s="21"/>
    </row>
    <row r="1486" spans="2:7">
      <c r="B1486" s="22" t="s">
        <v>1455</v>
      </c>
      <c r="C1486" s="23" t="s">
        <v>1456</v>
      </c>
      <c r="D1486" s="24" t="s">
        <v>1531</v>
      </c>
      <c r="E1486" s="25" t="s">
        <v>1722</v>
      </c>
      <c r="F1486" s="16" t="str">
        <f>_xlfn.XLOOKUP(D1486,[10]ALL!$C:$C,[10]ALL!$N:$N,"Tidak Ditemukan")</f>
        <v>ALOYSIUS RIWANTO</v>
      </c>
      <c r="G1486" s="21"/>
    </row>
    <row r="1487" spans="2:7">
      <c r="B1487" s="22" t="s">
        <v>1455</v>
      </c>
      <c r="C1487" s="23" t="s">
        <v>1456</v>
      </c>
      <c r="D1487" s="24" t="s">
        <v>1532</v>
      </c>
      <c r="E1487" s="25" t="s">
        <v>1722</v>
      </c>
      <c r="F1487" s="16" t="str">
        <f>_xlfn.XLOOKUP(D1487,[10]ALL!$C:$C,[10]ALL!$N:$N,"Tidak Ditemukan")</f>
        <v>PETRUS TRIMULIA WANGGA DALA</v>
      </c>
      <c r="G1487" s="21"/>
    </row>
    <row r="1488" spans="2:7">
      <c r="B1488" s="22" t="s">
        <v>1455</v>
      </c>
      <c r="C1488" s="23" t="s">
        <v>1456</v>
      </c>
      <c r="D1488" s="24" t="s">
        <v>1533</v>
      </c>
      <c r="E1488" s="25" t="s">
        <v>1722</v>
      </c>
      <c r="F1488" s="16" t="str">
        <f>_xlfn.XLOOKUP(D1488,[10]ALL!$C:$C,[10]ALL!$N:$N,"Tidak Ditemukan")</f>
        <v>ARMIYATI BULU</v>
      </c>
      <c r="G1488" s="21"/>
    </row>
    <row r="1489" spans="2:7">
      <c r="B1489" s="22" t="s">
        <v>1455</v>
      </c>
      <c r="C1489" s="23" t="s">
        <v>1456</v>
      </c>
      <c r="D1489" s="24" t="s">
        <v>1534</v>
      </c>
      <c r="E1489" s="25" t="s">
        <v>1722</v>
      </c>
      <c r="F1489" s="16" t="str">
        <f>_xlfn.XLOOKUP(D1489,[10]ALL!$C:$C,[10]ALL!$N:$N,"Tidak Ditemukan")</f>
        <v>ALOYSIUS RIWANTO</v>
      </c>
      <c r="G1489" s="21"/>
    </row>
    <row r="1490" spans="2:7">
      <c r="B1490" s="22" t="s">
        <v>1455</v>
      </c>
      <c r="C1490" s="23" t="s">
        <v>1456</v>
      </c>
      <c r="D1490" s="24" t="s">
        <v>1535</v>
      </c>
      <c r="E1490" s="25" t="s">
        <v>1722</v>
      </c>
      <c r="F1490" s="16" t="str">
        <f>_xlfn.XLOOKUP(D1490,[10]ALL!$C:$C,[10]ALL!$N:$N,"Tidak Ditemukan")</f>
        <v>PETRUS TRIMULIA WANGGA DALA</v>
      </c>
      <c r="G1490" s="21"/>
    </row>
    <row r="1491" spans="2:7">
      <c r="B1491" s="22" t="s">
        <v>1455</v>
      </c>
      <c r="C1491" s="23" t="s">
        <v>1456</v>
      </c>
      <c r="D1491" s="24" t="s">
        <v>1536</v>
      </c>
      <c r="E1491" s="25" t="s">
        <v>1722</v>
      </c>
      <c r="F1491" s="16" t="str">
        <f>_xlfn.XLOOKUP(D1491,[10]ALL!$C:$C,[10]ALL!$N:$N,"Tidak Ditemukan")</f>
        <v>CHINDY BIRE</v>
      </c>
      <c r="G1491" s="21"/>
    </row>
    <row r="1492" spans="2:7">
      <c r="B1492" s="22" t="s">
        <v>1455</v>
      </c>
      <c r="C1492" s="23" t="s">
        <v>1456</v>
      </c>
      <c r="D1492" s="24" t="s">
        <v>1537</v>
      </c>
      <c r="E1492" s="25" t="s">
        <v>1722</v>
      </c>
      <c r="F1492" s="16" t="str">
        <f>_xlfn.XLOOKUP(D1492,[10]ALL!$C:$C,[10]ALL!$N:$N,"Tidak Ditemukan")</f>
        <v>FAHRURRAZI</v>
      </c>
      <c r="G1492" s="21"/>
    </row>
    <row r="1493" spans="2:7">
      <c r="B1493" s="22" t="s">
        <v>1455</v>
      </c>
      <c r="C1493" s="23" t="s">
        <v>1456</v>
      </c>
      <c r="D1493" s="24" t="s">
        <v>1538</v>
      </c>
      <c r="E1493" s="25" t="s">
        <v>1722</v>
      </c>
      <c r="F1493" s="16" t="str">
        <f>_xlfn.XLOOKUP(D1493,[10]ALL!$C:$C,[10]ALL!$N:$N,"Tidak Ditemukan")</f>
        <v>PETRUS TRIMULIA WANGGA DALA</v>
      </c>
      <c r="G1493" s="21"/>
    </row>
    <row r="1494" spans="2:7">
      <c r="B1494" s="22" t="s">
        <v>1455</v>
      </c>
      <c r="C1494" s="23" t="s">
        <v>1456</v>
      </c>
      <c r="D1494" s="24" t="s">
        <v>1539</v>
      </c>
      <c r="E1494" s="25" t="s">
        <v>1722</v>
      </c>
      <c r="F1494" s="16" t="str">
        <f>_xlfn.XLOOKUP(D1494,[10]ALL!$C:$C,[10]ALL!$N:$N,"Tidak Ditemukan")</f>
        <v>ALOYSIUS RIWANTO</v>
      </c>
      <c r="G1494" s="21"/>
    </row>
    <row r="1495" spans="2:7">
      <c r="B1495" s="22" t="s">
        <v>1455</v>
      </c>
      <c r="C1495" s="23" t="s">
        <v>1456</v>
      </c>
      <c r="D1495" s="24" t="s">
        <v>1540</v>
      </c>
      <c r="E1495" s="25" t="s">
        <v>1722</v>
      </c>
      <c r="F1495" s="16" t="str">
        <f>_xlfn.XLOOKUP(D1495,[10]ALL!$C:$C,[10]ALL!$N:$N,"Tidak Ditemukan")</f>
        <v>MUHAMMAD JUMADIL</v>
      </c>
      <c r="G1495" s="21"/>
    </row>
    <row r="1496" spans="2:7">
      <c r="B1496" s="22" t="s">
        <v>1455</v>
      </c>
      <c r="C1496" s="23" t="s">
        <v>1456</v>
      </c>
      <c r="D1496" s="24" t="s">
        <v>1541</v>
      </c>
      <c r="E1496" s="25" t="s">
        <v>1722</v>
      </c>
      <c r="F1496" s="16" t="str">
        <f>_xlfn.XLOOKUP(D1496,[10]ALL!$C:$C,[10]ALL!$N:$N,"Tidak Ditemukan")</f>
        <v>I Gd Andika Adi Prasetya Murya</v>
      </c>
      <c r="G1496" s="21"/>
    </row>
    <row r="1497" spans="2:7">
      <c r="B1497" s="22" t="s">
        <v>1455</v>
      </c>
      <c r="C1497" s="23" t="s">
        <v>1456</v>
      </c>
      <c r="D1497" s="24" t="s">
        <v>1542</v>
      </c>
      <c r="E1497" s="25" t="s">
        <v>1722</v>
      </c>
      <c r="F1497" s="16" t="str">
        <f>_xlfn.XLOOKUP(D1497,[10]ALL!$C:$C,[10]ALL!$N:$N,"Tidak Ditemukan")</f>
        <v>MUHAMMAD JUMADIL</v>
      </c>
      <c r="G1497" s="21"/>
    </row>
    <row r="1498" spans="2:7">
      <c r="B1498" s="22" t="s">
        <v>1455</v>
      </c>
      <c r="C1498" s="23" t="s">
        <v>1456</v>
      </c>
      <c r="D1498" s="24" t="s">
        <v>1543</v>
      </c>
      <c r="E1498" s="25" t="s">
        <v>1722</v>
      </c>
      <c r="F1498" s="16" t="str">
        <f>_xlfn.XLOOKUP(D1498,[10]ALL!$C:$C,[10]ALL!$N:$N,"Tidak Ditemukan")</f>
        <v>GUSTI NGURAH ARY RAKA DARMAYASA, SE.MM</v>
      </c>
      <c r="G1498" s="21"/>
    </row>
    <row r="1499" spans="2:7">
      <c r="B1499" s="22" t="s">
        <v>1455</v>
      </c>
      <c r="C1499" s="23" t="s">
        <v>1456</v>
      </c>
      <c r="D1499" s="24" t="s">
        <v>1544</v>
      </c>
      <c r="E1499" s="25" t="s">
        <v>1722</v>
      </c>
      <c r="F1499" s="16" t="str">
        <f>_xlfn.XLOOKUP(D1499,[10]ALL!$C:$C,[10]ALL!$N:$N,"Tidak Ditemukan")</f>
        <v>MUHAMMAD TONY NUGRAHA</v>
      </c>
      <c r="G1499" s="21"/>
    </row>
    <row r="1500" spans="2:7">
      <c r="B1500" s="22" t="s">
        <v>1455</v>
      </c>
      <c r="C1500" s="23" t="s">
        <v>1456</v>
      </c>
      <c r="D1500" s="24" t="s">
        <v>1545</v>
      </c>
      <c r="E1500" s="25" t="s">
        <v>1722</v>
      </c>
      <c r="F1500" s="16" t="str">
        <f>_xlfn.XLOOKUP(D1500,[10]ALL!$C:$C,[10]ALL!$N:$N,"Tidak Ditemukan")</f>
        <v>MUHAMMAD TONY NUGRAHA</v>
      </c>
      <c r="G1500" s="21"/>
    </row>
    <row r="1501" spans="2:7">
      <c r="B1501" s="22" t="s">
        <v>1455</v>
      </c>
      <c r="C1501" s="23" t="s">
        <v>1456</v>
      </c>
      <c r="D1501" s="24" t="s">
        <v>1546</v>
      </c>
      <c r="E1501" s="25" t="s">
        <v>1722</v>
      </c>
      <c r="F1501" s="16" t="str">
        <f>_xlfn.XLOOKUP(D1501,[10]ALL!$C:$C,[10]ALL!$N:$N,"Tidak Ditemukan")</f>
        <v>GUSTI NGURAH ARY RAKA DARMAYASA, SE.MM</v>
      </c>
      <c r="G1501" s="21"/>
    </row>
    <row r="1502" spans="2:7">
      <c r="B1502" s="22" t="s">
        <v>1455</v>
      </c>
      <c r="C1502" s="23" t="s">
        <v>1456</v>
      </c>
      <c r="D1502" s="24" t="s">
        <v>1547</v>
      </c>
      <c r="E1502" s="25" t="s">
        <v>1722</v>
      </c>
      <c r="F1502" s="16" t="str">
        <f>_xlfn.XLOOKUP(D1502,[10]ALL!$C:$C,[10]ALL!$N:$N,"Tidak Ditemukan")</f>
        <v>GEMAYA WANGSA</v>
      </c>
      <c r="G1502" s="21"/>
    </row>
    <row r="1503" spans="2:7">
      <c r="B1503" s="22" t="s">
        <v>1455</v>
      </c>
      <c r="C1503" s="23" t="s">
        <v>1456</v>
      </c>
      <c r="D1503" s="24" t="s">
        <v>1548</v>
      </c>
      <c r="E1503" s="25" t="s">
        <v>1722</v>
      </c>
      <c r="F1503" s="16" t="str">
        <f>_xlfn.XLOOKUP(D1503,[10]ALL!$C:$C,[10]ALL!$N:$N,"Tidak Ditemukan")</f>
        <v>AGUS KADE DIVA RAMANA</v>
      </c>
      <c r="G1503" s="21"/>
    </row>
    <row r="1504" spans="2:7">
      <c r="B1504" s="22" t="s">
        <v>1455</v>
      </c>
      <c r="C1504" s="23" t="s">
        <v>1456</v>
      </c>
      <c r="D1504" s="24" t="s">
        <v>1549</v>
      </c>
      <c r="E1504" s="25" t="s">
        <v>1722</v>
      </c>
      <c r="F1504" s="16" t="str">
        <f>_xlfn.XLOOKUP(D1504,[10]ALL!$C:$C,[10]ALL!$N:$N,"Tidak Ditemukan")</f>
        <v>GEMAYA WANGSA</v>
      </c>
      <c r="G1504" s="21"/>
    </row>
    <row r="1505" spans="2:7">
      <c r="B1505" s="22" t="s">
        <v>1455</v>
      </c>
      <c r="C1505" s="23" t="s">
        <v>1456</v>
      </c>
      <c r="D1505" s="24" t="s">
        <v>1550</v>
      </c>
      <c r="E1505" s="25" t="s">
        <v>1722</v>
      </c>
      <c r="F1505" s="16" t="str">
        <f>_xlfn.XLOOKUP(D1505,[10]ALL!$C:$C,[10]ALL!$N:$N,"Tidak Ditemukan")</f>
        <v>YUNAN FURQONA RAMADHANI</v>
      </c>
      <c r="G1505" s="21"/>
    </row>
    <row r="1506" spans="2:7">
      <c r="B1506" s="22" t="s">
        <v>1455</v>
      </c>
      <c r="C1506" s="23" t="s">
        <v>1456</v>
      </c>
      <c r="D1506" s="24" t="s">
        <v>1551</v>
      </c>
      <c r="E1506" s="25" t="s">
        <v>1722</v>
      </c>
      <c r="F1506" s="16" t="str">
        <f>_xlfn.XLOOKUP(D1506,[10]ALL!$C:$C,[10]ALL!$N:$N,"Tidak Ditemukan")</f>
        <v>I Gd Andika Adi Prasetya Murya</v>
      </c>
      <c r="G1506" s="21"/>
    </row>
    <row r="1507" spans="2:7">
      <c r="B1507" s="22" t="s">
        <v>1455</v>
      </c>
      <c r="C1507" s="23" t="s">
        <v>1456</v>
      </c>
      <c r="D1507" s="24" t="s">
        <v>1552</v>
      </c>
      <c r="E1507" s="25" t="s">
        <v>1722</v>
      </c>
      <c r="F1507" s="16" t="str">
        <f>_xlfn.XLOOKUP(D1507,[10]ALL!$C:$C,[10]ALL!$N:$N,"Tidak Ditemukan")</f>
        <v>I Gd Andika Adi Prasetya Murya</v>
      </c>
      <c r="G1507" s="21"/>
    </row>
    <row r="1508" spans="2:7">
      <c r="B1508" s="22" t="s">
        <v>1455</v>
      </c>
      <c r="C1508" s="23" t="s">
        <v>1456</v>
      </c>
      <c r="D1508" s="24" t="s">
        <v>1553</v>
      </c>
      <c r="E1508" s="25" t="s">
        <v>1722</v>
      </c>
      <c r="F1508" s="16" t="str">
        <f>_xlfn.XLOOKUP(D1508,[10]ALL!$C:$C,[10]ALL!$N:$N,"Tidak Ditemukan")</f>
        <v>AGUSTINUS DICKY PURWONO</v>
      </c>
      <c r="G1508" s="21"/>
    </row>
    <row r="1509" spans="2:7">
      <c r="B1509" s="22" t="s">
        <v>1455</v>
      </c>
      <c r="C1509" s="23" t="s">
        <v>1456</v>
      </c>
      <c r="D1509" s="24" t="s">
        <v>1554</v>
      </c>
      <c r="E1509" s="25" t="s">
        <v>1722</v>
      </c>
      <c r="F1509" s="16" t="str">
        <f>_xlfn.XLOOKUP(D1509,[10]ALL!$C:$C,[10]ALL!$N:$N,"Tidak Ditemukan")</f>
        <v>AGUSTINUS DICKY PURWONO</v>
      </c>
      <c r="G1509" s="21"/>
    </row>
    <row r="1510" spans="2:7">
      <c r="B1510" s="22" t="s">
        <v>1455</v>
      </c>
      <c r="C1510" s="23" t="s">
        <v>1456</v>
      </c>
      <c r="D1510" s="24" t="s">
        <v>1555</v>
      </c>
      <c r="E1510" s="25" t="s">
        <v>1722</v>
      </c>
      <c r="F1510" s="16" t="str">
        <f>_xlfn.XLOOKUP(D1510,[10]ALL!$C:$C,[10]ALL!$N:$N,"Tidak Ditemukan")</f>
        <v>AGUSTINUS DICKY PURWONO</v>
      </c>
      <c r="G1510" s="21"/>
    </row>
    <row r="1511" spans="2:7">
      <c r="B1511" s="22" t="s">
        <v>1455</v>
      </c>
      <c r="C1511" s="23" t="s">
        <v>1456</v>
      </c>
      <c r="D1511" s="24" t="s">
        <v>1556</v>
      </c>
      <c r="E1511" s="25" t="s">
        <v>1722</v>
      </c>
      <c r="F1511" s="16" t="str">
        <f>_xlfn.XLOOKUP(D1511,[10]ALL!$C:$C,[10]ALL!$N:$N,"Tidak Ditemukan")</f>
        <v>AGUSTINUS DICKY PURWONO</v>
      </c>
      <c r="G1511" s="21"/>
    </row>
    <row r="1512" spans="2:7">
      <c r="B1512" s="22" t="s">
        <v>1455</v>
      </c>
      <c r="C1512" s="23" t="s">
        <v>1456</v>
      </c>
      <c r="D1512" s="24" t="s">
        <v>1557</v>
      </c>
      <c r="E1512" s="25" t="s">
        <v>1722</v>
      </c>
      <c r="F1512" s="16" t="str">
        <f>_xlfn.XLOOKUP(D1512,[10]ALL!$C:$C,[10]ALL!$N:$N,"Tidak Ditemukan")</f>
        <v>I Gd Andika Adi Prasetya Murya</v>
      </c>
      <c r="G1512" s="21"/>
    </row>
    <row r="1513" spans="2:7">
      <c r="B1513" s="22" t="s">
        <v>1455</v>
      </c>
      <c r="C1513" s="23" t="s">
        <v>1456</v>
      </c>
      <c r="D1513" s="24" t="s">
        <v>1558</v>
      </c>
      <c r="E1513" s="25" t="s">
        <v>1722</v>
      </c>
      <c r="F1513" s="16" t="str">
        <f>_xlfn.XLOOKUP(D1513,[10]ALL!$C:$C,[10]ALL!$N:$N,"Tidak Ditemukan")</f>
        <v>YUNAN FURQONA RAMADHANI</v>
      </c>
      <c r="G1513" s="21"/>
    </row>
    <row r="1514" spans="2:7">
      <c r="B1514" s="22" t="s">
        <v>1455</v>
      </c>
      <c r="C1514" s="23" t="s">
        <v>1456</v>
      </c>
      <c r="D1514" s="24" t="s">
        <v>1559</v>
      </c>
      <c r="E1514" s="25" t="s">
        <v>1722</v>
      </c>
      <c r="F1514" s="16" t="str">
        <f>_xlfn.XLOOKUP(D1514,[10]ALL!$C:$C,[10]ALL!$N:$N,"Tidak Ditemukan")</f>
        <v>GUSTI NGURAH ARY RAKA DARMAYASA, SE.MM</v>
      </c>
      <c r="G1514" s="21"/>
    </row>
    <row r="1515" spans="2:7">
      <c r="B1515" s="22" t="s">
        <v>1455</v>
      </c>
      <c r="C1515" s="23" t="s">
        <v>1456</v>
      </c>
      <c r="D1515" s="24" t="s">
        <v>1560</v>
      </c>
      <c r="E1515" s="25" t="s">
        <v>1722</v>
      </c>
      <c r="F1515" s="16" t="str">
        <f>_xlfn.XLOOKUP(D1515,[10]ALL!$C:$C,[10]ALL!$N:$N,"Tidak Ditemukan")</f>
        <v>AGUSTINUS DICKY PURWONO</v>
      </c>
      <c r="G1515" s="21"/>
    </row>
    <row r="1516" spans="2:7">
      <c r="B1516" s="22" t="s">
        <v>1455</v>
      </c>
      <c r="C1516" s="23" t="s">
        <v>1456</v>
      </c>
      <c r="D1516" s="24" t="s">
        <v>1561</v>
      </c>
      <c r="E1516" s="25" t="s">
        <v>1722</v>
      </c>
      <c r="F1516" s="16" t="str">
        <f>_xlfn.XLOOKUP(D1516,[10]ALL!$C:$C,[10]ALL!$N:$N,"Tidak Ditemukan")</f>
        <v>GUSTI NGURAH ARY RAKA DARMAYASA, SE.MM</v>
      </c>
      <c r="G1516" s="21"/>
    </row>
    <row r="1517" spans="2:7">
      <c r="B1517" s="22" t="s">
        <v>1455</v>
      </c>
      <c r="C1517" s="23" t="s">
        <v>1456</v>
      </c>
      <c r="D1517" s="24" t="s">
        <v>1562</v>
      </c>
      <c r="E1517" s="25" t="s">
        <v>1722</v>
      </c>
      <c r="F1517" s="16" t="str">
        <f>_xlfn.XLOOKUP(D1517,[10]ALL!$C:$C,[10]ALL!$N:$N,"Tidak Ditemukan")</f>
        <v>YUNAN FURQONA RAMADHANI</v>
      </c>
      <c r="G1517" s="21"/>
    </row>
    <row r="1518" spans="2:7">
      <c r="B1518" s="22" t="s">
        <v>1455</v>
      </c>
      <c r="C1518" s="23" t="s">
        <v>1456</v>
      </c>
      <c r="D1518" s="24" t="s">
        <v>1563</v>
      </c>
      <c r="E1518" s="25" t="s">
        <v>1722</v>
      </c>
      <c r="F1518" s="16" t="str">
        <f>_xlfn.XLOOKUP(D1518,[10]ALL!$C:$C,[10]ALL!$N:$N,"Tidak Ditemukan")</f>
        <v>YUNAN FURQONA RAMADHANI</v>
      </c>
      <c r="G1518" s="21"/>
    </row>
    <row r="1519" spans="2:7">
      <c r="B1519" s="22" t="s">
        <v>1455</v>
      </c>
      <c r="C1519" s="23" t="s">
        <v>1456</v>
      </c>
      <c r="D1519" s="24" t="s">
        <v>1564</v>
      </c>
      <c r="E1519" s="25" t="s">
        <v>1722</v>
      </c>
      <c r="F1519" s="16" t="str">
        <f>_xlfn.XLOOKUP(D1519,[10]ALL!$C:$C,[10]ALL!$N:$N,"Tidak Ditemukan")</f>
        <v>DEAR RAMOS DAMANIK</v>
      </c>
      <c r="G1519" s="21"/>
    </row>
    <row r="1520" spans="2:7">
      <c r="B1520" s="22" t="s">
        <v>1455</v>
      </c>
      <c r="C1520" s="23" t="s">
        <v>1456</v>
      </c>
      <c r="D1520" s="24" t="s">
        <v>1565</v>
      </c>
      <c r="E1520" s="25" t="s">
        <v>1722</v>
      </c>
      <c r="F1520" s="16" t="str">
        <f>_xlfn.XLOOKUP(D1520,[10]ALL!$C:$C,[10]ALL!$N:$N,"Tidak Ditemukan")</f>
        <v>DEAR RAMOS DAMANIK</v>
      </c>
      <c r="G1520" s="21"/>
    </row>
    <row r="1521" spans="2:7">
      <c r="B1521" s="22" t="s">
        <v>1455</v>
      </c>
      <c r="C1521" s="23" t="s">
        <v>1456</v>
      </c>
      <c r="D1521" s="24" t="s">
        <v>1566</v>
      </c>
      <c r="E1521" s="25" t="s">
        <v>1722</v>
      </c>
      <c r="F1521" s="16" t="str">
        <f>_xlfn.XLOOKUP(D1521,[10]ALL!$C:$C,[10]ALL!$N:$N,"Tidak Ditemukan")</f>
        <v>AGUS KADE DIVA RAMANA</v>
      </c>
      <c r="G1521" s="21"/>
    </row>
    <row r="1522" spans="2:7">
      <c r="B1522" s="22" t="s">
        <v>1455</v>
      </c>
      <c r="C1522" s="23" t="s">
        <v>1456</v>
      </c>
      <c r="D1522" s="24" t="s">
        <v>1567</v>
      </c>
      <c r="E1522" s="25" t="s">
        <v>1722</v>
      </c>
      <c r="F1522" s="16" t="str">
        <f>_xlfn.XLOOKUP(D1522,[10]ALL!$C:$C,[10]ALL!$N:$N,"Tidak Ditemukan")</f>
        <v>DEAR RAMOS DAMANIK</v>
      </c>
      <c r="G1522" s="21"/>
    </row>
    <row r="1523" spans="2:7">
      <c r="B1523" s="22" t="s">
        <v>1455</v>
      </c>
      <c r="C1523" s="23" t="s">
        <v>1456</v>
      </c>
      <c r="D1523" s="24" t="s">
        <v>1568</v>
      </c>
      <c r="E1523" s="25" t="s">
        <v>1722</v>
      </c>
      <c r="F1523" s="16" t="str">
        <f>_xlfn.XLOOKUP(D1523,[10]ALL!$C:$C,[10]ALL!$N:$N,"Tidak Ditemukan")</f>
        <v>AGUS KADE DIVA RAMANA</v>
      </c>
      <c r="G1523" s="21"/>
    </row>
    <row r="1524" spans="2:7">
      <c r="B1524" s="22" t="s">
        <v>1455</v>
      </c>
      <c r="C1524" s="23" t="s">
        <v>1456</v>
      </c>
      <c r="D1524" s="24" t="s">
        <v>1569</v>
      </c>
      <c r="E1524" s="25" t="s">
        <v>1722</v>
      </c>
      <c r="F1524" s="16" t="str">
        <f>_xlfn.XLOOKUP(D1524,[10]ALL!$C:$C,[10]ALL!$N:$N,"Tidak Ditemukan")</f>
        <v>DEAR RAMOS DAMANIK</v>
      </c>
      <c r="G1524" s="21"/>
    </row>
    <row r="1525" spans="2:7">
      <c r="B1525" s="22" t="s">
        <v>1455</v>
      </c>
      <c r="C1525" s="23" t="s">
        <v>1456</v>
      </c>
      <c r="D1525" s="24" t="s">
        <v>1570</v>
      </c>
      <c r="E1525" s="25" t="s">
        <v>1722</v>
      </c>
      <c r="F1525" s="16" t="str">
        <f>_xlfn.XLOOKUP(D1525,[10]ALL!$C:$C,[10]ALL!$N:$N,"Tidak Ditemukan")</f>
        <v>DEAR RAMOS DAMANIK</v>
      </c>
      <c r="G1525" s="21"/>
    </row>
    <row r="1526" spans="2:7">
      <c r="B1526" s="22" t="s">
        <v>1455</v>
      </c>
      <c r="C1526" s="23" t="s">
        <v>1456</v>
      </c>
      <c r="D1526" s="24" t="s">
        <v>1571</v>
      </c>
      <c r="E1526" s="25" t="s">
        <v>1722</v>
      </c>
      <c r="F1526" s="16" t="str">
        <f>_xlfn.XLOOKUP(D1526,[10]ALL!$C:$C,[10]ALL!$N:$N,"Tidak Ditemukan")</f>
        <v>DEAR RAMOS DAMANIK</v>
      </c>
      <c r="G1526" s="21"/>
    </row>
    <row r="1527" spans="2:7">
      <c r="B1527" s="22" t="s">
        <v>1455</v>
      </c>
      <c r="C1527" s="23" t="s">
        <v>1456</v>
      </c>
      <c r="D1527" s="24" t="s">
        <v>1572</v>
      </c>
      <c r="E1527" s="25" t="s">
        <v>1722</v>
      </c>
      <c r="F1527" s="16" t="str">
        <f>_xlfn.XLOOKUP(D1527,[10]ALL!$C:$C,[10]ALL!$N:$N,"Tidak Ditemukan")</f>
        <v>Rino Prasetya Wibowo</v>
      </c>
      <c r="G1527" s="21"/>
    </row>
    <row r="1528" spans="2:7">
      <c r="B1528" s="22" t="s">
        <v>1455</v>
      </c>
      <c r="C1528" s="23" t="s">
        <v>1456</v>
      </c>
      <c r="D1528" s="24" t="s">
        <v>1573</v>
      </c>
      <c r="E1528" s="25" t="s">
        <v>1722</v>
      </c>
      <c r="F1528" s="16" t="str">
        <f>_xlfn.XLOOKUP(D1528,[10]ALL!$C:$C,[10]ALL!$N:$N,"Tidak Ditemukan")</f>
        <v>I GEDE BAGUS ADI SURYAWAN , ST</v>
      </c>
      <c r="G1528" s="21"/>
    </row>
    <row r="1529" spans="2:7">
      <c r="B1529" s="22" t="s">
        <v>1455</v>
      </c>
      <c r="C1529" s="23" t="s">
        <v>1456</v>
      </c>
      <c r="D1529" s="24" t="s">
        <v>1574</v>
      </c>
      <c r="E1529" s="25" t="s">
        <v>1722</v>
      </c>
      <c r="F1529" s="16" t="str">
        <f>_xlfn.XLOOKUP(D1529,[10]ALL!$C:$C,[10]ALL!$N:$N,"Tidak Ditemukan")</f>
        <v>Rino Prasetya Wibowo</v>
      </c>
      <c r="G1529" s="21"/>
    </row>
    <row r="1530" spans="2:7">
      <c r="B1530" s="22" t="s">
        <v>1455</v>
      </c>
      <c r="C1530" s="23" t="s">
        <v>1456</v>
      </c>
      <c r="D1530" s="24" t="s">
        <v>1575</v>
      </c>
      <c r="E1530" s="25" t="s">
        <v>1722</v>
      </c>
      <c r="F1530" s="16" t="str">
        <f>_xlfn.XLOOKUP(D1530,[10]ALL!$C:$C,[10]ALL!$N:$N,"Tidak Ditemukan")</f>
        <v>AGUS PRADNYANA</v>
      </c>
      <c r="G1530" s="21"/>
    </row>
    <row r="1531" spans="2:7">
      <c r="B1531" s="22" t="s">
        <v>1455</v>
      </c>
      <c r="C1531" s="23" t="s">
        <v>1456</v>
      </c>
      <c r="D1531" s="24" t="s">
        <v>1576</v>
      </c>
      <c r="E1531" s="25" t="s">
        <v>1722</v>
      </c>
      <c r="F1531" s="16" t="str">
        <f>_xlfn.XLOOKUP(D1531,[10]ALL!$C:$C,[10]ALL!$N:$N,"Tidak Ditemukan")</f>
        <v>I KOMANG FERI INDRAJAYA</v>
      </c>
      <c r="G1531" s="21"/>
    </row>
    <row r="1532" spans="2:7">
      <c r="B1532" s="22" t="s">
        <v>1455</v>
      </c>
      <c r="C1532" s="23" t="s">
        <v>1456</v>
      </c>
      <c r="D1532" s="24" t="s">
        <v>1577</v>
      </c>
      <c r="E1532" s="25" t="s">
        <v>1722</v>
      </c>
      <c r="F1532" s="16" t="str">
        <f>_xlfn.XLOOKUP(D1532,[10]ALL!$C:$C,[10]ALL!$N:$N,"Tidak Ditemukan")</f>
        <v>AGUS PRADNYANA</v>
      </c>
      <c r="G1532" s="21"/>
    </row>
    <row r="1533" spans="2:7">
      <c r="B1533" s="22" t="s">
        <v>1455</v>
      </c>
      <c r="C1533" s="23" t="s">
        <v>1456</v>
      </c>
      <c r="D1533" s="24" t="s">
        <v>1578</v>
      </c>
      <c r="E1533" s="25" t="s">
        <v>1722</v>
      </c>
      <c r="F1533" s="16" t="str">
        <f>_xlfn.XLOOKUP(D1533,[10]ALL!$C:$C,[10]ALL!$N:$N,"Tidak Ditemukan")</f>
        <v>YUNAN FURQONA RAMADHANI</v>
      </c>
      <c r="G1533" s="21"/>
    </row>
    <row r="1534" spans="2:7">
      <c r="B1534" s="22" t="s">
        <v>1455</v>
      </c>
      <c r="C1534" s="23" t="s">
        <v>1456</v>
      </c>
      <c r="D1534" s="24" t="s">
        <v>1579</v>
      </c>
      <c r="E1534" s="25" t="s">
        <v>1722</v>
      </c>
      <c r="F1534" s="16" t="str">
        <f>_xlfn.XLOOKUP(D1534,[10]ALL!$C:$C,[10]ALL!$N:$N,"Tidak Ditemukan")</f>
        <v>Suhardi</v>
      </c>
      <c r="G1534" s="21"/>
    </row>
    <row r="1535" spans="2:7">
      <c r="B1535" s="22" t="s">
        <v>1455</v>
      </c>
      <c r="C1535" s="23" t="s">
        <v>1456</v>
      </c>
      <c r="D1535" s="24" t="s">
        <v>1580</v>
      </c>
      <c r="E1535" s="25" t="s">
        <v>1722</v>
      </c>
      <c r="F1535" s="16" t="str">
        <f>_xlfn.XLOOKUP(D1535,[10]ALL!$C:$C,[10]ALL!$N:$N,"Tidak Ditemukan")</f>
        <v>I Gd Andika Adi Prasetya Murya</v>
      </c>
      <c r="G1535" s="21"/>
    </row>
    <row r="1536" spans="2:7">
      <c r="B1536" s="22" t="s">
        <v>1455</v>
      </c>
      <c r="C1536" s="23" t="s">
        <v>1456</v>
      </c>
      <c r="D1536" s="24" t="s">
        <v>1581</v>
      </c>
      <c r="E1536" s="25" t="s">
        <v>1722</v>
      </c>
      <c r="F1536" s="16" t="str">
        <f>_xlfn.XLOOKUP(D1536,[10]ALL!$C:$C,[10]ALL!$N:$N,"Tidak Ditemukan")</f>
        <v>DEAR RAMOS DAMANIK</v>
      </c>
      <c r="G1536" s="21"/>
    </row>
    <row r="1537" spans="2:7">
      <c r="B1537" s="22" t="s">
        <v>1455</v>
      </c>
      <c r="C1537" s="23" t="s">
        <v>1456</v>
      </c>
      <c r="D1537" s="24" t="s">
        <v>1582</v>
      </c>
      <c r="E1537" s="25" t="s">
        <v>1722</v>
      </c>
      <c r="F1537" s="16" t="str">
        <f>_xlfn.XLOOKUP(D1537,[10]ALL!$C:$C,[10]ALL!$N:$N,"Tidak Ditemukan")</f>
        <v>DEAR RAMOS DAMANIK</v>
      </c>
      <c r="G1537" s="21"/>
    </row>
    <row r="1538" spans="2:7">
      <c r="B1538" s="22" t="s">
        <v>1455</v>
      </c>
      <c r="C1538" s="23" t="s">
        <v>1456</v>
      </c>
      <c r="D1538" s="24" t="s">
        <v>1583</v>
      </c>
      <c r="E1538" s="25" t="s">
        <v>1722</v>
      </c>
      <c r="F1538" s="16" t="str">
        <f>_xlfn.XLOOKUP(D1538,[10]ALL!$C:$C,[10]ALL!$N:$N,"Tidak Ditemukan")</f>
        <v>GEMAYA WANGSA</v>
      </c>
      <c r="G1538" s="21"/>
    </row>
    <row r="1539" spans="2:7">
      <c r="B1539" s="22" t="s">
        <v>1455</v>
      </c>
      <c r="C1539" s="23" t="s">
        <v>1456</v>
      </c>
      <c r="D1539" s="24" t="s">
        <v>1584</v>
      </c>
      <c r="E1539" s="25" t="s">
        <v>1722</v>
      </c>
      <c r="F1539" s="16" t="str">
        <f>_xlfn.XLOOKUP(D1539,[10]ALL!$C:$C,[10]ALL!$N:$N,"Tidak Ditemukan")</f>
        <v>DEAR RAMOS DAMANIK</v>
      </c>
      <c r="G1539" s="21"/>
    </row>
    <row r="1540" spans="2:7">
      <c r="B1540" s="22" t="s">
        <v>1455</v>
      </c>
      <c r="C1540" s="23" t="s">
        <v>1456</v>
      </c>
      <c r="D1540" s="24" t="s">
        <v>1585</v>
      </c>
      <c r="E1540" s="25" t="e">
        <v>#N/A</v>
      </c>
      <c r="F1540" s="16" t="str">
        <f>_xlfn.XLOOKUP(D1540,[10]ALL!$C:$C,[10]ALL!$N:$N,"Tidak Ditemukan")</f>
        <v>DEAR RAMOS DAMANIK</v>
      </c>
      <c r="G1540" s="21"/>
    </row>
    <row r="1541" spans="2:7">
      <c r="B1541" s="22" t="s">
        <v>1455</v>
      </c>
      <c r="C1541" s="23" t="s">
        <v>1456</v>
      </c>
      <c r="D1541" s="24" t="s">
        <v>1586</v>
      </c>
      <c r="E1541" s="25" t="s">
        <v>1722</v>
      </c>
      <c r="F1541" s="16" t="str">
        <f>_xlfn.XLOOKUP(D1541,[10]ALL!$C:$C,[10]ALL!$N:$N,"Tidak Ditemukan")</f>
        <v>Suhardi</v>
      </c>
      <c r="G1541" s="21"/>
    </row>
    <row r="1542" spans="2:7">
      <c r="B1542" s="22" t="s">
        <v>1455</v>
      </c>
      <c r="C1542" s="23" t="s">
        <v>1456</v>
      </c>
      <c r="D1542" s="24" t="s">
        <v>1587</v>
      </c>
      <c r="E1542" s="25" t="s">
        <v>1722</v>
      </c>
      <c r="F1542" s="16" t="str">
        <f>_xlfn.XLOOKUP(D1542,[10]ALL!$C:$C,[10]ALL!$N:$N,"Tidak Ditemukan")</f>
        <v>M. SALAHUDIN</v>
      </c>
      <c r="G1542" s="21"/>
    </row>
    <row r="1543" spans="2:7">
      <c r="B1543" s="22" t="s">
        <v>1455</v>
      </c>
      <c r="C1543" s="23" t="s">
        <v>1456</v>
      </c>
      <c r="D1543" s="24" t="s">
        <v>1588</v>
      </c>
      <c r="E1543" s="25" t="s">
        <v>1722</v>
      </c>
      <c r="F1543" s="16" t="str">
        <f>_xlfn.XLOOKUP(D1543,[10]ALL!$C:$C,[10]ALL!$N:$N,"Tidak Ditemukan")</f>
        <v>Abi Hilmawan</v>
      </c>
      <c r="G1543" s="21"/>
    </row>
    <row r="1544" spans="2:7">
      <c r="B1544" s="22" t="s">
        <v>1455</v>
      </c>
      <c r="C1544" s="23" t="s">
        <v>1456</v>
      </c>
      <c r="D1544" s="24" t="s">
        <v>1589</v>
      </c>
      <c r="E1544" s="25" t="s">
        <v>1722</v>
      </c>
      <c r="F1544" s="16" t="str">
        <f>_xlfn.XLOOKUP(D1544,[10]ALL!$C:$C,[10]ALL!$N:$N,"Tidak Ditemukan")</f>
        <v>Abi Hilmawan</v>
      </c>
      <c r="G1544" s="21"/>
    </row>
    <row r="1545" spans="2:7">
      <c r="B1545" s="22" t="s">
        <v>1455</v>
      </c>
      <c r="C1545" s="23" t="s">
        <v>1456</v>
      </c>
      <c r="D1545" s="24" t="s">
        <v>1590</v>
      </c>
      <c r="E1545" s="25" t="s">
        <v>1722</v>
      </c>
      <c r="F1545" s="16" t="str">
        <f>_xlfn.XLOOKUP(D1545,[10]ALL!$C:$C,[10]ALL!$N:$N,"Tidak Ditemukan")</f>
        <v>I Kadek Sandiyasa</v>
      </c>
      <c r="G1545" s="21"/>
    </row>
    <row r="1546" spans="2:7">
      <c r="B1546" s="22" t="s">
        <v>1455</v>
      </c>
      <c r="C1546" s="23" t="s">
        <v>1456</v>
      </c>
      <c r="D1546" s="24" t="s">
        <v>1591</v>
      </c>
      <c r="E1546" s="25" t="s">
        <v>1722</v>
      </c>
      <c r="F1546" s="16" t="str">
        <f>_xlfn.XLOOKUP(D1546,[10]ALL!$C:$C,[10]ALL!$N:$N,"Tidak Ditemukan")</f>
        <v>Ari Ardiansyah</v>
      </c>
      <c r="G1546" s="21"/>
    </row>
    <row r="1547" spans="2:7">
      <c r="B1547" s="22" t="s">
        <v>1455</v>
      </c>
      <c r="C1547" s="23" t="s">
        <v>1456</v>
      </c>
      <c r="D1547" s="24" t="s">
        <v>1592</v>
      </c>
      <c r="E1547" s="25" t="s">
        <v>1722</v>
      </c>
      <c r="F1547" s="16" t="str">
        <f>_xlfn.XLOOKUP(D1547,[10]ALL!$C:$C,[10]ALL!$N:$N,"Tidak Ditemukan")</f>
        <v>SYARIFUDDIN</v>
      </c>
      <c r="G1547" s="21"/>
    </row>
    <row r="1548" spans="2:7">
      <c r="B1548" s="22" t="s">
        <v>1455</v>
      </c>
      <c r="C1548" s="23" t="s">
        <v>1456</v>
      </c>
      <c r="D1548" s="24" t="s">
        <v>1593</v>
      </c>
      <c r="E1548" s="25" t="s">
        <v>1722</v>
      </c>
      <c r="F1548" s="16" t="str">
        <f>_xlfn.XLOOKUP(D1548,[10]ALL!$C:$C,[10]ALL!$N:$N,"Tidak Ditemukan")</f>
        <v>DENI SUSATYO</v>
      </c>
      <c r="G1548" s="21"/>
    </row>
    <row r="1549" spans="2:7">
      <c r="B1549" s="22" t="s">
        <v>1455</v>
      </c>
      <c r="C1549" s="23" t="s">
        <v>1456</v>
      </c>
      <c r="D1549" s="24" t="s">
        <v>1594</v>
      </c>
      <c r="E1549" s="25" t="s">
        <v>1722</v>
      </c>
      <c r="F1549" s="16" t="str">
        <f>_xlfn.XLOOKUP(D1549,[10]ALL!$C:$C,[10]ALL!$N:$N,"Tidak Ditemukan")</f>
        <v>Syamsul Bahri</v>
      </c>
      <c r="G1549" s="21"/>
    </row>
    <row r="1550" spans="2:7">
      <c r="B1550" s="22" t="s">
        <v>1455</v>
      </c>
      <c r="C1550" s="23" t="s">
        <v>1456</v>
      </c>
      <c r="D1550" s="24" t="s">
        <v>1595</v>
      </c>
      <c r="E1550" s="25" t="s">
        <v>1722</v>
      </c>
      <c r="F1550" s="16" t="str">
        <f>_xlfn.XLOOKUP(D1550,[10]ALL!$C:$C,[10]ALL!$N:$N,"Tidak Ditemukan")</f>
        <v>FAHRURRAZI</v>
      </c>
      <c r="G1550" s="21"/>
    </row>
    <row r="1551" spans="2:7">
      <c r="B1551" s="22" t="s">
        <v>1455</v>
      </c>
      <c r="C1551" s="23" t="s">
        <v>1456</v>
      </c>
      <c r="D1551" s="24" t="s">
        <v>1596</v>
      </c>
      <c r="E1551" s="25" t="s">
        <v>1722</v>
      </c>
      <c r="F1551" s="16" t="str">
        <f>_xlfn.XLOOKUP(D1551,[10]ALL!$C:$C,[10]ALL!$N:$N,"Tidak Ditemukan")</f>
        <v>Abi Hilmawan</v>
      </c>
      <c r="G1551" s="21"/>
    </row>
    <row r="1552" spans="2:7">
      <c r="B1552" s="22" t="s">
        <v>1455</v>
      </c>
      <c r="C1552" s="23" t="s">
        <v>1456</v>
      </c>
      <c r="D1552" s="24" t="s">
        <v>1597</v>
      </c>
      <c r="E1552" s="25" t="s">
        <v>1722</v>
      </c>
      <c r="F1552" s="16" t="str">
        <f>_xlfn.XLOOKUP(D1552,[10]ALL!$C:$C,[10]ALL!$N:$N,"Tidak Ditemukan")</f>
        <v>GEMAYA WANGSA</v>
      </c>
      <c r="G1552" s="21"/>
    </row>
    <row r="1553" spans="2:7">
      <c r="B1553" s="22" t="s">
        <v>1455</v>
      </c>
      <c r="C1553" s="23" t="s">
        <v>1456</v>
      </c>
      <c r="D1553" s="24" t="s">
        <v>1598</v>
      </c>
      <c r="E1553" s="25" t="s">
        <v>1722</v>
      </c>
      <c r="F1553" s="226" t="str">
        <f>_xlfn.XLOOKUP(D1553,[10]ALL!$C:$C,[10]ALL!$N:$N,"Tidak Ditemukan")</f>
        <v>Muhammad Aqil Fadhilah</v>
      </c>
      <c r="G1553" s="21"/>
    </row>
    <row r="1554" spans="2:7">
      <c r="B1554" s="22" t="s">
        <v>1455</v>
      </c>
      <c r="C1554" s="23" t="s">
        <v>1456</v>
      </c>
      <c r="D1554" s="24" t="s">
        <v>1599</v>
      </c>
      <c r="E1554" s="25" t="s">
        <v>1722</v>
      </c>
      <c r="F1554" s="16" t="str">
        <f>_xlfn.XLOOKUP(D1554,[10]ALL!$C:$C,[10]ALL!$N:$N,"Tidak Ditemukan")</f>
        <v>SYARIFUDDIN</v>
      </c>
      <c r="G1554" s="21"/>
    </row>
    <row r="1555" spans="2:7">
      <c r="B1555" s="22" t="s">
        <v>1455</v>
      </c>
      <c r="C1555" s="23" t="s">
        <v>1456</v>
      </c>
      <c r="D1555" s="24" t="s">
        <v>1600</v>
      </c>
      <c r="E1555" s="25" t="s">
        <v>1722</v>
      </c>
      <c r="F1555" s="16" t="str">
        <f>_xlfn.XLOOKUP(D1555,[10]ALL!$C:$C,[10]ALL!$N:$N,"Tidak Ditemukan")</f>
        <v>GEMAYA WANGSA</v>
      </c>
      <c r="G1555" s="21"/>
    </row>
    <row r="1556" spans="2:7">
      <c r="B1556" s="22" t="s">
        <v>1455</v>
      </c>
      <c r="C1556" s="23" t="s">
        <v>1456</v>
      </c>
      <c r="D1556" s="24" t="s">
        <v>1601</v>
      </c>
      <c r="E1556" s="25" t="s">
        <v>1722</v>
      </c>
      <c r="F1556" s="16" t="str">
        <f>_xlfn.XLOOKUP(D1556,[10]ALL!$C:$C,[10]ALL!$N:$N,"Tidak Ditemukan")</f>
        <v>Abi Hilmawan</v>
      </c>
      <c r="G1556" s="21"/>
    </row>
    <row r="1557" spans="2:7">
      <c r="B1557" s="22" t="s">
        <v>1455</v>
      </c>
      <c r="C1557" s="23" t="s">
        <v>1456</v>
      </c>
      <c r="D1557" s="24" t="s">
        <v>1602</v>
      </c>
      <c r="E1557" s="25" t="s">
        <v>1722</v>
      </c>
      <c r="F1557" s="16" t="str">
        <f>_xlfn.XLOOKUP(D1557,[10]ALL!$C:$C,[10]ALL!$N:$N,"Tidak Ditemukan")</f>
        <v>I Kadek Sandiyasa</v>
      </c>
      <c r="G1557" s="21"/>
    </row>
    <row r="1558" spans="2:7">
      <c r="B1558" s="22" t="s">
        <v>1455</v>
      </c>
      <c r="C1558" s="23" t="s">
        <v>1456</v>
      </c>
      <c r="D1558" s="24" t="s">
        <v>1603</v>
      </c>
      <c r="E1558" s="25" t="s">
        <v>1722</v>
      </c>
      <c r="F1558" s="16" t="str">
        <f>_xlfn.XLOOKUP(D1558,[10]ALL!$C:$C,[10]ALL!$N:$N,"Tidak Ditemukan")</f>
        <v>FAHRURRAZI</v>
      </c>
      <c r="G1558" s="21"/>
    </row>
    <row r="1559" spans="2:7">
      <c r="B1559" s="22" t="s">
        <v>1455</v>
      </c>
      <c r="C1559" s="23" t="s">
        <v>1456</v>
      </c>
      <c r="D1559" s="24" t="s">
        <v>1604</v>
      </c>
      <c r="E1559" s="25" t="s">
        <v>1722</v>
      </c>
      <c r="F1559" s="16" t="str">
        <f>_xlfn.XLOOKUP(D1559,[10]ALL!$C:$C,[10]ALL!$N:$N,"Tidak Ditemukan")</f>
        <v>Ari Ardiansyah</v>
      </c>
      <c r="G1559" s="21"/>
    </row>
    <row r="1560" spans="2:7">
      <c r="B1560" s="22" t="s">
        <v>1455</v>
      </c>
      <c r="C1560" s="23" t="s">
        <v>1456</v>
      </c>
      <c r="D1560" s="24" t="s">
        <v>1605</v>
      </c>
      <c r="E1560" s="25" t="s">
        <v>1722</v>
      </c>
      <c r="F1560" s="16" t="str">
        <f>_xlfn.XLOOKUP(D1560,[10]ALL!$C:$C,[10]ALL!$N:$N,"Tidak Ditemukan")</f>
        <v>Suhardi</v>
      </c>
      <c r="G1560" s="21"/>
    </row>
    <row r="1561" spans="2:7">
      <c r="B1561" s="22" t="s">
        <v>1455</v>
      </c>
      <c r="C1561" s="23" t="s">
        <v>1456</v>
      </c>
      <c r="D1561" s="24" t="s">
        <v>1606</v>
      </c>
      <c r="E1561" s="25" t="s">
        <v>1722</v>
      </c>
      <c r="F1561" s="16" t="str">
        <f>_xlfn.XLOOKUP(D1561,[10]ALL!$C:$C,[10]ALL!$N:$N,"Tidak Ditemukan")</f>
        <v>FAHRURRAZI</v>
      </c>
      <c r="G1561" s="21"/>
    </row>
    <row r="1562" spans="2:7">
      <c r="B1562" s="22" t="s">
        <v>1455</v>
      </c>
      <c r="C1562" s="23" t="s">
        <v>1456</v>
      </c>
      <c r="D1562" s="24" t="s">
        <v>1607</v>
      </c>
      <c r="E1562" s="25" t="s">
        <v>1722</v>
      </c>
      <c r="F1562" s="16" t="str">
        <f>_xlfn.XLOOKUP(D1562,[10]ALL!$C:$C,[10]ALL!$N:$N,"Tidak Ditemukan")</f>
        <v>Ari Ardiansyah</v>
      </c>
      <c r="G1562" s="21"/>
    </row>
    <row r="1563" spans="2:7">
      <c r="B1563" s="22" t="s">
        <v>1455</v>
      </c>
      <c r="C1563" s="23" t="s">
        <v>1456</v>
      </c>
      <c r="D1563" s="24" t="s">
        <v>1608</v>
      </c>
      <c r="E1563" s="25" t="s">
        <v>1722</v>
      </c>
      <c r="F1563" s="16" t="str">
        <f>_xlfn.XLOOKUP(D1563,[10]ALL!$C:$C,[10]ALL!$N:$N,"Tidak Ditemukan")</f>
        <v>ANTON IQRA ANUGRA</v>
      </c>
      <c r="G1563" s="21"/>
    </row>
    <row r="1564" spans="2:7">
      <c r="B1564" s="22" t="s">
        <v>1455</v>
      </c>
      <c r="C1564" s="23" t="s">
        <v>1456</v>
      </c>
      <c r="D1564" s="24" t="s">
        <v>1609</v>
      </c>
      <c r="E1564" s="25" t="s">
        <v>1722</v>
      </c>
      <c r="F1564" s="16" t="str">
        <f>_xlfn.XLOOKUP(D1564,[10]ALL!$C:$C,[10]ALL!$N:$N,"Tidak Ditemukan")</f>
        <v>Ari Ardiansyah</v>
      </c>
      <c r="G1564" s="21"/>
    </row>
    <row r="1565" spans="2:7">
      <c r="B1565" s="22" t="s">
        <v>1455</v>
      </c>
      <c r="C1565" s="23" t="s">
        <v>1456</v>
      </c>
      <c r="D1565" s="24" t="s">
        <v>1610</v>
      </c>
      <c r="E1565" s="25" t="s">
        <v>1722</v>
      </c>
      <c r="F1565" s="16" t="str">
        <f>_xlfn.XLOOKUP(D1565,[10]ALL!$C:$C,[10]ALL!$N:$N,"Tidak Ditemukan")</f>
        <v>DENI SUSATYO</v>
      </c>
      <c r="G1565" s="21"/>
    </row>
    <row r="1566" spans="2:7">
      <c r="B1566" s="22" t="s">
        <v>1455</v>
      </c>
      <c r="C1566" s="23" t="s">
        <v>1456</v>
      </c>
      <c r="D1566" s="24" t="s">
        <v>1611</v>
      </c>
      <c r="E1566" s="25" t="s">
        <v>1722</v>
      </c>
      <c r="F1566" s="16" t="str">
        <f>_xlfn.XLOOKUP(D1566,[10]ALL!$C:$C,[10]ALL!$N:$N,"Tidak Ditemukan")</f>
        <v>Suhardi</v>
      </c>
      <c r="G1566" s="21"/>
    </row>
    <row r="1567" spans="2:7">
      <c r="B1567" s="22" t="s">
        <v>1455</v>
      </c>
      <c r="C1567" s="23" t="s">
        <v>1456</v>
      </c>
      <c r="D1567" s="24" t="s">
        <v>1612</v>
      </c>
      <c r="E1567" s="25" t="s">
        <v>1722</v>
      </c>
      <c r="F1567" s="16" t="str">
        <f>_xlfn.XLOOKUP(D1567,[10]ALL!$C:$C,[10]ALL!$N:$N,"Tidak Ditemukan")</f>
        <v>MUHAMMAD TONY NUGRAHA</v>
      </c>
      <c r="G1567" s="21"/>
    </row>
    <row r="1568" spans="2:7">
      <c r="B1568" s="22" t="s">
        <v>1455</v>
      </c>
      <c r="C1568" s="23" t="s">
        <v>1456</v>
      </c>
      <c r="D1568" s="24" t="s">
        <v>1613</v>
      </c>
      <c r="E1568" s="25" t="s">
        <v>1722</v>
      </c>
      <c r="F1568" s="16" t="str">
        <f>_xlfn.XLOOKUP(D1568,[10]ALL!$C:$C,[10]ALL!$N:$N,"Tidak Ditemukan")</f>
        <v>MUHAMMAD TONY NUGRAHA</v>
      </c>
      <c r="G1568" s="21"/>
    </row>
    <row r="1569" spans="2:7">
      <c r="B1569" s="22" t="s">
        <v>1455</v>
      </c>
      <c r="C1569" s="23" t="s">
        <v>1456</v>
      </c>
      <c r="D1569" s="24" t="s">
        <v>1614</v>
      </c>
      <c r="E1569" s="25" t="s">
        <v>1722</v>
      </c>
      <c r="F1569" s="16" t="str">
        <f>_xlfn.XLOOKUP(D1569,[10]ALL!$C:$C,[10]ALL!$N:$N,"Tidak Ditemukan")</f>
        <v>Abi Hilmawan</v>
      </c>
      <c r="G1569" s="21"/>
    </row>
    <row r="1570" spans="2:7">
      <c r="B1570" s="22" t="s">
        <v>1455</v>
      </c>
      <c r="C1570" s="23" t="s">
        <v>1456</v>
      </c>
      <c r="D1570" s="24" t="s">
        <v>1615</v>
      </c>
      <c r="E1570" s="25" t="s">
        <v>1722</v>
      </c>
      <c r="F1570" s="16" t="str">
        <f>_xlfn.XLOOKUP(D1570,[10]ALL!$C:$C,[10]ALL!$N:$N,"Tidak Ditemukan")</f>
        <v>Suhardi</v>
      </c>
      <c r="G1570" s="21"/>
    </row>
    <row r="1571" spans="2:7">
      <c r="B1571" s="22" t="s">
        <v>1455</v>
      </c>
      <c r="C1571" s="23" t="s">
        <v>1456</v>
      </c>
      <c r="D1571" s="24" t="s">
        <v>1616</v>
      </c>
      <c r="E1571" s="25" t="s">
        <v>1722</v>
      </c>
      <c r="F1571" s="16" t="str">
        <f>_xlfn.XLOOKUP(D1571,[10]ALL!$C:$C,[10]ALL!$N:$N,"Tidak Ditemukan")</f>
        <v>MUHAMMAD JUMADIL</v>
      </c>
      <c r="G1571" s="21"/>
    </row>
    <row r="1572" spans="2:7">
      <c r="B1572" s="22" t="s">
        <v>1455</v>
      </c>
      <c r="C1572" s="23" t="s">
        <v>1456</v>
      </c>
      <c r="D1572" s="24" t="s">
        <v>1617</v>
      </c>
      <c r="E1572" s="25" t="s">
        <v>1722</v>
      </c>
      <c r="F1572" s="16" t="str">
        <f>_xlfn.XLOOKUP(D1572,[10]ALL!$C:$C,[10]ALL!$N:$N,"Tidak Ditemukan")</f>
        <v>DENI SUSATYO</v>
      </c>
      <c r="G1572" s="21"/>
    </row>
    <row r="1573" spans="2:7">
      <c r="B1573" s="22" t="s">
        <v>1455</v>
      </c>
      <c r="C1573" s="23" t="s">
        <v>1456</v>
      </c>
      <c r="D1573" s="24" t="s">
        <v>1618</v>
      </c>
      <c r="E1573" s="25" t="s">
        <v>1722</v>
      </c>
      <c r="F1573" s="16" t="str">
        <f>_xlfn.XLOOKUP(D1573,[10]ALL!$C:$C,[10]ALL!$N:$N,"Tidak Ditemukan")</f>
        <v>I Kadek Sandiyasa</v>
      </c>
      <c r="G1573" s="21"/>
    </row>
    <row r="1574" spans="2:7">
      <c r="B1574" s="22" t="s">
        <v>1455</v>
      </c>
      <c r="C1574" s="23" t="s">
        <v>1456</v>
      </c>
      <c r="D1574" s="24" t="s">
        <v>1619</v>
      </c>
      <c r="E1574" s="25" t="s">
        <v>1722</v>
      </c>
      <c r="F1574" s="16" t="str">
        <f>_xlfn.XLOOKUP(D1574,[10]ALL!$C:$C,[10]ALL!$N:$N,"Tidak Ditemukan")</f>
        <v>MUHAMMAD TONY NUGRAHA</v>
      </c>
      <c r="G1574" s="21"/>
    </row>
    <row r="1575" spans="2:7">
      <c r="B1575" s="22" t="s">
        <v>1455</v>
      </c>
      <c r="C1575" s="23" t="s">
        <v>1456</v>
      </c>
      <c r="D1575" s="24" t="s">
        <v>1620</v>
      </c>
      <c r="E1575" s="25" t="s">
        <v>1722</v>
      </c>
      <c r="F1575" s="16" t="str">
        <f>_xlfn.XLOOKUP(D1575,[10]ALL!$C:$C,[10]ALL!$N:$N,"Tidak Ditemukan")</f>
        <v>Resi Marsila</v>
      </c>
      <c r="G1575" s="21"/>
    </row>
    <row r="1576" spans="2:7">
      <c r="B1576" s="22" t="s">
        <v>1455</v>
      </c>
      <c r="C1576" s="23" t="s">
        <v>1456</v>
      </c>
      <c r="D1576" s="24" t="s">
        <v>1621</v>
      </c>
      <c r="E1576" s="25" t="s">
        <v>1722</v>
      </c>
      <c r="F1576" s="16" t="str">
        <f>_xlfn.XLOOKUP(D1576,[10]ALL!$C:$C,[10]ALL!$N:$N,"Tidak Ditemukan")</f>
        <v>DENI SUSATYO</v>
      </c>
      <c r="G1576" s="21"/>
    </row>
    <row r="1577" spans="2:7">
      <c r="B1577" s="22" t="s">
        <v>1455</v>
      </c>
      <c r="C1577" s="23" t="s">
        <v>1456</v>
      </c>
      <c r="D1577" s="24" t="s">
        <v>1622</v>
      </c>
      <c r="E1577" s="25" t="s">
        <v>1722</v>
      </c>
      <c r="F1577" s="16" t="str">
        <f>_xlfn.XLOOKUP(D1577,[10]ALL!$C:$C,[10]ALL!$N:$N,"Tidak Ditemukan")</f>
        <v>GEMAYA WANGSA</v>
      </c>
      <c r="G1577" s="21"/>
    </row>
    <row r="1578" spans="2:7">
      <c r="B1578" s="22" t="s">
        <v>1455</v>
      </c>
      <c r="C1578" s="23" t="s">
        <v>1456</v>
      </c>
      <c r="D1578" s="24" t="s">
        <v>1623</v>
      </c>
      <c r="E1578" s="25" t="s">
        <v>1722</v>
      </c>
      <c r="F1578" s="16" t="str">
        <f>_xlfn.XLOOKUP(D1578,[10]ALL!$C:$C,[10]ALL!$N:$N,"Tidak Ditemukan")</f>
        <v>I Kadek Sandiyasa</v>
      </c>
      <c r="G1578" s="21"/>
    </row>
    <row r="1579" spans="2:7">
      <c r="B1579" s="22" t="s">
        <v>1455</v>
      </c>
      <c r="C1579" s="23" t="s">
        <v>1456</v>
      </c>
      <c r="D1579" s="24" t="s">
        <v>1624</v>
      </c>
      <c r="E1579" s="25" t="s">
        <v>1722</v>
      </c>
      <c r="F1579" s="16" t="str">
        <f>_xlfn.XLOOKUP(D1579,[10]ALL!$C:$C,[10]ALL!$N:$N,"Tidak Ditemukan")</f>
        <v>MUHAMMAD JUMADIL</v>
      </c>
      <c r="G1579" s="21"/>
    </row>
    <row r="1580" spans="2:7">
      <c r="B1580" s="22" t="s">
        <v>1455</v>
      </c>
      <c r="C1580" s="23" t="s">
        <v>1456</v>
      </c>
      <c r="D1580" s="24" t="s">
        <v>1625</v>
      </c>
      <c r="E1580" s="25" t="s">
        <v>1722</v>
      </c>
      <c r="F1580" s="16" t="str">
        <f>_xlfn.XLOOKUP(D1580,[10]ALL!$C:$C,[10]ALL!$N:$N,"Tidak Ditemukan")</f>
        <v>MUHAMMAD JUMADIL</v>
      </c>
      <c r="G1580" s="21"/>
    </row>
    <row r="1581" spans="2:7">
      <c r="B1581" s="22" t="s">
        <v>1455</v>
      </c>
      <c r="C1581" s="23" t="s">
        <v>1456</v>
      </c>
      <c r="D1581" s="24" t="s">
        <v>1626</v>
      </c>
      <c r="E1581" s="25" t="s">
        <v>1722</v>
      </c>
      <c r="F1581" s="16" t="str">
        <f>_xlfn.XLOOKUP(D1581,[10]ALL!$C:$C,[10]ALL!$N:$N,"Tidak Ditemukan")</f>
        <v>Abi Hilmawan</v>
      </c>
      <c r="G1581" s="21"/>
    </row>
    <row r="1582" spans="2:7">
      <c r="B1582" s="22" t="s">
        <v>1455</v>
      </c>
      <c r="C1582" s="23" t="s">
        <v>1456</v>
      </c>
      <c r="D1582" s="24" t="s">
        <v>1627</v>
      </c>
      <c r="E1582" s="25" t="s">
        <v>1722</v>
      </c>
      <c r="F1582" s="16" t="str">
        <f>_xlfn.XLOOKUP(D1582,[10]ALL!$C:$C,[10]ALL!$N:$N,"Tidak Ditemukan")</f>
        <v>AGUS KADE DIVA RAMANA</v>
      </c>
      <c r="G1582" s="21"/>
    </row>
    <row r="1583" spans="2:7">
      <c r="B1583" s="22" t="s">
        <v>1455</v>
      </c>
      <c r="C1583" s="23" t="s">
        <v>1456</v>
      </c>
      <c r="D1583" s="24" t="s">
        <v>1628</v>
      </c>
      <c r="E1583" s="25" t="s">
        <v>1722</v>
      </c>
      <c r="F1583" s="16" t="str">
        <f>_xlfn.XLOOKUP(D1583,[10]ALL!$C:$C,[10]ALL!$N:$N,"Tidak Ditemukan")</f>
        <v>Rino Prasetya Wibowo</v>
      </c>
      <c r="G1583" s="21"/>
    </row>
    <row r="1584" spans="2:7">
      <c r="B1584" s="22" t="s">
        <v>1455</v>
      </c>
      <c r="C1584" s="23" t="s">
        <v>1456</v>
      </c>
      <c r="D1584" s="24" t="s">
        <v>1629</v>
      </c>
      <c r="E1584" s="25" t="s">
        <v>1722</v>
      </c>
      <c r="F1584" s="16" t="str">
        <f>_xlfn.XLOOKUP(D1584,[10]ALL!$C:$C,[10]ALL!$N:$N,"Tidak Ditemukan")</f>
        <v>I GEDE BAGUS ADI SURYAWAN , ST</v>
      </c>
      <c r="G1584" s="21"/>
    </row>
    <row r="1585" spans="2:7">
      <c r="B1585" s="22" t="s">
        <v>1455</v>
      </c>
      <c r="C1585" s="23" t="s">
        <v>1456</v>
      </c>
      <c r="D1585" s="24" t="s">
        <v>1630</v>
      </c>
      <c r="E1585" s="25" t="s">
        <v>1722</v>
      </c>
      <c r="F1585" s="16" t="str">
        <f>_xlfn.XLOOKUP(D1585,[10]ALL!$C:$C,[10]ALL!$N:$N,"Tidak Ditemukan")</f>
        <v>Rino Prasetya Wibowo</v>
      </c>
      <c r="G1585" s="21"/>
    </row>
    <row r="1586" spans="2:7">
      <c r="B1586" s="22" t="s">
        <v>1455</v>
      </c>
      <c r="C1586" s="23" t="s">
        <v>1456</v>
      </c>
      <c r="D1586" s="24" t="s">
        <v>1631</v>
      </c>
      <c r="E1586" s="25" t="s">
        <v>1722</v>
      </c>
      <c r="F1586" s="16" t="str">
        <f>_xlfn.XLOOKUP(D1586,[10]ALL!$C:$C,[10]ALL!$N:$N,"Tidak Ditemukan")</f>
        <v>I KOMANG FERI INDRAJAYA</v>
      </c>
      <c r="G1586" s="21"/>
    </row>
    <row r="1587" spans="2:7">
      <c r="B1587" s="22" t="s">
        <v>1455</v>
      </c>
      <c r="C1587" s="23" t="s">
        <v>1456</v>
      </c>
      <c r="D1587" s="24" t="s">
        <v>1632</v>
      </c>
      <c r="E1587" s="25" t="s">
        <v>1722</v>
      </c>
      <c r="F1587" s="16" t="str">
        <f>_xlfn.XLOOKUP(D1587,[10]ALL!$C:$C,[10]ALL!$N:$N,"Tidak Ditemukan")</f>
        <v>AGUS PRADNYANA</v>
      </c>
      <c r="G1587" s="21"/>
    </row>
    <row r="1588" spans="2:7">
      <c r="B1588" s="22" t="s">
        <v>1455</v>
      </c>
      <c r="C1588" s="23" t="s">
        <v>1456</v>
      </c>
      <c r="D1588" s="24" t="s">
        <v>1633</v>
      </c>
      <c r="E1588" s="25" t="s">
        <v>1722</v>
      </c>
      <c r="F1588" s="16" t="str">
        <f>_xlfn.XLOOKUP(D1588,[10]ALL!$C:$C,[10]ALL!$N:$N,"Tidak Ditemukan")</f>
        <v>I GEDE BAGUS ADI SURYAWAN , ST</v>
      </c>
      <c r="G1588" s="21"/>
    </row>
    <row r="1589" spans="2:7">
      <c r="B1589" s="22" t="s">
        <v>1455</v>
      </c>
      <c r="C1589" s="23" t="s">
        <v>1456</v>
      </c>
      <c r="D1589" s="24" t="s">
        <v>1634</v>
      </c>
      <c r="E1589" s="25" t="s">
        <v>1722</v>
      </c>
      <c r="F1589" s="16" t="str">
        <f>_xlfn.XLOOKUP(D1589,[10]ALL!$C:$C,[10]ALL!$N:$N,"Tidak Ditemukan")</f>
        <v>I GEDE BAGUS ADI SURYAWAN , ST</v>
      </c>
      <c r="G1589" s="21"/>
    </row>
    <row r="1590" spans="2:7">
      <c r="B1590" s="22" t="s">
        <v>1455</v>
      </c>
      <c r="C1590" s="23" t="s">
        <v>1456</v>
      </c>
      <c r="D1590" s="24" t="s">
        <v>1635</v>
      </c>
      <c r="E1590" s="25" t="s">
        <v>1722</v>
      </c>
      <c r="F1590" s="16" t="str">
        <f>_xlfn.XLOOKUP(D1590,[10]ALL!$C:$C,[10]ALL!$N:$N,"Tidak Ditemukan")</f>
        <v>I GEDE BAGUS ADI SURYAWAN , ST</v>
      </c>
      <c r="G1590" s="21"/>
    </row>
    <row r="1591" spans="2:7">
      <c r="B1591" s="22" t="s">
        <v>1455</v>
      </c>
      <c r="C1591" s="23" t="s">
        <v>1456</v>
      </c>
      <c r="D1591" s="24" t="s">
        <v>1636</v>
      </c>
      <c r="E1591" s="25" t="s">
        <v>1722</v>
      </c>
      <c r="F1591" s="16" t="str">
        <f>_xlfn.XLOOKUP(D1591,[10]ALL!$C:$C,[10]ALL!$N:$N,"Tidak Ditemukan")</f>
        <v>I GEDE BAGUS ADI SURYAWAN , ST</v>
      </c>
      <c r="G1591" s="21"/>
    </row>
    <row r="1592" spans="2:7">
      <c r="B1592" s="22" t="s">
        <v>1455</v>
      </c>
      <c r="C1592" s="23" t="s">
        <v>1456</v>
      </c>
      <c r="D1592" s="24" t="s">
        <v>1637</v>
      </c>
      <c r="E1592" s="25" t="s">
        <v>1722</v>
      </c>
      <c r="F1592" s="16" t="str">
        <f>_xlfn.XLOOKUP(D1592,[10]ALL!$C:$C,[10]ALL!$N:$N,"Tidak Ditemukan")</f>
        <v>I GEDE BAGUS ADI SURYAWAN , ST</v>
      </c>
      <c r="G1592" s="21"/>
    </row>
    <row r="1593" spans="2:7">
      <c r="B1593" s="22" t="s">
        <v>1455</v>
      </c>
      <c r="C1593" s="23" t="s">
        <v>1456</v>
      </c>
      <c r="D1593" s="24" t="s">
        <v>1638</v>
      </c>
      <c r="E1593" s="25" t="s">
        <v>1722</v>
      </c>
      <c r="F1593" s="16" t="str">
        <f>_xlfn.XLOOKUP(D1593,[10]ALL!$C:$C,[10]ALL!$N:$N,"Tidak Ditemukan")</f>
        <v>KADEK DWIPA ANGGARASTRA</v>
      </c>
      <c r="G1593" s="21"/>
    </row>
    <row r="1594" spans="2:7">
      <c r="B1594" s="22" t="s">
        <v>1455</v>
      </c>
      <c r="C1594" s="23" t="s">
        <v>1456</v>
      </c>
      <c r="D1594" s="24" t="s">
        <v>1639</v>
      </c>
      <c r="E1594" s="25" t="s">
        <v>1722</v>
      </c>
      <c r="F1594" s="16" t="str">
        <f>_xlfn.XLOOKUP(D1594,[10]ALL!$C:$C,[10]ALL!$N:$N,"Tidak Ditemukan")</f>
        <v>DWIKY REZA ARDANI WINAHARA</v>
      </c>
      <c r="G1594" s="21"/>
    </row>
    <row r="1595" spans="2:7">
      <c r="B1595" s="22" t="s">
        <v>1455</v>
      </c>
      <c r="C1595" s="23" t="s">
        <v>1456</v>
      </c>
      <c r="D1595" s="24" t="s">
        <v>1640</v>
      </c>
      <c r="E1595" s="25" t="s">
        <v>1722</v>
      </c>
      <c r="F1595" s="16" t="str">
        <f>_xlfn.XLOOKUP(D1595,[10]ALL!$C:$C,[10]ALL!$N:$N,"Tidak Ditemukan")</f>
        <v>NI PUTU DEWI LASTINI</v>
      </c>
      <c r="G1595" s="21"/>
    </row>
    <row r="1596" spans="2:7">
      <c r="B1596" s="22" t="s">
        <v>1455</v>
      </c>
      <c r="C1596" s="23" t="s">
        <v>1456</v>
      </c>
      <c r="D1596" s="24" t="s">
        <v>1641</v>
      </c>
      <c r="E1596" s="25" t="s">
        <v>1722</v>
      </c>
      <c r="F1596" s="16" t="str">
        <f>_xlfn.XLOOKUP(D1596,[10]ALL!$C:$C,[10]ALL!$N:$N,"Tidak Ditemukan")</f>
        <v>NI PUTU DEWI LASTINI</v>
      </c>
      <c r="G1596" s="21"/>
    </row>
    <row r="1597" spans="2:7">
      <c r="B1597" s="22" t="s">
        <v>1455</v>
      </c>
      <c r="C1597" s="23" t="s">
        <v>1456</v>
      </c>
      <c r="D1597" s="24" t="s">
        <v>1642</v>
      </c>
      <c r="E1597" s="25" t="s">
        <v>1722</v>
      </c>
      <c r="F1597" s="16" t="str">
        <f>_xlfn.XLOOKUP(D1597,[10]ALL!$C:$C,[10]ALL!$N:$N,"Tidak Ditemukan")</f>
        <v>NI PUTU DEWI LASTINI</v>
      </c>
      <c r="G1597" s="21"/>
    </row>
    <row r="1598" spans="2:7">
      <c r="B1598" s="22" t="s">
        <v>1455</v>
      </c>
      <c r="C1598" s="23" t="s">
        <v>1456</v>
      </c>
      <c r="D1598" s="24" t="s">
        <v>1643</v>
      </c>
      <c r="E1598" s="25" t="s">
        <v>1722</v>
      </c>
      <c r="F1598" s="16" t="str">
        <f>_xlfn.XLOOKUP(D1598,[10]ALL!$C:$C,[10]ALL!$N:$N,"Tidak Ditemukan")</f>
        <v>NI PUTU DEWI LASTINI</v>
      </c>
      <c r="G1598" s="21"/>
    </row>
    <row r="1599" spans="2:7">
      <c r="B1599" s="22" t="s">
        <v>1455</v>
      </c>
      <c r="C1599" s="23" t="s">
        <v>1456</v>
      </c>
      <c r="D1599" s="24" t="s">
        <v>1644</v>
      </c>
      <c r="E1599" s="25" t="s">
        <v>1722</v>
      </c>
      <c r="F1599" s="16" t="str">
        <f>_xlfn.XLOOKUP(D1599,[10]ALL!$C:$C,[10]ALL!$N:$N,"Tidak Ditemukan")</f>
        <v>DWIKY REZA ARDANI WINAHARA</v>
      </c>
      <c r="G1599" s="21"/>
    </row>
    <row r="1600" spans="2:7">
      <c r="B1600" s="22" t="s">
        <v>1455</v>
      </c>
      <c r="C1600" s="23" t="s">
        <v>1456</v>
      </c>
      <c r="D1600" s="24" t="s">
        <v>1645</v>
      </c>
      <c r="E1600" s="25" t="s">
        <v>1722</v>
      </c>
      <c r="F1600" s="16" t="str">
        <f>_xlfn.XLOOKUP(D1600,[10]ALL!$C:$C,[10]ALL!$N:$N,"Tidak Ditemukan")</f>
        <v>NI PUTU DEWI LASTINI</v>
      </c>
      <c r="G1600" s="21"/>
    </row>
    <row r="1601" spans="2:7">
      <c r="B1601" s="22" t="s">
        <v>1455</v>
      </c>
      <c r="C1601" s="23" t="s">
        <v>1456</v>
      </c>
      <c r="D1601" s="24" t="s">
        <v>1646</v>
      </c>
      <c r="E1601" s="25" t="s">
        <v>1722</v>
      </c>
      <c r="F1601" s="16" t="str">
        <f>_xlfn.XLOOKUP(D1601,[10]ALL!$C:$C,[10]ALL!$N:$N,"Tidak Ditemukan")</f>
        <v>KADEK DWIPA ANGGARASTRA</v>
      </c>
      <c r="G1601" s="21"/>
    </row>
    <row r="1602" spans="2:7">
      <c r="B1602" s="22" t="s">
        <v>1455</v>
      </c>
      <c r="C1602" s="23" t="s">
        <v>1456</v>
      </c>
      <c r="D1602" s="24" t="s">
        <v>1647</v>
      </c>
      <c r="E1602" s="25" t="s">
        <v>1722</v>
      </c>
      <c r="F1602" s="16" t="str">
        <f>_xlfn.XLOOKUP(D1602,[10]ALL!$C:$C,[10]ALL!$N:$N,"Tidak Ditemukan")</f>
        <v>KADEK DWIPA ANGGARASTRA</v>
      </c>
      <c r="G1602" s="21"/>
    </row>
    <row r="1603" spans="2:7">
      <c r="B1603" s="22" t="s">
        <v>1455</v>
      </c>
      <c r="C1603" s="23" t="s">
        <v>1456</v>
      </c>
      <c r="D1603" s="24" t="s">
        <v>1648</v>
      </c>
      <c r="E1603" s="25" t="s">
        <v>1722</v>
      </c>
      <c r="F1603" s="16" t="str">
        <f>_xlfn.XLOOKUP(D1603,[10]ALL!$C:$C,[10]ALL!$N:$N,"Tidak Ditemukan")</f>
        <v>DWIKY REZA ARDANI WINAHARA</v>
      </c>
      <c r="G1603" s="21"/>
    </row>
    <row r="1604" spans="2:7">
      <c r="B1604" s="22" t="s">
        <v>1455</v>
      </c>
      <c r="C1604" s="23" t="s">
        <v>1456</v>
      </c>
      <c r="D1604" s="24" t="s">
        <v>1649</v>
      </c>
      <c r="E1604" s="25" t="s">
        <v>1722</v>
      </c>
      <c r="F1604" s="16" t="str">
        <f>_xlfn.XLOOKUP(D1604,[10]ALL!$C:$C,[10]ALL!$N:$N,"Tidak Ditemukan")</f>
        <v>NI WAYAN ELSA SEPTIANA INDRIANI</v>
      </c>
      <c r="G1604" s="21"/>
    </row>
    <row r="1605" spans="2:7">
      <c r="B1605" s="22" t="s">
        <v>1455</v>
      </c>
      <c r="C1605" s="23" t="s">
        <v>1456</v>
      </c>
      <c r="D1605" s="24" t="s">
        <v>1650</v>
      </c>
      <c r="E1605" s="25" t="s">
        <v>1722</v>
      </c>
      <c r="F1605" s="16" t="str">
        <f>_xlfn.XLOOKUP(D1605,[10]ALL!$C:$C,[10]ALL!$N:$N,"Tidak Ditemukan")</f>
        <v>NI PUTU DEWI LASTINI</v>
      </c>
      <c r="G1605" s="21"/>
    </row>
    <row r="1606" spans="2:7">
      <c r="B1606" s="22" t="s">
        <v>1455</v>
      </c>
      <c r="C1606" s="23" t="s">
        <v>1456</v>
      </c>
      <c r="D1606" s="24" t="s">
        <v>1651</v>
      </c>
      <c r="E1606" s="25" t="s">
        <v>1722</v>
      </c>
      <c r="F1606" s="16" t="str">
        <f>_xlfn.XLOOKUP(D1606,[10]ALL!$C:$C,[10]ALL!$N:$N,"Tidak Ditemukan")</f>
        <v>KADEK DWIPA ANGGARASTRA</v>
      </c>
      <c r="G1606" s="21"/>
    </row>
    <row r="1607" spans="2:7">
      <c r="B1607" s="22" t="s">
        <v>1455</v>
      </c>
      <c r="C1607" s="23" t="s">
        <v>1456</v>
      </c>
      <c r="D1607" s="24" t="s">
        <v>1652</v>
      </c>
      <c r="E1607" s="25" t="s">
        <v>1722</v>
      </c>
      <c r="F1607" s="16" t="str">
        <f>_xlfn.XLOOKUP(D1607,[10]ALL!$C:$C,[10]ALL!$N:$N,"Tidak Ditemukan")</f>
        <v>KADEK DWIPA ANGGARASTRA</v>
      </c>
      <c r="G1607" s="21"/>
    </row>
    <row r="1608" spans="2:7">
      <c r="B1608" s="22" t="s">
        <v>1455</v>
      </c>
      <c r="C1608" s="23" t="s">
        <v>1456</v>
      </c>
      <c r="D1608" s="24" t="s">
        <v>1653</v>
      </c>
      <c r="E1608" s="25" t="s">
        <v>1722</v>
      </c>
      <c r="F1608" s="16" t="str">
        <f>_xlfn.XLOOKUP(D1608,[10]ALL!$C:$C,[10]ALL!$N:$N,"Tidak Ditemukan")</f>
        <v>KADEK DWIPA ANGGARASTRA</v>
      </c>
      <c r="G1608" s="21"/>
    </row>
    <row r="1609" spans="2:7">
      <c r="B1609" s="22" t="s">
        <v>1455</v>
      </c>
      <c r="C1609" s="23" t="s">
        <v>1456</v>
      </c>
      <c r="D1609" s="24" t="s">
        <v>1654</v>
      </c>
      <c r="E1609" s="25" t="s">
        <v>1722</v>
      </c>
      <c r="F1609" s="16" t="str">
        <f>_xlfn.XLOOKUP(D1609,[10]ALL!$C:$C,[10]ALL!$N:$N,"Tidak Ditemukan")</f>
        <v>KADEK DWIPA ANGGARASTRA</v>
      </c>
      <c r="G1609" s="21"/>
    </row>
    <row r="1610" spans="2:7">
      <c r="B1610" s="22" t="s">
        <v>1455</v>
      </c>
      <c r="C1610" s="23" t="s">
        <v>1456</v>
      </c>
      <c r="D1610" s="24" t="s">
        <v>1655</v>
      </c>
      <c r="E1610" s="25" t="s">
        <v>1722</v>
      </c>
      <c r="F1610" s="16" t="str">
        <f>_xlfn.XLOOKUP(D1610,[10]ALL!$C:$C,[10]ALL!$N:$N,"Tidak Ditemukan")</f>
        <v>NI WAYAN ELSA SEPTIANA INDRIANI</v>
      </c>
      <c r="G1610" s="21"/>
    </row>
    <row r="1611" spans="2:7">
      <c r="B1611" s="22" t="s">
        <v>1455</v>
      </c>
      <c r="C1611" s="23" t="s">
        <v>1456</v>
      </c>
      <c r="D1611" s="24" t="s">
        <v>1656</v>
      </c>
      <c r="E1611" s="25" t="s">
        <v>1722</v>
      </c>
      <c r="F1611" s="16" t="str">
        <f>_xlfn.XLOOKUP(D1611,[10]ALL!$C:$C,[10]ALL!$N:$N,"Tidak Ditemukan")</f>
        <v>KADEK DWIPA ANGGARASTRA</v>
      </c>
      <c r="G1611" s="21"/>
    </row>
    <row r="1612" spans="2:7">
      <c r="B1612" s="22" t="s">
        <v>1455</v>
      </c>
      <c r="C1612" s="23" t="s">
        <v>1456</v>
      </c>
      <c r="D1612" s="24" t="s">
        <v>1657</v>
      </c>
      <c r="E1612" s="25" t="s">
        <v>1722</v>
      </c>
      <c r="F1612" s="16" t="str">
        <f>_xlfn.XLOOKUP(D1612,[10]ALL!$C:$C,[10]ALL!$N:$N,"Tidak Ditemukan")</f>
        <v>KADEK DWIPA ANGGARASTRA</v>
      </c>
      <c r="G1612" s="21"/>
    </row>
    <row r="1613" spans="2:7">
      <c r="B1613" s="22" t="s">
        <v>1455</v>
      </c>
      <c r="C1613" s="23" t="s">
        <v>1456</v>
      </c>
      <c r="D1613" s="24" t="s">
        <v>1658</v>
      </c>
      <c r="E1613" s="25" t="s">
        <v>1722</v>
      </c>
      <c r="F1613" s="16" t="str">
        <f>_xlfn.XLOOKUP(D1613,[10]ALL!$C:$C,[10]ALL!$N:$N,"Tidak Ditemukan")</f>
        <v>NI PUTU DEWI LASTINI</v>
      </c>
      <c r="G1613" s="21"/>
    </row>
    <row r="1614" spans="2:7">
      <c r="B1614" s="22" t="s">
        <v>1455</v>
      </c>
      <c r="C1614" s="23" t="s">
        <v>1456</v>
      </c>
      <c r="D1614" s="24" t="s">
        <v>1659</v>
      </c>
      <c r="E1614" s="25" t="s">
        <v>1722</v>
      </c>
      <c r="F1614" s="16" t="str">
        <f>_xlfn.XLOOKUP(D1614,[10]ALL!$C:$C,[10]ALL!$N:$N,"Tidak Ditemukan")</f>
        <v>NI WAYAN ELSA SEPTIANA INDRIANI</v>
      </c>
      <c r="G1614" s="21"/>
    </row>
    <row r="1615" spans="2:7">
      <c r="B1615" s="22" t="s">
        <v>1455</v>
      </c>
      <c r="C1615" s="23" t="s">
        <v>1456</v>
      </c>
      <c r="D1615" s="24" t="s">
        <v>1660</v>
      </c>
      <c r="E1615" s="25" t="s">
        <v>1722</v>
      </c>
      <c r="F1615" s="16" t="str">
        <f>_xlfn.XLOOKUP(D1615,[10]ALL!$C:$C,[10]ALL!$N:$N,"Tidak Ditemukan")</f>
        <v>DWIKY REZA ARDANI WINAHARA</v>
      </c>
      <c r="G1615" s="21"/>
    </row>
    <row r="1616" spans="2:7">
      <c r="B1616" s="22" t="s">
        <v>1455</v>
      </c>
      <c r="C1616" s="23" t="s">
        <v>1456</v>
      </c>
      <c r="D1616" s="24" t="s">
        <v>1661</v>
      </c>
      <c r="E1616" s="25" t="s">
        <v>1722</v>
      </c>
      <c r="F1616" s="16" t="str">
        <f>_xlfn.XLOOKUP(D1616,[10]ALL!$C:$C,[10]ALL!$N:$N,"Tidak Ditemukan")</f>
        <v>DWIKY REZA ARDANI WINAHARA</v>
      </c>
      <c r="G1616" s="21"/>
    </row>
    <row r="1617" spans="2:7">
      <c r="B1617" s="22" t="s">
        <v>1455</v>
      </c>
      <c r="C1617" s="23" t="s">
        <v>1456</v>
      </c>
      <c r="D1617" s="24" t="s">
        <v>1662</v>
      </c>
      <c r="E1617" s="25" t="s">
        <v>1722</v>
      </c>
      <c r="F1617" s="16" t="str">
        <f>_xlfn.XLOOKUP(D1617,[10]ALL!$C:$C,[10]ALL!$N:$N,"Tidak Ditemukan")</f>
        <v>NI WAYAN ELSA SEPTIANA INDRIANI</v>
      </c>
      <c r="G1617" s="21"/>
    </row>
    <row r="1618" spans="2:7">
      <c r="B1618" s="22" t="s">
        <v>1455</v>
      </c>
      <c r="C1618" s="23" t="s">
        <v>1456</v>
      </c>
      <c r="D1618" s="24" t="s">
        <v>1663</v>
      </c>
      <c r="E1618" s="25" t="s">
        <v>1722</v>
      </c>
      <c r="F1618" s="16" t="str">
        <f>_xlfn.XLOOKUP(D1618,[10]ALL!$C:$C,[10]ALL!$N:$N,"Tidak Ditemukan")</f>
        <v>AGUS KADE DIVA RAMANA</v>
      </c>
      <c r="G1618" s="21"/>
    </row>
    <row r="1619" spans="2:7">
      <c r="B1619" s="22" t="s">
        <v>1455</v>
      </c>
      <c r="C1619" s="23" t="s">
        <v>1456</v>
      </c>
      <c r="D1619" s="24" t="s">
        <v>1664</v>
      </c>
      <c r="E1619" s="25" t="s">
        <v>1722</v>
      </c>
      <c r="F1619" s="16" t="str">
        <f>_xlfn.XLOOKUP(D1619,[10]ALL!$C:$C,[10]ALL!$N:$N,"Tidak Ditemukan")</f>
        <v>KADEK DWIPA ANGGARASTRA</v>
      </c>
      <c r="G1619" s="21"/>
    </row>
    <row r="1620" spans="2:7">
      <c r="B1620" s="22" t="s">
        <v>1455</v>
      </c>
      <c r="C1620" s="23" t="s">
        <v>1456</v>
      </c>
      <c r="D1620" s="24" t="s">
        <v>1665</v>
      </c>
      <c r="E1620" s="25" t="s">
        <v>1722</v>
      </c>
      <c r="F1620" s="16" t="str">
        <f>_xlfn.XLOOKUP(D1620,[10]ALL!$C:$C,[10]ALL!$N:$N,"Tidak Ditemukan")</f>
        <v>I GEDE BAGUS ADI SURYAWAN , ST</v>
      </c>
      <c r="G1620" s="21"/>
    </row>
    <row r="1621" spans="2:7">
      <c r="B1621" s="22" t="s">
        <v>1455</v>
      </c>
      <c r="C1621" s="23" t="s">
        <v>1456</v>
      </c>
      <c r="D1621" s="24" t="s">
        <v>1666</v>
      </c>
      <c r="E1621" s="25" t="s">
        <v>1722</v>
      </c>
      <c r="F1621" s="16" t="str">
        <f>_xlfn.XLOOKUP(D1621,[10]ALL!$C:$C,[10]ALL!$N:$N,"Tidak Ditemukan")</f>
        <v>I GEDE BAGUS ADI SURYAWAN , ST</v>
      </c>
      <c r="G1621" s="21"/>
    </row>
    <row r="1622" spans="2:7">
      <c r="B1622" s="22" t="s">
        <v>1455</v>
      </c>
      <c r="C1622" s="23" t="s">
        <v>1456</v>
      </c>
      <c r="D1622" s="24" t="s">
        <v>1667</v>
      </c>
      <c r="E1622" s="25" t="s">
        <v>1722</v>
      </c>
      <c r="F1622" s="16" t="str">
        <f>_xlfn.XLOOKUP(D1622,[10]ALL!$C:$C,[10]ALL!$N:$N,"Tidak Ditemukan")</f>
        <v>I KOMANG FERI INDRAJAYA</v>
      </c>
      <c r="G1622" s="21"/>
    </row>
    <row r="1623" spans="2:7">
      <c r="B1623" s="22" t="s">
        <v>1455</v>
      </c>
      <c r="C1623" s="23" t="s">
        <v>1456</v>
      </c>
      <c r="D1623" s="24" t="s">
        <v>1668</v>
      </c>
      <c r="E1623" s="25" t="s">
        <v>1722</v>
      </c>
      <c r="F1623" s="16" t="str">
        <f>_xlfn.XLOOKUP(D1623,[10]ALL!$C:$C,[10]ALL!$N:$N,"Tidak Ditemukan")</f>
        <v>NI WAYAN ELSA SEPTIANA INDRIANI</v>
      </c>
      <c r="G1623" s="21"/>
    </row>
    <row r="1624" spans="2:7">
      <c r="B1624" s="22" t="s">
        <v>1455</v>
      </c>
      <c r="C1624" s="23" t="s">
        <v>1456</v>
      </c>
      <c r="D1624" s="24" t="s">
        <v>1669</v>
      </c>
      <c r="E1624" s="25" t="s">
        <v>1722</v>
      </c>
      <c r="F1624" s="16" t="str">
        <f>_xlfn.XLOOKUP(D1624,[10]ALL!$C:$C,[10]ALL!$N:$N,"Tidak Ditemukan")</f>
        <v>NI WAYAN ELSA SEPTIANA INDRIANI</v>
      </c>
      <c r="G1624" s="21"/>
    </row>
    <row r="1625" spans="2:7">
      <c r="B1625" s="22" t="s">
        <v>1455</v>
      </c>
      <c r="C1625" s="23" t="s">
        <v>1456</v>
      </c>
      <c r="D1625" s="24" t="s">
        <v>1670</v>
      </c>
      <c r="E1625" s="25" t="s">
        <v>1722</v>
      </c>
      <c r="F1625" s="16" t="str">
        <f>_xlfn.XLOOKUP(D1625,[10]ALL!$C:$C,[10]ALL!$N:$N,"Tidak Ditemukan")</f>
        <v>AGUS KADE DIVA RAMANA</v>
      </c>
      <c r="G1625" s="21"/>
    </row>
    <row r="1626" spans="2:7">
      <c r="B1626" s="22" t="s">
        <v>1455</v>
      </c>
      <c r="C1626" s="23" t="s">
        <v>1456</v>
      </c>
      <c r="D1626" s="24" t="s">
        <v>1671</v>
      </c>
      <c r="E1626" s="25" t="s">
        <v>1722</v>
      </c>
      <c r="F1626" s="16" t="str">
        <f>_xlfn.XLOOKUP(D1626,[10]ALL!$C:$C,[10]ALL!$N:$N,"Tidak Ditemukan")</f>
        <v>Rino Prasetya Wibowo</v>
      </c>
      <c r="G1626" s="21"/>
    </row>
    <row r="1627" spans="2:7">
      <c r="B1627" s="22" t="s">
        <v>1455</v>
      </c>
      <c r="C1627" s="23" t="s">
        <v>1456</v>
      </c>
      <c r="D1627" s="24" t="s">
        <v>1672</v>
      </c>
      <c r="E1627" s="25" t="s">
        <v>1722</v>
      </c>
      <c r="F1627" s="16" t="str">
        <f>_xlfn.XLOOKUP(D1627,[10]ALL!$C:$C,[10]ALL!$N:$N,"Tidak Ditemukan")</f>
        <v>AGUS KADE DIVA RAMANA</v>
      </c>
      <c r="G1627" s="21"/>
    </row>
    <row r="1628" spans="2:7">
      <c r="B1628" s="22" t="s">
        <v>1455</v>
      </c>
      <c r="C1628" s="23" t="s">
        <v>1456</v>
      </c>
      <c r="D1628" s="24" t="s">
        <v>1673</v>
      </c>
      <c r="E1628" s="25" t="s">
        <v>1722</v>
      </c>
      <c r="F1628" s="16" t="str">
        <f>_xlfn.XLOOKUP(D1628,[10]ALL!$C:$C,[10]ALL!$N:$N,"Tidak Ditemukan")</f>
        <v>NI PUTU DEWI LASTINI</v>
      </c>
      <c r="G1628" s="21"/>
    </row>
    <row r="1629" spans="2:7">
      <c r="B1629" s="22" t="s">
        <v>1455</v>
      </c>
      <c r="C1629" s="23" t="s">
        <v>1456</v>
      </c>
      <c r="D1629" s="24" t="s">
        <v>1674</v>
      </c>
      <c r="E1629" s="25" t="s">
        <v>1722</v>
      </c>
      <c r="F1629" s="16" t="str">
        <f>_xlfn.XLOOKUP(D1629,[10]ALL!$C:$C,[10]ALL!$N:$N,"Tidak Ditemukan")</f>
        <v>DWIKY REZA ARDANI WINAHARA</v>
      </c>
      <c r="G1629" s="21"/>
    </row>
    <row r="1630" spans="2:7">
      <c r="B1630" s="22" t="s">
        <v>1455</v>
      </c>
      <c r="C1630" s="23" t="s">
        <v>1456</v>
      </c>
      <c r="D1630" s="24" t="s">
        <v>1675</v>
      </c>
      <c r="E1630" s="25" t="s">
        <v>1722</v>
      </c>
      <c r="F1630" s="16" t="str">
        <f>_xlfn.XLOOKUP(D1630,[10]ALL!$C:$C,[10]ALL!$N:$N,"Tidak Ditemukan")</f>
        <v>KADEK DWIPA ANGGARASTRA</v>
      </c>
      <c r="G1630" s="21"/>
    </row>
    <row r="1631" spans="2:7">
      <c r="B1631" s="22" t="s">
        <v>1455</v>
      </c>
      <c r="C1631" s="23" t="s">
        <v>1456</v>
      </c>
      <c r="D1631" s="24" t="s">
        <v>1676</v>
      </c>
      <c r="E1631" s="25" t="s">
        <v>1722</v>
      </c>
      <c r="F1631" s="16" t="str">
        <f>_xlfn.XLOOKUP(D1631,[10]ALL!$C:$C,[10]ALL!$N:$N,"Tidak Ditemukan")</f>
        <v>AGUS KADE DIVA RAMANA</v>
      </c>
      <c r="G1631" s="21"/>
    </row>
    <row r="1632" spans="2:7">
      <c r="B1632" s="22" t="s">
        <v>1455</v>
      </c>
      <c r="C1632" s="23" t="s">
        <v>1456</v>
      </c>
      <c r="D1632" s="24" t="s">
        <v>1677</v>
      </c>
      <c r="E1632" s="25" t="s">
        <v>1722</v>
      </c>
      <c r="F1632" s="16" t="str">
        <f>_xlfn.XLOOKUP(D1632,[10]ALL!$C:$C,[10]ALL!$N:$N,"Tidak Ditemukan")</f>
        <v>DWIKY REZA ARDANI WINAHARA</v>
      </c>
      <c r="G1632" s="21"/>
    </row>
    <row r="1633" spans="2:7">
      <c r="B1633" s="22" t="s">
        <v>1455</v>
      </c>
      <c r="C1633" s="23" t="s">
        <v>1456</v>
      </c>
      <c r="D1633" s="24" t="s">
        <v>1678</v>
      </c>
      <c r="E1633" s="25" t="s">
        <v>1722</v>
      </c>
      <c r="F1633" s="16" t="str">
        <f>_xlfn.XLOOKUP(D1633,[10]ALL!$C:$C,[10]ALL!$N:$N,"Tidak Ditemukan")</f>
        <v>NI PUTU DEWI LASTINI</v>
      </c>
      <c r="G1633" s="21"/>
    </row>
    <row r="1634" spans="2:7">
      <c r="B1634" s="22" t="s">
        <v>1455</v>
      </c>
      <c r="C1634" s="23" t="s">
        <v>1456</v>
      </c>
      <c r="D1634" s="24" t="s">
        <v>1679</v>
      </c>
      <c r="E1634" s="25" t="s">
        <v>1722</v>
      </c>
      <c r="F1634" s="16" t="str">
        <f>_xlfn.XLOOKUP(D1634,[10]ALL!$C:$C,[10]ALL!$N:$N,"Tidak Ditemukan")</f>
        <v>NI PUTU DEWI LASTINI</v>
      </c>
      <c r="G1634" s="21"/>
    </row>
    <row r="1635" spans="2:7">
      <c r="B1635" s="22" t="s">
        <v>1455</v>
      </c>
      <c r="C1635" s="23" t="s">
        <v>1456</v>
      </c>
      <c r="D1635" s="24" t="s">
        <v>1680</v>
      </c>
      <c r="E1635" s="25" t="s">
        <v>1722</v>
      </c>
      <c r="F1635" s="16" t="str">
        <f>_xlfn.XLOOKUP(D1635,[10]ALL!$C:$C,[10]ALL!$N:$N,"Tidak Ditemukan")</f>
        <v>KADEK DWIPA ANGGARASTRA</v>
      </c>
      <c r="G1635" s="21"/>
    </row>
    <row r="1636" spans="2:7">
      <c r="B1636" s="22" t="s">
        <v>1455</v>
      </c>
      <c r="C1636" s="23" t="s">
        <v>1456</v>
      </c>
      <c r="D1636" s="24" t="s">
        <v>1681</v>
      </c>
      <c r="E1636" s="25" t="s">
        <v>1722</v>
      </c>
      <c r="F1636" s="16" t="str">
        <f>_xlfn.XLOOKUP(D1636,[10]ALL!$C:$C,[10]ALL!$N:$N,"Tidak Ditemukan")</f>
        <v>KADEK DWIPA ANGGARASTRA</v>
      </c>
      <c r="G1636" s="21"/>
    </row>
    <row r="1637" spans="2:7">
      <c r="B1637" s="22" t="s">
        <v>1455</v>
      </c>
      <c r="C1637" s="23" t="s">
        <v>1456</v>
      </c>
      <c r="D1637" s="24" t="s">
        <v>1682</v>
      </c>
      <c r="E1637" s="25" t="s">
        <v>1722</v>
      </c>
      <c r="F1637" s="16" t="str">
        <f>_xlfn.XLOOKUP(D1637,[10]ALL!$C:$C,[10]ALL!$N:$N,"Tidak Ditemukan")</f>
        <v>I KOMANG FERI INDRAJAYA</v>
      </c>
      <c r="G1637" s="21"/>
    </row>
    <row r="1638" spans="2:7">
      <c r="B1638" s="22" t="s">
        <v>1455</v>
      </c>
      <c r="C1638" s="23" t="s">
        <v>1456</v>
      </c>
      <c r="D1638" s="24" t="s">
        <v>1683</v>
      </c>
      <c r="E1638" s="25" t="s">
        <v>1722</v>
      </c>
      <c r="F1638" s="16" t="str">
        <f>_xlfn.XLOOKUP(D1638,[10]ALL!$C:$C,[10]ALL!$N:$N,"Tidak Ditemukan")</f>
        <v>I GEDE BAGUS ADI SURYAWAN , ST</v>
      </c>
      <c r="G1638" s="21"/>
    </row>
    <row r="1639" spans="2:7">
      <c r="B1639" s="22" t="s">
        <v>1455</v>
      </c>
      <c r="C1639" s="23" t="s">
        <v>1456</v>
      </c>
      <c r="D1639" s="24" t="s">
        <v>1684</v>
      </c>
      <c r="E1639" s="25" t="s">
        <v>1722</v>
      </c>
      <c r="F1639" s="16" t="str">
        <f>_xlfn.XLOOKUP(D1639,[10]ALL!$C:$C,[10]ALL!$N:$N,"Tidak Ditemukan")</f>
        <v>DWIKY REZA ARDANI WINAHARA</v>
      </c>
      <c r="G1639" s="21"/>
    </row>
    <row r="1640" spans="2:7">
      <c r="B1640" s="22" t="s">
        <v>1455</v>
      </c>
      <c r="C1640" s="23" t="s">
        <v>1456</v>
      </c>
      <c r="D1640" s="24" t="s">
        <v>1685</v>
      </c>
      <c r="E1640" s="25" t="s">
        <v>1722</v>
      </c>
      <c r="F1640" s="16" t="str">
        <f>_xlfn.XLOOKUP(D1640,[10]ALL!$C:$C,[10]ALL!$N:$N,"Tidak Ditemukan")</f>
        <v>NI WAYAN ELSA SEPTIANA INDRIANI</v>
      </c>
      <c r="G1640" s="21"/>
    </row>
    <row r="1641" spans="2:7">
      <c r="B1641" s="22" t="s">
        <v>1455</v>
      </c>
      <c r="C1641" s="23" t="s">
        <v>1456</v>
      </c>
      <c r="D1641" s="24" t="s">
        <v>1686</v>
      </c>
      <c r="E1641" s="25" t="e">
        <v>#N/A</v>
      </c>
      <c r="F1641" s="16" t="str">
        <f>_xlfn.XLOOKUP(D1641,[10]ALL!$C:$C,[10]ALL!$N:$N,"Tidak Ditemukan")</f>
        <v>NI PUTU DEWI LASTINI</v>
      </c>
      <c r="G1641" s="21"/>
    </row>
    <row r="1642" spans="2:7">
      <c r="B1642" s="22" t="s">
        <v>1455</v>
      </c>
      <c r="C1642" s="23" t="s">
        <v>1456</v>
      </c>
      <c r="D1642" s="24" t="s">
        <v>1687</v>
      </c>
      <c r="E1642" s="25" t="e">
        <v>#N/A</v>
      </c>
      <c r="F1642" s="16" t="str">
        <f>_xlfn.XLOOKUP(D1642,[10]ALL!$C:$C,[10]ALL!$N:$N,"Tidak Ditemukan")</f>
        <v>NI WAYAN ELSA SEPTIANA INDRIANI</v>
      </c>
      <c r="G1642" s="21"/>
    </row>
    <row r="1643" spans="2:7">
      <c r="B1643" s="22" t="s">
        <v>1455</v>
      </c>
      <c r="C1643" s="23" t="s">
        <v>1456</v>
      </c>
      <c r="D1643" s="24" t="s">
        <v>1688</v>
      </c>
      <c r="E1643" s="25" t="s">
        <v>1745</v>
      </c>
      <c r="F1643" s="16" t="str">
        <f>_xlfn.XLOOKUP(D1643,[10]ALL!$C:$C,[10]ALL!$N:$N,"Tidak Ditemukan")</f>
        <v>I GEDE BAGUS ADI SURYAWAN , ST</v>
      </c>
      <c r="G1643" s="21"/>
    </row>
    <row r="1644" spans="2:7">
      <c r="B1644" s="22" t="s">
        <v>1455</v>
      </c>
      <c r="C1644" s="23" t="s">
        <v>1456</v>
      </c>
      <c r="D1644" s="24" t="s">
        <v>1689</v>
      </c>
      <c r="E1644" s="25" t="s">
        <v>1722</v>
      </c>
      <c r="F1644" s="16" t="str">
        <f>_xlfn.XLOOKUP(D1644,[10]ALL!$C:$C,[10]ALL!$N:$N,"Tidak Ditemukan")</f>
        <v>DWIKY REZA ARDANI WINAHARA</v>
      </c>
      <c r="G1644" s="21"/>
    </row>
    <row r="1645" spans="2:7">
      <c r="B1645" s="22" t="s">
        <v>1455</v>
      </c>
      <c r="C1645" s="23" t="s">
        <v>1456</v>
      </c>
      <c r="D1645" s="24" t="s">
        <v>1690</v>
      </c>
      <c r="E1645" s="25" t="s">
        <v>1722</v>
      </c>
      <c r="F1645" s="16" t="str">
        <f>_xlfn.XLOOKUP(D1645,[10]ALL!$C:$C,[10]ALL!$N:$N,"Tidak Ditemukan")</f>
        <v>NI WAYAN ELSA SEPTIANA INDRIANI</v>
      </c>
      <c r="G1645" s="21"/>
    </row>
    <row r="1646" spans="2:7">
      <c r="B1646" s="22" t="s">
        <v>1455</v>
      </c>
      <c r="C1646" s="23" t="s">
        <v>1456</v>
      </c>
      <c r="D1646" s="24" t="s">
        <v>1691</v>
      </c>
      <c r="E1646" s="25" t="s">
        <v>1722</v>
      </c>
      <c r="F1646" s="16" t="str">
        <f>_xlfn.XLOOKUP(D1646,[10]ALL!$C:$C,[10]ALL!$N:$N,"Tidak Ditemukan")</f>
        <v>AGUS PRADNYANA</v>
      </c>
      <c r="G1646" s="21"/>
    </row>
    <row r="1647" spans="2:7">
      <c r="B1647" s="22" t="s">
        <v>1455</v>
      </c>
      <c r="C1647" s="23" t="s">
        <v>1456</v>
      </c>
      <c r="D1647" s="24" t="s">
        <v>1692</v>
      </c>
      <c r="E1647" s="25" t="s">
        <v>1722</v>
      </c>
      <c r="F1647" s="16" t="str">
        <f>_xlfn.XLOOKUP(D1647,[10]ALL!$C:$C,[10]ALL!$N:$N,"Tidak Ditemukan")</f>
        <v>NI WAYAN ELSA SEPTIANA INDRIANI</v>
      </c>
      <c r="G1647" s="21"/>
    </row>
    <row r="1648" spans="2:7">
      <c r="B1648" s="22" t="s">
        <v>1455</v>
      </c>
      <c r="C1648" s="23" t="s">
        <v>1456</v>
      </c>
      <c r="D1648" s="24" t="s">
        <v>1693</v>
      </c>
      <c r="E1648" s="25" t="s">
        <v>1722</v>
      </c>
      <c r="F1648" s="16" t="str">
        <f>_xlfn.XLOOKUP(D1648,[10]ALL!$C:$C,[10]ALL!$N:$N,"Tidak Ditemukan")</f>
        <v>NI WAYAN ELSA SEPTIANA INDRIANI</v>
      </c>
      <c r="G1648" s="21"/>
    </row>
    <row r="1649" spans="2:7">
      <c r="B1649" s="22" t="s">
        <v>1455</v>
      </c>
      <c r="C1649" s="23" t="s">
        <v>1456</v>
      </c>
      <c r="D1649" s="24" t="s">
        <v>1694</v>
      </c>
      <c r="E1649" s="25" t="s">
        <v>1722</v>
      </c>
      <c r="F1649" s="16" t="str">
        <f>_xlfn.XLOOKUP(D1649,[10]ALL!$C:$C,[10]ALL!$N:$N,"Tidak Ditemukan")</f>
        <v>NI WAYAN ELSA SEPTIANA INDRIANI</v>
      </c>
      <c r="G1649" s="21"/>
    </row>
    <row r="1650" spans="2:7">
      <c r="B1650" s="22" t="s">
        <v>1455</v>
      </c>
      <c r="C1650" s="23" t="s">
        <v>1456</v>
      </c>
      <c r="D1650" s="24" t="s">
        <v>1695</v>
      </c>
      <c r="E1650" s="25" t="s">
        <v>1722</v>
      </c>
      <c r="F1650" s="16" t="str">
        <f>_xlfn.XLOOKUP(D1650,[10]ALL!$C:$C,[10]ALL!$N:$N,"Tidak Ditemukan")</f>
        <v>AGUS PRADNYANA</v>
      </c>
      <c r="G1650" s="21"/>
    </row>
    <row r="1651" spans="2:7">
      <c r="B1651" s="22" t="s">
        <v>1455</v>
      </c>
      <c r="C1651" s="23" t="s">
        <v>1456</v>
      </c>
      <c r="D1651" s="24" t="s">
        <v>1696</v>
      </c>
      <c r="E1651" s="25" t="s">
        <v>1722</v>
      </c>
      <c r="F1651" s="16" t="str">
        <f>_xlfn.XLOOKUP(D1651,[10]ALL!$C:$C,[10]ALL!$N:$N,"Tidak Ditemukan")</f>
        <v>DWIKY REZA ARDANI WINAHARA</v>
      </c>
      <c r="G1651" s="21"/>
    </row>
    <row r="1652" spans="2:7">
      <c r="B1652" s="22" t="s">
        <v>1455</v>
      </c>
      <c r="C1652" s="23" t="s">
        <v>1456</v>
      </c>
      <c r="D1652" s="24" t="s">
        <v>1697</v>
      </c>
      <c r="E1652" s="25" t="s">
        <v>1722</v>
      </c>
      <c r="F1652" s="16" t="str">
        <f>_xlfn.XLOOKUP(D1652,[10]ALL!$C:$C,[10]ALL!$N:$N,"Tidak Ditemukan")</f>
        <v>DWIKY REZA ARDANI WINAHARA</v>
      </c>
      <c r="G1652" s="21"/>
    </row>
    <row r="1653" spans="2:7">
      <c r="B1653" s="22" t="s">
        <v>1455</v>
      </c>
      <c r="C1653" s="23" t="s">
        <v>1456</v>
      </c>
      <c r="D1653" s="24" t="s">
        <v>1698</v>
      </c>
      <c r="E1653" s="25" t="s">
        <v>1722</v>
      </c>
      <c r="F1653" s="16" t="str">
        <f>_xlfn.XLOOKUP(D1653,[10]ALL!$C:$C,[10]ALL!$N:$N,"Tidak Ditemukan")</f>
        <v>NI WAYAN ELSA SEPTIANA INDRIANI</v>
      </c>
      <c r="G1653" s="21"/>
    </row>
    <row r="1654" spans="2:7">
      <c r="B1654" s="22" t="s">
        <v>1455</v>
      </c>
      <c r="C1654" s="23" t="s">
        <v>1456</v>
      </c>
      <c r="D1654" s="24" t="s">
        <v>1699</v>
      </c>
      <c r="E1654" s="25" t="s">
        <v>1722</v>
      </c>
      <c r="F1654" s="16" t="str">
        <f>_xlfn.XLOOKUP(D1654,[10]ALL!$C:$C,[10]ALL!$N:$N,"Tidak Ditemukan")</f>
        <v>Ari Ardiansyah</v>
      </c>
      <c r="G1654" s="21"/>
    </row>
    <row r="1655" spans="2:7">
      <c r="B1655" s="22" t="s">
        <v>1455</v>
      </c>
      <c r="C1655" s="23" t="s">
        <v>1456</v>
      </c>
      <c r="D1655" s="24" t="s">
        <v>1700</v>
      </c>
      <c r="E1655" s="25" t="s">
        <v>1722</v>
      </c>
      <c r="F1655" s="16" t="str">
        <f>_xlfn.XLOOKUP(D1655,[10]ALL!$C:$C,[10]ALL!$N:$N,"Tidak Ditemukan")</f>
        <v>Suhardi</v>
      </c>
      <c r="G1655" s="21"/>
    </row>
    <row r="1656" spans="2:7">
      <c r="B1656" s="22" t="s">
        <v>1455</v>
      </c>
      <c r="C1656" s="23" t="s">
        <v>1456</v>
      </c>
      <c r="D1656" s="24" t="s">
        <v>1701</v>
      </c>
      <c r="E1656" s="25" t="s">
        <v>1722</v>
      </c>
      <c r="F1656" s="16" t="str">
        <f>_xlfn.XLOOKUP(D1656,[10]ALL!$C:$C,[10]ALL!$N:$N,"Tidak Ditemukan")</f>
        <v>ADE HARYANTO</v>
      </c>
      <c r="G1656" s="21"/>
    </row>
    <row r="1657" spans="2:7">
      <c r="B1657" s="22" t="s">
        <v>1455</v>
      </c>
      <c r="C1657" s="23" t="s">
        <v>1456</v>
      </c>
      <c r="D1657" s="24" t="s">
        <v>1702</v>
      </c>
      <c r="E1657" s="25" t="s">
        <v>1722</v>
      </c>
      <c r="F1657" s="16" t="str">
        <f>_xlfn.XLOOKUP(D1657,[10]ALL!$C:$C,[10]ALL!$N:$N,"Tidak Ditemukan")</f>
        <v>NOFITA</v>
      </c>
      <c r="G1657" s="21"/>
    </row>
    <row r="1658" spans="2:7">
      <c r="B1658" s="22" t="s">
        <v>1455</v>
      </c>
      <c r="C1658" s="23" t="s">
        <v>1456</v>
      </c>
      <c r="D1658" s="24" t="s">
        <v>1703</v>
      </c>
      <c r="E1658" s="25" t="s">
        <v>1722</v>
      </c>
      <c r="F1658" s="16" t="str">
        <f>_xlfn.XLOOKUP(D1658,[10]ALL!$C:$C,[10]ALL!$N:$N,"Tidak Ditemukan")</f>
        <v>PANJI PRATAMA</v>
      </c>
      <c r="G1658" s="21"/>
    </row>
    <row r="1659" spans="2:7">
      <c r="B1659" s="22" t="s">
        <v>1455</v>
      </c>
      <c r="C1659" s="23" t="s">
        <v>1456</v>
      </c>
      <c r="D1659" s="24" t="s">
        <v>1704</v>
      </c>
      <c r="E1659" s="25" t="s">
        <v>1722</v>
      </c>
      <c r="F1659" s="16" t="str">
        <f>_xlfn.XLOOKUP(D1659,[10]ALL!$C:$C,[10]ALL!$N:$N,"Tidak Ditemukan")</f>
        <v>PANJI PRATAMA</v>
      </c>
      <c r="G1659" s="21"/>
    </row>
    <row r="1660" spans="2:7">
      <c r="B1660" s="22" t="s">
        <v>1455</v>
      </c>
      <c r="C1660" s="23" t="s">
        <v>1456</v>
      </c>
      <c r="D1660" s="24" t="s">
        <v>1705</v>
      </c>
      <c r="E1660" s="25" t="s">
        <v>1722</v>
      </c>
      <c r="F1660" s="16" t="str">
        <f>_xlfn.XLOOKUP(D1660,[10]ALL!$C:$C,[10]ALL!$N:$N,"Tidak Ditemukan")</f>
        <v>Panji Pratama</v>
      </c>
      <c r="G1660" s="21"/>
    </row>
    <row r="1661" spans="2:7">
      <c r="B1661" s="22" t="s">
        <v>1455</v>
      </c>
      <c r="C1661" s="23" t="s">
        <v>1456</v>
      </c>
      <c r="D1661" s="24" t="s">
        <v>1706</v>
      </c>
      <c r="E1661" s="25" t="s">
        <v>1722</v>
      </c>
      <c r="F1661" s="16" t="str">
        <f>_xlfn.XLOOKUP(D1661,[10]ALL!$C:$C,[10]ALL!$N:$N,"Tidak Ditemukan")</f>
        <v>Suhardi</v>
      </c>
      <c r="G1661" s="21"/>
    </row>
    <row r="1662" spans="2:7">
      <c r="B1662" s="22" t="s">
        <v>1455</v>
      </c>
      <c r="C1662" s="23" t="s">
        <v>1456</v>
      </c>
      <c r="D1662" s="24" t="s">
        <v>1707</v>
      </c>
      <c r="E1662" s="25" t="s">
        <v>1722</v>
      </c>
      <c r="F1662" s="16" t="str">
        <f>_xlfn.XLOOKUP(D1662,[10]ALL!$C:$C,[10]ALL!$N:$N,"Tidak Ditemukan")</f>
        <v>FAHRURRAZI</v>
      </c>
      <c r="G1662" s="21"/>
    </row>
    <row r="1663" spans="2:7">
      <c r="B1663" s="22" t="s">
        <v>1455</v>
      </c>
      <c r="C1663" s="23" t="s">
        <v>1456</v>
      </c>
      <c r="D1663" s="24" t="s">
        <v>1708</v>
      </c>
      <c r="E1663" s="25" t="s">
        <v>1722</v>
      </c>
      <c r="F1663" s="16" t="str">
        <f>_xlfn.XLOOKUP(D1663,[10]ALL!$C:$C,[10]ALL!$N:$N,"Tidak Ditemukan")</f>
        <v>AGUSTINUS DICKY PURWONO</v>
      </c>
      <c r="G1663" s="21"/>
    </row>
    <row r="1664" spans="2:7">
      <c r="B1664" s="22" t="s">
        <v>1455</v>
      </c>
      <c r="C1664" s="23" t="s">
        <v>1456</v>
      </c>
      <c r="D1664" s="24" t="s">
        <v>1709</v>
      </c>
      <c r="E1664" s="25" t="s">
        <v>1722</v>
      </c>
      <c r="F1664" s="16" t="str">
        <f>_xlfn.XLOOKUP(D1664,[10]ALL!$C:$C,[10]ALL!$N:$N,"Tidak Ditemukan")</f>
        <v>AGUS KADE DIVA RAMANA</v>
      </c>
      <c r="G1664" s="21"/>
    </row>
    <row r="1665" spans="2:7">
      <c r="B1665" s="22" t="s">
        <v>1455</v>
      </c>
      <c r="C1665" s="23" t="s">
        <v>1456</v>
      </c>
      <c r="D1665" s="24" t="s">
        <v>1710</v>
      </c>
      <c r="E1665" s="25" t="s">
        <v>1722</v>
      </c>
      <c r="F1665" s="16" t="str">
        <f>_xlfn.XLOOKUP(D1665,[10]ALL!$C:$C,[10]ALL!$N:$N,"Tidak Ditemukan")</f>
        <v>I Kadek Sandiyasa</v>
      </c>
      <c r="G1665" s="21"/>
    </row>
    <row r="1666" spans="2:7">
      <c r="B1666" s="22" t="s">
        <v>1455</v>
      </c>
      <c r="C1666" s="23" t="s">
        <v>1456</v>
      </c>
      <c r="D1666" s="24" t="s">
        <v>1711</v>
      </c>
      <c r="E1666" s="25" t="s">
        <v>1722</v>
      </c>
      <c r="F1666" s="16" t="str">
        <f>_xlfn.XLOOKUP(D1666,[10]ALL!$C:$C,[10]ALL!$N:$N,"Tidak Ditemukan")</f>
        <v>Resi Marsila</v>
      </c>
      <c r="G1666" s="21"/>
    </row>
    <row r="1667" spans="2:7">
      <c r="B1667" s="22" t="s">
        <v>1455</v>
      </c>
      <c r="C1667" s="23" t="s">
        <v>1456</v>
      </c>
      <c r="D1667" s="24" t="s">
        <v>1712</v>
      </c>
      <c r="E1667" s="25" t="s">
        <v>1722</v>
      </c>
      <c r="F1667" s="16" t="str">
        <f>_xlfn.XLOOKUP(D1667,[10]ALL!$C:$C,[10]ALL!$N:$N,"Tidak Ditemukan")</f>
        <v>FAHRURRAZI</v>
      </c>
      <c r="G1667" s="21"/>
    </row>
    <row r="1668" spans="2:7">
      <c r="B1668" s="22" t="s">
        <v>1455</v>
      </c>
      <c r="C1668" s="23" t="s">
        <v>1456</v>
      </c>
      <c r="D1668" s="24" t="s">
        <v>1713</v>
      </c>
      <c r="E1668" s="25" t="s">
        <v>1722</v>
      </c>
      <c r="F1668" s="16" t="str">
        <f>_xlfn.XLOOKUP(D1668,[10]ALL!$C:$C,[10]ALL!$N:$N,"Tidak Ditemukan")</f>
        <v>GUSTI NGURAH ARY RAKA DARMAYASA, SE.MM</v>
      </c>
      <c r="G1668" s="21"/>
    </row>
    <row r="1669" spans="2:7">
      <c r="B1669" s="22" t="s">
        <v>1455</v>
      </c>
      <c r="C1669" s="23" t="s">
        <v>1456</v>
      </c>
      <c r="D1669" s="24" t="s">
        <v>1714</v>
      </c>
      <c r="E1669" s="25" t="s">
        <v>1722</v>
      </c>
      <c r="F1669" s="16" t="str">
        <f>_xlfn.XLOOKUP(D1669,[10]ALL!$C:$C,[10]ALL!$N:$N,"Tidak Ditemukan")</f>
        <v>AGUSTINUS DICKY PURWONO</v>
      </c>
      <c r="G1669" s="21"/>
    </row>
    <row r="1670" ht="15.25" spans="2:7">
      <c r="B1670" s="26" t="s">
        <v>1455</v>
      </c>
      <c r="C1670" s="27" t="s">
        <v>1456</v>
      </c>
      <c r="D1670" s="28" t="s">
        <v>1715</v>
      </c>
      <c r="E1670" s="29" t="s">
        <v>1722</v>
      </c>
      <c r="F1670" s="16" t="str">
        <f>_xlfn.XLOOKUP(D1670,[10]ALL!$C:$C,[10]ALL!$N:$N,"Tidak Ditemukan")</f>
        <v>Salvatris Siro</v>
      </c>
      <c r="G1670" s="21"/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2026-08-18T02:19:38Z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1180363D30B54AA2B4CB806421EE121F_13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